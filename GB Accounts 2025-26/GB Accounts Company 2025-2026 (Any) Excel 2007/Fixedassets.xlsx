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5-2026 (Any) Excel 2007/"/>
    </mc:Choice>
  </mc:AlternateContent>
  <xr:revisionPtr revIDLastSave="0" documentId="13_ncr:1_{CA0EC991-CEDD-3944-A060-92AFF66B1EB6}"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s>
  <definedNames>
    <definedName name="_xlnm.Print_Titles" localSheetId="0">Schedule!$A:$G,Schedule!$1:$4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K4" i="11"/>
  <c r="S4" i="11"/>
  <c r="D6" i="11" l="1"/>
  <c r="G4" i="11" l="1"/>
  <c r="D57" i="11"/>
  <c r="D59" i="11" s="1"/>
  <c r="O4" i="11"/>
  <c r="F4" i="1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<sst xmlns="http://schemas.openxmlformats.org/spreadsheetml/2006/main" count="95" uniqueCount="67">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</sst>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64" fontId="3" fillId="2" borderId="1"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0" fontId="2" fillId="3" borderId="26" xfId="0" applyFont="1" applyFill="1" applyBorder="1"/>
    <xf numFmtId="0" fontId="11" fillId="3" borderId="27" xfId="0" applyFont="1" applyFill="1" applyBorder="1"/>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0" fillId="0" borderId="1" xfId="0" applyBorder="1" applyAlignment="1">
      <alignment horizontal="center" vertical="center" wrapText="1"/>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1" fontId="2" fillId="2" borderId="1" xfId="0" applyNumberFormat="1" applyFont="1" applyFill="1" applyBorder="1" applyAlignment="1">
      <alignment horizont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5-2026%20(Any)%20Excel%202007/Financialaccounts.xlsx" TargetMode="External"/><Relationship Id="rId1" Type="http://schemas.openxmlformats.org/officeDocument/2006/relationships/externalLinkPath" Target="Financialaccou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45778</v>
          </cell>
        </row>
        <row r="7">
          <cell r="G7">
            <v>100</v>
          </cell>
          <cell r="N7">
            <v>46507</v>
          </cell>
        </row>
        <row r="11">
          <cell r="E11">
            <v>12000</v>
          </cell>
          <cell r="G11">
            <v>3000</v>
          </cell>
          <cell r="N11">
            <v>46142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41"/>
      <c r="B1" s="122" t="s">
        <v>0</v>
      </c>
      <c r="C1" s="143" t="s">
        <v>7</v>
      </c>
      <c r="D1" s="144"/>
      <c r="E1" s="61">
        <f>E57+E110</f>
        <v>0</v>
      </c>
      <c r="F1" s="19">
        <f>F57+F110</f>
        <v>0</v>
      </c>
      <c r="G1" s="19">
        <f>G57+G110</f>
        <v>0</v>
      </c>
      <c r="H1" s="152" t="s">
        <v>10</v>
      </c>
      <c r="I1" s="19">
        <f>I57+I110</f>
        <v>0</v>
      </c>
      <c r="J1" s="19">
        <f>J57+J110</f>
        <v>0</v>
      </c>
      <c r="K1" s="19">
        <f>K57+K110</f>
        <v>0</v>
      </c>
      <c r="L1" s="128"/>
      <c r="M1" s="152" t="s">
        <v>5</v>
      </c>
      <c r="N1" s="128"/>
      <c r="O1" s="19">
        <f>O57+O110</f>
        <v>0</v>
      </c>
      <c r="P1" s="133" t="s">
        <v>63</v>
      </c>
      <c r="Q1" s="19">
        <f>Q57+Q110</f>
        <v>0</v>
      </c>
      <c r="R1" s="19">
        <f>R57+R110</f>
        <v>0</v>
      </c>
      <c r="S1" s="19">
        <f>S57+S110</f>
        <v>0</v>
      </c>
      <c r="T1" s="128"/>
      <c r="U1" s="121" t="s">
        <v>31</v>
      </c>
      <c r="V1" s="19">
        <f>V57+V110</f>
        <v>0</v>
      </c>
      <c r="W1" s="19">
        <f>W57+W110</f>
        <v>0</v>
      </c>
      <c r="X1" s="19">
        <f>X57+X110</f>
        <v>0</v>
      </c>
      <c r="Y1" s="19">
        <f>Y57+Y110</f>
        <v>0</v>
      </c>
      <c r="Z1" s="19">
        <f>Z57+Z110</f>
        <v>0</v>
      </c>
      <c r="AA1" s="20"/>
    </row>
    <row r="2" spans="1:27" ht="12" customHeight="1" x14ac:dyDescent="0.15">
      <c r="A2" s="142"/>
      <c r="B2" s="122"/>
      <c r="C2" s="123" t="s">
        <v>1</v>
      </c>
      <c r="D2" s="125" t="s">
        <v>2</v>
      </c>
      <c r="E2" s="120" t="s">
        <v>3</v>
      </c>
      <c r="F2" s="155" t="s">
        <v>56</v>
      </c>
      <c r="G2" s="126" t="s">
        <v>62</v>
      </c>
      <c r="H2" s="154"/>
      <c r="I2" s="145" t="s">
        <v>16</v>
      </c>
      <c r="J2" s="155" t="s">
        <v>56</v>
      </c>
      <c r="K2" s="126" t="s">
        <v>62</v>
      </c>
      <c r="L2" s="129"/>
      <c r="M2" s="153"/>
      <c r="N2" s="129"/>
      <c r="O2" s="126" t="s">
        <v>61</v>
      </c>
      <c r="P2" s="134"/>
      <c r="Q2" s="126" t="s">
        <v>64</v>
      </c>
      <c r="R2" s="126" t="s">
        <v>4</v>
      </c>
      <c r="S2" s="126" t="s">
        <v>61</v>
      </c>
      <c r="T2" s="135"/>
      <c r="U2" s="122"/>
      <c r="V2" s="136" t="s">
        <v>29</v>
      </c>
      <c r="W2" s="136" t="s">
        <v>30</v>
      </c>
      <c r="X2" s="136" t="s">
        <v>32</v>
      </c>
      <c r="Y2" s="120" t="s">
        <v>49</v>
      </c>
      <c r="Z2" s="120" t="s">
        <v>50</v>
      </c>
      <c r="AA2" s="21"/>
    </row>
    <row r="3" spans="1:27" ht="12" customHeight="1" x14ac:dyDescent="0.15">
      <c r="A3" s="142"/>
      <c r="B3" s="122"/>
      <c r="C3" s="124"/>
      <c r="D3" s="125"/>
      <c r="E3" s="120"/>
      <c r="F3" s="156"/>
      <c r="G3" s="127"/>
      <c r="H3" s="154"/>
      <c r="I3" s="145"/>
      <c r="J3" s="156"/>
      <c r="K3" s="127"/>
      <c r="L3" s="129"/>
      <c r="M3" s="153"/>
      <c r="N3" s="129"/>
      <c r="O3" s="127"/>
      <c r="P3" s="134"/>
      <c r="Q3" s="131"/>
      <c r="R3" s="127"/>
      <c r="S3" s="127"/>
      <c r="T3" s="135"/>
      <c r="U3" s="122"/>
      <c r="V3" s="120"/>
      <c r="W3" s="120"/>
      <c r="X3" s="120"/>
      <c r="Y3" s="120"/>
      <c r="Z3" s="120"/>
      <c r="AA3" s="21"/>
    </row>
    <row r="4" spans="1:27" s="15" customFormat="1" ht="12.75" customHeight="1" x14ac:dyDescent="0.15">
      <c r="A4" s="142"/>
      <c r="B4" s="122"/>
      <c r="C4" s="124"/>
      <c r="D4" s="125"/>
      <c r="E4" s="120"/>
      <c r="F4" s="111">
        <f>D6</f>
        <v>45778</v>
      </c>
      <c r="G4" s="111">
        <f>D6</f>
        <v>45778</v>
      </c>
      <c r="H4" s="154"/>
      <c r="I4" s="145"/>
      <c r="J4" s="111">
        <f>[1]Admin!$N$7</f>
        <v>46507</v>
      </c>
      <c r="K4" s="111">
        <f>J4</f>
        <v>46507</v>
      </c>
      <c r="L4" s="130"/>
      <c r="M4" s="153"/>
      <c r="N4" s="130"/>
      <c r="O4" s="110">
        <f>D6</f>
        <v>45778</v>
      </c>
      <c r="P4" s="119">
        <v>100</v>
      </c>
      <c r="Q4" s="132"/>
      <c r="R4" s="118">
        <v>20</v>
      </c>
      <c r="S4" s="110">
        <f>J4</f>
        <v>46507</v>
      </c>
      <c r="T4" s="135"/>
      <c r="U4" s="122"/>
      <c r="V4" s="120"/>
      <c r="W4" s="120"/>
      <c r="X4" s="120"/>
      <c r="Y4" s="120"/>
      <c r="Z4" s="120"/>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46" t="s">
        <v>57</v>
      </c>
      <c r="C6" s="147"/>
      <c r="D6" s="148">
        <f>[1]Admin!$L$6</f>
        <v>45778</v>
      </c>
      <c r="E6" s="149"/>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37" t="s">
        <v>9</v>
      </c>
      <c r="C7" s="137"/>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8" t="str">
        <f>IF((E11-F11)=([1]OpenAccounts!$G$13-[1]OpenAccounts!$M$13),"Existing Land &amp; Property","Check Opening Balance Sheet figures agree")</f>
        <v>Existing Land &amp; Property</v>
      </c>
      <c r="C11" s="139"/>
      <c r="D11" s="140"/>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37" t="s">
        <v>8</v>
      </c>
      <c r="C13" s="137"/>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8" t="str">
        <f>IF((E22-F22)=([1]OpenAccounts!$H$13-[1]OpenAccounts!$N$13),"Existing Plant &amp; Machinery", "Check Opening Balance Sheet figures agree")</f>
        <v>Existing Plant &amp; Machinery</v>
      </c>
      <c r="C22" s="139"/>
      <c r="D22" s="140"/>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37" t="s">
        <v>55</v>
      </c>
      <c r="C24" s="137"/>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8" t="str">
        <f>IF((E30-F30)=([1]OpenAccounts!$I$13-[1]OpenAccounts!$O$13),"Existing Fixtures &amp; Fittings","Check Opening Balance Sheet figures agree")</f>
        <v>Existing Fixtures &amp; Fittings</v>
      </c>
      <c r="C30" s="139"/>
      <c r="D30" s="140"/>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37" t="s">
        <v>6</v>
      </c>
      <c r="C32" s="137"/>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8" t="str">
        <f>IF((E41-F41)=([1]OpenAccounts!$J$13-[1]OpenAccounts!$P$13),"Existing Computers","Check Opening Balkance Sheet figures agree")</f>
        <v>Existing Computers</v>
      </c>
      <c r="C41" s="139"/>
      <c r="D41" s="140"/>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37" t="s">
        <v>53</v>
      </c>
      <c r="C43" s="137"/>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IF(E44&gt;0,E44-J44," ")</f>
        <v xml:space="preserve"> </v>
      </c>
      <c r="L44" s="7"/>
      <c r="M44" s="28">
        <v>0</v>
      </c>
      <c r="N44" s="7"/>
      <c r="O44" s="44"/>
      <c r="P44" s="87"/>
      <c r="Q44" s="11"/>
      <c r="R44" s="11" t="str">
        <f>IF(O44&gt;0,MIN(O44*R$4/100*(1-M44),3000*(1-M44)),"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IF(O45&gt;0,MIN(O45*R$4/100*(1-M45),3000*(1-M45)),"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37" t="s">
        <v>54</v>
      </c>
      <c r="C49" s="137"/>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IF(O50&gt;0,IF(O50&gt;[1]Admin!$E$11,[1]Admin!$G$11*(1-M50),O50*R$4/100)*(1-M50),"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IF(O51&gt;0,IF(O51&gt;[1]Admin!$E$11,[1]Admin!$G$11*(1-M51),O51*R$4/100)*(1-M51),"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IF(O52&gt;0,IF(O52&gt;[1]Admin!$E$11,[1]Admin!$G$11*(1-M52),O52*R$4/100)*(1-M52),"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IF(O53&gt;0,IF(O53&gt;[1]Admin!$E$11,[1]Admin!$G$11*(1-M53),O53*R$4/100)*(1-M53),"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IF(O54&gt;0,IF(O54&gt;[1]Admin!$E$11,[1]Admin!$G$11*(1-M54),O54*R$4/100)*(1-M54),"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8" t="str">
        <f>IF((E55-F55)=([1]OpenAccounts!$K$13-[1]OpenAccounts!$Q$13),"Existing Motor Vehicles","Check Opening Balance Sheet figures agree")</f>
        <v>Existing Motor Vehicles</v>
      </c>
      <c r="C55" s="139"/>
      <c r="D55" s="140"/>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46" t="str">
        <f>B6</f>
        <v xml:space="preserve">EXISTING FIXED ASSETS AT </v>
      </c>
      <c r="C57" s="147"/>
      <c r="D57" s="115">
        <f>D6</f>
        <v>45778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50" t="s">
        <v>58</v>
      </c>
      <c r="C59" s="151"/>
      <c r="D59" s="116">
        <f>D57</f>
        <v>45778</v>
      </c>
      <c r="E59" s="113" t="s">
        <v>59</v>
      </c>
      <c r="F59" s="117">
        <f>J4</f>
        <v>46507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37" t="s">
        <v>9</v>
      </c>
      <c r="C60" s="137"/>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8" t="s">
        <v>11</v>
      </c>
      <c r="C64" s="139"/>
      <c r="D64" s="140"/>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37" t="s">
        <v>8</v>
      </c>
      <c r="C66" s="137"/>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8" t="s">
        <v>12</v>
      </c>
      <c r="C75" s="139"/>
      <c r="D75" s="140"/>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37" t="s">
        <v>55</v>
      </c>
      <c r="C77" s="137"/>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8" t="s">
        <v>13</v>
      </c>
      <c r="C83" s="139"/>
      <c r="D83" s="140"/>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37" t="s">
        <v>6</v>
      </c>
      <c r="C85" s="137"/>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8" t="s">
        <v>14</v>
      </c>
      <c r="C94" s="139"/>
      <c r="D94" s="140"/>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37" t="s">
        <v>53</v>
      </c>
      <c r="C96" s="137"/>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IF(E97&gt;0,E97-J97," ")</f>
        <v xml:space="preserve"> </v>
      </c>
      <c r="L97" s="7"/>
      <c r="M97" s="28">
        <v>0</v>
      </c>
      <c r="N97" s="7"/>
      <c r="O97" s="11"/>
      <c r="P97" s="87"/>
      <c r="Q97" s="11"/>
      <c r="R97" s="11" t="str">
        <f>IF(E97&gt;0,IF(E97&gt;[1]Admin!$E$11,[1]Admin!$G$11*(1-M97),E97*R$4/100)*(1-M97),"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IF(E98&gt;0,IF(E98&gt;[1]Admin!$E$11,[1]Admin!$G$11*(1-M98),E98*R$4/100)*(1-M98),"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IF(E99&gt;0,E99-J99," ")</f>
        <v xml:space="preserve"> </v>
      </c>
      <c r="L99" s="7"/>
      <c r="M99" s="28">
        <v>0</v>
      </c>
      <c r="N99" s="7"/>
      <c r="O99" s="11"/>
      <c r="P99" s="87"/>
      <c r="Q99" s="11"/>
      <c r="R99" s="11" t="str">
        <f>IF(E99&gt;0,IF(E99&gt;[1]Admin!$E$11,[1]Admin!$G$11*(1-M99),E99*R$4/100)*(1-M99),"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IF(E100&gt;0,E100-J100," ")</f>
        <v xml:space="preserve"> </v>
      </c>
      <c r="L100" s="7"/>
      <c r="M100" s="28">
        <v>0</v>
      </c>
      <c r="N100" s="7"/>
      <c r="O100" s="11"/>
      <c r="P100" s="87"/>
      <c r="Q100" s="11"/>
      <c r="R100" s="11" t="str">
        <f>IF(E100&gt;0,IF(E100&gt;[1]Admin!$E$11,[1]Admin!$G$11*(1-M100),E100*R$4/100)*(1-M100),"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IF(E101&gt;0,E101-J101," ")</f>
        <v xml:space="preserve"> </v>
      </c>
      <c r="L101" s="7"/>
      <c r="M101" s="28">
        <v>0</v>
      </c>
      <c r="N101" s="7"/>
      <c r="O101" s="11"/>
      <c r="P101" s="87"/>
      <c r="Q101" s="11"/>
      <c r="R101" s="11" t="str">
        <f>IF(E101&gt;0,IF(E101&gt;[1]Admin!$E$11,[1]Admin!$G$11*(1-M101),E101*R$4/100)*(1-M101),"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37" t="s">
        <v>54</v>
      </c>
      <c r="C102" s="137"/>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8" t="s">
        <v>15</v>
      </c>
      <c r="C108" s="139"/>
      <c r="D108" s="140"/>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46" t="s">
        <v>60</v>
      </c>
      <c r="C110" s="147"/>
      <c r="D110" s="112">
        <f>F59</f>
        <v>46507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W2:W4"/>
    <mergeCell ref="B24:C24"/>
    <mergeCell ref="B32:C32"/>
    <mergeCell ref="B41:D41"/>
    <mergeCell ref="B7:C7"/>
    <mergeCell ref="B30:D30"/>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57"/>
      <c r="B1" s="158"/>
      <c r="C1" s="158"/>
      <c r="D1" s="158"/>
      <c r="E1" s="158"/>
      <c r="F1" s="158"/>
      <c r="G1" s="158"/>
      <c r="H1" s="158"/>
      <c r="I1" s="158"/>
      <c r="J1" s="158"/>
      <c r="K1" s="158"/>
      <c r="L1" s="158"/>
      <c r="M1" s="158"/>
      <c r="N1" s="158"/>
      <c r="O1" s="70"/>
      <c r="P1" s="2"/>
      <c r="Q1" s="2"/>
      <c r="R1" s="2"/>
      <c r="S1" s="2"/>
      <c r="T1" s="4"/>
      <c r="U1" s="3"/>
      <c r="V1" s="3"/>
      <c r="W1" s="2"/>
      <c r="X1" s="2"/>
    </row>
    <row r="2" spans="1:24" s="5" customFormat="1" ht="15" customHeight="1" x14ac:dyDescent="0.15">
      <c r="A2" s="63"/>
      <c r="B2" s="46"/>
      <c r="C2" s="47"/>
      <c r="D2" s="48"/>
      <c r="E2" s="167" t="s">
        <v>17</v>
      </c>
      <c r="F2" s="168"/>
      <c r="G2" s="169"/>
      <c r="H2" s="170"/>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77" t="s">
        <v>52</v>
      </c>
      <c r="H4" s="178"/>
      <c r="I4" s="179"/>
      <c r="J4" s="49"/>
      <c r="K4" s="106" t="s">
        <v>26</v>
      </c>
      <c r="L4" s="49"/>
      <c r="M4" s="174" t="s">
        <v>65</v>
      </c>
      <c r="N4" s="175"/>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75"/>
      <c r="N5" s="175"/>
      <c r="O5" s="71"/>
      <c r="P5" s="2"/>
      <c r="Q5" s="2"/>
      <c r="R5" s="2"/>
      <c r="S5" s="2"/>
      <c r="T5" s="4"/>
      <c r="U5" s="3"/>
      <c r="V5" s="3"/>
      <c r="W5" s="2"/>
      <c r="X5" s="2"/>
    </row>
    <row r="6" spans="1:24" s="5" customFormat="1" ht="15" customHeight="1" x14ac:dyDescent="0.15">
      <c r="A6" s="63"/>
      <c r="B6" s="159" t="s">
        <v>11</v>
      </c>
      <c r="C6" s="160"/>
      <c r="D6" s="173"/>
      <c r="E6" s="52">
        <f>Schedule!E64</f>
        <v>0</v>
      </c>
      <c r="F6" s="49"/>
      <c r="G6" s="159" t="s">
        <v>21</v>
      </c>
      <c r="H6" s="160"/>
      <c r="I6" s="160"/>
      <c r="J6" s="161"/>
      <c r="K6" s="52">
        <f>Schedule!V11+Schedule!V64</f>
        <v>0</v>
      </c>
      <c r="L6" s="49"/>
      <c r="M6" s="175"/>
      <c r="N6" s="175"/>
      <c r="O6" s="71"/>
      <c r="P6" s="2"/>
      <c r="Q6" s="2"/>
      <c r="R6" s="2"/>
      <c r="S6" s="2"/>
      <c r="T6" s="4"/>
      <c r="U6" s="3"/>
      <c r="V6" s="3"/>
      <c r="W6" s="2"/>
      <c r="X6" s="2"/>
    </row>
    <row r="7" spans="1:24" s="5" customFormat="1" ht="15" customHeight="1" x14ac:dyDescent="0.15">
      <c r="A7" s="63"/>
      <c r="B7" s="159" t="s">
        <v>12</v>
      </c>
      <c r="C7" s="160"/>
      <c r="D7" s="173"/>
      <c r="E7" s="52">
        <f>Schedule!E75</f>
        <v>0</v>
      </c>
      <c r="F7" s="49"/>
      <c r="G7" s="159" t="s">
        <v>22</v>
      </c>
      <c r="H7" s="160"/>
      <c r="I7" s="160"/>
      <c r="J7" s="161"/>
      <c r="K7" s="52">
        <f>Schedule!V22+Schedule!V75</f>
        <v>0</v>
      </c>
      <c r="L7" s="49"/>
      <c r="M7" s="175"/>
      <c r="N7" s="175"/>
      <c r="O7" s="71"/>
      <c r="P7" s="2"/>
      <c r="Q7" s="2"/>
      <c r="R7" s="2"/>
      <c r="S7" s="2"/>
      <c r="T7" s="4"/>
      <c r="U7" s="3"/>
      <c r="V7" s="3"/>
      <c r="W7" s="2"/>
      <c r="X7" s="2"/>
    </row>
    <row r="8" spans="1:24" s="5" customFormat="1" ht="15" customHeight="1" x14ac:dyDescent="0.15">
      <c r="A8" s="63"/>
      <c r="B8" s="159" t="s">
        <v>13</v>
      </c>
      <c r="C8" s="160"/>
      <c r="D8" s="173"/>
      <c r="E8" s="52">
        <f>Schedule!E83</f>
        <v>0</v>
      </c>
      <c r="F8" s="49"/>
      <c r="G8" s="159" t="s">
        <v>23</v>
      </c>
      <c r="H8" s="160"/>
      <c r="I8" s="160"/>
      <c r="J8" s="161"/>
      <c r="K8" s="52">
        <f>Schedule!V30+Schedule!V83</f>
        <v>0</v>
      </c>
      <c r="L8" s="49"/>
      <c r="M8" s="175"/>
      <c r="N8" s="175"/>
      <c r="O8" s="71"/>
      <c r="P8" s="2"/>
      <c r="Q8" s="2"/>
      <c r="R8" s="2"/>
      <c r="S8" s="2"/>
      <c r="T8" s="4"/>
      <c r="U8" s="3"/>
      <c r="V8" s="3"/>
      <c r="W8" s="2"/>
      <c r="X8" s="2"/>
    </row>
    <row r="9" spans="1:24" s="5" customFormat="1" ht="15" customHeight="1" x14ac:dyDescent="0.15">
      <c r="A9" s="63"/>
      <c r="B9" s="159" t="s">
        <v>14</v>
      </c>
      <c r="C9" s="160"/>
      <c r="D9" s="173"/>
      <c r="E9" s="52">
        <f>Schedule!E94</f>
        <v>0</v>
      </c>
      <c r="F9" s="49"/>
      <c r="G9" s="159" t="s">
        <v>24</v>
      </c>
      <c r="H9" s="160"/>
      <c r="I9" s="160"/>
      <c r="J9" s="161"/>
      <c r="K9" s="52">
        <f>Schedule!V41+Schedule!V94</f>
        <v>0</v>
      </c>
      <c r="L9" s="49"/>
      <c r="M9" s="175"/>
      <c r="N9" s="175"/>
      <c r="O9" s="71"/>
      <c r="P9" s="2"/>
      <c r="Q9" s="2"/>
      <c r="R9" s="2"/>
      <c r="S9" s="2"/>
      <c r="T9" s="4"/>
      <c r="U9" s="3"/>
      <c r="V9" s="3"/>
      <c r="W9" s="2"/>
      <c r="X9" s="2"/>
    </row>
    <row r="10" spans="1:24" s="5" customFormat="1" ht="15" customHeight="1" thickBot="1" x14ac:dyDescent="0.2">
      <c r="A10" s="63"/>
      <c r="B10" s="159" t="s">
        <v>15</v>
      </c>
      <c r="C10" s="160"/>
      <c r="D10" s="173"/>
      <c r="E10" s="52">
        <f>Schedule!E108</f>
        <v>0</v>
      </c>
      <c r="F10" s="49"/>
      <c r="G10" s="159" t="s">
        <v>25</v>
      </c>
      <c r="H10" s="160"/>
      <c r="I10" s="160"/>
      <c r="J10" s="161"/>
      <c r="K10" s="52">
        <f>Schedule!V55+Schedule!V108</f>
        <v>0</v>
      </c>
      <c r="L10" s="49"/>
      <c r="M10" s="175"/>
      <c r="N10" s="175"/>
      <c r="O10" s="71"/>
      <c r="P10" s="2"/>
      <c r="Q10" s="2"/>
      <c r="R10" s="2"/>
      <c r="S10" s="2"/>
      <c r="T10" s="4"/>
      <c r="U10" s="3"/>
      <c r="V10" s="3"/>
      <c r="W10" s="2"/>
      <c r="X10" s="2"/>
    </row>
    <row r="11" spans="1:24" s="5" customFormat="1" ht="15" customHeight="1" thickBot="1" x14ac:dyDescent="0.2">
      <c r="A11" s="63"/>
      <c r="B11" s="171" t="s">
        <v>19</v>
      </c>
      <c r="C11" s="171"/>
      <c r="D11" s="172"/>
      <c r="E11" s="53">
        <f>SUM(E6:E10)</f>
        <v>0</v>
      </c>
      <c r="F11" s="49"/>
      <c r="G11" s="165" t="s">
        <v>19</v>
      </c>
      <c r="H11" s="165"/>
      <c r="I11" s="165"/>
      <c r="J11" s="166"/>
      <c r="K11" s="53">
        <f>SUM(K6:K10)</f>
        <v>0</v>
      </c>
      <c r="L11" s="49"/>
      <c r="M11" s="175"/>
      <c r="N11" s="175"/>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75"/>
      <c r="N12" s="175"/>
      <c r="O12" s="71"/>
      <c r="P12" s="2"/>
      <c r="Q12" s="2"/>
      <c r="R12" s="2"/>
      <c r="S12" s="2"/>
      <c r="T12" s="4"/>
      <c r="U12" s="3"/>
      <c r="V12" s="3"/>
      <c r="W12" s="2"/>
      <c r="X12" s="2"/>
    </row>
    <row r="13" spans="1:24" s="5" customFormat="1" ht="15" customHeight="1" thickBot="1" x14ac:dyDescent="0.2">
      <c r="A13" s="63"/>
      <c r="B13" s="171" t="s">
        <v>28</v>
      </c>
      <c r="C13" s="171"/>
      <c r="D13" s="172"/>
      <c r="E13" s="53" t="e">
        <f>#REF!</f>
        <v>#REF!</v>
      </c>
      <c r="F13" s="49"/>
      <c r="G13" s="165" t="s">
        <v>27</v>
      </c>
      <c r="H13" s="165"/>
      <c r="I13" s="165"/>
      <c r="J13" s="166"/>
      <c r="K13" s="53" t="e">
        <f>#REF!</f>
        <v>#REF!</v>
      </c>
      <c r="L13" s="49"/>
      <c r="M13" s="176"/>
      <c r="N13" s="176"/>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76"/>
      <c r="N14" s="176"/>
      <c r="O14" s="71"/>
      <c r="P14" s="2"/>
      <c r="Q14" s="2"/>
      <c r="R14" s="2"/>
      <c r="S14" s="2"/>
      <c r="T14" s="4"/>
      <c r="U14" s="3"/>
      <c r="V14" s="3"/>
      <c r="W14" s="2"/>
      <c r="X14" s="2"/>
    </row>
    <row r="15" spans="1:24" s="5" customFormat="1" ht="30" customHeight="1" thickTop="1" thickBot="1" x14ac:dyDescent="0.2">
      <c r="A15" s="63"/>
      <c r="B15" s="162" t="e">
        <f>IF(E15&gt;0,"Purchases exceed Assets listed on Schedule",IF(E15&lt;0,"Assets listed on Schedule exceed Purchase values","Purchases reconcile with Fixed asset Schedule"))</f>
        <v>#REF!</v>
      </c>
      <c r="C15" s="163"/>
      <c r="D15" s="164"/>
      <c r="E15" s="104" t="e">
        <f>E13-E11</f>
        <v>#REF!</v>
      </c>
      <c r="F15" s="49"/>
      <c r="G15" s="162" t="e">
        <f>IF(K15&gt;0,"Sales exceed Assets listed on Schedule",IF(K15&lt;0,"Assets listed on Schedule exceed Sales values","Sales reconcile with Fixed asset Schedule"))</f>
        <v>#REF!</v>
      </c>
      <c r="H15" s="163"/>
      <c r="I15" s="163"/>
      <c r="J15" s="164"/>
      <c r="K15" s="104" t="e">
        <f>K13-K11</f>
        <v>#REF!</v>
      </c>
      <c r="L15" s="49"/>
      <c r="M15" s="176"/>
      <c r="N15" s="176"/>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B8:D8"/>
    <mergeCell ref="B9:D9"/>
    <mergeCell ref="M4:N15"/>
    <mergeCell ref="G4:I4"/>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5" t="s">
        <v>47</v>
      </c>
      <c r="D2" s="186"/>
      <c r="E2" s="83">
        <f>SUM(E8:E26)</f>
        <v>0</v>
      </c>
      <c r="F2" s="81"/>
      <c r="G2" s="183" t="s">
        <v>48</v>
      </c>
      <c r="H2" s="184"/>
      <c r="I2" s="184"/>
      <c r="J2" s="184"/>
      <c r="K2" s="184"/>
      <c r="L2" s="87"/>
      <c r="M2" s="90"/>
    </row>
    <row r="3" spans="1:13" ht="18" customHeight="1" x14ac:dyDescent="0.15">
      <c r="A3" s="90"/>
      <c r="B3" s="94" t="s">
        <v>39</v>
      </c>
      <c r="C3" s="31"/>
      <c r="D3" s="95"/>
      <c r="E3" s="81"/>
      <c r="F3" s="81"/>
      <c r="G3" s="184"/>
      <c r="H3" s="184"/>
      <c r="I3" s="184"/>
      <c r="J3" s="184"/>
      <c r="K3" s="184"/>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22" t="s">
        <v>38</v>
      </c>
      <c r="C5" s="125" t="s">
        <v>33</v>
      </c>
      <c r="D5" s="125" t="s">
        <v>66</v>
      </c>
      <c r="E5" s="181" t="s">
        <v>44</v>
      </c>
      <c r="F5" s="181" t="s">
        <v>43</v>
      </c>
      <c r="G5" s="181" t="s">
        <v>37</v>
      </c>
      <c r="H5" s="125" t="s">
        <v>35</v>
      </c>
      <c r="I5" s="181" t="s">
        <v>46</v>
      </c>
      <c r="J5" s="182"/>
      <c r="K5" s="182"/>
      <c r="L5" s="125" t="s">
        <v>45</v>
      </c>
      <c r="M5" s="93"/>
    </row>
    <row r="6" spans="1:13" s="85" customFormat="1" ht="30.75" customHeight="1" x14ac:dyDescent="0.15">
      <c r="A6" s="93"/>
      <c r="B6" s="180"/>
      <c r="C6" s="180"/>
      <c r="D6" s="180"/>
      <c r="E6" s="180"/>
      <c r="F6" s="180"/>
      <c r="G6" s="180"/>
      <c r="H6" s="180"/>
      <c r="I6" s="84" t="s">
        <v>34</v>
      </c>
      <c r="J6" s="84" t="s">
        <v>41</v>
      </c>
      <c r="K6" s="84" t="s">
        <v>36</v>
      </c>
      <c r="L6" s="180"/>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IF(H10&gt;0,#REF!/H10,"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IF(H12&gt;0,#REF!/H12,"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IF(H14&gt;0,#REF!/H14,"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IF(H16&gt;0,#REF!/H16,"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IF(H18&gt;0,#REF!/H18,"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IF(H20&gt;0,#REF!/H20,"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IF(H22&gt;0,#REF!/H22,"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IF(H24&gt;0,#REF!/H24,"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IF(H26&gt;0,#REF!/H26,"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22" t="s">
        <v>38</v>
      </c>
      <c r="C31" s="125" t="s">
        <v>33</v>
      </c>
      <c r="D31" s="125" t="s">
        <v>66</v>
      </c>
      <c r="E31" s="181" t="s">
        <v>44</v>
      </c>
      <c r="F31" s="181" t="s">
        <v>43</v>
      </c>
      <c r="G31" s="181" t="s">
        <v>37</v>
      </c>
      <c r="H31" s="125" t="s">
        <v>35</v>
      </c>
      <c r="I31" s="181" t="s">
        <v>46</v>
      </c>
      <c r="J31" s="182"/>
      <c r="K31" s="182"/>
      <c r="L31" s="125" t="s">
        <v>45</v>
      </c>
      <c r="M31" s="93"/>
    </row>
    <row r="32" spans="1:13" s="85" customFormat="1" ht="30.75" customHeight="1" x14ac:dyDescent="0.15">
      <c r="A32" s="93"/>
      <c r="B32" s="180"/>
      <c r="C32" s="180"/>
      <c r="D32" s="180"/>
      <c r="E32" s="180"/>
      <c r="F32" s="180"/>
      <c r="G32" s="180"/>
      <c r="H32" s="180"/>
      <c r="I32" s="84" t="s">
        <v>34</v>
      </c>
      <c r="J32" s="84" t="s">
        <v>41</v>
      </c>
      <c r="K32" s="84" t="s">
        <v>36</v>
      </c>
      <c r="L32" s="180"/>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IF(H36&gt;0,#REF!/H36,"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IF(H38&gt;0,#REF!/H38,"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IF(H40&gt;0,#REF!/H40,"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IF(H42&gt;0,#REF!/H42,"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IF(H44&gt;0,#REF!/H44,"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IF(H46&gt;0,#REF!/H46,"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IF(H48&gt;0,#REF!/H48,"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IF(H50&gt;0,#REF!/H50,"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IF(H52&gt;0,#REF!/H52,"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G2:K3"/>
    <mergeCell ref="I31:K31"/>
    <mergeCell ref="C2:D2"/>
    <mergeCell ref="B5:B6"/>
    <mergeCell ref="C5:C6"/>
    <mergeCell ref="D5:D6"/>
    <mergeCell ref="E5:E6"/>
    <mergeCell ref="F5:F6"/>
    <mergeCell ref="G5:G6"/>
    <mergeCell ref="H5:H6"/>
    <mergeCell ref="L31:L32"/>
    <mergeCell ref="L5:L6"/>
    <mergeCell ref="I5:K5"/>
    <mergeCell ref="B31:B32"/>
    <mergeCell ref="C31:C32"/>
    <mergeCell ref="D31:D32"/>
    <mergeCell ref="E31:E32"/>
    <mergeCell ref="F31:F32"/>
    <mergeCell ref="G31:G32"/>
    <mergeCell ref="H31:H32"/>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2007-03-03T22:52:10Z</cp:lastPrinted>
  <dcterms:created xsi:type="dcterms:W3CDTF">2002-12-30T15:31:19Z</dcterms:created>
  <dcterms:modified xsi:type="dcterms:W3CDTF">2025-04-03T23:11:17Z</dcterms:modified>
</cp:coreProperties>
</file>