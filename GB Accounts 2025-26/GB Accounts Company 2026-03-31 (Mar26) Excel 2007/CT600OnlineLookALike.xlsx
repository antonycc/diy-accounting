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filterPrivacy="1" defaultThemeVersion="124226"/>
  <xr:revisionPtr revIDLastSave="0" documentId="13_ncr:1_{A1A9CBEA-9632-C04D-BFA1-C02605786AD6}" xr6:coauthVersionLast="47" xr6:coauthVersionMax="47" xr10:uidLastSave="{00000000-0000-0000-0000-000000000000}"/>
  <bookViews>
    <workbookView xWindow="0" yWindow="500" windowWidth="20740" windowHeight="11160" xr2:uid="{00000000-000D-0000-FFFF-FFFF00000000}"/>
  </bookViews>
  <sheets>
    <sheet name="Sheet1" sheetId="1" r:id="rId1"/>
  </sheets>
  <externalReferences>
    <externalReference r:id="rId2"/>
    <externalReference r:id="rId3"/>
    <externalReference r:id="rId4"/>
  </externalReferences>
  <definedNames>
    <definedName name="_xlnm.Print_Area" localSheetId="0">Sheet1!$A$1:$Q$2360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649" i="1" l="1"/>
  <c r="G412" i="1"/>
  <c r="N1375" i="1"/>
  <c r="N1359" i="1"/>
  <c r="N1274" i="1"/>
  <c r="H1210" i="1"/>
  <c r="H1204" i="1"/>
  <c r="H1201" i="1"/>
  <c r="H1198" i="1"/>
  <c r="A1210" i="1"/>
  <c r="A1207" i="1"/>
  <c r="A1204" i="1"/>
  <c r="A1201" i="1"/>
  <c r="A1198" i="1"/>
  <c r="A1145" i="1"/>
  <c r="A1103" i="1"/>
  <c r="A1056" i="1"/>
  <c r="H1048" i="1"/>
  <c r="A1022" i="1"/>
  <c r="H997" i="1"/>
  <c r="A978" i="1"/>
  <c r="H966" i="1"/>
  <c r="H962" i="1"/>
  <c r="H185" i="1"/>
  <c r="N1845" i="1"/>
  <c r="H1157" i="1"/>
  <c r="H72" i="1"/>
  <c r="N1210" i="1" s="1"/>
  <c r="H68" i="1"/>
  <c r="F34" i="1"/>
  <c r="F31" i="1"/>
  <c r="F28" i="1"/>
  <c r="F25" i="1"/>
  <c r="F22" i="1"/>
  <c r="H18" i="1"/>
  <c r="F14" i="1"/>
  <c r="K1" i="1"/>
  <c r="I1091" i="1"/>
  <c r="D1091" i="1"/>
  <c r="H100" i="1"/>
  <c r="H97" i="1"/>
  <c r="H94" i="1"/>
  <c r="H91" i="1"/>
  <c r="H88" i="1"/>
  <c r="N530" i="1" l="1"/>
  <c r="H772" i="1"/>
  <c r="N1007" i="1"/>
  <c r="N169" i="1"/>
  <c r="H1116" i="1"/>
  <c r="N997" i="1"/>
  <c r="N1201" i="1"/>
  <c r="N185" i="1"/>
  <c r="N172" i="1" s="1"/>
  <c r="N584" i="1"/>
  <c r="H831" i="1"/>
  <c r="N258" i="1"/>
  <c r="N1048" i="1"/>
  <c r="N1204" i="1"/>
  <c r="N159" i="1"/>
  <c r="N175" i="1"/>
  <c r="H654" i="1"/>
  <c r="H890" i="1"/>
  <c r="N1207" i="1"/>
  <c r="N473" i="1"/>
  <c r="N966" i="1"/>
  <c r="N498" i="1"/>
  <c r="N162" i="1"/>
  <c r="N182" i="1"/>
  <c r="N501" i="1"/>
  <c r="H713" i="1"/>
  <c r="N1084" i="1"/>
  <c r="N962" i="1"/>
  <c r="N1004" i="1"/>
  <c r="N1044" i="1"/>
  <c r="N1198" i="1"/>
  <c r="N1081" i="1"/>
  <c r="N1077" i="1"/>
  <c r="N1223" i="1" l="1"/>
  <c r="N2107" i="1"/>
  <c r="N1924" i="1"/>
  <c r="N1918" i="1"/>
  <c r="N1701" i="1"/>
  <c r="N1985" i="1" s="1"/>
  <c r="N2289" i="1" s="1"/>
  <c r="N1671" i="1"/>
  <c r="N1988" i="1"/>
  <c r="N2292" i="1" s="1"/>
  <c r="N1638" i="1"/>
  <c r="N1635" i="1"/>
  <c r="N1632" i="1"/>
  <c r="N1629" i="1"/>
  <c r="N1626" i="1"/>
  <c r="N1620" i="1"/>
  <c r="N1623" i="1"/>
  <c r="N1816" i="1"/>
  <c r="N1813" i="1"/>
  <c r="N1799" i="1"/>
  <c r="N1796" i="1"/>
  <c r="N1790" i="1"/>
  <c r="N1787" i="1"/>
  <c r="N1784" i="1"/>
  <c r="L156" i="1"/>
  <c r="L217" i="1"/>
  <c r="L242" i="1"/>
  <c r="L255" i="1"/>
  <c r="L296" i="1"/>
  <c r="L470" i="1"/>
  <c r="N480" i="1"/>
  <c r="L495" i="1"/>
  <c r="N508" i="1"/>
  <c r="L527" i="1"/>
  <c r="L581" i="1"/>
  <c r="N591" i="1"/>
  <c r="H1122" i="1" s="1"/>
  <c r="A654" i="1"/>
  <c r="A713" i="1"/>
  <c r="A772" i="1"/>
  <c r="A831" i="1"/>
  <c r="A890" i="1"/>
  <c r="H911" i="1"/>
  <c r="H914" i="1"/>
  <c r="H932" i="1"/>
  <c r="A944" i="1"/>
  <c r="L959" i="1"/>
  <c r="N973" i="1"/>
  <c r="N261" i="1" s="1"/>
  <c r="L994" i="1"/>
  <c r="L1037" i="1"/>
  <c r="N1051" i="1"/>
  <c r="N279" i="1" s="1"/>
  <c r="F1072" i="1"/>
  <c r="N299" i="1"/>
  <c r="N1095" i="1"/>
  <c r="A1113" i="1"/>
  <c r="A1116" i="1"/>
  <c r="A1119" i="1"/>
  <c r="A1122" i="1"/>
  <c r="A1125" i="1"/>
  <c r="L1186" i="1"/>
  <c r="L1187" i="1"/>
  <c r="N1308" i="1"/>
  <c r="N165" i="1"/>
  <c r="N200" i="1" l="1"/>
  <c r="N178" i="1"/>
  <c r="N188" i="1" s="1"/>
  <c r="N542" i="1" s="1"/>
  <c r="N545" i="1" s="1"/>
  <c r="N538" i="1"/>
  <c r="N264" i="1"/>
  <c r="N267" i="1" s="1"/>
  <c r="N1017" i="1"/>
  <c r="N270" i="1" s="1"/>
  <c r="H944" i="1"/>
  <c r="N249" i="1" s="1"/>
  <c r="N252" i="1" s="1"/>
  <c r="N1213" i="1"/>
  <c r="N273" i="1" l="1"/>
  <c r="N276" i="1" s="1"/>
  <c r="N286" i="1" s="1"/>
  <c r="N1190" i="1" s="1"/>
  <c r="N191" i="1"/>
  <c r="N194" i="1" s="1"/>
  <c r="H1119" i="1" s="1"/>
  <c r="H1125" i="1" s="1"/>
  <c r="H1131" i="1" s="1"/>
  <c r="N306" i="1" s="1"/>
  <c r="N309" i="1" s="1"/>
  <c r="N1193" i="1" s="1"/>
  <c r="N562" i="1"/>
  <c r="N566" i="1" s="1"/>
  <c r="N204" i="1" l="1"/>
  <c r="N220" i="1"/>
  <c r="N227" i="1" s="1"/>
  <c r="H973" i="1" l="1"/>
  <c r="H261" i="1" s="1"/>
  <c r="G391" i="1"/>
  <c r="G409" i="1" l="1"/>
  <c r="N1091" i="1"/>
  <c r="N1098" i="1" s="1"/>
  <c r="H299" i="1" s="1"/>
  <c r="A449" i="1" l="1"/>
  <c r="H756" i="1"/>
  <c r="H815" i="1"/>
  <c r="H638" i="1"/>
  <c r="H874" i="1"/>
  <c r="H697" i="1"/>
  <c r="H753" i="1"/>
  <c r="H812" i="1"/>
  <c r="H635" i="1"/>
  <c r="H871" i="1"/>
  <c r="H694" i="1"/>
  <c r="H750" i="1"/>
  <c r="H809" i="1"/>
  <c r="H632" i="1"/>
  <c r="H868" i="1"/>
  <c r="H691" i="1"/>
  <c r="H733" i="1"/>
  <c r="H792" i="1"/>
  <c r="H615" i="1"/>
  <c r="H851" i="1"/>
  <c r="H674" i="1"/>
  <c r="H730" i="1"/>
  <c r="H789" i="1"/>
  <c r="H612" i="1"/>
  <c r="H848" i="1"/>
  <c r="H671" i="1"/>
  <c r="H727" i="1"/>
  <c r="H786" i="1"/>
  <c r="H609" i="1"/>
  <c r="H845" i="1"/>
  <c r="H668" i="1"/>
  <c r="H822" i="1" l="1"/>
  <c r="H926" i="1"/>
  <c r="H862" i="1"/>
  <c r="H645" i="1"/>
  <c r="H923" i="1"/>
  <c r="H902" i="1"/>
  <c r="H626" i="1"/>
  <c r="H803" i="1"/>
  <c r="H828" i="1" s="1"/>
  <c r="G383" i="1" s="1"/>
  <c r="H905" i="1"/>
  <c r="H704" i="1"/>
  <c r="H763" i="1"/>
  <c r="H929" i="1"/>
  <c r="N1464" i="1" s="1"/>
  <c r="N1793" i="1" s="1"/>
  <c r="H685" i="1"/>
  <c r="H744" i="1"/>
  <c r="H908" i="1"/>
  <c r="H881" i="1"/>
  <c r="H769" i="1" l="1"/>
  <c r="G381" i="1" s="1"/>
  <c r="H887" i="1"/>
  <c r="G385" i="1" s="1"/>
  <c r="H710" i="1"/>
  <c r="G379" i="1" s="1"/>
  <c r="H935" i="1"/>
  <c r="H917" i="1"/>
  <c r="H651" i="1"/>
  <c r="H941" i="1" l="1"/>
  <c r="H249" i="1" s="1"/>
  <c r="H252" i="1" s="1"/>
  <c r="G377" i="1"/>
  <c r="G375" i="1" s="1"/>
  <c r="N1674" i="1" l="1"/>
  <c r="N1991" i="1" l="1"/>
  <c r="N2034" i="1" s="1"/>
  <c r="N2298" i="1" s="1"/>
  <c r="H1044" i="1" l="1"/>
  <c r="H1051" i="1" l="1"/>
  <c r="H279" i="1" s="1"/>
  <c r="G397" i="1"/>
  <c r="N1362" i="1" l="1"/>
  <c r="N1378" i="1" l="1"/>
  <c r="H584" i="1" l="1"/>
  <c r="H591" i="1" s="1"/>
  <c r="H1207" i="1"/>
  <c r="H1213" i="1" s="1"/>
  <c r="H200" i="1" l="1"/>
  <c r="G369" i="1"/>
  <c r="H1137" i="1"/>
  <c r="M2153" i="1" l="1"/>
  <c r="M2141" i="1" l="1"/>
  <c r="N1680" i="1"/>
  <c r="N1704" i="1" s="1"/>
  <c r="N1998" i="1" s="1"/>
  <c r="N2037" i="1" s="1"/>
  <c r="N1738" i="1"/>
  <c r="N1957" i="1" s="1"/>
  <c r="N1963" i="1" s="1"/>
  <c r="A2150" i="1" l="1"/>
  <c r="N1751" i="1" l="1"/>
  <c r="N1954" i="1" s="1"/>
  <c r="N1960" i="1" s="1"/>
  <c r="N1710" i="1"/>
  <c r="N1686" i="1"/>
  <c r="N1716" i="1" s="1"/>
  <c r="N1747" i="1" s="1"/>
  <c r="N1754" i="1" l="1"/>
  <c r="N1802" i="1" s="1"/>
  <c r="N1969" i="1"/>
  <c r="N1975" i="1" s="1"/>
  <c r="N2246" i="1" s="1"/>
  <c r="H51" i="1" l="1"/>
  <c r="N2" i="1" s="1"/>
  <c r="F255" i="1" l="1"/>
  <c r="F959" i="1"/>
  <c r="F1087" i="1"/>
  <c r="A651" i="1"/>
  <c r="A887" i="1"/>
  <c r="A881" i="1"/>
  <c r="A769" i="1"/>
  <c r="A862" i="1"/>
  <c r="A151" i="1"/>
  <c r="A685" i="1"/>
  <c r="F1037" i="1"/>
  <c r="A645" i="1"/>
  <c r="F1187" i="1"/>
  <c r="A763" i="1"/>
  <c r="A828" i="1"/>
  <c r="A710" i="1"/>
  <c r="A1239" i="1"/>
  <c r="A744" i="1"/>
  <c r="F296" i="1"/>
  <c r="N1245" i="1"/>
  <c r="A941" i="1"/>
  <c r="A822" i="1"/>
  <c r="A1140" i="1"/>
  <c r="A803" i="1"/>
  <c r="F994" i="1"/>
  <c r="F242" i="1"/>
  <c r="A935" i="1"/>
  <c r="A292" i="1"/>
  <c r="A626" i="1"/>
  <c r="A704" i="1"/>
  <c r="A237" i="1"/>
  <c r="A917" i="1"/>
  <c r="N2308" i="1" l="1"/>
  <c r="N1422" i="1" l="1"/>
  <c r="A2138" i="1"/>
  <c r="H46" i="1"/>
  <c r="J2" i="1" s="1"/>
  <c r="N2019" i="1" l="1"/>
  <c r="N2069" i="1" s="1"/>
  <c r="N1491" i="1"/>
  <c r="H182" i="1"/>
  <c r="A786" i="1"/>
  <c r="A609" i="1"/>
  <c r="A1237" i="1"/>
  <c r="A632" i="1"/>
  <c r="A750" i="1"/>
  <c r="F156" i="1"/>
  <c r="N1242" i="1"/>
  <c r="A727" i="1"/>
  <c r="A902" i="1"/>
  <c r="A923" i="1"/>
  <c r="A1131" i="1"/>
  <c r="A845" i="1"/>
  <c r="A868" i="1"/>
  <c r="A691" i="1"/>
  <c r="A668" i="1"/>
  <c r="A809" i="1"/>
  <c r="N1819" i="1" l="1"/>
  <c r="N1888" i="1" s="1"/>
  <c r="N1494" i="1"/>
  <c r="F217" i="1"/>
  <c r="F527" i="1"/>
  <c r="F581" i="1"/>
  <c r="F495" i="1"/>
  <c r="F470" i="1"/>
  <c r="H1004" i="1" l="1"/>
  <c r="H501" i="1" l="1"/>
  <c r="N1707" i="1" l="1"/>
  <c r="N1713" i="1" s="1"/>
  <c r="N1735" i="1" l="1"/>
  <c r="N1722" i="1"/>
  <c r="N1972" i="1" l="1"/>
  <c r="N1741" i="1"/>
  <c r="N1822" i="1" l="1"/>
  <c r="N1825" i="1" s="1"/>
  <c r="N1760" i="1"/>
  <c r="N1978" i="1"/>
  <c r="N2031" i="1" s="1"/>
  <c r="N2216" i="1"/>
  <c r="N2223" i="1" s="1"/>
  <c r="N1353" i="1" l="1"/>
  <c r="N1384" i="1"/>
  <c r="N1346" i="1"/>
  <c r="H473" i="1"/>
  <c r="N1449" i="1"/>
  <c r="N1365" i="1" l="1"/>
  <c r="N1372" i="1"/>
  <c r="N1280" i="1"/>
  <c r="H498" i="1"/>
  <c r="H508" i="1" s="1"/>
  <c r="N1387" i="1"/>
  <c r="N1343" i="1"/>
  <c r="N1318" i="1"/>
  <c r="N1781" i="1"/>
  <c r="N1805" i="1" s="1"/>
  <c r="N1475" i="1"/>
  <c r="H169" i="1"/>
  <c r="N1333" i="1"/>
  <c r="N1340" i="1"/>
  <c r="N1381" i="1"/>
  <c r="N1311" i="1"/>
  <c r="H480" i="1"/>
  <c r="G360" i="1" s="1"/>
  <c r="N1314" i="1" l="1"/>
  <c r="G363" i="1"/>
  <c r="H175" i="1" l="1"/>
  <c r="N1356" i="1"/>
  <c r="N1397" i="1" s="1"/>
  <c r="N1265" i="1" l="1"/>
  <c r="H159" i="1"/>
  <c r="N2053" i="1"/>
  <c r="N1414" i="1"/>
  <c r="H172" i="1"/>
  <c r="N1277" i="1" l="1"/>
  <c r="N1283" i="1" l="1"/>
  <c r="N1286" i="1" s="1"/>
  <c r="H258" i="1"/>
  <c r="H162" i="1" l="1"/>
  <c r="H165" i="1" s="1"/>
  <c r="H178" i="1" s="1"/>
  <c r="H188" i="1" s="1"/>
  <c r="N1293" i="1"/>
  <c r="N1408" i="1" s="1"/>
  <c r="N1430" i="1" s="1"/>
  <c r="N1441" i="1" s="1"/>
  <c r="N1773" i="1" l="1"/>
  <c r="N1500" i="1"/>
  <c r="N1248" i="1"/>
  <c r="N1251" i="1" s="1"/>
  <c r="H542" i="1"/>
  <c r="H545" i="1" s="1"/>
  <c r="N1834" i="1" l="1"/>
  <c r="N1831" i="1"/>
  <c r="N1879" i="1" l="1"/>
  <c r="N2010" i="1"/>
  <c r="N1848" i="1"/>
  <c r="N1894" i="1"/>
  <c r="N1934" i="1" s="1"/>
  <c r="N2025" i="1" s="1"/>
  <c r="N2100" i="1" s="1"/>
  <c r="N1921" i="1"/>
  <c r="N2060" i="1" l="1"/>
  <c r="N1851" i="1"/>
  <c r="N1854" i="1" s="1"/>
  <c r="N1882" i="1" l="1"/>
  <c r="N1870" i="1"/>
  <c r="N1937" i="1" s="1"/>
  <c r="N1931" i="1" l="1"/>
  <c r="N2013" i="1" s="1"/>
  <c r="N1885" i="1"/>
  <c r="N1891" i="1" s="1"/>
  <c r="N1899" i="1" s="1"/>
  <c r="H1007" i="1"/>
  <c r="N2063" i="1" l="1"/>
  <c r="N2066" i="1" s="1"/>
  <c r="N2085" i="1" s="1"/>
  <c r="N2016" i="1"/>
  <c r="N2022" i="1" s="1"/>
  <c r="N2028" i="1" s="1"/>
  <c r="N2119" i="1" s="1"/>
  <c r="H1017" i="1"/>
  <c r="H270" i="1" s="1"/>
  <c r="H1190" i="1" s="1"/>
  <c r="G394" i="1"/>
  <c r="D5" i="1"/>
  <c r="D4" i="1"/>
  <c r="N2156" i="1" l="1"/>
  <c r="N2159" i="1" s="1"/>
  <c r="N2144" i="1"/>
  <c r="N2147" i="1" s="1"/>
  <c r="N2165" i="1" l="1"/>
  <c r="N2315" i="1" l="1"/>
  <c r="N2312" i="1"/>
  <c r="N2326" i="1" l="1"/>
  <c r="L2337" i="1" s="1"/>
  <c r="H530" i="1"/>
  <c r="H538" i="1" s="1"/>
  <c r="H562" i="1" l="1"/>
  <c r="H566" i="1" s="1"/>
  <c r="G366" i="1" s="1"/>
  <c r="H191" i="1"/>
  <c r="H194" i="1" s="1"/>
  <c r="H220" i="1" l="1"/>
  <c r="H227" i="1" s="1"/>
  <c r="H1134" i="1"/>
  <c r="H1140" i="1" s="1"/>
  <c r="H306" i="1" s="1"/>
  <c r="H309" i="1" s="1"/>
  <c r="H1193" i="1" s="1"/>
  <c r="H1217" i="1" s="1"/>
  <c r="H1220" i="1" s="1"/>
  <c r="H204" i="1"/>
  <c r="H1223" i="1" l="1"/>
  <c r="H264" i="1" s="1"/>
  <c r="H267" i="1" s="1"/>
  <c r="H273" i="1" s="1"/>
  <c r="H276" i="1" s="1"/>
  <c r="H286" i="1" s="1"/>
  <c r="D6" i="1" s="1"/>
  <c r="D7" i="1"/>
</calcChain>
</file>

<file path=xl/sharedStrings.xml><?xml version="1.0" encoding="utf-8"?>
<sst xmlns="http://schemas.openxmlformats.org/spreadsheetml/2006/main" count="1940" uniqueCount="997">
  <si>
    <t>-</t>
  </si>
  <si>
    <t>About the company</t>
  </si>
  <si>
    <t>Companies House data</t>
  </si>
  <si>
    <t>AC1</t>
  </si>
  <si>
    <t>Company Name:</t>
  </si>
  <si>
    <t>Company Registration Number:</t>
  </si>
  <si>
    <t>Registered Office address:</t>
  </si>
  <si>
    <t>City of Town:</t>
  </si>
  <si>
    <t>County:</t>
  </si>
  <si>
    <t>Postcode:</t>
  </si>
  <si>
    <t>Country:</t>
  </si>
  <si>
    <t>GBR</t>
  </si>
  <si>
    <r>
      <rPr>
        <b/>
        <sz val="9"/>
        <color indexed="10"/>
        <rFont val="Calibri"/>
        <family val="2"/>
      </rPr>
      <t>*</t>
    </r>
    <r>
      <rPr>
        <b/>
        <sz val="9"/>
        <color indexed="8"/>
        <rFont val="Calibri"/>
        <family val="2"/>
      </rPr>
      <t>Indicates required information</t>
    </r>
  </si>
  <si>
    <t>Please see below for details of your company held by Companies House.</t>
  </si>
  <si>
    <t>Period of accounts dates for the period that is being reported</t>
  </si>
  <si>
    <r>
      <t>Start date:</t>
    </r>
    <r>
      <rPr>
        <b/>
        <sz val="10"/>
        <color indexed="10"/>
        <rFont val="Calibri"/>
        <family val="2"/>
      </rPr>
      <t>*</t>
    </r>
  </si>
  <si>
    <r>
      <t>End date:</t>
    </r>
    <r>
      <rPr>
        <sz val="10"/>
        <color indexed="10"/>
        <rFont val="Calibri"/>
        <family val="2"/>
      </rPr>
      <t>*</t>
    </r>
  </si>
  <si>
    <t>AC3</t>
  </si>
  <si>
    <t>AC4</t>
  </si>
  <si>
    <t>If you have drawn up your accounts to a different end date you may change the date by seven days, either earlier or later. If you need to change by more than seven days, then this service is  not suitable for you.</t>
  </si>
  <si>
    <t>Accounting Period:</t>
  </si>
  <si>
    <t>Revised end date of accounts:</t>
  </si>
  <si>
    <t>AC4A</t>
  </si>
  <si>
    <t>Period of accounts for the previous period</t>
  </si>
  <si>
    <t>Start date:</t>
  </si>
  <si>
    <t>End date:</t>
  </si>
  <si>
    <t>AC205</t>
  </si>
  <si>
    <t>AC206</t>
  </si>
  <si>
    <t>The dates given are the oldest set of accounts that Companies House records indicate are due, under the
Companies Act 2006. You will not be able to submit accounts to Companies House for any other dates using this
template. You will have to submit earlier accounts to Companies House by other means. You may still use this
service to create the Statutory Accounts as part of the Company Tax Return.</t>
  </si>
  <si>
    <t>Yes</t>
  </si>
  <si>
    <t>No</t>
  </si>
  <si>
    <t>*</t>
  </si>
  <si>
    <t>x</t>
  </si>
  <si>
    <t>Officers of the company</t>
  </si>
  <si>
    <t>You are required to confirm the names of the directors of the company.</t>
  </si>
  <si>
    <t>Please provide the name of the directors who served throughout the whole period.</t>
  </si>
  <si>
    <r>
      <t>Director:</t>
    </r>
    <r>
      <rPr>
        <sz val="10"/>
        <color indexed="10"/>
        <rFont val="Calibri"/>
        <family val="2"/>
      </rPr>
      <t>*</t>
    </r>
  </si>
  <si>
    <r>
      <t>Date resigned:</t>
    </r>
    <r>
      <rPr>
        <sz val="10"/>
        <color indexed="10"/>
        <rFont val="Calibri"/>
        <family val="2"/>
      </rPr>
      <t>*</t>
    </r>
  </si>
  <si>
    <t>Director:</t>
  </si>
  <si>
    <r>
      <t>Have any directors been appointed during the period?</t>
    </r>
    <r>
      <rPr>
        <b/>
        <sz val="10"/>
        <color indexed="10"/>
        <rFont val="Calibri"/>
        <family val="2"/>
      </rPr>
      <t>*</t>
    </r>
  </si>
  <si>
    <r>
      <t>Have any directors resigned during the period?</t>
    </r>
    <r>
      <rPr>
        <b/>
        <sz val="10"/>
        <color indexed="10"/>
        <rFont val="Calibri"/>
        <family val="2"/>
      </rPr>
      <t>*</t>
    </r>
  </si>
  <si>
    <t>If "Yes" complete the appointed directors section.</t>
  </si>
  <si>
    <t>If "Yes" complete the date resigned directors section.</t>
  </si>
  <si>
    <t>Company secretary:</t>
  </si>
  <si>
    <t>AC6A</t>
  </si>
  <si>
    <t>AC6B</t>
  </si>
  <si>
    <t>AC6C</t>
  </si>
  <si>
    <t>AC6D</t>
  </si>
  <si>
    <t>AC6E</t>
  </si>
  <si>
    <t>AC7A</t>
  </si>
  <si>
    <t>AC8A</t>
  </si>
  <si>
    <t>AC9A</t>
  </si>
  <si>
    <t>AC7B</t>
  </si>
  <si>
    <t>AC8B</t>
  </si>
  <si>
    <t>AC10A</t>
  </si>
  <si>
    <t>AC9B</t>
  </si>
  <si>
    <t>AC11</t>
  </si>
  <si>
    <t>AC10B</t>
  </si>
  <si>
    <t>Profit and Loss</t>
  </si>
  <si>
    <t>Please enter data that is relevant to the company circumstances.</t>
  </si>
  <si>
    <r>
      <t>Please note:</t>
    </r>
    <r>
      <rPr>
        <sz val="9"/>
        <color indexed="8"/>
        <rFont val="Calibri"/>
        <family val="2"/>
      </rPr>
      <t xml:space="preserve"> You may enter figures as positive values, the formula in the calculated fields will complete the calculation for you. If Corporation Tax is a repayment, you should enter this figure as a negative value, by prefixing the number with a minus sign. Please enter data in whole pounds throughout this service.</t>
    </r>
  </si>
  <si>
    <t>£</t>
  </si>
  <si>
    <t>Turnover:</t>
  </si>
  <si>
    <t>Cost of sales:</t>
  </si>
  <si>
    <t>Gross profit or (loss):</t>
  </si>
  <si>
    <t>AC12</t>
  </si>
  <si>
    <t>AC14</t>
  </si>
  <si>
    <t>AC16</t>
  </si>
  <si>
    <t>Distribution costs:</t>
  </si>
  <si>
    <t>Administrative expenses:</t>
  </si>
  <si>
    <t>Other operating income:</t>
  </si>
  <si>
    <t>Operating profit or (loss):</t>
  </si>
  <si>
    <t>AC18</t>
  </si>
  <si>
    <t>AC20</t>
  </si>
  <si>
    <t>AC22</t>
  </si>
  <si>
    <t>AC26</t>
  </si>
  <si>
    <t>Interest payable and similar charges:</t>
  </si>
  <si>
    <t>Tax on profit or loss on ordinary activities:</t>
  </si>
  <si>
    <t>Profit or (loss) on ordinary activities
before taxation:</t>
  </si>
  <si>
    <t>Profit or (loss) for the financial year:</t>
  </si>
  <si>
    <t>The items below do not appear on the face of the profit and loss account.</t>
  </si>
  <si>
    <t>Interest receivable and similar income:</t>
  </si>
  <si>
    <t>Dividends for the period:</t>
  </si>
  <si>
    <t>Net balance for the financial period
transferred to reserves:</t>
  </si>
  <si>
    <r>
      <rPr>
        <b/>
        <sz val="11"/>
        <color indexed="8"/>
        <rFont val="Calibri"/>
        <family val="2"/>
      </rPr>
      <t>Please note:</t>
    </r>
    <r>
      <rPr>
        <sz val="11"/>
        <color theme="1"/>
        <rFont val="Calibri"/>
        <family val="2"/>
        <scheme val="minor"/>
      </rPr>
      <t xml:space="preserve"> It is your responsibility to ensure that all figures are correct. If you are in any doubt about how to complete any part of this Accounts service you are advised to contact an agent for assistance.</t>
    </r>
  </si>
  <si>
    <t>You may follow the link to access sample accounts. Please note you will need to be connected to the
internet.</t>
  </si>
  <si>
    <t>Gains and Losses</t>
  </si>
  <si>
    <t>Does the company need to report any gains and losses, other than
profit or loss for the year?</t>
  </si>
  <si>
    <t>Balance Sheet</t>
  </si>
  <si>
    <r>
      <t>Please note:</t>
    </r>
    <r>
      <rPr>
        <sz val="9"/>
        <color indexed="8"/>
        <rFont val="Calibri"/>
        <family val="2"/>
      </rPr>
      <t xml:space="preserve"> You may enter figures as positive values, the formula in the calculated fields will complete the calculation for you. Please enter data in whole pounds.</t>
    </r>
  </si>
  <si>
    <t>Fixed assets</t>
  </si>
  <si>
    <t>Intangible assets:</t>
  </si>
  <si>
    <t>Tangible assets:</t>
  </si>
  <si>
    <t>Total fixed assets:</t>
  </si>
  <si>
    <t>AC28</t>
  </si>
  <si>
    <t>AC30</t>
  </si>
  <si>
    <t>AC32</t>
  </si>
  <si>
    <t>AC34</t>
  </si>
  <si>
    <t>AC36</t>
  </si>
  <si>
    <t>AC38</t>
  </si>
  <si>
    <t>AC40</t>
  </si>
  <si>
    <t>AC42</t>
  </si>
  <si>
    <t>AC44</t>
  </si>
  <si>
    <t>AC48</t>
  </si>
  <si>
    <t>Current assets</t>
  </si>
  <si>
    <t>Stocks:</t>
  </si>
  <si>
    <t>Debtors:</t>
  </si>
  <si>
    <t>Total current assets:</t>
  </si>
  <si>
    <t>Creditors: amounts falling due within one year</t>
  </si>
  <si>
    <t>Net current assets (liabilities):</t>
  </si>
  <si>
    <t>Total assets less current liabilities:</t>
  </si>
  <si>
    <t>Provision for liabilities:</t>
  </si>
  <si>
    <t>Total net assets (liabilities):</t>
  </si>
  <si>
    <t>AC50</t>
  </si>
  <si>
    <t>AC52</t>
  </si>
  <si>
    <t>AC54</t>
  </si>
  <si>
    <t>AC56</t>
  </si>
  <si>
    <t>AC58</t>
  </si>
  <si>
    <t>AC60</t>
  </si>
  <si>
    <t>AC62</t>
  </si>
  <si>
    <t>AC64</t>
  </si>
  <si>
    <t>AC66</t>
  </si>
  <si>
    <t>AC68</t>
  </si>
  <si>
    <t>Creditors: amounts falling due after more than one year:</t>
  </si>
  <si>
    <t>Balance Sheet continued</t>
  </si>
  <si>
    <r>
      <t>Please note</t>
    </r>
    <r>
      <rPr>
        <sz val="9"/>
        <color indexed="8"/>
        <rFont val="Calibri"/>
        <family val="2"/>
      </rPr>
      <t>: You may enter most figures as positive values, the formula in the calculated fields will complete the calculation for you, Please enter a loss as a negative value by prefixing the number with a minus sign. Please enter data in whole pounds.</t>
    </r>
  </si>
  <si>
    <t>Capital and reserves</t>
  </si>
  <si>
    <t>Called up share capital</t>
  </si>
  <si>
    <t>Revaluation reserve:</t>
  </si>
  <si>
    <t>Profit and loss account:</t>
  </si>
  <si>
    <t>Total shareholders funds:</t>
  </si>
  <si>
    <t>Called up share capital:</t>
  </si>
  <si>
    <t>AC70</t>
  </si>
  <si>
    <t>AC76</t>
  </si>
  <si>
    <t>AC80</t>
  </si>
  <si>
    <t>If you are in any doubt about how to complete any part of this Accounts service you are advised to contact an
agent for assistance</t>
  </si>
  <si>
    <r>
      <rPr>
        <b/>
        <sz val="11"/>
        <color indexed="8"/>
        <rFont val="Calibri"/>
        <family val="2"/>
      </rPr>
      <t>Please note:</t>
    </r>
    <r>
      <rPr>
        <sz val="11"/>
        <color theme="1"/>
        <rFont val="Calibri"/>
        <family val="2"/>
        <scheme val="minor"/>
      </rPr>
      <t xml:space="preserve"> It is your responsibility to ensure that all figures are correct.</t>
    </r>
  </si>
  <si>
    <t>Please confirm the statements below.</t>
  </si>
  <si>
    <t>X</t>
  </si>
  <si>
    <t>For the year ending 31 Mar 2010 the company was entitled to exemption under section 477 of the Companies Act 2006 relating to small companies.</t>
  </si>
  <si>
    <t>The members have not required the company to obtain an audit in accordance with section 476 of the Companies Act 2006.</t>
  </si>
  <si>
    <t>The directors acknowledge their responsibilities for complying with the requirements of the Act with respect to accounting records and the preparation of accounts.</t>
  </si>
  <si>
    <r>
      <rPr>
        <b/>
        <sz val="11"/>
        <color indexed="8"/>
        <rFont val="Calibri"/>
        <family val="2"/>
      </rPr>
      <t>Please note:</t>
    </r>
    <r>
      <rPr>
        <sz val="11"/>
        <color theme="1"/>
        <rFont val="Calibri"/>
        <family val="2"/>
        <scheme val="minor"/>
      </rPr>
      <t xml:space="preserve"> If you have adopted the Financial Reporting Standard for Small Entities (FRSSE), please select the checkbox below.
</t>
    </r>
  </si>
  <si>
    <r>
      <rPr>
        <b/>
        <sz val="11"/>
        <color indexed="8"/>
        <rFont val="Calibri"/>
        <family val="2"/>
      </rPr>
      <t>Please note:</t>
    </r>
    <r>
      <rPr>
        <sz val="11"/>
        <color theme="1"/>
        <rFont val="Calibri"/>
        <family val="2"/>
        <scheme val="minor"/>
      </rPr>
      <t xml:space="preserve"> If you have not adopted the FRSSE, please select the checkbox below.</t>
    </r>
  </si>
  <si>
    <t>These accounts have been prepared in accordance with the provisions applicable to companies subject to the small companies regime.</t>
  </si>
  <si>
    <t>Statutory Accounts Notes</t>
  </si>
  <si>
    <t>This section allows you to enter any notes that are necessary to explain the entries in the Statutory Accounts.
Please select the appropriate checkboxes for the Statutory Accounts Notes that are relevant to the company’s
circumstances. If you want to change your selection, please de-select the checkbox for the note that you want
to remove. You are required to provide notes on certain items, these are checked for you.</t>
  </si>
  <si>
    <t>Notes section</t>
  </si>
  <si>
    <t>Select section(s)</t>
  </si>
  <si>
    <t>Accounting policies</t>
  </si>
  <si>
    <t>Turnover</t>
  </si>
  <si>
    <t>Operating profit or (loss)</t>
  </si>
  <si>
    <t>Employees</t>
  </si>
  <si>
    <t>Taxation</t>
  </si>
  <si>
    <t>Dividends</t>
  </si>
  <si>
    <t>Tangible assets</t>
  </si>
  <si>
    <t>Stocks</t>
  </si>
  <si>
    <t>Debtors</t>
  </si>
  <si>
    <t>Creditors: amounts falling due after more than one year</t>
  </si>
  <si>
    <t>Borrowings</t>
  </si>
  <si>
    <t>Operating lease commitments</t>
  </si>
  <si>
    <t>Provisions for liabilities</t>
  </si>
  <si>
    <t>Revaluation reserve</t>
  </si>
  <si>
    <t>Profit and loss account</t>
  </si>
  <si>
    <t>Related party disclosures</t>
  </si>
  <si>
    <t>Transactions with directors</t>
  </si>
  <si>
    <t>Capital commitments</t>
  </si>
  <si>
    <t>Contingent liabilities</t>
  </si>
  <si>
    <t>Post balance sheet events</t>
  </si>
  <si>
    <t>Fixtures and fittings</t>
  </si>
  <si>
    <t>Land and buildings</t>
  </si>
  <si>
    <t>Motor vehicles</t>
  </si>
  <si>
    <t>Office equipment (inc computer equipment)</t>
  </si>
  <si>
    <t>Plant and machinery</t>
  </si>
  <si>
    <t>Complete if dividends were agreed</t>
  </si>
  <si>
    <t>Complete if employees have wages &gt; 0</t>
  </si>
  <si>
    <t>Complete if directors have wages &gt; 0</t>
  </si>
  <si>
    <t>Always complete</t>
  </si>
  <si>
    <t>Please enter the accounting policies that are relevant to these Statutory Accounts.</t>
  </si>
  <si>
    <t>Basis of measurement and preparation of accounts</t>
  </si>
  <si>
    <t>The financial statements have been prepared under the historical cost convention and in accordance with the Financial Reporting Standard for Smaller Entities (Effective April 2008)</t>
  </si>
  <si>
    <t>AC320</t>
  </si>
  <si>
    <t>AC321</t>
  </si>
  <si>
    <t>AC323</t>
  </si>
  <si>
    <t>AC324</t>
  </si>
  <si>
    <t>AC322</t>
  </si>
  <si>
    <t>Turnover policy</t>
  </si>
  <si>
    <t>The turnover shown in the profit and loss account represents revenue earned during the period, exclusive of VAT</t>
  </si>
  <si>
    <t>Tangible fixed assets depreciation policy</t>
  </si>
  <si>
    <t>Intangible fixed assets amortisation policy</t>
  </si>
  <si>
    <t>Valuation information and policy</t>
  </si>
  <si>
    <t>Other accounting policies</t>
  </si>
  <si>
    <t>Intangible fixed assets (including purchased goodwill and patents) are amortised at rates calculated to write off the assets on a straight basis over their estimated useful economic lives, not to exceed twenty years. Impairment of intangible assets is only reviewed where circumstances indicate that the carrying value of an asset may not be fully recoverable.</t>
  </si>
  <si>
    <t>Stocks and work -in-progress are valued at the lower of cost and net realisable value, after making due allowance for obsolete and slow moving items. Cost includes all direct expenditure and an appropriate proportion of fixed and variable overheads.</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</si>
  <si>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the profit and loss account over the relevant period. The capital element of the future payments is treated as a liability. Rentals paid under operating leases are charged to the profit and loss account on a straight line basis over the period of the lease. Research and Development Expenditure on research and development is written off in the year in which it is incurred.</t>
  </si>
  <si>
    <t>Intangible assets</t>
  </si>
  <si>
    <t>Not generated by DIY Accounting</t>
  </si>
  <si>
    <t>Checked if there is a Corporation Tax liability</t>
  </si>
  <si>
    <t>Complete if there is any value in land and buildings</t>
  </si>
  <si>
    <t>Complete if there is any value in motor vehicles</t>
  </si>
  <si>
    <t>Complete if there is any value is in fixtures and fittings</t>
  </si>
  <si>
    <t>Complete if there is any value if office equipment</t>
  </si>
  <si>
    <t>Complete if there is any value in plant and machinery</t>
  </si>
  <si>
    <t>Complete if there is a trade debtors balance</t>
  </si>
  <si>
    <t>Complete if there is a trade creditors balance</t>
  </si>
  <si>
    <t>Complete if there is a long term creditors balance</t>
  </si>
  <si>
    <t>Complete if there is share capital during the period</t>
  </si>
  <si>
    <t>Please enter the note on directors' remuneration.</t>
  </si>
  <si>
    <t>Item</t>
  </si>
  <si>
    <t>Please enter any additional information in the field below.</t>
  </si>
  <si>
    <t>Directors' remuneration:</t>
  </si>
  <si>
    <t>Value of contributions to directors' pensions:</t>
  </si>
  <si>
    <t>Total:</t>
  </si>
  <si>
    <t>AC92</t>
  </si>
  <si>
    <t>AC94</t>
  </si>
  <si>
    <t>AC96</t>
  </si>
  <si>
    <t>Enter any directors who have been appointed</t>
  </si>
  <si>
    <t>Enter the date the director was appointed</t>
  </si>
  <si>
    <t>Enter any directors who have resigned</t>
  </si>
  <si>
    <t>Enter the date the director was resigned</t>
  </si>
  <si>
    <t>Enter the date the director resigned</t>
  </si>
  <si>
    <t>Enter the name of the company secretary</t>
  </si>
  <si>
    <t>Please enter the note on employees.</t>
  </si>
  <si>
    <t>Wages and salaries:</t>
  </si>
  <si>
    <t>Social security costs:</t>
  </si>
  <si>
    <t>Pension costs:</t>
  </si>
  <si>
    <t>Total staff costs:</t>
  </si>
  <si>
    <t>Average number of employees including directors during the period:</t>
  </si>
  <si>
    <t>Please enter the note on taxation.</t>
  </si>
  <si>
    <t>UK Corporation Tax:</t>
  </si>
  <si>
    <t>Deferred Tax:</t>
  </si>
  <si>
    <t>AC112</t>
  </si>
  <si>
    <t>AC110</t>
  </si>
  <si>
    <t>AC108</t>
  </si>
  <si>
    <t>AC98</t>
  </si>
  <si>
    <t>AC100</t>
  </si>
  <si>
    <t>AC102</t>
  </si>
  <si>
    <t>AC104</t>
  </si>
  <si>
    <t>AC106</t>
  </si>
  <si>
    <t>Tax on profit or (loss) on ordinary activities:</t>
  </si>
  <si>
    <t>Profit or (loss) on ordinary activities before taxation:</t>
  </si>
  <si>
    <t>AC325</t>
  </si>
  <si>
    <t>AC327</t>
  </si>
  <si>
    <t>Profit or (loss) on ordinary activities before taxation multiplied by the standard rate of Corporation Tax:</t>
  </si>
  <si>
    <t>Please enter any factors affecting the tax charge in the fields below.</t>
  </si>
  <si>
    <t>AC227</t>
  </si>
  <si>
    <t>AC229</t>
  </si>
  <si>
    <t>AC231</t>
  </si>
  <si>
    <t>AC233</t>
  </si>
  <si>
    <t>Accelerated capital allowances:</t>
  </si>
  <si>
    <t>Adjustment in respect of prior periods:</t>
  </si>
  <si>
    <t>Current tax charge or (credit):</t>
  </si>
  <si>
    <t>This value is not captured in DIY Accounting</t>
  </si>
  <si>
    <t>Please enter any additional information, such as the standard rate of tax for the current period and the previous period in the field below.</t>
  </si>
  <si>
    <t>Please enter the note on dividends.</t>
  </si>
  <si>
    <t>Dividends paid on ordinary shares:</t>
  </si>
  <si>
    <t>Dividends paid on preference shares:</t>
  </si>
  <si>
    <t>Total dividends paid:</t>
  </si>
  <si>
    <t>Tangible assets: Fixtures and fittings</t>
  </si>
  <si>
    <t>Cost</t>
  </si>
  <si>
    <t>AC124A</t>
  </si>
  <si>
    <t>AC125A</t>
  </si>
  <si>
    <t>Disposals:</t>
  </si>
  <si>
    <t>Additions:</t>
  </si>
  <si>
    <t>Revaluations:</t>
  </si>
  <si>
    <t>Transfers:</t>
  </si>
  <si>
    <t>AC126A</t>
  </si>
  <si>
    <t>AC212A</t>
  </si>
  <si>
    <t>AC213A</t>
  </si>
  <si>
    <t>AC127A</t>
  </si>
  <si>
    <t>Depreciation</t>
  </si>
  <si>
    <t>AC128A</t>
  </si>
  <si>
    <t>AC129A</t>
  </si>
  <si>
    <t>AC130A</t>
  </si>
  <si>
    <t>AC214A</t>
  </si>
  <si>
    <t>AC131A</t>
  </si>
  <si>
    <t>Charge for year:</t>
  </si>
  <si>
    <t>On disposals:</t>
  </si>
  <si>
    <t>Other adjustments</t>
  </si>
  <si>
    <t>Net book value</t>
  </si>
  <si>
    <t>AC132A</t>
  </si>
  <si>
    <t>Tangible assets: Land and buildings</t>
  </si>
  <si>
    <t>Please enter the note on tangible assets, category Land and buildings.</t>
  </si>
  <si>
    <t>Please enter the note on tangible assets, category Fixtures and fittings.</t>
  </si>
  <si>
    <t>AC124B</t>
  </si>
  <si>
    <t>AC125B</t>
  </si>
  <si>
    <t>AC126B</t>
  </si>
  <si>
    <t>AC212B</t>
  </si>
  <si>
    <t>AC213B</t>
  </si>
  <si>
    <t>AC127B</t>
  </si>
  <si>
    <t>AC128B</t>
  </si>
  <si>
    <t>AC129B</t>
  </si>
  <si>
    <t>AC130B</t>
  </si>
  <si>
    <t>AC214B</t>
  </si>
  <si>
    <t>AC131B</t>
  </si>
  <si>
    <t>AC132B</t>
  </si>
  <si>
    <t>Tangible assets: Motor vehicles</t>
  </si>
  <si>
    <t>Please enter the note on tangible assets, category Motor vehicles.</t>
  </si>
  <si>
    <t>AC124C</t>
  </si>
  <si>
    <t>AC125C</t>
  </si>
  <si>
    <t>AC126C</t>
  </si>
  <si>
    <t>AC212C</t>
  </si>
  <si>
    <t>AC213C</t>
  </si>
  <si>
    <t>AC127C</t>
  </si>
  <si>
    <t>AC128C</t>
  </si>
  <si>
    <t>AC129C</t>
  </si>
  <si>
    <t>AC130C</t>
  </si>
  <si>
    <t>AC214C</t>
  </si>
  <si>
    <t>AC131C</t>
  </si>
  <si>
    <t>AC132C</t>
  </si>
  <si>
    <t>Tangible assets: Office equipment</t>
  </si>
  <si>
    <t>Please enter the note on tangible assets, category Office equipment.</t>
  </si>
  <si>
    <t>AC125D</t>
  </si>
  <si>
    <t>AC126D</t>
  </si>
  <si>
    <t>AC212D</t>
  </si>
  <si>
    <t>AC213D</t>
  </si>
  <si>
    <t>AC127D</t>
  </si>
  <si>
    <t>AC124D</t>
  </si>
  <si>
    <t>AC128D</t>
  </si>
  <si>
    <t>AC129D</t>
  </si>
  <si>
    <t>AC130D</t>
  </si>
  <si>
    <t>AC214D</t>
  </si>
  <si>
    <t>AC131D</t>
  </si>
  <si>
    <t>AC132D</t>
  </si>
  <si>
    <t>Please enter the note on tangible assets, category Plant and Machinery.</t>
  </si>
  <si>
    <t>Tangible assets: Plant and Machinery</t>
  </si>
  <si>
    <t>AC124E</t>
  </si>
  <si>
    <t>AC125E</t>
  </si>
  <si>
    <t>AC126E</t>
  </si>
  <si>
    <t>AC212E</t>
  </si>
  <si>
    <t>AC213E</t>
  </si>
  <si>
    <t>AC127E</t>
  </si>
  <si>
    <t>AC128E</t>
  </si>
  <si>
    <t>AC129E</t>
  </si>
  <si>
    <t>AC130E</t>
  </si>
  <si>
    <t>AC214E</t>
  </si>
  <si>
    <t>AC131E</t>
  </si>
  <si>
    <t>AC132E</t>
  </si>
  <si>
    <t>Tangible assets: Total</t>
  </si>
  <si>
    <t>Please enter the note on tangible assets. These figures must tally with the balance sheet. If you need to make changes to the figures, please do so above.</t>
  </si>
  <si>
    <t>Please enter the note on taxation debtors.</t>
  </si>
  <si>
    <t>AC134</t>
  </si>
  <si>
    <t>AC136</t>
  </si>
  <si>
    <t>AC138</t>
  </si>
  <si>
    <t>AC140</t>
  </si>
  <si>
    <t>Trade debtors:</t>
  </si>
  <si>
    <t>Other debtors:</t>
  </si>
  <si>
    <t>Prepayments and accrued income:</t>
  </si>
  <si>
    <t>Do you want to replace this note with an abbreviated version for the public record?</t>
  </si>
  <si>
    <t>Please enter the note on creditors: amounts falling due within one year.</t>
  </si>
  <si>
    <t>AC142</t>
  </si>
  <si>
    <t>AC144</t>
  </si>
  <si>
    <t>AC146</t>
  </si>
  <si>
    <t>You have indicated that you want to submit Abbreviated Accounts to Companies House. All the data above, including the table, will be included in the Abbreviated Accounts unless you choose to replace this note with a text note.</t>
  </si>
  <si>
    <t>Bank loans and overdrafts:</t>
  </si>
  <si>
    <t>Amounts due under finance leases and hire purchase contracts:</t>
  </si>
  <si>
    <t>Trade creditors:</t>
  </si>
  <si>
    <t>Taxation and social security:</t>
  </si>
  <si>
    <t>Accruals and deferred income:</t>
  </si>
  <si>
    <t>Other creditors:</t>
  </si>
  <si>
    <t>Please enter the note on creditors: amounts falling due after more than one year.</t>
  </si>
  <si>
    <t>Bank loans:</t>
  </si>
  <si>
    <t>AC148</t>
  </si>
  <si>
    <t>AC150</t>
  </si>
  <si>
    <t>AC152</t>
  </si>
  <si>
    <t>AC154</t>
  </si>
  <si>
    <t>AC156</t>
  </si>
  <si>
    <t>AC158</t>
  </si>
  <si>
    <t>AC160</t>
  </si>
  <si>
    <t>AC162</t>
  </si>
  <si>
    <t>Please enter the note on called up share capital.</t>
  </si>
  <si>
    <t>Current period</t>
  </si>
  <si>
    <t>Class</t>
  </si>
  <si>
    <t>Ordinary shares:</t>
  </si>
  <si>
    <t>Preference shares:</t>
  </si>
  <si>
    <t>Total share capital:</t>
  </si>
  <si>
    <t>AC280</t>
  </si>
  <si>
    <t>AC283</t>
  </si>
  <si>
    <t>AC281</t>
  </si>
  <si>
    <t>AC284</t>
  </si>
  <si>
    <t>Please enter the note on profit and loss account.</t>
  </si>
  <si>
    <t>Current year profit and loss account</t>
  </si>
  <si>
    <t>AC184</t>
  </si>
  <si>
    <t>AC185</t>
  </si>
  <si>
    <t>AC186</t>
  </si>
  <si>
    <t>AC187</t>
  </si>
  <si>
    <r>
      <t xml:space="preserve">Profit for year: </t>
    </r>
    <r>
      <rPr>
        <b/>
        <sz val="10"/>
        <color indexed="10"/>
        <rFont val="Calibri"/>
        <family val="2"/>
      </rPr>
      <t>*</t>
    </r>
  </si>
  <si>
    <r>
      <t xml:space="preserve">Equity dividends paid: </t>
    </r>
    <r>
      <rPr>
        <b/>
        <sz val="10"/>
        <color indexed="10"/>
        <rFont val="Calibri"/>
        <family val="2"/>
      </rPr>
      <t>*</t>
    </r>
  </si>
  <si>
    <t>AC74</t>
  </si>
  <si>
    <t>Profit or (loss) for the period</t>
  </si>
  <si>
    <t>AC219</t>
  </si>
  <si>
    <t>AC221</t>
  </si>
  <si>
    <t>AC223</t>
  </si>
  <si>
    <t>Revaluation surplus or (deficit):</t>
  </si>
  <si>
    <t xml:space="preserve">              Total recognised gains and losses for the period:</t>
  </si>
  <si>
    <t>Only enter "Yes" here if you have gains or losses from an earlier period. If you enter "No" skip to the Balance Sheet section.</t>
  </si>
  <si>
    <t>Directors' Report</t>
  </si>
  <si>
    <t>The information you have entered will be presented in a directors' report and Statutory Accounts. Accounts / Financial Statements must be approved before they are submitted.</t>
  </si>
  <si>
    <t>What were the principle activities of the company during the period?</t>
  </si>
  <si>
    <t>AC5</t>
  </si>
  <si>
    <t>Please enter any statements in the fields below that you wish to appear in the directors' report. Please include statements for the period under review and the previous period, if applicable, on any political or charitable donations and the company policy on the employment of disabled persons.</t>
  </si>
  <si>
    <t>Political and charitable donations</t>
  </si>
  <si>
    <t>Company policy on the employment of disabled persons</t>
  </si>
  <si>
    <t>You may also enter any additional information that you wish to appear in the directors' report in the field
below.</t>
  </si>
  <si>
    <t>It is recommended that you print these Statutory Accounts so that they can be approved before you submit
them. Please follow the link below to view and print the accounts.</t>
  </si>
  <si>
    <t>No charitable donations were made during the year. No contributions to political organisations were made during the year.</t>
  </si>
  <si>
    <t>AC13</t>
  </si>
  <si>
    <t>AC41</t>
  </si>
  <si>
    <t>AC39</t>
  </si>
  <si>
    <t>AC35</t>
  </si>
  <si>
    <t>AC37</t>
  </si>
  <si>
    <t>AC33</t>
  </si>
  <si>
    <t>AC31</t>
  </si>
  <si>
    <t>AC29</t>
  </si>
  <si>
    <t>AC27</t>
  </si>
  <si>
    <t>AC23</t>
  </si>
  <si>
    <t>AC21</t>
  </si>
  <si>
    <t>AC19</t>
  </si>
  <si>
    <t>AC17</t>
  </si>
  <si>
    <t>AC15</t>
  </si>
  <si>
    <t>Not captured by DIY Accounting</t>
  </si>
  <si>
    <t>AC220</t>
  </si>
  <si>
    <t>Ac222</t>
  </si>
  <si>
    <t>AC224</t>
  </si>
  <si>
    <t>AC43</t>
  </si>
  <si>
    <t>AC45</t>
  </si>
  <si>
    <t>AC49</t>
  </si>
  <si>
    <t>AC51</t>
  </si>
  <si>
    <t>AC53</t>
  </si>
  <si>
    <t>AC55</t>
  </si>
  <si>
    <t>Cash at bank and in hand:</t>
  </si>
  <si>
    <t>AC59</t>
  </si>
  <si>
    <t xml:space="preserve">              Creditors: amounts falling due within one year</t>
  </si>
  <si>
    <t>AC61</t>
  </si>
  <si>
    <t>AC63</t>
  </si>
  <si>
    <t>AC65</t>
  </si>
  <si>
    <t>AC67</t>
  </si>
  <si>
    <t>AC69</t>
  </si>
  <si>
    <t>AC57</t>
  </si>
  <si>
    <t>AC71</t>
  </si>
  <si>
    <t>AC77</t>
  </si>
  <si>
    <t>AC75</t>
  </si>
  <si>
    <t>AC81</t>
  </si>
  <si>
    <t>Not totalled in DIY Accounting.</t>
  </si>
  <si>
    <t>Not totalled in DIY Accounting</t>
  </si>
  <si>
    <t>AC93</t>
  </si>
  <si>
    <t>AC95</t>
  </si>
  <si>
    <t>AC97</t>
  </si>
  <si>
    <t>Not captured in DIY Accounting.</t>
  </si>
  <si>
    <t>Not captured in DIY Accounting</t>
  </si>
  <si>
    <t>AC109</t>
  </si>
  <si>
    <t>AC111</t>
  </si>
  <si>
    <t>AC113</t>
  </si>
  <si>
    <t>AC328</t>
  </si>
  <si>
    <t>AC228</t>
  </si>
  <si>
    <t>AC230</t>
  </si>
  <si>
    <t>AC232</t>
  </si>
  <si>
    <t>AC234</t>
  </si>
  <si>
    <t>AC326</t>
  </si>
  <si>
    <t>The accounts should only contain transactions from this date (inclusive)</t>
  </si>
  <si>
    <t>The accounts should only contain transactions up to this date (inclusive)</t>
  </si>
  <si>
    <t>AC236</t>
  </si>
  <si>
    <t>AC238</t>
  </si>
  <si>
    <t>AC240</t>
  </si>
  <si>
    <t>AC133A</t>
  </si>
  <si>
    <t>AC133B</t>
  </si>
  <si>
    <t>AC133D</t>
  </si>
  <si>
    <t>AC133C</t>
  </si>
  <si>
    <t>AC133E</t>
  </si>
  <si>
    <t>AC124</t>
  </si>
  <si>
    <t>AC125</t>
  </si>
  <si>
    <t>AC126</t>
  </si>
  <si>
    <t>AC212</t>
  </si>
  <si>
    <t>AC213</t>
  </si>
  <si>
    <t>AC127</t>
  </si>
  <si>
    <t>AC128</t>
  </si>
  <si>
    <t>AC129</t>
  </si>
  <si>
    <t>AC130</t>
  </si>
  <si>
    <t>AC214</t>
  </si>
  <si>
    <t>AC131</t>
  </si>
  <si>
    <t>AC132</t>
  </si>
  <si>
    <t>AC133</t>
  </si>
  <si>
    <t>AC135</t>
  </si>
  <si>
    <t>AC137</t>
  </si>
  <si>
    <t>AC139</t>
  </si>
  <si>
    <t>AC141</t>
  </si>
  <si>
    <t>AC143</t>
  </si>
  <si>
    <t>AC145</t>
  </si>
  <si>
    <t>AC147</t>
  </si>
  <si>
    <t>AC149</t>
  </si>
  <si>
    <t>AC151</t>
  </si>
  <si>
    <t>AC153</t>
  </si>
  <si>
    <t>AC155</t>
  </si>
  <si>
    <t>AC282</t>
  </si>
  <si>
    <t>AC285</t>
  </si>
  <si>
    <t>AC286</t>
  </si>
  <si>
    <t>Number of shares</t>
  </si>
  <si>
    <t>Nominal value per share</t>
  </si>
  <si>
    <t>Total</t>
  </si>
  <si>
    <t>Previous period</t>
  </si>
  <si>
    <t>AC273</t>
  </si>
  <si>
    <t>AC276</t>
  </si>
  <si>
    <t>AC274</t>
  </si>
  <si>
    <t>AC277</t>
  </si>
  <si>
    <t>AC275</t>
  </si>
  <si>
    <t>AC278</t>
  </si>
  <si>
    <t>AC279</t>
  </si>
  <si>
    <t>Only the previous year's total share capital is captured in DIY Accounting (box AC279)</t>
  </si>
  <si>
    <t>AC215</t>
  </si>
  <si>
    <t>AC216</t>
  </si>
  <si>
    <t>AC217</t>
  </si>
  <si>
    <t>AC218</t>
  </si>
  <si>
    <t>Precision:</t>
  </si>
  <si>
    <t>dp</t>
  </si>
  <si>
    <t>Rounding Compensation:</t>
  </si>
  <si>
    <t>Cash at Bank - Populated Boxes AC54 and AC55</t>
  </si>
  <si>
    <t>A rounding error compensation figure can be used to adjust cash balance and balance the balance sheet.</t>
  </si>
  <si>
    <t>Rounding error compensation:</t>
  </si>
  <si>
    <t>N/A</t>
  </si>
  <si>
    <t>Current year account balances</t>
  </si>
  <si>
    <t>Trial Balance Audit Check:</t>
  </si>
  <si>
    <t>Balance Sheet Audit Check:</t>
  </si>
  <si>
    <t>Rounding Error Check:</t>
  </si>
  <si>
    <t>Unadjusted Total net assets (liabilities):</t>
  </si>
  <si>
    <t>Rounding error apparent?</t>
  </si>
  <si>
    <t>Unadjusted Cash at bank and in hand:</t>
  </si>
  <si>
    <t>Adjusted cash at bank and in hand:</t>
  </si>
  <si>
    <t>Computations</t>
  </si>
  <si>
    <t>In this service you can enter information about your profit and loss account and trading account. This will assist you in calculating your profit or loss adjusted for tax purposes and automatically complete most of the form CT600 Company - Short Tax Return for you.</t>
  </si>
  <si>
    <t>If you don’t use this service you will be required to attach your computations in inline XBRL or PDF format when submitting your Company Tax Return. This service will not be able to cross check any figures in your form CT600 Company – Short Tax Return if you provide separate computations.</t>
  </si>
  <si>
    <t>Do you want to use the computations service?</t>
  </si>
  <si>
    <t>Start date of accounts:</t>
  </si>
  <si>
    <t>End date of accounts:</t>
  </si>
  <si>
    <t>Trading accounts</t>
  </si>
  <si>
    <t>The entries you enter here should be taken from the business accounts for this accounting period. The cost of sales and gross profit entries are calculated for you. Expenses can be entered on the next page.</t>
  </si>
  <si>
    <t>If your accounts cover a period longer than the accounting period then you will need to apportion the figures. A professional advisor can help you do this.</t>
  </si>
  <si>
    <r>
      <t xml:space="preserve">Turnover/sales: </t>
    </r>
    <r>
      <rPr>
        <b/>
        <sz val="10"/>
        <color indexed="10"/>
        <rFont val="Calibri"/>
        <family val="2"/>
      </rPr>
      <t>*</t>
    </r>
  </si>
  <si>
    <t>CP7</t>
  </si>
  <si>
    <t>Cost of sales</t>
  </si>
  <si>
    <t>Gross profit or losses</t>
  </si>
  <si>
    <t>CP14</t>
  </si>
  <si>
    <t>Gross profit or losses:</t>
  </si>
  <si>
    <t>Do you want to enter a breakdown of cost of sales?</t>
  </si>
  <si>
    <t>Opening stock/work in progress:</t>
  </si>
  <si>
    <t>Purchases:</t>
  </si>
  <si>
    <t>Direct overheads related to cost of sales:</t>
  </si>
  <si>
    <t>Closing stock/work in progress:</t>
  </si>
  <si>
    <t>Expenses</t>
  </si>
  <si>
    <t>Please enter the expenses as shown in your accounts. You may need to add items together to enter these into the most appropriate box. Try not to enter too many items under sundry expenses.</t>
  </si>
  <si>
    <t>Please enter data in whole pounds sterling.</t>
  </si>
  <si>
    <t>Salaries and wages:</t>
  </si>
  <si>
    <t>Subcontractors' payments (construction industry only)</t>
  </si>
  <si>
    <t>CP9</t>
  </si>
  <si>
    <t>CP10</t>
  </si>
  <si>
    <t>CP11</t>
  </si>
  <si>
    <t>CP12</t>
  </si>
  <si>
    <t>CP13</t>
  </si>
  <si>
    <t>Directors', employees and subcontractor costs</t>
  </si>
  <si>
    <t>Directors' pension:</t>
  </si>
  <si>
    <t>Subcontractor's costs are assumed to be all construction industry.</t>
  </si>
  <si>
    <t>Legal and professional costs</t>
  </si>
  <si>
    <t>Accountancy and audit:</t>
  </si>
  <si>
    <t>Consultancy:</t>
  </si>
  <si>
    <t>Legal and professional charges:</t>
  </si>
  <si>
    <t>Property costs</t>
  </si>
  <si>
    <t>Light, head and power:</t>
  </si>
  <si>
    <t>Rent and rates:</t>
  </si>
  <si>
    <t>CP15</t>
  </si>
  <si>
    <t>CP16</t>
  </si>
  <si>
    <t>CP17</t>
  </si>
  <si>
    <t>CP18</t>
  </si>
  <si>
    <t>CP19</t>
  </si>
  <si>
    <t>CP20</t>
  </si>
  <si>
    <t>CP21</t>
  </si>
  <si>
    <t>CP22</t>
  </si>
  <si>
    <t>CP23</t>
  </si>
  <si>
    <t>CP24</t>
  </si>
  <si>
    <t>General administrative expenses</t>
  </si>
  <si>
    <t>CP25</t>
  </si>
  <si>
    <t>CP26</t>
  </si>
  <si>
    <t>CP27</t>
  </si>
  <si>
    <t>CP28</t>
  </si>
  <si>
    <t>CP29</t>
  </si>
  <si>
    <t>CP30</t>
  </si>
  <si>
    <t>CP31</t>
  </si>
  <si>
    <t>CP32</t>
  </si>
  <si>
    <t>CP33</t>
  </si>
  <si>
    <t>CP34</t>
  </si>
  <si>
    <t>CP35</t>
  </si>
  <si>
    <t>CP36</t>
  </si>
  <si>
    <t>CP37</t>
  </si>
  <si>
    <t>Total expenses</t>
  </si>
  <si>
    <t>Total expenses:</t>
  </si>
  <si>
    <t>CP38</t>
  </si>
  <si>
    <t>Bad debts:</t>
  </si>
  <si>
    <t>Bank, credit card and other financial charges:</t>
  </si>
  <si>
    <t>Depreciation:</t>
  </si>
  <si>
    <t>Donations:</t>
  </si>
  <si>
    <t>Entertaining:</t>
  </si>
  <si>
    <t>Insurance:</t>
  </si>
  <si>
    <t>Interest paid:</t>
  </si>
  <si>
    <t>Profits/Losses on disposals of assets:</t>
  </si>
  <si>
    <t>Vehicle expenses:</t>
  </si>
  <si>
    <t>Administrative and office expenses:</t>
  </si>
  <si>
    <t>Sundry expenses (use only for small miscellaneous expenses):</t>
  </si>
  <si>
    <t>Detailed profit and loss</t>
  </si>
  <si>
    <t>Summary of detailed profit and loss</t>
  </si>
  <si>
    <t>Gross profit or loss:</t>
  </si>
  <si>
    <t>CP39</t>
  </si>
  <si>
    <t>CP40</t>
  </si>
  <si>
    <t>Interest received</t>
  </si>
  <si>
    <t>Please enter any non-trade interest that has been received by the company. For most companies, this will include interest received from investments and bank or building society accounts. Do not include dividend income.</t>
  </si>
  <si>
    <t>Interest received:</t>
  </si>
  <si>
    <t>CP43</t>
  </si>
  <si>
    <t>The below entry shows the gross profit (or loss) less total expenses plus any non-trade interest received.</t>
  </si>
  <si>
    <t>Profit or losses before tax:</t>
  </si>
  <si>
    <t>CP44</t>
  </si>
  <si>
    <t>Adjustments</t>
  </si>
  <si>
    <t>Adjustments to trading profits before tax</t>
  </si>
  <si>
    <t>Profit before tax</t>
  </si>
  <si>
    <t>Profit before tax:</t>
  </si>
  <si>
    <t>CP45</t>
  </si>
  <si>
    <t>Additions</t>
  </si>
  <si>
    <t>Some expenses are not allowable for tax purposes. Expenses must be wholly and exclusively incurred for trade purposes (they must have a sole business purpose). Other expenses are not allowed due to specific legislation.</t>
  </si>
  <si>
    <t>CP54</t>
  </si>
  <si>
    <t>Total additions:</t>
  </si>
  <si>
    <t>Deductions</t>
  </si>
  <si>
    <t>There are specific deductions that reduce the trading profit (or increase the trading loss) to arrive at the correct profit or loss for tax purposes.</t>
  </si>
  <si>
    <t>Total deductions:</t>
  </si>
  <si>
    <t>Adjusted profit/loss</t>
  </si>
  <si>
    <t>Adjusted profit for the period before capital allowances/balancing charges:</t>
  </si>
  <si>
    <t>CP60</t>
  </si>
  <si>
    <t>CP59</t>
  </si>
  <si>
    <t>CP46</t>
  </si>
  <si>
    <t>CP47</t>
  </si>
  <si>
    <t>CP48</t>
  </si>
  <si>
    <t>CP49</t>
  </si>
  <si>
    <t>CP51</t>
  </si>
  <si>
    <t>CP52</t>
  </si>
  <si>
    <t>CP53</t>
  </si>
  <si>
    <t>Disallowable entertaining:</t>
  </si>
  <si>
    <t>Legal and professional fees:</t>
  </si>
  <si>
    <t>Net loss on sale of fixed assets:</t>
  </si>
  <si>
    <t>Penalties and fines:</t>
  </si>
  <si>
    <t>Unpaid employees' remuneration:</t>
  </si>
  <si>
    <t>Employees' remuneration previously disallowed:</t>
  </si>
  <si>
    <t>Net profit on sale of fixed assets:</t>
  </si>
  <si>
    <t>Non-trade interest received:</t>
  </si>
  <si>
    <t>CP55</t>
  </si>
  <si>
    <t>CP57</t>
  </si>
  <si>
    <t>CP58</t>
  </si>
  <si>
    <t>Capital allowances/balancing charges</t>
  </si>
  <si>
    <t>Losses and depreciation on capital assets are not allowable for tax purposes. Instead, there is a system of capital allowances in place to give relief. If the business has used capital assets (or has sold one or more) in the accounting period then it is possible that capital allowances and/or balancing charges may be due.</t>
  </si>
  <si>
    <t>Do you wish to claim trade capital allowances or need to report a
balancing charge, or did you incur qualifying expenditure?</t>
  </si>
  <si>
    <t>Did the company cease trading at the end of the accounting
period?</t>
  </si>
  <si>
    <t>Expensive cars</t>
  </si>
  <si>
    <t>The rules for capital allowances on cars changed for expenditure incurred on or after 1 April 2009 - click on the help icon for further information. Previously an expensive car was one that cost more than £12,000 and had CO2 emissions of more than 120g/km. Answering 'Yes' to the below question will reveal the appropriate sections of the form to report expensive cars.</t>
  </si>
  <si>
    <t>Do you have expensive car(s)?</t>
  </si>
  <si>
    <t>Machinery and plant</t>
  </si>
  <si>
    <t>Answering 'Yes' to the below question will reveal the appropriate sections of the form to report machinery and plant.</t>
  </si>
  <si>
    <t>Do you have machinery or plant?</t>
  </si>
  <si>
    <t>Read the note on the HMRC form and decide if the machinery and plant section is required.</t>
  </si>
  <si>
    <t>Please enter details for up to six cars. The total amounts will be calculated for you.</t>
  </si>
  <si>
    <t>Please enter details of the expenditure and allowances you wish to claim on qualifying machinery and plant.</t>
  </si>
  <si>
    <t>CP78</t>
  </si>
  <si>
    <t>CP79</t>
  </si>
  <si>
    <t>CP80</t>
  </si>
  <si>
    <t>CP81</t>
  </si>
  <si>
    <t>CP82</t>
  </si>
  <si>
    <t>Relevant First Year Allowance (FYA) expenditure:</t>
  </si>
  <si>
    <t>Other FYA expenditure:</t>
  </si>
  <si>
    <t>Additions qualifying for Writing Down Allowance (WDA):</t>
  </si>
  <si>
    <t>Additions in the period</t>
  </si>
  <si>
    <t>Additions for Annual Investment Allowance</t>
  </si>
  <si>
    <t>Expenditure qualifying for Annual Investment Allowance (AIA):</t>
  </si>
  <si>
    <t>CP83</t>
  </si>
  <si>
    <t>Disposals in the period</t>
  </si>
  <si>
    <t>Disposal proceeds:</t>
  </si>
  <si>
    <t>CP84</t>
  </si>
  <si>
    <t>Allowances and charges</t>
  </si>
  <si>
    <t>CP85</t>
  </si>
  <si>
    <t>CP86</t>
  </si>
  <si>
    <t>CP87</t>
  </si>
  <si>
    <t>CP88</t>
  </si>
  <si>
    <t>CP89</t>
  </si>
  <si>
    <t>CP90</t>
  </si>
  <si>
    <t>CP186</t>
  </si>
  <si>
    <t>CP91</t>
  </si>
  <si>
    <t>CP92</t>
  </si>
  <si>
    <t>Written down value</t>
  </si>
  <si>
    <t>Written down value carried forward:</t>
  </si>
  <si>
    <t>Total First Year Allowances claimed:</t>
  </si>
  <si>
    <t>Relevant First Year Allowances claimed:</t>
  </si>
  <si>
    <t>Other First Year Allowances claimed:</t>
  </si>
  <si>
    <t>Annual Investment Allowance claimed:</t>
  </si>
  <si>
    <t>Writing Down Allowance claimed:</t>
  </si>
  <si>
    <t>Balancing allowance:</t>
  </si>
  <si>
    <t>Total allowances claimed:</t>
  </si>
  <si>
    <t>Summary totals</t>
  </si>
  <si>
    <t>This page shows the totals of capital allowances and balancing charges.</t>
  </si>
  <si>
    <t>Capital allowances</t>
  </si>
  <si>
    <t>Cars:</t>
  </si>
  <si>
    <t>Total allowances:</t>
  </si>
  <si>
    <t>Balancing charges</t>
  </si>
  <si>
    <t>Total charges:</t>
  </si>
  <si>
    <t>Net allowances</t>
  </si>
  <si>
    <t>Trade net allowances:</t>
  </si>
  <si>
    <t>CP93</t>
  </si>
  <si>
    <t>CP94</t>
  </si>
  <si>
    <t>CP95</t>
  </si>
  <si>
    <t>CP96</t>
  </si>
  <si>
    <t>CP97</t>
  </si>
  <si>
    <t>CP98</t>
  </si>
  <si>
    <t>CP99</t>
  </si>
  <si>
    <t>Machinery and plant:</t>
  </si>
  <si>
    <t>The net capital allowances or balancing charges are treated as a trade deduction or receipt for tax purposes. The profit before tax needs to be adjusted to take them into account.</t>
  </si>
  <si>
    <t>CP100</t>
  </si>
  <si>
    <t>The additions for tax purposes you previously entered have been brought forward and entered below for you.</t>
  </si>
  <si>
    <t>Net balancing charges:</t>
  </si>
  <si>
    <t>CP101</t>
  </si>
  <si>
    <t>CP102</t>
  </si>
  <si>
    <t>CP103</t>
  </si>
  <si>
    <t>CP104</t>
  </si>
  <si>
    <t>CP107</t>
  </si>
  <si>
    <t>CP108</t>
  </si>
  <si>
    <t>CP109</t>
  </si>
  <si>
    <t>CP106</t>
  </si>
  <si>
    <t>CP110</t>
  </si>
  <si>
    <t>Net capital allowances:</t>
  </si>
  <si>
    <t>CP111</t>
  </si>
  <si>
    <t>CP114</t>
  </si>
  <si>
    <t>CP113</t>
  </si>
  <si>
    <t>CP115</t>
  </si>
  <si>
    <t>CP116</t>
  </si>
  <si>
    <t>Adjusted trading profit for the period:</t>
  </si>
  <si>
    <t>Adjusted trading loss for the period:</t>
  </si>
  <si>
    <t>CP118</t>
  </si>
  <si>
    <t>CP117</t>
  </si>
  <si>
    <t>Adjusted trading profit/loss</t>
  </si>
  <si>
    <t>The deductions for tax purposes you previously entered have been brought forward and entered below for you.</t>
  </si>
  <si>
    <t>Trading losses</t>
  </si>
  <si>
    <t>Do you have any trading losses left that you have not used from previous accounting periods?</t>
  </si>
  <si>
    <t>Answer yes if there are trading losses from previous periods shown in box CP281</t>
  </si>
  <si>
    <t>CP281</t>
  </si>
  <si>
    <t>CP282</t>
  </si>
  <si>
    <t>CP283</t>
  </si>
  <si>
    <t>CP284</t>
  </si>
  <si>
    <t>CP288</t>
  </si>
  <si>
    <t>Losses carried forward</t>
  </si>
  <si>
    <t>Losses carried forward:</t>
  </si>
  <si>
    <t>Do you want to claim any trading losses carried back from a later period against profits in this period?</t>
  </si>
  <si>
    <t>Losses brought forward:</t>
  </si>
  <si>
    <t>Losses brought forward used against trading profit:</t>
  </si>
  <si>
    <t>Net trading profit:</t>
  </si>
  <si>
    <t>Trading losses carried back from a later (future) period are not captured in DIY Accounting's current year package. If you have a accounts prepared for a period following this one, you may complete this section using figures from there.</t>
  </si>
  <si>
    <t>Profits chargeable to Corporation Tax</t>
  </si>
  <si>
    <t>CP289</t>
  </si>
  <si>
    <t>CP292</t>
  </si>
  <si>
    <t>CP293</t>
  </si>
  <si>
    <t>Adjusted trading profit:</t>
  </si>
  <si>
    <t>Total profits before other deductions and reliefs:</t>
  </si>
  <si>
    <t>CP295</t>
  </si>
  <si>
    <t>End date of accounting period from which this trading loss is being carried back:</t>
  </si>
  <si>
    <t>Amount (Cannot exceed profits after deduction of losses of period):</t>
  </si>
  <si>
    <t>CP285</t>
  </si>
  <si>
    <t>CP286</t>
  </si>
  <si>
    <t>Summary</t>
  </si>
  <si>
    <t>The figures on the summary page(s) that follow will be transmitted to HM Revenue &amp; Customs (HMRC) and transferred to the CT600 for you. You can return to previous parts of the Computations section if you wish to make any changes.</t>
  </si>
  <si>
    <t>If you have capital allowances/balancing charges or trading losses to include, then the summary pages for those will also appear.</t>
  </si>
  <si>
    <t>Please check the figures below and enter details of qualifying expenditure. If you are content that the figures are correct, please click the 'Next' button to proceed. You can return to previous parts of the Computations section if you wish to make any changes.</t>
  </si>
  <si>
    <t>Charges and allowances included in calculation of trading profits or losses</t>
  </si>
  <si>
    <t>General pool</t>
  </si>
  <si>
    <t>Balancing charges:</t>
  </si>
  <si>
    <t>Allowances:</t>
  </si>
  <si>
    <t>Total balancing charges:</t>
  </si>
  <si>
    <t>CP241</t>
  </si>
  <si>
    <t>CP242</t>
  </si>
  <si>
    <t>CP243</t>
  </si>
  <si>
    <t>CP244</t>
  </si>
  <si>
    <t>CP245</t>
  </si>
  <si>
    <t>CP246</t>
  </si>
  <si>
    <t>CP247</t>
  </si>
  <si>
    <t>CP248</t>
  </si>
  <si>
    <t>Expenditure on machinery and plant on which First Year Allowances is claimed:</t>
  </si>
  <si>
    <t>Expenditure on designated environmentally friendly machinery and plant:</t>
  </si>
  <si>
    <t>Qualifying expenditure on machinery and plant on other assets:</t>
  </si>
  <si>
    <t>Annual Investment Allowance</t>
  </si>
  <si>
    <t>Trade Annual Investment Allowance:</t>
  </si>
  <si>
    <t>CP249</t>
  </si>
  <si>
    <t>Summary: figures transferred to CT600</t>
  </si>
  <si>
    <t>The figures shown below will be transmitted to HM Revenue &amp; Customs and transferred to the CT600 form. The relevant CT600 box is shown for each entry.</t>
  </si>
  <si>
    <t>CP256</t>
  </si>
  <si>
    <t>CP258</t>
  </si>
  <si>
    <t>CP259</t>
  </si>
  <si>
    <t>CP265</t>
  </si>
  <si>
    <t>CP266</t>
  </si>
  <si>
    <t>Trading and professional profits (Box 3):</t>
  </si>
  <si>
    <t>Net trading and professional profits (Box 5):</t>
  </si>
  <si>
    <t>Profits and gains from non-trading loan relationships (Box 6):</t>
  </si>
  <si>
    <t>Profits before other deductions and reliefs (Box 21):</t>
  </si>
  <si>
    <t>Total Profits chargeable to Corporation Tax (Box 37):</t>
  </si>
  <si>
    <t>Turnover and income</t>
  </si>
  <si>
    <r>
      <t>Total turnover from trade or profession:</t>
    </r>
    <r>
      <rPr>
        <b/>
        <sz val="10"/>
        <color indexed="10"/>
        <rFont val="Calibri"/>
        <family val="2"/>
      </rPr>
      <t>*</t>
    </r>
  </si>
  <si>
    <r>
      <t xml:space="preserve">Trading and professional profits: </t>
    </r>
    <r>
      <rPr>
        <b/>
        <sz val="10"/>
        <color indexed="10"/>
        <rFont val="Calibri"/>
        <family val="2"/>
      </rPr>
      <t>*</t>
    </r>
  </si>
  <si>
    <t>Trading losses brought forward claimed against profits:</t>
  </si>
  <si>
    <t>Net trading and professional profits (Box 3 minus Box 4):</t>
  </si>
  <si>
    <t>Bank, building society or other interest, and profits and gains from
non-trading loan relationships:</t>
  </si>
  <si>
    <t>Income from UK land and buildings:</t>
  </si>
  <si>
    <t>Annual profits and gains not falling under any other heading:</t>
  </si>
  <si>
    <t>Deductions and reliefs</t>
  </si>
  <si>
    <t>Profits before other deductions and reliefs:</t>
  </si>
  <si>
    <t>Did the company pay any charges or wish to claim trading losses or did it incur any management expenses or non-trade capital allowances for the period. Only a company with an investment business will have management expenses or non-trade capital allowances.</t>
  </si>
  <si>
    <t>Answering 'Yes' will provide the appropriate section of the form to report deductions and reliefs.</t>
  </si>
  <si>
    <t>Is the company claiming any deductions and reliefs?</t>
  </si>
  <si>
    <t>Profits chargeable to Corporation Tax:</t>
  </si>
  <si>
    <t>The company may be entitled to marginal rate relief or to be charged at the small companies' rate.</t>
  </si>
  <si>
    <t>Does the company wish to claim either of the above?</t>
  </si>
  <si>
    <t>Associated companies and franked investment income</t>
  </si>
  <si>
    <t>Did the company have any associated companies in the period?</t>
  </si>
  <si>
    <t>Did the company have any franked investment income in the period?</t>
  </si>
  <si>
    <t>This service has calculated that tax is due at small companies rate. Please see below.</t>
  </si>
  <si>
    <t>Rate of tax:</t>
  </si>
  <si>
    <t>Amount of profit:</t>
  </si>
  <si>
    <t>Tax:</t>
  </si>
  <si>
    <t>Corporation Tax chargeable</t>
  </si>
  <si>
    <t>Corporation Tax chargeable:</t>
  </si>
  <si>
    <t>Directors' loans</t>
  </si>
  <si>
    <t>This section needs to be completed if
• the company is controlled by five or fewer participators (or by any number of participators who are all
directors), and
• the company has made a loan or advance in the return period to an individual participator, or associate of a
participator.
You will not be able to use this service if (unusually)
• you are filing your return late, and
• you need to claim relief for a loan repaid more than nine months and one day after the end of the period
Answering 'Yes' to any of the questions below will provide the appropriate section of the form to report any
loans made in the period which were not also repaid in the period.</t>
  </si>
  <si>
    <t>Did the company make any loans to participators during the return period?</t>
  </si>
  <si>
    <t>Has the company had losses, deficits and/or excess amounts?</t>
  </si>
  <si>
    <t>This section is for losses, deficits or excess management expenses. The profits these can be set off against depends on the type of loss. The help icons give an outline of the rules.</t>
  </si>
  <si>
    <t>These figures are not captured in DIY Accounting.</t>
  </si>
  <si>
    <t>Income</t>
  </si>
  <si>
    <t>Tax Avoidance Schemes</t>
  </si>
  <si>
    <t>If the company is using, or has used, tax avoidance schemes you must provide details (Supplementary Page J).</t>
  </si>
  <si>
    <t>Answering 'Yes' will provide the appropriate section of the form to disclose tax avoidance schemes.</t>
  </si>
  <si>
    <t>Is the company reporting a Tax Avoidance Scheme?</t>
  </si>
  <si>
    <t>Forms to disclose tax avoidance schemes are not captured by DIY Accounting.</t>
  </si>
  <si>
    <t>Capital allowances are available on certain assets, such as cars, used by a company in its business. They take the place of commercial depreciation, which is not an allowable deduction for tax. Please select below whether the company is claiming capital allowances and/or reporting balancing charges.</t>
  </si>
  <si>
    <t>Answering 'yes' will provide the appropriate section of the form.</t>
  </si>
  <si>
    <t>Is the company claiming capital allowances?</t>
  </si>
  <si>
    <t>Is the company reporting balancing charges?</t>
  </si>
  <si>
    <t>Annual investment allowance:</t>
  </si>
  <si>
    <t>Machinery and plan - special rate pool:</t>
  </si>
  <si>
    <t>Machinery and plant - main pool:</t>
  </si>
  <si>
    <t>Industrial buildings and structures:</t>
  </si>
  <si>
    <t>Other charges and allowances:</t>
  </si>
  <si>
    <t>Other non-trading charges and allowances:</t>
  </si>
  <si>
    <r>
      <t xml:space="preserve">Does Box 115 include flat conversion allowances? </t>
    </r>
    <r>
      <rPr>
        <b/>
        <sz val="10"/>
        <color indexed="10"/>
        <rFont val="Calibri"/>
        <family val="2"/>
      </rPr>
      <t>*</t>
    </r>
  </si>
  <si>
    <t>Qualifying expenditure</t>
  </si>
  <si>
    <t>Expenditure on machinery and plant on which first year allowances is claimed:</t>
  </si>
  <si>
    <t>Designated environmentally friendly machinery and plant:</t>
  </si>
  <si>
    <t>Machinery and plant on long life assets and integral features:</t>
  </si>
  <si>
    <t>Other machinery and plant:</t>
  </si>
  <si>
    <t>Final calculation</t>
  </si>
  <si>
    <t>Self Assessment of tax payable</t>
  </si>
  <si>
    <t>Income Tax deducted from gross income included in profits:</t>
  </si>
  <si>
    <t>Income Tax repayable to the company:</t>
  </si>
  <si>
    <t>Tax payable - this is your Self Assessment of tax payable:</t>
  </si>
  <si>
    <t>Corporation Tax already paid</t>
  </si>
  <si>
    <t>Corporation Tax already paid (and not already repaid):</t>
  </si>
  <si>
    <t>Corporation Tax outstanding:</t>
  </si>
  <si>
    <t>Return statements</t>
  </si>
  <si>
    <r>
      <t xml:space="preserve">Is a repayment due for this period? </t>
    </r>
    <r>
      <rPr>
        <b/>
        <sz val="10"/>
        <color indexed="10"/>
        <rFont val="Calibri"/>
        <family val="2"/>
      </rPr>
      <t>*</t>
    </r>
  </si>
  <si>
    <r>
      <rPr>
        <sz val="10"/>
        <color indexed="8"/>
        <rFont val="Calibri"/>
        <family val="2"/>
      </rPr>
      <t xml:space="preserve">Is a repayment due for an earlier period? </t>
    </r>
    <r>
      <rPr>
        <b/>
        <sz val="10"/>
        <color indexed="10"/>
        <rFont val="Calibri"/>
        <family val="2"/>
      </rPr>
      <t>*</t>
    </r>
  </si>
  <si>
    <r>
      <t xml:space="preserve">Is the company making more than one return now? </t>
    </r>
    <r>
      <rPr>
        <b/>
        <sz val="10"/>
        <color indexed="10"/>
        <rFont val="Calibri"/>
        <family val="2"/>
      </rPr>
      <t>*</t>
    </r>
  </si>
  <si>
    <r>
      <t xml:space="preserve">Does this return contain estimated figures? </t>
    </r>
    <r>
      <rPr>
        <b/>
        <sz val="10"/>
        <color indexed="10"/>
        <rFont val="Calibri"/>
        <family val="2"/>
      </rPr>
      <t>*</t>
    </r>
  </si>
  <si>
    <r>
      <t xml:space="preserve">Is the company part of a group that is not small? </t>
    </r>
    <r>
      <rPr>
        <b/>
        <sz val="10"/>
        <color indexed="10"/>
        <rFont val="Calibri"/>
        <family val="2"/>
      </rPr>
      <t>*</t>
    </r>
  </si>
  <si>
    <r>
      <t xml:space="preserve">Does the company need to disclose that it has used or is using avoidance schemes? </t>
    </r>
    <r>
      <rPr>
        <b/>
        <sz val="10"/>
        <color indexed="10"/>
        <rFont val="Calibri"/>
        <family val="2"/>
      </rPr>
      <t>*</t>
    </r>
  </si>
  <si>
    <r>
      <t xml:space="preserve">Transfer pricing: Is the company claiming a compensating adjustment? </t>
    </r>
    <r>
      <rPr>
        <b/>
        <sz val="10"/>
        <color indexed="10"/>
        <rFont val="Calibri"/>
        <family val="2"/>
      </rPr>
      <t>*</t>
    </r>
  </si>
  <si>
    <r>
      <t xml:space="preserve">Transfer pricing: Does the company qualify for SME exemption? </t>
    </r>
    <r>
      <rPr>
        <b/>
        <sz val="10"/>
        <color indexed="10"/>
        <rFont val="Calibri"/>
        <family val="2"/>
      </rPr>
      <t>*</t>
    </r>
  </si>
  <si>
    <t>Please answer the questions below.</t>
  </si>
  <si>
    <t>Please enter the details for up to six cars. The total amounts will be calculated for you.</t>
  </si>
  <si>
    <t>Car 1</t>
  </si>
  <si>
    <t>Car 2</t>
  </si>
  <si>
    <t>CP62A</t>
  </si>
  <si>
    <t>CP62B</t>
  </si>
  <si>
    <t>Total expensive cars</t>
  </si>
  <si>
    <t>Description (registration number):</t>
  </si>
  <si>
    <t>CP71</t>
  </si>
  <si>
    <t>Written down value brought forward:</t>
  </si>
  <si>
    <t>Balancing charge:</t>
  </si>
  <si>
    <t>Writing Down Allowance (WDA) claimed:</t>
  </si>
  <si>
    <t>CP63A</t>
  </si>
  <si>
    <t>CP64A</t>
  </si>
  <si>
    <t>CP65A</t>
  </si>
  <si>
    <t>CP66A</t>
  </si>
  <si>
    <t>CP67A</t>
  </si>
  <si>
    <t>CP69A</t>
  </si>
  <si>
    <t>CP68A</t>
  </si>
  <si>
    <t>CP63B</t>
  </si>
  <si>
    <t>CP64B</t>
  </si>
  <si>
    <t>CP65B</t>
  </si>
  <si>
    <t>CP66B</t>
  </si>
  <si>
    <t>CP67B</t>
  </si>
  <si>
    <t>CP68B</t>
  </si>
  <si>
    <t>CP69B</t>
  </si>
  <si>
    <t>Manually extract from fixedassets.xls</t>
  </si>
  <si>
    <t>Total disposals:</t>
  </si>
  <si>
    <t>Total balancing allowances:</t>
  </si>
  <si>
    <t>Total WDA claimed:</t>
  </si>
  <si>
    <t>CP72</t>
  </si>
  <si>
    <t>CP73</t>
  </si>
  <si>
    <t>CP74</t>
  </si>
  <si>
    <t>CP75</t>
  </si>
  <si>
    <t>CP76</t>
  </si>
  <si>
    <t>CP77</t>
  </si>
  <si>
    <t>The First Year Allowance ("FYA") is not captured in DIY Accounting, use the Annual Investment Allowance (up to £50K before 2009-10, £100K after) or manually apply the FYA.</t>
  </si>
  <si>
    <t>Total expenditure qualifying for FYA:</t>
  </si>
  <si>
    <t>The figure below is extracted from DIY Accounting including all balancing charges not just cars. If this results in duplication of charges manually reduce the figure.</t>
  </si>
  <si>
    <t>Trading losses of this period and later periods:</t>
  </si>
  <si>
    <t>CP294</t>
  </si>
  <si>
    <t>CP290</t>
  </si>
  <si>
    <t>CP291</t>
  </si>
  <si>
    <t>CP267</t>
  </si>
  <si>
    <t>CP274</t>
  </si>
  <si>
    <t>CP279</t>
  </si>
  <si>
    <t>Trade capital allowances machinery and plant main pool (Box 107):</t>
  </si>
  <si>
    <t>Qualifying expenditure on other machinery and plant (Box 121):</t>
  </si>
  <si>
    <t>Trade Annual Investment Allowance (Box 172):</t>
  </si>
  <si>
    <t>Losses</t>
  </si>
  <si>
    <t>Please check the figures below. If you are content that they are correct, please click the 'Next' button to proceed. You can return to previous parts of the Computations section if you wish to make any changes.</t>
  </si>
  <si>
    <t>CP234</t>
  </si>
  <si>
    <t>CP235</t>
  </si>
  <si>
    <t>CP236</t>
  </si>
  <si>
    <t>CP237</t>
  </si>
  <si>
    <t>CP238</t>
  </si>
  <si>
    <t>CP239</t>
  </si>
  <si>
    <t>CP240</t>
  </si>
  <si>
    <t>Losses arising in this period:</t>
  </si>
  <si>
    <t>Losses carried back from a later period:</t>
  </si>
  <si>
    <t>Losses used against total profits:</t>
  </si>
  <si>
    <t>Losses carried back to an earlier period:</t>
  </si>
  <si>
    <t>CP257</t>
  </si>
  <si>
    <t>Trading losses of this or later accounting period (Box 30)</t>
  </si>
  <si>
    <t>CP264</t>
  </si>
  <si>
    <t>CP251</t>
  </si>
  <si>
    <t>CP252</t>
  </si>
  <si>
    <t>CP253</t>
  </si>
  <si>
    <t>CT600</t>
  </si>
  <si>
    <t>This service provides an online version of form CT600 Company - Short Tax Return. Most companies with straightforward tax affairs, including small businesses, clubs and charities, can use this form, provided the form has all the entries you need to make.
The only Supplementary Pages you can use with the CT600 Short and this service are those covering:
• loans to participators by close companies (form CT600A), and
• charities and community amateur sports clubs (form CT600E), and
• the disclosure of tax avoidance schemes (form CT600J)
You should have your tax computation on hand to help you complete the boxes.
Please remember that the deadline by which a company has to file its Company Tax Return is normally one year after the end of the corresponding accounting period. If it is your responsibility to complete the return then you must make arrangements to complete the task and submit the return by the deadline. HMRC will not issue reminders. Failure to submit a full return on time will result in a late filing penalty.</t>
  </si>
  <si>
    <t>Management expenses under Section 75 Income and Corporation
Taxes Act (ICTA) 1988:</t>
  </si>
  <si>
    <t>Of the deductions and reliefs, only the losses brought forward are captured in DIY Accounting.</t>
  </si>
  <si>
    <t>Trading losses of this or a later Accounting period under Section 393A ICTA 1988:</t>
  </si>
  <si>
    <t>Are amounts carried back from later Accounting periods included in Box 30:</t>
  </si>
  <si>
    <t>Non-trade capital allowances:</t>
  </si>
  <si>
    <t>Charges paid:</t>
  </si>
  <si>
    <t>Tax calculation</t>
  </si>
  <si>
    <t>DIY Accounting tracks payments to HMRC but these are not allocated to a specific period. Check the Corporation Tax statements for any payments on account made for this year</t>
  </si>
  <si>
    <t>CP1</t>
  </si>
  <si>
    <t>CP2</t>
  </si>
  <si>
    <t>CP3</t>
  </si>
  <si>
    <t>CP6</t>
  </si>
  <si>
    <t>Should be: "…zero for errors"</t>
  </si>
  <si>
    <t>Should be: "…Balance Sheet balances."</t>
  </si>
  <si>
    <t>Should be: "…Balance Sheet balances."
A difference could also be Shareholders funds not deposited in bank.</t>
  </si>
  <si>
    <t>AC157</t>
  </si>
  <si>
    <t>AC159</t>
  </si>
  <si>
    <t>AC161</t>
  </si>
  <si>
    <t>AC163</t>
  </si>
  <si>
    <t xml:space="preserve">It is the company’s policy to give employment to disabled persons wherever practicable. At present none of our Employees or Directors are registered disabled. </t>
  </si>
  <si>
    <t>AC235</t>
  </si>
  <si>
    <t>AC237</t>
  </si>
  <si>
    <t>AC239</t>
  </si>
  <si>
    <t>AC331 &amp; AC332</t>
  </si>
  <si>
    <t>e.g. dd/mm/yyyy</t>
  </si>
  <si>
    <t>Do you want to proceed using the period of account, including any amendment you may have made to the end date?</t>
  </si>
  <si>
    <t>These accounts have been prepared in accordance with the provisions applicable to companies subject to the small companies regime and in accordance with the Financial Reporting Standard for Smaller Entities (effective 2008).</t>
  </si>
  <si>
    <t>Directors' remuneration</t>
  </si>
  <si>
    <t>Complete if any fixed asset section is checked</t>
  </si>
  <si>
    <t>If you do not have a note to make, please return to the Statutory Accounts Notes menu and de-select this section.</t>
  </si>
  <si>
    <t>The "standard rate" is the Main Rate of corporation tax. DIY Accounting calculates box AC108 using the small profits rate. Include 28.00 in boxes AC331 and be sure to claim the small profits rate on the corporation tax section</t>
  </si>
  <si>
    <t>Expense not deductible for tax purposes:</t>
  </si>
  <si>
    <t>These figures are extracted from the individual bank sheets and summed here before applying to the balance sheet</t>
  </si>
  <si>
    <r>
      <rPr>
        <b/>
        <sz val="10"/>
        <color theme="1"/>
        <rFont val="Calibri"/>
        <family val="2"/>
        <scheme val="minor"/>
      </rPr>
      <t>[Omitted from 2011]</t>
    </r>
    <r>
      <rPr>
        <sz val="10"/>
        <color theme="1"/>
        <rFont val="Calibri"/>
        <family val="2"/>
        <scheme val="minor"/>
      </rPr>
      <t xml:space="preserve"> Profits or losses before tax as they appear in your accounts: </t>
    </r>
    <r>
      <rPr>
        <b/>
        <sz val="10"/>
        <color indexed="10"/>
        <rFont val="Calibri"/>
        <family val="2"/>
      </rPr>
      <t>*</t>
    </r>
  </si>
  <si>
    <r>
      <rPr>
        <b/>
        <sz val="10"/>
        <color theme="1"/>
        <rFont val="Calibri"/>
        <family val="2"/>
        <scheme val="minor"/>
      </rPr>
      <t>[Omitted from 2011]</t>
    </r>
    <r>
      <rPr>
        <sz val="10"/>
        <color theme="1"/>
        <rFont val="Calibri"/>
        <family val="2"/>
        <scheme val="minor"/>
      </rPr>
      <t xml:space="preserve"> Profits or losses before tax allocated to this accounting period: </t>
    </r>
    <r>
      <rPr>
        <b/>
        <sz val="10"/>
        <color indexed="10"/>
        <rFont val="Calibri"/>
        <family val="2"/>
      </rPr>
      <t>*</t>
    </r>
  </si>
  <si>
    <t>Repairs, renewals and maintenance:</t>
  </si>
  <si>
    <t>Advertising and promotions:</t>
  </si>
  <si>
    <t>Travel and subsistence:</t>
  </si>
  <si>
    <t>Profit or losses before tax</t>
  </si>
  <si>
    <t>This template is generated for companies that did not cease trading at the end of the period. Figures calculated from DIY Accounting may still be used he HMRC tax computation will factor in the cessation of trading but this will be different from the DIY Accounting corporation tax computation which does not assume this.</t>
  </si>
  <si>
    <t>The breakdown of expensive cars is not generated by DIY Accounting. The information can be extracted from fixedassets.xls for each expensive car. Read the not on the HMRC form accessed from the question mark to determine which cars are considered expensive.</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</si>
  <si>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</si>
  <si>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 This section is included in the template so the cars remaining in the pool can be extracted from those considered expensive.</t>
  </si>
  <si>
    <t>Total Written down value brought forward:</t>
  </si>
  <si>
    <t>Total Written down value carried forward:</t>
  </si>
  <si>
    <t>DIY Accounting uses the limit below for the Annual Investment Allowance. The calculations do not split this over periods with different allowances. The £50K limit has been pre-populated, this can be amended to £100K for the 2010-11 tax and beyond.</t>
  </si>
  <si>
    <t>Losses used against trading profits:</t>
  </si>
  <si>
    <t>These boxes have been pre-populated from entries you have made on other parts of the return. Please check that these figures mirror your own calculations and, if necessary, please revise your entries. You can return to previous parts of the Computations section if you wish to make any changes.</t>
  </si>
  <si>
    <t>Trading losses brought forward (Box 4):</t>
  </si>
  <si>
    <t>Transactions in the Bank reconciliation sheets can be used to extract this information if required.</t>
  </si>
  <si>
    <t>Charges and allowances not included in the calculation of trading profits or losses</t>
  </si>
  <si>
    <t>The information below is mostly not captured by DIY Accounting. Where an answer is implied by other assumptions made in this form the answer has been provided. An choice supported by the company structure and activities should be made when answering all these answers.</t>
  </si>
  <si>
    <t>Add if applicable: The adjustment in box AC231 and AC232 reduces the Current tax charge from the Main Rate of Corporation Tax to the Small Profits Rate of Corporation Tax which is applicable to this business.</t>
  </si>
  <si>
    <t>Adjustment to Small Profits rate</t>
  </si>
  <si>
    <t>Additional Working forms - Not part of HMRC submission, just here to support rounding calculation</t>
  </si>
  <si>
    <t>Manual adjstment possible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</si>
</sst>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 yyyy;@"/>
    <numFmt numFmtId="165" formatCode="dd/mm/yyyy;@"/>
    <numFmt numFmtId="166" formatCode="#,##0.00_ ;[Red]\-#,##0.00\ "/>
    <numFmt numFmtId="167" formatCode="#,##0_ ;[Red]\-#,##0\ "/>
  </numFmts>
  <fonts count="41" x14ac:knownFonts="1">
    <font>
      <sz val="11"/>
      <color theme="1"/>
      <name val="Calibri"/>
      <family val="2"/>
      <scheme val="minor"/>
    </font>
    <font>
      <b/>
      <sz val="9"/>
      <color indexed="8"/>
      <name val="Calibri"/>
      <family val="2"/>
    </font>
    <font>
      <b/>
      <sz val="9"/>
      <color indexed="10"/>
      <name val="Calibri"/>
      <family val="2"/>
    </font>
    <font>
      <sz val="10"/>
      <color indexed="10"/>
      <name val="Calibri"/>
      <family val="2"/>
    </font>
    <font>
      <b/>
      <sz val="10"/>
      <color indexed="10"/>
      <name val="Calibri"/>
      <family val="2"/>
    </font>
    <font>
      <b/>
      <sz val="11"/>
      <color indexed="8"/>
      <name val="Calibri"/>
      <family val="2"/>
    </font>
    <font>
      <sz val="9"/>
      <color indexed="8"/>
      <name val="Calibri"/>
      <family val="2"/>
    </font>
    <font>
      <b/>
      <sz val="10"/>
      <name val="Calibri"/>
      <family val="2"/>
    </font>
    <font>
      <sz val="10"/>
      <name val="Calibri"/>
      <family val="2"/>
    </font>
    <font>
      <sz val="10"/>
      <color indexed="8"/>
      <name val="Calibri"/>
      <family val="2"/>
    </font>
    <font>
      <b/>
      <sz val="11"/>
      <color theme="1"/>
      <name val="Calibri"/>
      <family val="2"/>
      <scheme val="minor"/>
    </font>
    <font>
      <sz val="11"/>
      <color rgb="FFFF0000"/>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color rgb="FFFF0000"/>
      <name val="Calibri"/>
      <family val="2"/>
      <scheme val="minor"/>
    </font>
    <font>
      <b/>
      <i/>
      <sz val="10"/>
      <color theme="1"/>
      <name val="Calibri"/>
      <family val="2"/>
      <scheme val="minor"/>
    </font>
    <font>
      <b/>
      <sz val="10"/>
      <color theme="0"/>
      <name val="Calibri"/>
      <family val="2"/>
      <scheme val="minor"/>
    </font>
    <font>
      <b/>
      <sz val="10"/>
      <color rgb="FF00863D"/>
      <name val="Calibri"/>
      <family val="2"/>
      <scheme val="minor"/>
    </font>
    <font>
      <b/>
      <i/>
      <sz val="10"/>
      <color rgb="FFFF0000"/>
      <name val="Calibri"/>
      <family val="2"/>
      <scheme val="minor"/>
    </font>
    <font>
      <sz val="10"/>
      <color theme="0" tint="-0.34998626667073579"/>
      <name val="Calibri"/>
      <family val="2"/>
      <scheme val="minor"/>
    </font>
    <font>
      <b/>
      <sz val="10"/>
      <color theme="0" tint="-0.34998626667073579"/>
      <name val="Calibri"/>
      <family val="2"/>
      <scheme val="minor"/>
    </font>
    <font>
      <b/>
      <i/>
      <sz val="10"/>
      <color theme="0" tint="-0.34998626667073579"/>
      <name val="Calibri"/>
      <family val="2"/>
      <scheme val="minor"/>
    </font>
    <font>
      <sz val="9"/>
      <color theme="1"/>
      <name val="Calibri"/>
      <family val="2"/>
      <scheme val="minor"/>
    </font>
    <font>
      <i/>
      <sz val="10"/>
      <color theme="3"/>
      <name val="Comic Sans MS"/>
      <family val="4"/>
    </font>
    <font>
      <i/>
      <sz val="10"/>
      <color theme="0" tint="-0.499984740745262"/>
      <name val="Comic Sans MS"/>
      <family val="4"/>
    </font>
    <font>
      <b/>
      <sz val="10"/>
      <name val="Calibri"/>
      <family val="2"/>
      <scheme val="minor"/>
    </font>
    <font>
      <b/>
      <sz val="9"/>
      <color rgb="FF000000"/>
      <name val="Verdana"/>
      <family val="2"/>
    </font>
    <font>
      <i/>
      <sz val="11"/>
      <color theme="3"/>
      <name val="Comic Sans MS"/>
      <family val="4"/>
    </font>
    <font>
      <b/>
      <sz val="11"/>
      <color rgb="FFFF0000"/>
      <name val="Calibri"/>
      <family val="2"/>
      <scheme val="minor"/>
    </font>
    <font>
      <sz val="10"/>
      <color rgb="FFFF0000"/>
      <name val="Comic Sans MS"/>
      <family val="4"/>
    </font>
    <font>
      <sz val="10"/>
      <color rgb="FFFF0000"/>
      <name val="Calibri"/>
      <family val="2"/>
      <scheme val="minor"/>
    </font>
    <font>
      <sz val="9"/>
      <color rgb="FFFF0000"/>
      <name val="Calibri"/>
      <family val="2"/>
      <scheme val="minor"/>
    </font>
    <font>
      <sz val="11"/>
      <color theme="3"/>
      <name val="Comic Sans MS"/>
      <family val="4"/>
    </font>
    <font>
      <b/>
      <sz val="12"/>
      <color theme="1"/>
      <name val="Calibri"/>
      <family val="2"/>
      <scheme val="minor"/>
    </font>
    <font>
      <sz val="11"/>
      <name val="Calibri"/>
      <family val="2"/>
      <scheme val="minor"/>
    </font>
    <font>
      <b/>
      <sz val="11"/>
      <color rgb="FF00863D"/>
      <name val="Calibri"/>
      <family val="2"/>
      <scheme val="minor"/>
    </font>
    <font>
      <b/>
      <sz val="11"/>
      <color theme="0" tint="-0.34998626667073579"/>
      <name val="Calibri"/>
      <family val="2"/>
      <scheme val="minor"/>
    </font>
    <font>
      <b/>
      <sz val="9"/>
      <color rgb="FFFF0000"/>
      <name val="Calibri"/>
      <family val="2"/>
      <scheme val="minor"/>
    </font>
    <font>
      <b/>
      <sz val="9"/>
      <color theme="1"/>
      <name val="Verdana"/>
      <family val="2"/>
    </font>
    <font>
      <b/>
      <sz val="12"/>
      <name val="Calibri"/>
      <family val="2"/>
      <scheme val="minor"/>
    </font>
  </fonts>
  <fills count="7">
    <fill>
      <patternFill patternType="none"/>
    </fill>
    <fill>
      <patternFill patternType="gray125"/>
    </fill>
    <fill>
      <patternFill patternType="solid">
        <fgColor rgb="FF99FFCC"/>
        <bgColor indexed="64"/>
      </patternFill>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66FFCC"/>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rgb="FF008000"/>
      </bottom>
      <diagonal/>
    </border>
    <border>
      <left/>
      <right style="thin">
        <color rgb="FF008000"/>
      </right>
      <top/>
      <bottom/>
      <diagonal/>
    </border>
    <border>
      <left style="thin">
        <color theme="5" tint="-0.499984740745262"/>
      </left>
      <right/>
      <top style="thin">
        <color theme="5" tint="-0.499984740745262"/>
      </top>
      <bottom/>
      <diagonal/>
    </border>
    <border>
      <left/>
      <right style="thin">
        <color theme="5" tint="-0.499984740745262"/>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right style="thin">
        <color theme="5" tint="-0.499984740745262"/>
      </right>
      <top/>
      <bottom/>
      <diagonal/>
    </border>
    <border>
      <left style="thin">
        <color theme="5" tint="-0.499984740745262"/>
      </left>
      <right/>
      <top/>
      <bottom style="thin">
        <color theme="5" tint="-0.499984740745262"/>
      </bottom>
      <diagonal/>
    </border>
    <border>
      <left/>
      <right style="thin">
        <color theme="5" tint="-0.499984740745262"/>
      </right>
      <top/>
      <bottom style="thin">
        <color theme="5" tint="-0.499984740745262"/>
      </bottom>
      <diagonal/>
    </border>
    <border>
      <left/>
      <right/>
      <top/>
      <bottom style="thin">
        <color theme="5" tint="-0.499984740745262"/>
      </bottom>
      <diagonal/>
    </border>
    <border>
      <left/>
      <right/>
      <top style="thin">
        <color theme="5" tint="-0.499984740745262"/>
      </top>
      <bottom style="thin">
        <color theme="5" tint="-0.499984740745262"/>
      </bottom>
      <diagonal/>
    </border>
    <border>
      <left/>
      <right style="thin">
        <color rgb="FF00B050"/>
      </right>
      <top/>
      <bottom/>
      <diagonal/>
    </border>
    <border>
      <left/>
      <right/>
      <top style="thin">
        <color rgb="FF00B050"/>
      </top>
      <bottom style="thin">
        <color rgb="FF00B050"/>
      </bottom>
      <diagonal/>
    </border>
    <border>
      <left/>
      <right/>
      <top style="thin">
        <color theme="5" tint="-0.499984740745262"/>
      </top>
      <bottom style="thin">
        <color rgb="FF00B050"/>
      </bottom>
      <diagonal/>
    </border>
    <border>
      <left/>
      <right/>
      <top style="thin">
        <color rgb="FF00B050"/>
      </top>
      <bottom style="thin">
        <color theme="5"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B050"/>
      </left>
      <right/>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style="thin">
        <color theme="5" tint="-0.499984740745262"/>
      </right>
      <top/>
      <bottom/>
      <diagonal/>
    </border>
    <border>
      <left/>
      <right/>
      <top/>
      <bottom style="thin">
        <color rgb="FF00B050"/>
      </bottom>
      <diagonal/>
    </border>
    <border>
      <left style="thin">
        <color theme="5" tint="-0.499984740745262"/>
      </left>
      <right style="thin">
        <color rgb="FF00B050"/>
      </right>
      <top/>
      <bottom/>
      <diagonal/>
    </border>
    <border>
      <left style="thin">
        <color rgb="FF00B050"/>
      </left>
      <right style="thin">
        <color rgb="FF00B050"/>
      </right>
      <top/>
      <bottom style="thin">
        <color rgb="FF00B050"/>
      </bottom>
      <diagonal/>
    </border>
    <border>
      <left style="thin">
        <color theme="5" tint="-0.499984740745262"/>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s>
  <cellStyleXfs count="1">
    <xf numFmtId="0" fontId="0" fillId="0" borderId="0"/>
  </cellStyleXfs>
  <cellXfs count="453">
    <xf numFmtId="0" fontId="0" fillId="0" borderId="0" xfId="0"/>
    <xf numFmtId="0" fontId="0" fillId="0" borderId="4" xfId="0" applyBorder="1"/>
    <xf numFmtId="0" fontId="0" fillId="0" borderId="5" xfId="0"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applyAlignment="1">
      <alignment horizontal="right" indent="1"/>
    </xf>
    <xf numFmtId="0" fontId="12" fillId="2" borderId="11" xfId="0" applyFont="1" applyFill="1" applyBorder="1"/>
    <xf numFmtId="0" fontId="12" fillId="2" borderId="12" xfId="0" applyFont="1" applyFill="1" applyBorder="1" applyAlignment="1">
      <alignment horizontal="right" indent="1"/>
    </xf>
    <xf numFmtId="0" fontId="13" fillId="2" borderId="13" xfId="0" applyFont="1" applyFill="1" applyBorder="1"/>
    <xf numFmtId="0" fontId="12" fillId="3" borderId="9" xfId="0" applyFont="1" applyFill="1" applyBorder="1"/>
    <xf numFmtId="0" fontId="12" fillId="2" borderId="7" xfId="0" applyFont="1" applyFill="1" applyBorder="1" applyAlignment="1">
      <alignment horizontal="right" indent="1"/>
    </xf>
    <xf numFmtId="0" fontId="12" fillId="3" borderId="6" xfId="0" applyFont="1" applyFill="1" applyBorder="1"/>
    <xf numFmtId="0" fontId="12" fillId="3" borderId="7" xfId="0" applyFont="1" applyFill="1" applyBorder="1" applyAlignment="1">
      <alignment horizontal="right" indent="1"/>
    </xf>
    <xf numFmtId="0" fontId="12" fillId="3" borderId="11" xfId="0" applyFont="1" applyFill="1" applyBorder="1"/>
    <xf numFmtId="0" fontId="12" fillId="3" borderId="12" xfId="0" applyFont="1" applyFill="1" applyBorder="1" applyAlignment="1">
      <alignment horizontal="right" indent="1"/>
    </xf>
    <xf numFmtId="0" fontId="12" fillId="3" borderId="12" xfId="0" applyFont="1" applyFill="1" applyBorder="1"/>
    <xf numFmtId="0" fontId="12" fillId="3" borderId="13" xfId="0" applyFont="1" applyFill="1" applyBorder="1"/>
    <xf numFmtId="0" fontId="14" fillId="0" borderId="0" xfId="0" applyFont="1" applyAlignment="1">
      <alignment horizontal="center"/>
    </xf>
    <xf numFmtId="0" fontId="12" fillId="2" borderId="0" xfId="0" applyFont="1" applyFill="1" applyAlignment="1">
      <alignment horizontal="right" indent="1"/>
    </xf>
    <xf numFmtId="0" fontId="12" fillId="2" borderId="13" xfId="0" applyFont="1" applyFill="1" applyBorder="1" applyAlignment="1">
      <alignment horizontal="right" indent="1"/>
    </xf>
    <xf numFmtId="0" fontId="12" fillId="3" borderId="0" xfId="0" applyFont="1" applyFill="1" applyAlignment="1">
      <alignment horizontal="right" indent="1"/>
    </xf>
    <xf numFmtId="0" fontId="12" fillId="2" borderId="8" xfId="0" applyFont="1" applyFill="1" applyBorder="1" applyAlignment="1">
      <alignment horizontal="right" indent="1"/>
    </xf>
    <xf numFmtId="0" fontId="12" fillId="3" borderId="8" xfId="0" applyFont="1" applyFill="1" applyBorder="1" applyAlignment="1">
      <alignment horizontal="right" indent="1"/>
    </xf>
    <xf numFmtId="0" fontId="12" fillId="3" borderId="13" xfId="0" applyFont="1" applyFill="1" applyBorder="1" applyAlignment="1">
      <alignment horizontal="right" indent="1"/>
    </xf>
    <xf numFmtId="0" fontId="13" fillId="2" borderId="10" xfId="0" applyFont="1" applyFill="1" applyBorder="1"/>
    <xf numFmtId="0" fontId="13" fillId="2" borderId="0" xfId="0" applyFont="1" applyFill="1"/>
    <xf numFmtId="0" fontId="13" fillId="2" borderId="12" xfId="0" applyFont="1" applyFill="1" applyBorder="1"/>
    <xf numFmtId="0" fontId="13" fillId="3" borderId="8" xfId="0" applyFont="1" applyFill="1" applyBorder="1"/>
    <xf numFmtId="0" fontId="13" fillId="3" borderId="7" xfId="0" applyFont="1" applyFill="1" applyBorder="1"/>
    <xf numFmtId="0" fontId="13" fillId="3" borderId="13" xfId="0" applyFont="1" applyFill="1" applyBorder="1"/>
    <xf numFmtId="0" fontId="13" fillId="3" borderId="12" xfId="0" applyFont="1" applyFill="1" applyBorder="1"/>
    <xf numFmtId="0" fontId="13" fillId="2" borderId="8" xfId="0" applyFont="1" applyFill="1" applyBorder="1"/>
    <xf numFmtId="0" fontId="13" fillId="2" borderId="7" xfId="0" applyFont="1" applyFill="1" applyBorder="1"/>
    <xf numFmtId="0" fontId="12" fillId="3" borderId="14" xfId="0" applyFont="1" applyFill="1" applyBorder="1" applyAlignment="1">
      <alignment horizontal="right" indent="1"/>
    </xf>
    <xf numFmtId="0" fontId="0" fillId="0" borderId="9" xfId="0" applyBorder="1"/>
    <xf numFmtId="0" fontId="10" fillId="0" borderId="0" xfId="0" applyFont="1"/>
    <xf numFmtId="0" fontId="10" fillId="0" borderId="5" xfId="0" applyFont="1" applyBorder="1"/>
    <xf numFmtId="0" fontId="14" fillId="0" borderId="0" xfId="0" applyFont="1"/>
    <xf numFmtId="0" fontId="13" fillId="3" borderId="0" xfId="0" applyFont="1" applyFill="1"/>
    <xf numFmtId="0" fontId="13" fillId="3" borderId="10" xfId="0" applyFont="1" applyFill="1" applyBorder="1"/>
    <xf numFmtId="165" fontId="13" fillId="2" borderId="0" xfId="0" applyNumberFormat="1" applyFont="1" applyFill="1" applyAlignment="1">
      <alignment horizontal="left" indent="1"/>
    </xf>
    <xf numFmtId="0" fontId="12" fillId="2" borderId="0" xfId="0" applyFont="1" applyFill="1"/>
    <xf numFmtId="0" fontId="12" fillId="2" borderId="13" xfId="0" applyFont="1" applyFill="1" applyBorder="1"/>
    <xf numFmtId="0" fontId="12" fillId="3" borderId="0" xfId="0" applyFont="1" applyFill="1"/>
    <xf numFmtId="0" fontId="12" fillId="3" borderId="8" xfId="0" applyFont="1" applyFill="1" applyBorder="1"/>
    <xf numFmtId="0" fontId="12" fillId="2" borderId="11" xfId="0" applyFont="1" applyFill="1" applyBorder="1" applyAlignment="1">
      <alignment horizontal="right" indent="1"/>
    </xf>
    <xf numFmtId="0" fontId="12" fillId="2" borderId="6" xfId="0" applyFont="1" applyFill="1" applyBorder="1" applyAlignment="1">
      <alignment horizontal="right" indent="1"/>
    </xf>
    <xf numFmtId="0" fontId="12" fillId="3" borderId="6" xfId="0" applyFont="1" applyFill="1" applyBorder="1" applyAlignment="1">
      <alignment horizontal="right" indent="1"/>
    </xf>
    <xf numFmtId="0" fontId="12" fillId="3" borderId="11" xfId="0" applyFont="1" applyFill="1" applyBorder="1" applyAlignment="1">
      <alignment horizontal="right" indent="1"/>
    </xf>
    <xf numFmtId="0" fontId="0" fillId="0" borderId="0" xfId="0" applyAlignment="1">
      <alignment wrapText="1"/>
    </xf>
    <xf numFmtId="0" fontId="12" fillId="2" borderId="10" xfId="0" applyFont="1" applyFill="1" applyBorder="1"/>
    <xf numFmtId="0" fontId="12" fillId="2" borderId="12" xfId="0" applyFont="1" applyFill="1" applyBorder="1"/>
    <xf numFmtId="0" fontId="12" fillId="3" borderId="10" xfId="0" applyFont="1" applyFill="1" applyBorder="1"/>
    <xf numFmtId="0" fontId="12" fillId="3" borderId="7" xfId="0" applyFont="1" applyFill="1" applyBorder="1"/>
    <xf numFmtId="165" fontId="13" fillId="2" borderId="10" xfId="0" applyNumberFormat="1" applyFont="1" applyFill="1" applyBorder="1" applyAlignment="1">
      <alignment horizontal="left" indent="1"/>
    </xf>
    <xf numFmtId="0" fontId="12" fillId="2" borderId="15" xfId="0" applyFont="1" applyFill="1" applyBorder="1"/>
    <xf numFmtId="0" fontId="11" fillId="0" borderId="0" xfId="0" applyFont="1" applyAlignment="1">
      <alignment horizontal="left" vertical="center"/>
    </xf>
    <xf numFmtId="0" fontId="0" fillId="0" borderId="0" xfId="0" applyAlignment="1">
      <alignment vertical="center"/>
    </xf>
    <xf numFmtId="0" fontId="10" fillId="0" borderId="0" xfId="0" applyFont="1" applyAlignment="1">
      <alignment horizontal="right" vertical="center"/>
    </xf>
    <xf numFmtId="0" fontId="12" fillId="3" borderId="9" xfId="0" applyFont="1" applyFill="1" applyBorder="1" applyAlignment="1">
      <alignment horizontal="right" indent="1"/>
    </xf>
    <xf numFmtId="0" fontId="14" fillId="0" borderId="0" xfId="0" applyFont="1" applyAlignment="1">
      <alignment wrapText="1"/>
    </xf>
    <xf numFmtId="0" fontId="13" fillId="2" borderId="0" xfId="0" applyFont="1" applyFill="1" applyAlignment="1">
      <alignment vertical="center"/>
    </xf>
    <xf numFmtId="0" fontId="15" fillId="3" borderId="0" xfId="0" applyFont="1" applyFill="1" applyAlignment="1">
      <alignment vertical="top"/>
    </xf>
    <xf numFmtId="0" fontId="16" fillId="3" borderId="0" xfId="0" applyFont="1" applyFill="1"/>
    <xf numFmtId="0" fontId="13" fillId="3" borderId="16" xfId="0" applyFont="1" applyFill="1" applyBorder="1"/>
    <xf numFmtId="0" fontId="0" fillId="0" borderId="16" xfId="0" applyBorder="1"/>
    <xf numFmtId="0" fontId="13" fillId="2" borderId="17" xfId="0" applyFont="1" applyFill="1" applyBorder="1"/>
    <xf numFmtId="0" fontId="13" fillId="2" borderId="18" xfId="0" applyFont="1" applyFill="1" applyBorder="1"/>
    <xf numFmtId="0" fontId="17" fillId="4" borderId="19" xfId="0" applyFont="1" applyFill="1" applyBorder="1" applyAlignment="1">
      <alignment horizontal="center" vertical="center"/>
    </xf>
    <xf numFmtId="0" fontId="14" fillId="0" borderId="0" xfId="0" applyFont="1" applyAlignment="1">
      <alignment horizontal="center" wrapText="1"/>
    </xf>
    <xf numFmtId="0" fontId="0" fillId="0" borderId="0" xfId="0" applyAlignment="1">
      <alignment horizontal="center" wrapText="1"/>
    </xf>
    <xf numFmtId="0" fontId="13" fillId="3" borderId="16" xfId="0" applyFont="1" applyFill="1" applyBorder="1" applyAlignment="1">
      <alignment vertical="center"/>
    </xf>
    <xf numFmtId="0" fontId="15" fillId="2" borderId="0" xfId="0" applyFont="1" applyFill="1"/>
    <xf numFmtId="0" fontId="16" fillId="2" borderId="0" xfId="0" applyFont="1" applyFill="1"/>
    <xf numFmtId="0" fontId="13" fillId="2" borderId="1" xfId="0" applyFont="1" applyFill="1" applyBorder="1" applyAlignment="1">
      <alignment horizontal="center" vertical="center"/>
    </xf>
    <xf numFmtId="0" fontId="15" fillId="2" borderId="0" xfId="0" applyFont="1" applyFill="1" applyAlignment="1">
      <alignment horizontal="right" vertical="top" wrapText="1"/>
    </xf>
    <xf numFmtId="0" fontId="13" fillId="2" borderId="1" xfId="0" applyFont="1" applyFill="1" applyBorder="1" applyAlignment="1">
      <alignment vertical="center"/>
    </xf>
    <xf numFmtId="0" fontId="13" fillId="3" borderId="1" xfId="0" applyFont="1" applyFill="1" applyBorder="1" applyAlignment="1">
      <alignment vertical="center"/>
    </xf>
    <xf numFmtId="0" fontId="18" fillId="2" borderId="9" xfId="0" applyFont="1" applyFill="1" applyBorder="1" applyAlignment="1">
      <alignment horizontal="left" indent="1"/>
    </xf>
    <xf numFmtId="0" fontId="18" fillId="2" borderId="0" xfId="0" applyFont="1" applyFill="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16" fillId="3" borderId="13" xfId="0" applyFont="1" applyFill="1" applyBorder="1"/>
    <xf numFmtId="0" fontId="16" fillId="2" borderId="8" xfId="0" applyFont="1" applyFill="1" applyBorder="1"/>
    <xf numFmtId="0" fontId="19" fillId="2" borderId="0" xfId="0" applyFont="1" applyFill="1"/>
    <xf numFmtId="0" fontId="16" fillId="2" borderId="13" xfId="0" applyFont="1" applyFill="1" applyBorder="1"/>
    <xf numFmtId="0" fontId="16" fillId="3" borderId="8" xfId="0" applyFont="1" applyFill="1" applyBorder="1"/>
    <xf numFmtId="0" fontId="20" fillId="3" borderId="0" xfId="0" applyFont="1" applyFill="1" applyAlignment="1">
      <alignment horizontal="right" indent="1"/>
    </xf>
    <xf numFmtId="0" fontId="21" fillId="3" borderId="0" xfId="0" applyFont="1" applyFill="1"/>
    <xf numFmtId="0" fontId="22" fillId="3" borderId="0" xfId="0" applyFont="1" applyFill="1"/>
    <xf numFmtId="0" fontId="20" fillId="3" borderId="0" xfId="0" applyFont="1" applyFill="1"/>
    <xf numFmtId="0" fontId="20" fillId="2" borderId="0" xfId="0" applyFont="1" applyFill="1" applyAlignment="1">
      <alignment horizontal="right" indent="1"/>
    </xf>
    <xf numFmtId="0" fontId="21" fillId="2" borderId="0" xfId="0" applyFont="1" applyFill="1"/>
    <xf numFmtId="0" fontId="23" fillId="0" borderId="0" xfId="0" applyFont="1" applyAlignment="1">
      <alignment wrapText="1"/>
    </xf>
    <xf numFmtId="0" fontId="13" fillId="3" borderId="0" xfId="0" applyFont="1" applyFill="1" applyAlignment="1">
      <alignment horizontal="right" indent="1"/>
    </xf>
    <xf numFmtId="0" fontId="24" fillId="2" borderId="0" xfId="0" applyFont="1" applyFill="1"/>
    <xf numFmtId="0" fontId="24" fillId="2" borderId="13" xfId="0" applyFont="1" applyFill="1" applyBorder="1"/>
    <xf numFmtId="0" fontId="24" fillId="3" borderId="8" xfId="0" applyFont="1" applyFill="1" applyBorder="1"/>
    <xf numFmtId="0" fontId="25" fillId="3" borderId="0" xfId="0" applyFont="1" applyFill="1"/>
    <xf numFmtId="0" fontId="24" fillId="3" borderId="13" xfId="0" applyFont="1" applyFill="1" applyBorder="1"/>
    <xf numFmtId="0" fontId="24" fillId="2" borderId="8" xfId="0" applyFont="1" applyFill="1" applyBorder="1"/>
    <xf numFmtId="0" fontId="25" fillId="2" borderId="0" xfId="0" applyFont="1" applyFill="1"/>
    <xf numFmtId="0" fontId="24" fillId="3" borderId="0" xfId="0" applyFont="1" applyFill="1"/>
    <xf numFmtId="0" fontId="21" fillId="3" borderId="20" xfId="0" applyFont="1" applyFill="1" applyBorder="1" applyAlignment="1">
      <alignment vertical="center"/>
    </xf>
    <xf numFmtId="0" fontId="21" fillId="2" borderId="20" xfId="0" applyFont="1" applyFill="1" applyBorder="1" applyAlignment="1">
      <alignment vertical="center"/>
    </xf>
    <xf numFmtId="0" fontId="0" fillId="0" borderId="21" xfId="0" applyBorder="1"/>
    <xf numFmtId="0" fontId="11" fillId="0" borderId="0" xfId="0" applyFont="1"/>
    <xf numFmtId="0" fontId="24" fillId="2" borderId="0" xfId="0" applyFont="1" applyFill="1" applyAlignment="1">
      <alignment wrapText="1"/>
    </xf>
    <xf numFmtId="0" fontId="12" fillId="2" borderId="0" xfId="0" applyFont="1" applyFill="1" applyAlignment="1">
      <alignment horizontal="right" wrapText="1"/>
    </xf>
    <xf numFmtId="0" fontId="17" fillId="4" borderId="19" xfId="0" applyFont="1" applyFill="1" applyBorder="1" applyAlignment="1">
      <alignment horizontal="center" vertical="center" wrapText="1"/>
    </xf>
    <xf numFmtId="0" fontId="13" fillId="2" borderId="0" xfId="0" applyFont="1" applyFill="1" applyAlignment="1">
      <alignment wrapText="1"/>
    </xf>
    <xf numFmtId="0" fontId="13" fillId="2" borderId="10" xfId="0" applyFont="1" applyFill="1" applyBorder="1" applyAlignment="1">
      <alignment wrapText="1"/>
    </xf>
    <xf numFmtId="0" fontId="0" fillId="0" borderId="5" xfId="0" applyBorder="1" applyAlignment="1">
      <alignment wrapText="1"/>
    </xf>
    <xf numFmtId="0" fontId="13" fillId="2" borderId="21" xfId="0" applyFont="1" applyFill="1" applyBorder="1"/>
    <xf numFmtId="0" fontId="13" fillId="2" borderId="21" xfId="0" applyFont="1" applyFill="1" applyBorder="1" applyAlignment="1">
      <alignment vertical="center"/>
    </xf>
    <xf numFmtId="0" fontId="0" fillId="0" borderId="0" xfId="0" applyAlignment="1">
      <alignment horizontal="right" vertical="center"/>
    </xf>
    <xf numFmtId="0" fontId="11" fillId="0" borderId="0" xfId="0" applyFont="1" applyAlignment="1">
      <alignment wrapText="1"/>
    </xf>
    <xf numFmtId="0" fontId="26" fillId="2" borderId="0" xfId="0" applyFont="1" applyFill="1" applyAlignment="1">
      <alignment wrapText="1"/>
    </xf>
    <xf numFmtId="0" fontId="0" fillId="0" borderId="16" xfId="0" applyBorder="1" applyAlignment="1">
      <alignment vertical="center"/>
    </xf>
    <xf numFmtId="0" fontId="17" fillId="4" borderId="22" xfId="0" applyFont="1" applyFill="1" applyBorder="1" applyAlignment="1">
      <alignment horizontal="center" vertical="center"/>
    </xf>
    <xf numFmtId="0" fontId="0" fillId="3" borderId="0" xfId="0" applyFill="1"/>
    <xf numFmtId="0" fontId="10" fillId="0" borderId="0" xfId="0" applyFont="1" applyAlignment="1">
      <alignment horizontal="right" wrapText="1" indent="1"/>
    </xf>
    <xf numFmtId="0" fontId="8" fillId="2" borderId="0" xfId="0" applyFont="1" applyFill="1" applyAlignment="1">
      <alignment horizontal="center" wrapText="1"/>
    </xf>
    <xf numFmtId="0" fontId="12" fillId="0" borderId="21" xfId="0" applyFont="1" applyBorder="1" applyAlignment="1">
      <alignment horizontal="center" vertical="center"/>
    </xf>
    <xf numFmtId="0" fontId="17" fillId="4" borderId="23" xfId="0" applyFont="1" applyFill="1" applyBorder="1" applyAlignment="1">
      <alignment horizontal="center" vertical="center"/>
    </xf>
    <xf numFmtId="0" fontId="24" fillId="2" borderId="10" xfId="0" applyFont="1" applyFill="1" applyBorder="1" applyAlignment="1">
      <alignment wrapText="1"/>
    </xf>
    <xf numFmtId="0" fontId="24" fillId="2" borderId="24" xfId="0" applyFont="1" applyFill="1" applyBorder="1" applyAlignment="1">
      <alignment wrapText="1"/>
    </xf>
    <xf numFmtId="0" fontId="24" fillId="3" borderId="24" xfId="0" applyFont="1" applyFill="1" applyBorder="1" applyAlignment="1">
      <alignment vertical="center" wrapText="1"/>
    </xf>
    <xf numFmtId="0" fontId="0" fillId="3" borderId="21" xfId="0" applyFill="1" applyBorder="1"/>
    <xf numFmtId="0" fontId="27" fillId="0" borderId="0" xfId="0" applyFont="1" applyAlignment="1">
      <alignment horizontal="right"/>
    </xf>
    <xf numFmtId="0" fontId="0" fillId="0" borderId="0" xfId="0" applyAlignment="1">
      <alignment horizontal="right"/>
    </xf>
    <xf numFmtId="164" fontId="14" fillId="0" borderId="0" xfId="0" applyNumberFormat="1" applyFont="1"/>
    <xf numFmtId="164" fontId="14" fillId="0" borderId="0" xfId="0" applyNumberFormat="1" applyFont="1" applyAlignment="1">
      <alignment horizontal="left"/>
    </xf>
    <xf numFmtId="10" fontId="13" fillId="3" borderId="0" xfId="0" applyNumberFormat="1" applyFont="1" applyFill="1" applyAlignment="1">
      <alignment horizontal="right" vertical="center" wrapText="1"/>
    </xf>
    <xf numFmtId="0" fontId="15" fillId="2" borderId="0" xfId="0" applyFont="1" applyFill="1" applyAlignment="1">
      <alignment horizontal="left" vertical="center"/>
    </xf>
    <xf numFmtId="0" fontId="0" fillId="0" borderId="25" xfId="0" applyBorder="1"/>
    <xf numFmtId="0" fontId="17" fillId="3" borderId="25" xfId="0" applyFont="1" applyFill="1" applyBorder="1" applyAlignment="1">
      <alignment horizontal="center" vertical="center"/>
    </xf>
    <xf numFmtId="0" fontId="15" fillId="3" borderId="0" xfId="0" applyFont="1" applyFill="1"/>
    <xf numFmtId="0" fontId="14" fillId="0" borderId="0" xfId="0" applyFont="1" applyAlignment="1">
      <alignment horizontal="left" wrapText="1"/>
    </xf>
    <xf numFmtId="0" fontId="12" fillId="2" borderId="9" xfId="0" applyFont="1" applyFill="1" applyBorder="1" applyAlignment="1">
      <alignment horizontal="right" indent="1"/>
    </xf>
    <xf numFmtId="0" fontId="28" fillId="0" borderId="0" xfId="0" applyFont="1" applyAlignment="1">
      <alignment wrapText="1"/>
    </xf>
    <xf numFmtId="0" fontId="24" fillId="3" borderId="21" xfId="0" applyFont="1" applyFill="1" applyBorder="1" applyAlignment="1">
      <alignment vertical="top" wrapText="1"/>
    </xf>
    <xf numFmtId="165" fontId="0" fillId="0" borderId="0" xfId="0" applyNumberFormat="1" applyAlignment="1">
      <alignment horizontal="left" indent="1"/>
    </xf>
    <xf numFmtId="165" fontId="0" fillId="0" borderId="10" xfId="0" applyNumberFormat="1" applyBorder="1" applyAlignment="1">
      <alignment horizontal="left" indent="1"/>
    </xf>
    <xf numFmtId="0" fontId="24" fillId="2" borderId="21" xfId="0" applyFont="1" applyFill="1" applyBorder="1" applyAlignment="1">
      <alignment wrapText="1"/>
    </xf>
    <xf numFmtId="0" fontId="24" fillId="3" borderId="0" xfId="0" applyFont="1" applyFill="1" applyAlignment="1">
      <alignment vertical="top" wrapText="1"/>
    </xf>
    <xf numFmtId="0" fontId="28" fillId="2" borderId="0" xfId="0" applyFont="1" applyFill="1" applyAlignment="1">
      <alignment wrapText="1"/>
    </xf>
    <xf numFmtId="0" fontId="24" fillId="2" borderId="21" xfId="0" applyFont="1" applyFill="1" applyBorder="1" applyAlignment="1">
      <alignment vertical="top" wrapText="1"/>
    </xf>
    <xf numFmtId="0" fontId="12" fillId="3" borderId="10" xfId="0" applyFont="1" applyFill="1" applyBorder="1" applyAlignment="1">
      <alignment horizontal="right" indent="1"/>
    </xf>
    <xf numFmtId="0" fontId="28" fillId="3" borderId="0" xfId="0" applyFont="1" applyFill="1" applyAlignment="1">
      <alignment wrapText="1"/>
    </xf>
    <xf numFmtId="0" fontId="0" fillId="0" borderId="0" xfId="0" applyAlignment="1">
      <alignment horizontal="left" wrapText="1"/>
    </xf>
    <xf numFmtId="0" fontId="14" fillId="0" borderId="13" xfId="0" applyFont="1" applyBorder="1" applyAlignment="1">
      <alignment horizontal="left" wrapText="1"/>
    </xf>
    <xf numFmtId="0" fontId="24" fillId="3" borderId="24" xfId="0" applyFont="1" applyFill="1" applyBorder="1" applyAlignment="1">
      <alignment vertical="top" wrapText="1"/>
    </xf>
    <xf numFmtId="0" fontId="24" fillId="3" borderId="21" xfId="0" applyFont="1" applyFill="1" applyBorder="1" applyAlignment="1">
      <alignment vertical="center" wrapText="1"/>
    </xf>
    <xf numFmtId="0" fontId="28" fillId="0" borderId="0" xfId="0" applyFont="1" applyAlignment="1">
      <alignment vertical="center" wrapText="1"/>
    </xf>
    <xf numFmtId="0" fontId="24" fillId="3" borderId="10" xfId="0" applyFont="1" applyFill="1" applyBorder="1" applyAlignment="1">
      <alignment vertical="top" wrapText="1"/>
    </xf>
    <xf numFmtId="0" fontId="15" fillId="2" borderId="8" xfId="0" applyFont="1" applyFill="1" applyBorder="1"/>
    <xf numFmtId="0" fontId="0" fillId="0" borderId="10" xfId="0" applyBorder="1"/>
    <xf numFmtId="0" fontId="29" fillId="0" borderId="0" xfId="0" applyFont="1" applyAlignment="1">
      <alignment wrapText="1"/>
    </xf>
    <xf numFmtId="165" fontId="13" fillId="3" borderId="10" xfId="0" applyNumberFormat="1" applyFont="1" applyFill="1" applyBorder="1" applyAlignment="1">
      <alignment horizontal="left" indent="1"/>
    </xf>
    <xf numFmtId="0" fontId="0" fillId="0" borderId="0" xfId="0" applyAlignment="1">
      <alignment horizontal="right" wrapText="1" indent="1"/>
    </xf>
    <xf numFmtId="0" fontId="28" fillId="3" borderId="0" xfId="0" applyFont="1" applyFill="1" applyAlignment="1">
      <alignment vertical="center" wrapText="1"/>
    </xf>
    <xf numFmtId="0" fontId="28" fillId="0" borderId="10" xfId="0" applyFont="1" applyBorder="1" applyAlignment="1">
      <alignment vertical="center" wrapText="1"/>
    </xf>
    <xf numFmtId="40" fontId="13" fillId="5" borderId="16" xfId="0" applyNumberFormat="1" applyFont="1" applyFill="1" applyBorder="1" applyAlignment="1">
      <alignment horizontal="left" indent="1"/>
    </xf>
    <xf numFmtId="0" fontId="17" fillId="2" borderId="0" xfId="0" applyFont="1" applyFill="1" applyAlignment="1">
      <alignment horizontal="center" vertical="center"/>
    </xf>
    <xf numFmtId="0" fontId="17" fillId="2" borderId="26" xfId="0" applyFont="1" applyFill="1" applyBorder="1" applyAlignment="1">
      <alignment horizontal="center" vertical="center"/>
    </xf>
    <xf numFmtId="0" fontId="17" fillId="3" borderId="26" xfId="0" applyFont="1" applyFill="1" applyBorder="1" applyAlignment="1">
      <alignment horizontal="center" vertical="center"/>
    </xf>
    <xf numFmtId="0" fontId="13" fillId="3" borderId="11" xfId="0" applyFont="1" applyFill="1" applyBorder="1"/>
    <xf numFmtId="0" fontId="17" fillId="3" borderId="0" xfId="0" applyFont="1" applyFill="1" applyAlignment="1">
      <alignment horizontal="center" vertical="center"/>
    </xf>
    <xf numFmtId="0" fontId="12" fillId="3" borderId="18" xfId="0" applyFont="1" applyFill="1" applyBorder="1" applyAlignment="1">
      <alignment horizontal="right" indent="1"/>
    </xf>
    <xf numFmtId="167" fontId="13" fillId="5" borderId="19" xfId="0" applyNumberFormat="1" applyFont="1" applyFill="1" applyBorder="1" applyAlignment="1">
      <alignment horizontal="right" indent="1"/>
    </xf>
    <xf numFmtId="0" fontId="0" fillId="0" borderId="13" xfId="0" applyBorder="1" applyAlignment="1">
      <alignment wrapText="1"/>
    </xf>
    <xf numFmtId="0" fontId="14" fillId="0" borderId="0" xfId="0" applyFont="1" applyAlignment="1">
      <alignment vertical="top" wrapText="1"/>
    </xf>
    <xf numFmtId="0" fontId="30" fillId="2" borderId="24" xfId="0" applyFont="1" applyFill="1" applyBorder="1" applyAlignment="1">
      <alignment wrapText="1"/>
    </xf>
    <xf numFmtId="0" fontId="31" fillId="3" borderId="10" xfId="0" applyFont="1" applyFill="1" applyBorder="1"/>
    <xf numFmtId="0" fontId="31" fillId="3" borderId="12" xfId="0" applyFont="1" applyFill="1" applyBorder="1"/>
    <xf numFmtId="0" fontId="31" fillId="2" borderId="7" xfId="0" applyFont="1" applyFill="1" applyBorder="1"/>
    <xf numFmtId="0" fontId="31" fillId="2" borderId="10" xfId="0" applyFont="1" applyFill="1" applyBorder="1"/>
    <xf numFmtId="0" fontId="31" fillId="2" borderId="12" xfId="0" applyFont="1" applyFill="1" applyBorder="1"/>
    <xf numFmtId="0" fontId="31" fillId="3" borderId="0" xfId="0" applyFont="1" applyFill="1"/>
    <xf numFmtId="0" fontId="32" fillId="0" borderId="0" xfId="0" applyFont="1" applyAlignment="1">
      <alignment horizontal="left" wrapText="1"/>
    </xf>
    <xf numFmtId="0" fontId="31" fillId="3" borderId="7" xfId="0" applyFont="1" applyFill="1" applyBorder="1"/>
    <xf numFmtId="0" fontId="23" fillId="0" borderId="0" xfId="0" applyFont="1"/>
    <xf numFmtId="0" fontId="23" fillId="0" borderId="0" xfId="0" applyFont="1" applyAlignment="1">
      <alignment horizontal="left"/>
    </xf>
    <xf numFmtId="0" fontId="0" fillId="2" borderId="21" xfId="0" applyFill="1" applyBorder="1"/>
    <xf numFmtId="0" fontId="0" fillId="0" borderId="0" xfId="0" applyAlignment="1">
      <alignment vertical="top"/>
    </xf>
    <xf numFmtId="0" fontId="10" fillId="0" borderId="0" xfId="0" applyFont="1" applyAlignment="1">
      <alignment horizontal="right" vertical="top"/>
    </xf>
    <xf numFmtId="0" fontId="10" fillId="0" borderId="0" xfId="0" applyFont="1" applyAlignment="1">
      <alignment horizontal="right" wrapText="1"/>
    </xf>
    <xf numFmtId="0" fontId="24" fillId="3" borderId="9" xfId="0" applyFont="1" applyFill="1" applyBorder="1" applyAlignment="1">
      <alignment horizontal="center" vertical="center" wrapText="1"/>
    </xf>
    <xf numFmtId="40" fontId="13" fillId="3" borderId="0" xfId="0" applyNumberFormat="1" applyFont="1" applyFill="1" applyAlignment="1">
      <alignment horizontal="right" indent="1"/>
    </xf>
    <xf numFmtId="0" fontId="24" fillId="3" borderId="25" xfId="0" applyFont="1" applyFill="1" applyBorder="1" applyAlignment="1">
      <alignment horizontal="center" vertical="center" wrapText="1"/>
    </xf>
    <xf numFmtId="0" fontId="24" fillId="3" borderId="0" xfId="0" applyFont="1" applyFill="1" applyAlignment="1">
      <alignment wrapText="1"/>
    </xf>
    <xf numFmtId="0" fontId="10" fillId="3" borderId="0" xfId="0" applyFont="1" applyFill="1"/>
    <xf numFmtId="0" fontId="29" fillId="0" borderId="0" xfId="0" applyFont="1"/>
    <xf numFmtId="0" fontId="10" fillId="3" borderId="5" xfId="0" applyFont="1" applyFill="1" applyBorder="1"/>
    <xf numFmtId="0" fontId="0" fillId="2" borderId="0" xfId="0" applyFill="1"/>
    <xf numFmtId="0" fontId="31" fillId="2" borderId="8" xfId="0" applyFont="1" applyFill="1" applyBorder="1"/>
    <xf numFmtId="0" fontId="31" fillId="2" borderId="13" xfId="0" applyFont="1" applyFill="1" applyBorder="1"/>
    <xf numFmtId="0" fontId="10" fillId="2" borderId="21" xfId="0" applyFont="1" applyFill="1" applyBorder="1"/>
    <xf numFmtId="0" fontId="10" fillId="2" borderId="0" xfId="0" applyFont="1" applyFill="1" applyAlignment="1">
      <alignment horizontal="right" vertical="center"/>
    </xf>
    <xf numFmtId="0" fontId="0" fillId="2" borderId="0" xfId="0" applyFill="1" applyAlignment="1">
      <alignment vertical="center"/>
    </xf>
    <xf numFmtId="0" fontId="10" fillId="3" borderId="0" xfId="0" applyFont="1" applyFill="1" applyAlignment="1">
      <alignment horizontal="right" vertical="center"/>
    </xf>
    <xf numFmtId="0" fontId="0" fillId="3" borderId="0" xfId="0" applyFill="1" applyAlignment="1">
      <alignment vertical="center"/>
    </xf>
    <xf numFmtId="0" fontId="0" fillId="0" borderId="0" xfId="0" applyAlignment="1">
      <alignment horizontal="left"/>
    </xf>
    <xf numFmtId="0" fontId="31" fillId="2" borderId="0" xfId="0" applyFont="1" applyFill="1"/>
    <xf numFmtId="0" fontId="17" fillId="4" borderId="27" xfId="0" applyFont="1" applyFill="1" applyBorder="1" applyAlignment="1">
      <alignment horizontal="center" vertical="center"/>
    </xf>
    <xf numFmtId="0" fontId="10" fillId="0" borderId="5" xfId="0" applyFont="1" applyBorder="1" applyAlignment="1">
      <alignment horizontal="left"/>
    </xf>
    <xf numFmtId="0" fontId="0" fillId="0" borderId="0" xfId="0" applyAlignment="1">
      <alignment vertical="top" wrapText="1"/>
    </xf>
    <xf numFmtId="4" fontId="14" fillId="0" borderId="0" xfId="0" applyNumberFormat="1" applyFont="1"/>
    <xf numFmtId="0" fontId="23" fillId="0" borderId="0" xfId="0" applyFont="1" applyAlignment="1">
      <alignment wrapText="1"/>
    </xf>
    <xf numFmtId="0" fontId="0" fillId="0" borderId="0" xfId="0" applyAlignment="1">
      <alignment wrapText="1"/>
    </xf>
    <xf numFmtId="40" fontId="13" fillId="5" borderId="16" xfId="0" applyNumberFormat="1" applyFont="1" applyFill="1" applyBorder="1" applyAlignment="1">
      <alignment horizontal="right" indent="1"/>
    </xf>
    <xf numFmtId="40" fontId="0" fillId="5" borderId="23" xfId="0" applyNumberFormat="1" applyFill="1" applyBorder="1" applyAlignment="1">
      <alignment horizontal="right" indent="1"/>
    </xf>
    <xf numFmtId="0" fontId="24" fillId="2" borderId="9" xfId="0" applyFont="1" applyFill="1" applyBorder="1" applyAlignment="1">
      <alignment wrapText="1"/>
    </xf>
    <xf numFmtId="0" fontId="24" fillId="2" borderId="0" xfId="0" applyFont="1" applyFill="1" applyAlignment="1">
      <alignment wrapText="1"/>
    </xf>
    <xf numFmtId="0" fontId="24" fillId="2" borderId="10" xfId="0" applyFont="1" applyFill="1" applyBorder="1" applyAlignment="1">
      <alignment wrapText="1"/>
    </xf>
    <xf numFmtId="0" fontId="24" fillId="3" borderId="9" xfId="0" applyFont="1" applyFill="1" applyBorder="1" applyAlignment="1">
      <alignment wrapText="1"/>
    </xf>
    <xf numFmtId="0" fontId="24" fillId="3" borderId="0" xfId="0" applyFont="1" applyFill="1" applyAlignment="1">
      <alignment wrapText="1"/>
    </xf>
    <xf numFmtId="0" fontId="24" fillId="3" borderId="10" xfId="0" applyFont="1" applyFill="1" applyBorder="1" applyAlignment="1">
      <alignment wrapText="1"/>
    </xf>
    <xf numFmtId="0" fontId="12" fillId="3" borderId="9" xfId="0" applyFont="1" applyFill="1" applyBorder="1" applyAlignment="1">
      <alignment horizontal="right" indent="1"/>
    </xf>
    <xf numFmtId="0" fontId="12" fillId="3" borderId="0" xfId="0" applyFont="1" applyFill="1" applyAlignment="1">
      <alignment horizontal="right" indent="1"/>
    </xf>
    <xf numFmtId="0" fontId="12" fillId="3" borderId="10" xfId="0" applyFont="1" applyFill="1" applyBorder="1" applyAlignment="1">
      <alignment horizontal="right" indent="1"/>
    </xf>
    <xf numFmtId="0" fontId="12" fillId="2" borderId="9" xfId="0" applyFont="1" applyFill="1" applyBorder="1" applyAlignment="1">
      <alignment horizontal="right" indent="1"/>
    </xf>
    <xf numFmtId="0" fontId="12" fillId="2" borderId="0" xfId="0" applyFont="1" applyFill="1" applyAlignment="1">
      <alignment horizontal="right" indent="1"/>
    </xf>
    <xf numFmtId="0" fontId="12" fillId="2" borderId="10" xfId="0" applyFont="1" applyFill="1" applyBorder="1" applyAlignment="1">
      <alignment horizontal="right" indent="1"/>
    </xf>
    <xf numFmtId="0" fontId="0" fillId="2" borderId="0" xfId="0" applyFill="1" applyAlignment="1">
      <alignment horizontal="right" vertical="center"/>
    </xf>
    <xf numFmtId="0" fontId="0" fillId="2" borderId="0" xfId="0" applyFill="1" applyAlignment="1">
      <alignment vertical="center"/>
    </xf>
    <xf numFmtId="0" fontId="0" fillId="3" borderId="0" xfId="0" applyFill="1" applyAlignment="1">
      <alignment horizontal="right" vertical="center"/>
    </xf>
    <xf numFmtId="0" fontId="0" fillId="3" borderId="0" xfId="0" applyFill="1" applyAlignment="1">
      <alignment vertical="center"/>
    </xf>
    <xf numFmtId="0" fontId="34" fillId="0" borderId="2" xfId="0" applyFont="1" applyBorder="1"/>
    <xf numFmtId="0" fontId="34" fillId="0" borderId="0" xfId="0" applyFont="1"/>
    <xf numFmtId="0" fontId="14" fillId="0" borderId="0" xfId="0" applyFont="1" applyAlignment="1">
      <alignment horizontal="right"/>
    </xf>
    <xf numFmtId="0" fontId="10" fillId="6" borderId="28" xfId="0" applyFont="1" applyFill="1" applyBorder="1"/>
    <xf numFmtId="0" fontId="10" fillId="6" borderId="29" xfId="0" applyFont="1" applyFill="1" applyBorder="1"/>
    <xf numFmtId="0" fontId="10" fillId="0" borderId="29" xfId="0" applyFont="1" applyBorder="1"/>
    <xf numFmtId="0" fontId="10" fillId="0" borderId="30" xfId="0" applyFont="1" applyBorder="1"/>
    <xf numFmtId="0" fontId="14" fillId="0" borderId="0" xfId="0" applyFont="1" applyAlignment="1">
      <alignment horizontal="left" wrapText="1"/>
    </xf>
    <xf numFmtId="0" fontId="0" fillId="0" borderId="0" xfId="0" applyAlignment="1">
      <alignment horizontal="left" wrapText="1"/>
    </xf>
    <xf numFmtId="40" fontId="13" fillId="3" borderId="0" xfId="0" applyNumberFormat="1" applyFont="1" applyFill="1" applyAlignment="1">
      <alignment horizontal="right" indent="1"/>
    </xf>
    <xf numFmtId="40" fontId="0" fillId="3" borderId="0" xfId="0" applyNumberFormat="1" applyFill="1" applyAlignment="1">
      <alignment horizontal="right" indent="1"/>
    </xf>
    <xf numFmtId="40" fontId="13" fillId="2" borderId="0" xfId="0" applyNumberFormat="1" applyFont="1" applyFill="1" applyAlignment="1">
      <alignment horizontal="right" indent="1"/>
    </xf>
    <xf numFmtId="40" fontId="0" fillId="2" borderId="0" xfId="0" applyNumberFormat="1" applyFill="1" applyAlignment="1">
      <alignment horizontal="right" indent="1"/>
    </xf>
    <xf numFmtId="0" fontId="13" fillId="2" borderId="9" xfId="0" applyFont="1" applyFill="1" applyBorder="1" applyAlignment="1">
      <alignment horizontal="right" indent="1"/>
    </xf>
    <xf numFmtId="0" fontId="13" fillId="2" borderId="0" xfId="0" applyFont="1" applyFill="1" applyAlignment="1">
      <alignment horizontal="right" indent="1"/>
    </xf>
    <xf numFmtId="0" fontId="13" fillId="2" borderId="10" xfId="0" applyFont="1" applyFill="1" applyBorder="1" applyAlignment="1">
      <alignment horizontal="right" indent="1"/>
    </xf>
    <xf numFmtId="0" fontId="13" fillId="3" borderId="9" xfId="0" applyFont="1" applyFill="1" applyBorder="1" applyAlignment="1">
      <alignment horizontal="right" indent="1"/>
    </xf>
    <xf numFmtId="0" fontId="13" fillId="3" borderId="0" xfId="0" applyFont="1" applyFill="1" applyAlignment="1">
      <alignment horizontal="right" indent="1"/>
    </xf>
    <xf numFmtId="0" fontId="13" fillId="3" borderId="10" xfId="0" applyFont="1" applyFill="1" applyBorder="1" applyAlignment="1">
      <alignment horizontal="right" indent="1"/>
    </xf>
    <xf numFmtId="0" fontId="24" fillId="3" borderId="9" xfId="0" applyFont="1" applyFill="1" applyBorder="1" applyAlignment="1">
      <alignment horizontal="left" wrapText="1"/>
    </xf>
    <xf numFmtId="0" fontId="24" fillId="3" borderId="0" xfId="0" applyFont="1" applyFill="1" applyAlignment="1">
      <alignment horizontal="left" wrapText="1"/>
    </xf>
    <xf numFmtId="0" fontId="24" fillId="3" borderId="9" xfId="0" applyFont="1" applyFill="1" applyBorder="1" applyAlignment="1">
      <alignment horizontal="center" wrapText="1"/>
    </xf>
    <xf numFmtId="0" fontId="24" fillId="3" borderId="0" xfId="0" applyFont="1" applyFill="1" applyAlignment="1">
      <alignment horizontal="center" wrapText="1"/>
    </xf>
    <xf numFmtId="0" fontId="24" fillId="3" borderId="10" xfId="0" applyFont="1" applyFill="1" applyBorder="1" applyAlignment="1">
      <alignment horizontal="center" wrapText="1"/>
    </xf>
    <xf numFmtId="0" fontId="12" fillId="2" borderId="9" xfId="0" applyFont="1" applyFill="1" applyBorder="1" applyAlignment="1">
      <alignment horizontal="right" vertical="center" wrapText="1"/>
    </xf>
    <xf numFmtId="0" fontId="12" fillId="2" borderId="0" xfId="0" applyFont="1" applyFill="1" applyAlignment="1">
      <alignment horizontal="right" vertical="center"/>
    </xf>
    <xf numFmtId="0" fontId="12" fillId="2" borderId="10" xfId="0" applyFont="1" applyFill="1" applyBorder="1" applyAlignment="1">
      <alignment horizontal="right" vertical="center"/>
    </xf>
    <xf numFmtId="40" fontId="13" fillId="5" borderId="16" xfId="0" applyNumberFormat="1" applyFont="1" applyFill="1" applyBorder="1" applyAlignment="1">
      <alignment horizontal="right" vertical="center"/>
    </xf>
    <xf numFmtId="40" fontId="0" fillId="5" borderId="23" xfId="0" applyNumberFormat="1" applyFill="1" applyBorder="1" applyAlignment="1">
      <alignment horizontal="right" vertical="center"/>
    </xf>
    <xf numFmtId="0" fontId="24" fillId="2" borderId="9" xfId="0" applyFont="1" applyFill="1" applyBorder="1" applyAlignment="1">
      <alignment horizontal="center" wrapText="1"/>
    </xf>
    <xf numFmtId="0" fontId="24" fillId="2" borderId="0" xfId="0" applyFont="1" applyFill="1" applyAlignment="1">
      <alignment horizontal="center" wrapText="1"/>
    </xf>
    <xf numFmtId="0" fontId="24" fillId="2" borderId="10" xfId="0" applyFont="1" applyFill="1" applyBorder="1" applyAlignment="1">
      <alignment horizontal="center" wrapText="1"/>
    </xf>
    <xf numFmtId="0" fontId="0" fillId="0" borderId="0" xfId="0" applyAlignment="1">
      <alignment horizontal="right" vertical="center"/>
    </xf>
    <xf numFmtId="0" fontId="0" fillId="0" borderId="0" xfId="0" applyAlignment="1">
      <alignment vertical="center"/>
    </xf>
    <xf numFmtId="0" fontId="12" fillId="3" borderId="9" xfId="0" applyFont="1" applyFill="1" applyBorder="1" applyAlignment="1">
      <alignment horizontal="right" wrapText="1" indent="1"/>
    </xf>
    <xf numFmtId="0" fontId="10" fillId="0" borderId="0" xfId="0" applyFont="1" applyAlignment="1">
      <alignment horizontal="right" wrapText="1"/>
    </xf>
    <xf numFmtId="9" fontId="0" fillId="2" borderId="21" xfId="0" applyNumberFormat="1" applyFill="1" applyBorder="1"/>
    <xf numFmtId="9" fontId="0" fillId="2" borderId="0" xfId="0" applyNumberFormat="1" applyFill="1"/>
    <xf numFmtId="40" fontId="10" fillId="2" borderId="0" xfId="0" applyNumberFormat="1" applyFont="1" applyFill="1" applyAlignment="1">
      <alignment horizontal="right" indent="1"/>
    </xf>
    <xf numFmtId="0" fontId="40" fillId="0" borderId="2" xfId="0" applyFont="1" applyBorder="1"/>
    <xf numFmtId="0" fontId="40" fillId="0" borderId="0" xfId="0" applyFont="1"/>
    <xf numFmtId="0" fontId="10" fillId="3" borderId="28" xfId="0" applyFont="1" applyFill="1" applyBorder="1"/>
    <xf numFmtId="0" fontId="10" fillId="3" borderId="29" xfId="0" applyFont="1" applyFill="1" applyBorder="1"/>
    <xf numFmtId="0" fontId="10" fillId="3" borderId="30" xfId="0" applyFont="1" applyFill="1" applyBorder="1"/>
    <xf numFmtId="165" fontId="13" fillId="5" borderId="16" xfId="0" applyNumberFormat="1" applyFont="1" applyFill="1" applyBorder="1" applyAlignment="1">
      <alignment horizontal="right" indent="1"/>
    </xf>
    <xf numFmtId="165" fontId="0" fillId="5" borderId="23" xfId="0" applyNumberFormat="1" applyFill="1" applyBorder="1" applyAlignment="1">
      <alignment horizontal="right" indent="1"/>
    </xf>
    <xf numFmtId="0" fontId="13" fillId="2" borderId="9" xfId="0" applyFont="1" applyFill="1" applyBorder="1" applyAlignment="1">
      <alignment horizontal="left" indent="1"/>
    </xf>
    <xf numFmtId="0" fontId="13" fillId="2" borderId="0" xfId="0" applyFont="1" applyFill="1" applyAlignment="1">
      <alignment horizontal="left" indent="1"/>
    </xf>
    <xf numFmtId="0" fontId="13" fillId="2" borderId="9" xfId="0" applyFont="1" applyFill="1" applyBorder="1" applyAlignment="1">
      <alignment horizontal="right"/>
    </xf>
    <xf numFmtId="0" fontId="13" fillId="2" borderId="0" xfId="0" applyFont="1" applyFill="1" applyAlignment="1">
      <alignment horizontal="right"/>
    </xf>
    <xf numFmtId="0" fontId="24" fillId="3" borderId="10" xfId="0" applyFont="1" applyFill="1" applyBorder="1" applyAlignment="1">
      <alignment horizontal="left" wrapText="1"/>
    </xf>
    <xf numFmtId="0" fontId="10" fillId="0" borderId="0" xfId="0" applyFont="1" applyAlignment="1">
      <alignment horizontal="right" vertical="center" wrapText="1"/>
    </xf>
    <xf numFmtId="0" fontId="0" fillId="0" borderId="0" xfId="0" applyAlignment="1">
      <alignment horizontal="right" indent="1"/>
    </xf>
    <xf numFmtId="0" fontId="0" fillId="0" borderId="10" xfId="0" applyBorder="1" applyAlignment="1">
      <alignment horizontal="right" indent="1"/>
    </xf>
    <xf numFmtId="0" fontId="10" fillId="0" borderId="0" xfId="0" applyFont="1" applyAlignment="1">
      <alignment horizontal="right" indent="1"/>
    </xf>
    <xf numFmtId="0" fontId="10" fillId="0" borderId="10" xfId="0" applyFont="1" applyBorder="1" applyAlignment="1">
      <alignment horizontal="right" indent="1"/>
    </xf>
    <xf numFmtId="0" fontId="10" fillId="2" borderId="0" xfId="0" applyFont="1" applyFill="1" applyAlignment="1">
      <alignment horizontal="right" indent="1"/>
    </xf>
    <xf numFmtId="0" fontId="10" fillId="2" borderId="10" xfId="0" applyFont="1" applyFill="1" applyBorder="1" applyAlignment="1">
      <alignment horizontal="right" indent="1"/>
    </xf>
    <xf numFmtId="0" fontId="24" fillId="2" borderId="0" xfId="0" applyFont="1" applyFill="1" applyAlignment="1">
      <alignment vertical="top" wrapText="1"/>
    </xf>
    <xf numFmtId="0" fontId="28" fillId="2" borderId="0" xfId="0" applyFont="1" applyFill="1" applyAlignment="1">
      <alignment wrapText="1"/>
    </xf>
    <xf numFmtId="0" fontId="39" fillId="0" borderId="0" xfId="0" applyFont="1" applyAlignment="1">
      <alignment horizontal="right" vertical="top"/>
    </xf>
    <xf numFmtId="0" fontId="0" fillId="0" borderId="0" xfId="0" applyAlignment="1">
      <alignment horizontal="right" vertical="top"/>
    </xf>
    <xf numFmtId="0" fontId="33" fillId="0" borderId="0" xfId="0" applyFont="1" applyAlignment="1">
      <alignment vertical="top" wrapText="1"/>
    </xf>
    <xf numFmtId="0" fontId="0" fillId="0" borderId="0" xfId="0" applyAlignment="1">
      <alignment vertical="top" wrapText="1"/>
    </xf>
    <xf numFmtId="0" fontId="33" fillId="0" borderId="0" xfId="0" applyFont="1" applyAlignment="1">
      <alignment vertical="top"/>
    </xf>
    <xf numFmtId="0" fontId="0" fillId="0" borderId="0" xfId="0" applyAlignment="1">
      <alignment vertical="top"/>
    </xf>
    <xf numFmtId="0" fontId="0" fillId="3" borderId="0" xfId="0" applyFill="1" applyAlignment="1">
      <alignment horizontal="right" indent="1"/>
    </xf>
    <xf numFmtId="0" fontId="0" fillId="3" borderId="10" xfId="0" applyFill="1" applyBorder="1" applyAlignment="1">
      <alignment horizontal="right" indent="1"/>
    </xf>
    <xf numFmtId="40" fontId="12" fillId="5" borderId="16" xfId="0" applyNumberFormat="1" applyFont="1" applyFill="1" applyBorder="1" applyAlignment="1">
      <alignment horizontal="left" vertical="top" wrapText="1"/>
    </xf>
    <xf numFmtId="40" fontId="0" fillId="5" borderId="16" xfId="0" applyNumberFormat="1" applyFill="1" applyBorder="1" applyAlignment="1">
      <alignment horizontal="left" vertical="top" wrapText="1"/>
    </xf>
    <xf numFmtId="0" fontId="0" fillId="0" borderId="16" xfId="0" applyBorder="1" applyAlignment="1">
      <alignment horizontal="left" vertical="top" wrapText="1"/>
    </xf>
    <xf numFmtId="0" fontId="0" fillId="0" borderId="23" xfId="0" applyBorder="1" applyAlignment="1">
      <alignment horizontal="left" vertical="top" wrapText="1"/>
    </xf>
    <xf numFmtId="0" fontId="24" fillId="3" borderId="25" xfId="0" applyFont="1" applyFill="1" applyBorder="1" applyAlignment="1">
      <alignment vertical="top" wrapText="1"/>
    </xf>
    <xf numFmtId="0" fontId="24" fillId="2" borderId="25" xfId="0" applyFont="1" applyFill="1" applyBorder="1" applyAlignment="1">
      <alignment vertical="top" wrapText="1"/>
    </xf>
    <xf numFmtId="0" fontId="12" fillId="3" borderId="0" xfId="0" applyFont="1" applyFill="1" applyAlignment="1">
      <alignment horizontal="right" wrapText="1" indent="1"/>
    </xf>
    <xf numFmtId="0" fontId="0" fillId="0" borderId="0" xfId="0" applyAlignment="1">
      <alignment horizontal="right" wrapText="1" indent="1"/>
    </xf>
    <xf numFmtId="0" fontId="0" fillId="0" borderId="10" xfId="0" applyBorder="1" applyAlignment="1">
      <alignment horizontal="right" wrapText="1" indent="1"/>
    </xf>
    <xf numFmtId="165" fontId="13" fillId="5" borderId="22" xfId="0" applyNumberFormat="1" applyFont="1" applyFill="1" applyBorder="1" applyAlignment="1">
      <alignment horizontal="left" indent="1"/>
    </xf>
    <xf numFmtId="0" fontId="0" fillId="5" borderId="23" xfId="0" applyFill="1" applyBorder="1" applyAlignment="1">
      <alignment horizontal="left" indent="1"/>
    </xf>
    <xf numFmtId="0" fontId="0" fillId="2" borderId="0" xfId="0" applyFill="1" applyAlignment="1">
      <alignment vertical="top" wrapText="1"/>
    </xf>
    <xf numFmtId="0" fontId="38" fillId="0" borderId="0" xfId="0" applyFont="1" applyAlignment="1">
      <alignment horizontal="left"/>
    </xf>
    <xf numFmtId="0" fontId="10" fillId="3" borderId="0" xfId="0" applyFont="1" applyFill="1" applyAlignment="1">
      <alignment horizontal="right" indent="1"/>
    </xf>
    <xf numFmtId="0" fontId="10" fillId="3" borderId="10" xfId="0" applyFont="1" applyFill="1" applyBorder="1" applyAlignment="1">
      <alignment horizontal="right" indent="1"/>
    </xf>
    <xf numFmtId="40" fontId="13" fillId="2" borderId="0" xfId="0" applyNumberFormat="1" applyFont="1" applyFill="1" applyAlignment="1">
      <alignment horizontal="right" vertical="center"/>
    </xf>
    <xf numFmtId="40" fontId="0" fillId="0" borderId="0" xfId="0" applyNumberFormat="1" applyAlignment="1">
      <alignment horizontal="right" vertical="center"/>
    </xf>
    <xf numFmtId="0" fontId="24" fillId="2" borderId="25" xfId="0" applyFont="1" applyFill="1" applyBorder="1" applyAlignment="1">
      <alignment wrapText="1"/>
    </xf>
    <xf numFmtId="0" fontId="18" fillId="2" borderId="9" xfId="0" applyFont="1" applyFill="1" applyBorder="1" applyAlignment="1">
      <alignment horizontal="left" indent="1"/>
    </xf>
    <xf numFmtId="0" fontId="18" fillId="2" borderId="0" xfId="0" applyFont="1" applyFill="1" applyAlignment="1">
      <alignment horizontal="left" indent="1"/>
    </xf>
    <xf numFmtId="0" fontId="36" fillId="0" borderId="0" xfId="0" applyFont="1" applyAlignment="1">
      <alignment horizontal="left" indent="1"/>
    </xf>
    <xf numFmtId="0" fontId="0" fillId="0" borderId="0" xfId="0" applyAlignment="1">
      <alignment horizontal="left" indent="1"/>
    </xf>
    <xf numFmtId="0" fontId="0" fillId="0" borderId="3" xfId="0" applyBorder="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36" fillId="0" borderId="0" xfId="0" applyFont="1" applyAlignment="1">
      <alignment horizontal="left" indent="4"/>
    </xf>
    <xf numFmtId="40" fontId="0" fillId="0" borderId="0" xfId="0" applyNumberFormat="1" applyAlignment="1">
      <alignment horizontal="right" indent="1"/>
    </xf>
    <xf numFmtId="0" fontId="14" fillId="0" borderId="0" xfId="0" applyFont="1" applyAlignment="1">
      <alignment wrapText="1"/>
    </xf>
    <xf numFmtId="0" fontId="12" fillId="2" borderId="9" xfId="0" applyFont="1" applyFill="1" applyBorder="1" applyAlignment="1">
      <alignment horizontal="right" wrapText="1" indent="1"/>
    </xf>
    <xf numFmtId="0" fontId="12" fillId="2" borderId="0" xfId="0" applyFont="1" applyFill="1" applyAlignment="1">
      <alignment horizontal="right" wrapText="1" indent="1"/>
    </xf>
    <xf numFmtId="0" fontId="0" fillId="5" borderId="16" xfId="0" applyFill="1" applyBorder="1" applyAlignment="1">
      <alignment horizontal="left" indent="1"/>
    </xf>
    <xf numFmtId="0" fontId="0" fillId="0" borderId="16" xfId="0" applyBorder="1" applyAlignment="1">
      <alignment horizontal="left" indent="1"/>
    </xf>
    <xf numFmtId="0" fontId="0" fillId="0" borderId="23" xfId="0" applyBorder="1" applyAlignment="1">
      <alignment horizontal="left" indent="1"/>
    </xf>
    <xf numFmtId="0" fontId="14" fillId="0" borderId="13" xfId="0" applyFont="1" applyBorder="1" applyAlignment="1">
      <alignment wrapText="1"/>
    </xf>
    <xf numFmtId="0" fontId="0" fillId="0" borderId="13" xfId="0" applyBorder="1" applyAlignment="1">
      <alignment wrapText="1"/>
    </xf>
    <xf numFmtId="0" fontId="10" fillId="0" borderId="0" xfId="0" applyFont="1" applyAlignment="1">
      <alignment wrapText="1"/>
    </xf>
    <xf numFmtId="0" fontId="24" fillId="3" borderId="0" xfId="0" applyFont="1" applyFill="1" applyAlignment="1">
      <alignment vertical="top" wrapText="1"/>
    </xf>
    <xf numFmtId="0" fontId="12" fillId="5" borderId="16" xfId="0" applyFont="1" applyFill="1" applyBorder="1" applyAlignment="1">
      <alignment horizontal="left" vertical="center"/>
    </xf>
    <xf numFmtId="0" fontId="0" fillId="0" borderId="16" xfId="0" applyBorder="1" applyAlignment="1">
      <alignment horizontal="left" vertical="center"/>
    </xf>
    <xf numFmtId="0" fontId="0" fillId="0" borderId="23" xfId="0" applyBorder="1" applyAlignment="1">
      <alignment horizontal="left" vertical="center"/>
    </xf>
    <xf numFmtId="0" fontId="24" fillId="3" borderId="0" xfId="0" applyFont="1" applyFill="1"/>
    <xf numFmtId="0" fontId="28" fillId="0" borderId="0" xfId="0" applyFont="1"/>
    <xf numFmtId="0" fontId="28" fillId="0" borderId="10" xfId="0" applyFont="1" applyBorder="1"/>
    <xf numFmtId="0" fontId="24" fillId="2" borderId="0" xfId="0" applyFont="1" applyFill="1"/>
    <xf numFmtId="0" fontId="24" fillId="3" borderId="21" xfId="0" applyFont="1" applyFill="1" applyBorder="1" applyAlignment="1">
      <alignment vertical="top" wrapText="1"/>
    </xf>
    <xf numFmtId="0" fontId="28" fillId="0" borderId="0" xfId="0" applyFont="1" applyAlignment="1">
      <alignment wrapText="1"/>
    </xf>
    <xf numFmtId="0" fontId="0" fillId="0" borderId="0" xfId="0"/>
    <xf numFmtId="40" fontId="0" fillId="5" borderId="16" xfId="0" applyNumberFormat="1" applyFill="1" applyBorder="1" applyAlignment="1">
      <alignment horizontal="right" indent="1"/>
    </xf>
    <xf numFmtId="0" fontId="0" fillId="0" borderId="16" xfId="0" applyBorder="1" applyAlignment="1">
      <alignment horizontal="right" indent="1"/>
    </xf>
    <xf numFmtId="0" fontId="0" fillId="0" borderId="23" xfId="0" applyBorder="1" applyAlignment="1">
      <alignment horizontal="right" indent="1"/>
    </xf>
    <xf numFmtId="0" fontId="24" fillId="3" borderId="9" xfId="0" applyFont="1" applyFill="1" applyBorder="1" applyAlignment="1">
      <alignment horizontal="center" vertical="center" wrapText="1"/>
    </xf>
    <xf numFmtId="0" fontId="0" fillId="0" borderId="10" xfId="0" applyBorder="1"/>
    <xf numFmtId="40" fontId="8" fillId="2" borderId="0" xfId="0" applyNumberFormat="1" applyFont="1" applyFill="1" applyAlignment="1">
      <alignment wrapText="1"/>
    </xf>
    <xf numFmtId="40" fontId="12" fillId="3" borderId="0" xfId="0" applyNumberFormat="1" applyFont="1" applyFill="1" applyAlignment="1">
      <alignment horizontal="right" vertical="center"/>
    </xf>
    <xf numFmtId="0" fontId="0" fillId="0" borderId="13" xfId="0" applyBorder="1"/>
    <xf numFmtId="0" fontId="10" fillId="0" borderId="0" xfId="0" applyFont="1" applyAlignment="1">
      <alignment horizontal="right" wrapText="1" indent="1"/>
    </xf>
    <xf numFmtId="40" fontId="13" fillId="5" borderId="23" xfId="0" applyNumberFormat="1" applyFont="1" applyFill="1" applyBorder="1" applyAlignment="1">
      <alignment horizontal="right" indent="1"/>
    </xf>
    <xf numFmtId="0" fontId="24" fillId="2" borderId="9" xfId="0" applyFont="1" applyFill="1" applyBorder="1" applyAlignment="1">
      <alignment horizontal="center" vertical="center" wrapText="1"/>
    </xf>
    <xf numFmtId="0" fontId="13" fillId="3" borderId="9" xfId="0" applyFont="1" applyFill="1" applyBorder="1" applyAlignment="1">
      <alignment horizontal="right" wrapText="1" indent="1"/>
    </xf>
    <xf numFmtId="0" fontId="13" fillId="3" borderId="0" xfId="0" applyFont="1" applyFill="1" applyAlignment="1">
      <alignment horizontal="right" wrapText="1" indent="1"/>
    </xf>
    <xf numFmtId="0" fontId="10" fillId="0" borderId="10" xfId="0" applyFont="1" applyBorder="1" applyAlignment="1">
      <alignment horizontal="right" wrapText="1" indent="1"/>
    </xf>
    <xf numFmtId="0" fontId="24" fillId="3" borderId="25" xfId="0" applyFont="1" applyFill="1" applyBorder="1" applyAlignment="1">
      <alignment vertical="center" wrapText="1"/>
    </xf>
    <xf numFmtId="40" fontId="26" fillId="2" borderId="0" xfId="0" applyNumberFormat="1" applyFont="1" applyFill="1" applyAlignment="1">
      <alignment horizontal="right" wrapText="1" indent="1"/>
    </xf>
    <xf numFmtId="40" fontId="10" fillId="0" borderId="0" xfId="0" applyNumberFormat="1" applyFont="1" applyAlignment="1">
      <alignment horizontal="right" wrapText="1" indent="1"/>
    </xf>
    <xf numFmtId="40" fontId="13" fillId="5" borderId="16" xfId="0" applyNumberFormat="1" applyFont="1" applyFill="1" applyBorder="1" applyAlignment="1">
      <alignment horizontal="center" vertical="center" wrapText="1"/>
    </xf>
    <xf numFmtId="40" fontId="0" fillId="5" borderId="16" xfId="0" applyNumberFormat="1" applyFill="1" applyBorder="1" applyAlignment="1">
      <alignment horizontal="center" vertical="center" wrapText="1"/>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3" borderId="25" xfId="0" applyFill="1" applyBorder="1" applyAlignment="1">
      <alignment wrapText="1"/>
    </xf>
    <xf numFmtId="40" fontId="13" fillId="5" borderId="16" xfId="0" applyNumberFormat="1" applyFont="1" applyFill="1" applyBorder="1" applyAlignment="1">
      <alignment horizontal="right" vertical="center" indent="1"/>
    </xf>
    <xf numFmtId="40" fontId="13" fillId="5" borderId="23" xfId="0" applyNumberFormat="1" applyFont="1" applyFill="1" applyBorder="1" applyAlignment="1">
      <alignment horizontal="right" vertical="center" indent="1"/>
    </xf>
    <xf numFmtId="0" fontId="0" fillId="0" borderId="25" xfId="0" applyBorder="1" applyAlignment="1">
      <alignment vertical="top" wrapText="1"/>
    </xf>
    <xf numFmtId="40" fontId="13" fillId="3" borderId="0" xfId="0" applyNumberFormat="1" applyFont="1" applyFill="1" applyAlignment="1">
      <alignment horizontal="right" vertical="center"/>
    </xf>
    <xf numFmtId="40" fontId="0" fillId="3" borderId="0" xfId="0" applyNumberFormat="1" applyFill="1" applyAlignment="1">
      <alignment horizontal="right" vertical="center"/>
    </xf>
    <xf numFmtId="166" fontId="13" fillId="5" borderId="16" xfId="0" applyNumberFormat="1" applyFont="1" applyFill="1" applyBorder="1" applyAlignment="1">
      <alignment horizontal="right" indent="1"/>
    </xf>
    <xf numFmtId="0" fontId="18" fillId="3" borderId="9" xfId="0" applyFont="1" applyFill="1" applyBorder="1" applyAlignment="1">
      <alignment horizontal="left" indent="1"/>
    </xf>
    <xf numFmtId="0" fontId="18" fillId="3" borderId="0" xfId="0" applyFont="1" applyFill="1" applyAlignment="1">
      <alignment horizontal="left" indent="1"/>
    </xf>
    <xf numFmtId="0" fontId="36" fillId="3" borderId="0" xfId="0" applyFont="1" applyFill="1" applyAlignment="1">
      <alignment horizontal="left" indent="1"/>
    </xf>
    <xf numFmtId="0" fontId="13" fillId="2" borderId="9" xfId="0" applyFont="1" applyFill="1" applyBorder="1" applyAlignment="1">
      <alignment horizontal="right" wrapText="1" indent="1"/>
    </xf>
    <xf numFmtId="0" fontId="13" fillId="2" borderId="0" xfId="0" applyFont="1" applyFill="1" applyAlignment="1">
      <alignment horizontal="right" wrapText="1" indent="1"/>
    </xf>
    <xf numFmtId="40" fontId="13" fillId="2" borderId="0" xfId="0" applyNumberFormat="1" applyFont="1" applyFill="1" applyAlignment="1">
      <alignment horizontal="right" vertical="center" indent="1"/>
    </xf>
    <xf numFmtId="40" fontId="0" fillId="0" borderId="0" xfId="0" applyNumberFormat="1" applyAlignment="1">
      <alignment horizontal="right" vertical="center" indent="1"/>
    </xf>
    <xf numFmtId="0" fontId="21" fillId="3" borderId="9" xfId="0" applyFont="1" applyFill="1" applyBorder="1" applyAlignment="1">
      <alignment horizontal="left" indent="1"/>
    </xf>
    <xf numFmtId="0" fontId="21" fillId="3" borderId="0" xfId="0" applyFont="1" applyFill="1" applyAlignment="1">
      <alignment horizontal="left" indent="1"/>
    </xf>
    <xf numFmtId="0" fontId="37" fillId="0" borderId="0" xfId="0" applyFont="1" applyAlignment="1">
      <alignment horizontal="left" indent="1"/>
    </xf>
    <xf numFmtId="0" fontId="37" fillId="3" borderId="0" xfId="0" applyFont="1" applyFill="1" applyAlignment="1">
      <alignment horizontal="left" indent="1"/>
    </xf>
    <xf numFmtId="0" fontId="10" fillId="2" borderId="0" xfId="0" applyFont="1" applyFill="1" applyAlignment="1">
      <alignment horizontal="right" wrapText="1" indent="1"/>
    </xf>
    <xf numFmtId="0" fontId="10" fillId="2" borderId="10" xfId="0" applyFont="1" applyFill="1" applyBorder="1" applyAlignment="1">
      <alignment horizontal="right" wrapText="1" indent="1"/>
    </xf>
    <xf numFmtId="0" fontId="0" fillId="0" borderId="25" xfId="0" applyBorder="1" applyAlignment="1">
      <alignment wrapText="1"/>
    </xf>
    <xf numFmtId="0" fontId="13" fillId="3" borderId="14" xfId="0" applyFont="1" applyFill="1" applyBorder="1"/>
    <xf numFmtId="0" fontId="13" fillId="3" borderId="32" xfId="0" applyFont="1" applyFill="1" applyBorder="1"/>
    <xf numFmtId="1" fontId="13" fillId="2" borderId="0" xfId="0" applyNumberFormat="1" applyFont="1" applyFill="1" applyAlignment="1">
      <alignment horizontal="left" indent="1"/>
    </xf>
    <xf numFmtId="1" fontId="13" fillId="2" borderId="10" xfId="0" applyNumberFormat="1" applyFont="1" applyFill="1" applyBorder="1" applyAlignment="1">
      <alignment horizontal="left" indent="1"/>
    </xf>
    <xf numFmtId="0" fontId="13" fillId="2" borderId="0" xfId="0" applyFont="1" applyFill="1"/>
    <xf numFmtId="0" fontId="13" fillId="2" borderId="10" xfId="0" applyFont="1" applyFill="1" applyBorder="1"/>
    <xf numFmtId="0" fontId="13" fillId="3" borderId="0" xfId="0" applyFont="1" applyFill="1"/>
    <xf numFmtId="0" fontId="13" fillId="3" borderId="10" xfId="0" applyFont="1" applyFill="1" applyBorder="1"/>
    <xf numFmtId="0" fontId="10" fillId="0" borderId="0" xfId="0" applyFont="1"/>
    <xf numFmtId="164" fontId="14" fillId="0" borderId="0" xfId="0" applyNumberFormat="1" applyFont="1" applyAlignment="1">
      <alignment horizontal="left"/>
    </xf>
    <xf numFmtId="0" fontId="13" fillId="2" borderId="0" xfId="0" applyFont="1" applyFill="1" applyAlignment="1">
      <alignment horizontal="left"/>
    </xf>
    <xf numFmtId="0" fontId="13" fillId="2" borderId="10" xfId="0" applyFont="1" applyFill="1" applyBorder="1" applyAlignment="1">
      <alignment horizontal="left"/>
    </xf>
    <xf numFmtId="164" fontId="14" fillId="0" borderId="0" xfId="0" applyNumberFormat="1" applyFont="1"/>
    <xf numFmtId="0" fontId="27" fillId="0" borderId="0" xfId="0" applyFont="1" applyAlignment="1">
      <alignment horizontal="right" indent="1"/>
    </xf>
    <xf numFmtId="0" fontId="12" fillId="3" borderId="31" xfId="0" applyFont="1" applyFill="1" applyBorder="1" applyAlignment="1">
      <alignment horizontal="right" indent="1"/>
    </xf>
    <xf numFmtId="0" fontId="12" fillId="3" borderId="14" xfId="0" applyFont="1" applyFill="1" applyBorder="1" applyAlignment="1">
      <alignment horizontal="right" indent="1"/>
    </xf>
    <xf numFmtId="0" fontId="0" fillId="0" borderId="14" xfId="0" applyBorder="1" applyAlignment="1">
      <alignment horizontal="right" indent="1"/>
    </xf>
    <xf numFmtId="0" fontId="39" fillId="0" borderId="0" xfId="0" applyFont="1" applyAlignment="1">
      <alignment horizontal="right"/>
    </xf>
    <xf numFmtId="0" fontId="0" fillId="0" borderId="0" xfId="0" applyAlignment="1">
      <alignment horizontal="right"/>
    </xf>
    <xf numFmtId="0" fontId="14" fillId="2" borderId="0" xfId="0" applyFont="1" applyFill="1" applyAlignment="1">
      <alignment horizontal="left" vertical="top" indent="2"/>
    </xf>
    <xf numFmtId="0" fontId="23" fillId="0" borderId="0" xfId="0" applyFont="1" applyAlignment="1">
      <alignment horizontal="left" vertical="top" indent="2"/>
    </xf>
    <xf numFmtId="0" fontId="23" fillId="0" borderId="10" xfId="0" applyFont="1" applyBorder="1" applyAlignment="1">
      <alignment horizontal="left" vertical="top" indent="2"/>
    </xf>
    <xf numFmtId="0" fontId="14" fillId="3" borderId="0" xfId="0" applyFont="1" applyFill="1" applyAlignment="1">
      <alignment horizontal="left" vertical="top" indent="2"/>
    </xf>
    <xf numFmtId="165" fontId="13" fillId="2" borderId="0" xfId="0" applyNumberFormat="1" applyFont="1" applyFill="1" applyAlignment="1">
      <alignment horizontal="left" indent="1"/>
    </xf>
    <xf numFmtId="0" fontId="0" fillId="2" borderId="0" xfId="0" applyFill="1" applyAlignment="1">
      <alignment horizontal="left" indent="1"/>
    </xf>
    <xf numFmtId="165" fontId="13" fillId="3" borderId="0" xfId="0" applyNumberFormat="1" applyFont="1" applyFill="1" applyAlignment="1">
      <alignment horizontal="left" indent="1"/>
    </xf>
    <xf numFmtId="0" fontId="0" fillId="3" borderId="0" xfId="0" applyFill="1" applyAlignment="1">
      <alignment horizontal="left" indent="1"/>
    </xf>
    <xf numFmtId="40" fontId="13" fillId="2" borderId="0" xfId="0" applyNumberFormat="1" applyFont="1" applyFill="1" applyAlignment="1">
      <alignment vertical="center"/>
    </xf>
    <xf numFmtId="40" fontId="0" fillId="0" borderId="0" xfId="0" applyNumberFormat="1" applyAlignment="1">
      <alignment vertical="center"/>
    </xf>
    <xf numFmtId="0" fontId="13" fillId="3" borderId="9" xfId="0" applyFont="1" applyFill="1" applyBorder="1" applyAlignment="1">
      <alignment horizontal="right"/>
    </xf>
    <xf numFmtId="0" fontId="0" fillId="0" borderId="0" xfId="0" applyAlignment="1">
      <alignment horizontal="center" wrapText="1"/>
    </xf>
    <xf numFmtId="0" fontId="0" fillId="0" borderId="0" xfId="0" applyAlignment="1">
      <alignment horizontal="left"/>
    </xf>
    <xf numFmtId="0" fontId="0" fillId="2" borderId="25" xfId="0" applyFill="1" applyBorder="1" applyAlignment="1">
      <alignment wrapText="1"/>
    </xf>
    <xf numFmtId="0" fontId="0" fillId="2" borderId="0" xfId="0" applyFill="1" applyAlignment="1">
      <alignment wrapText="1"/>
    </xf>
    <xf numFmtId="0" fontId="12" fillId="2" borderId="10" xfId="0" applyFont="1" applyFill="1" applyBorder="1" applyAlignment="1">
      <alignment horizontal="right" wrapText="1" indent="1"/>
    </xf>
    <xf numFmtId="0" fontId="7" fillId="3" borderId="9" xfId="0" applyFont="1" applyFill="1" applyBorder="1" applyAlignment="1">
      <alignment horizontal="right" vertical="top" wrapText="1"/>
    </xf>
    <xf numFmtId="0" fontId="35" fillId="0" borderId="0" xfId="0" applyFont="1" applyAlignment="1">
      <alignment vertical="top"/>
    </xf>
    <xf numFmtId="167" fontId="13" fillId="5" borderId="16" xfId="0" applyNumberFormat="1" applyFont="1" applyFill="1" applyBorder="1" applyAlignment="1">
      <alignment horizontal="right" indent="1"/>
    </xf>
    <xf numFmtId="167" fontId="0" fillId="5" borderId="23" xfId="0" applyNumberFormat="1" applyFill="1" applyBorder="1" applyAlignment="1">
      <alignment horizontal="right" indent="1"/>
    </xf>
    <xf numFmtId="0" fontId="12" fillId="2" borderId="9" xfId="0" applyFont="1" applyFill="1" applyBorder="1" applyAlignment="1">
      <alignment horizontal="right" wrapText="1"/>
    </xf>
    <xf numFmtId="0" fontId="12" fillId="2" borderId="0" xfId="0" applyFont="1" applyFill="1" applyAlignment="1">
      <alignment horizontal="right" wrapText="1"/>
    </xf>
    <xf numFmtId="0" fontId="0" fillId="0" borderId="0" xfId="0" applyAlignment="1">
      <alignment horizontal="right" wrapText="1"/>
    </xf>
    <xf numFmtId="0" fontId="0" fillId="0" borderId="10" xfId="0" applyBorder="1" applyAlignment="1">
      <alignment horizontal="right" wrapText="1"/>
    </xf>
    <xf numFmtId="0" fontId="24" fillId="2" borderId="21" xfId="0" applyFont="1" applyFill="1" applyBorder="1" applyAlignment="1">
      <alignment vertical="top" wrapText="1"/>
    </xf>
    <xf numFmtId="0" fontId="12" fillId="3" borderId="0" xfId="0" applyFont="1" applyFill="1" applyAlignment="1">
      <alignment horizontal="left"/>
    </xf>
    <xf numFmtId="0" fontId="21" fillId="2" borderId="9" xfId="0" applyFont="1" applyFill="1" applyBorder="1" applyAlignment="1">
      <alignment horizontal="left" indent="1"/>
    </xf>
    <xf numFmtId="0" fontId="21" fillId="2" borderId="0" xfId="0" applyFont="1" applyFill="1" applyAlignment="1">
      <alignment horizontal="left" indent="1"/>
    </xf>
    <xf numFmtId="0" fontId="0" fillId="0" borderId="0" xfId="0" applyAlignment="1">
      <alignment horizontal="left" indent="4"/>
    </xf>
    <xf numFmtId="0" fontId="0" fillId="0" borderId="3" xfId="0" applyBorder="1" applyAlignment="1">
      <alignment horizontal="left" indent="4"/>
    </xf>
    <xf numFmtId="0" fontId="0" fillId="0" borderId="25" xfId="0" applyBorder="1"/>
    <xf numFmtId="0" fontId="12" fillId="2" borderId="9" xfId="0" applyFont="1" applyFill="1" applyBorder="1" applyAlignment="1">
      <alignment horizontal="right"/>
    </xf>
    <xf numFmtId="0" fontId="12" fillId="2" borderId="0" xfId="0" applyFont="1" applyFill="1" applyAlignment="1">
      <alignment horizontal="right"/>
    </xf>
    <xf numFmtId="14" fontId="13" fillId="2" borderId="0" xfId="0" applyNumberFormat="1" applyFont="1" applyFill="1" applyAlignment="1">
      <alignment horizontal="right" indent="1"/>
    </xf>
    <xf numFmtId="14" fontId="0" fillId="2" borderId="0" xfId="0" applyNumberFormat="1" applyFill="1" applyAlignment="1">
      <alignment horizontal="right" indent="1"/>
    </xf>
    <xf numFmtId="14" fontId="13" fillId="3" borderId="0" xfId="0" applyNumberFormat="1" applyFont="1" applyFill="1" applyAlignment="1">
      <alignment horizontal="right" indent="1"/>
    </xf>
    <xf numFmtId="14" fontId="0" fillId="3" borderId="0" xfId="0" applyNumberFormat="1" applyFill="1" applyAlignment="1">
      <alignment horizontal="right" indent="1"/>
    </xf>
    <xf numFmtId="0" fontId="12" fillId="3" borderId="9" xfId="0" applyFont="1" applyFill="1" applyBorder="1" applyAlignment="1">
      <alignment horizontal="right"/>
    </xf>
    <xf numFmtId="0" fontId="12" fillId="3" borderId="0" xfId="0" applyFont="1" applyFill="1" applyAlignment="1">
      <alignment horizontal="right"/>
    </xf>
    <xf numFmtId="0" fontId="24" fillId="3" borderId="0" xfId="0" applyFont="1" applyFill="1" applyAlignment="1">
      <alignment horizontal="center" vertical="center" wrapText="1"/>
    </xf>
    <xf numFmtId="0" fontId="34" fillId="0" borderId="2" xfId="0" applyFont="1" applyBorder="1" applyAlignment="1">
      <alignment horizontal="left"/>
    </xf>
    <xf numFmtId="0" fontId="34" fillId="0" borderId="0" xfId="0" applyFont="1" applyAlignment="1">
      <alignment horizontal="left"/>
    </xf>
    <xf numFmtId="0" fontId="33" fillId="0" borderId="0" xfId="0" applyFont="1" applyAlignment="1">
      <alignment horizontal="left" vertical="top" wrapText="1"/>
    </xf>
    <xf numFmtId="0" fontId="24" fillId="2" borderId="9" xfId="0" applyFont="1" applyFill="1" applyBorder="1" applyAlignment="1">
      <alignment horizontal="left" wrapText="1"/>
    </xf>
    <xf numFmtId="0" fontId="24" fillId="2" borderId="0" xfId="0" applyFont="1" applyFill="1" applyAlignment="1">
      <alignment horizontal="left" wrapText="1"/>
    </xf>
    <xf numFmtId="0" fontId="24" fillId="2" borderId="10" xfId="0" applyFont="1"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Companysecretary.xlsx" TargetMode="External"/><Relationship Id="rId1" Type="http://schemas.openxmlformats.org/officeDocument/2006/relationships/externalLinkPath" Target="Companysecret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5-03-31%20(Mar25)%20Excel%202007/Fixedassets.xlsx" TargetMode="External"/><Relationship Id="rId1" Type="http://schemas.openxmlformats.org/officeDocument/2006/relationships/externalLinkPath" Target="Fixedass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50">
          <cell r="G50">
            <v>0</v>
          </cell>
        </row>
        <row r="85">
          <cell r="G85">
            <v>0</v>
          </cell>
        </row>
      </sheetData>
      <sheetData sheetId="1">
        <row r="19">
          <cell r="D19">
            <v>0</v>
          </cell>
          <cell r="EJ19">
            <v>0</v>
          </cell>
        </row>
        <row r="20">
          <cell r="D20">
            <v>0</v>
          </cell>
          <cell r="EJ20">
            <v>0</v>
          </cell>
        </row>
        <row r="22">
          <cell r="B22" t="str">
            <v>Bank Current Account</v>
          </cell>
          <cell r="D22">
            <v>0</v>
          </cell>
          <cell r="EJ22">
            <v>0</v>
          </cell>
        </row>
        <row r="23">
          <cell r="B23" t="str">
            <v>Bank Savings Account</v>
          </cell>
          <cell r="D23">
            <v>0</v>
          </cell>
          <cell r="EJ23">
            <v>0</v>
          </cell>
        </row>
        <row r="24">
          <cell r="B24" t="str">
            <v>Credit Card Account</v>
          </cell>
          <cell r="D24">
            <v>0</v>
          </cell>
          <cell r="EJ24">
            <v>0</v>
          </cell>
        </row>
        <row r="25">
          <cell r="B25" t="str">
            <v>Cash Account</v>
          </cell>
          <cell r="D25">
            <v>0</v>
          </cell>
          <cell r="EJ25">
            <v>0</v>
          </cell>
        </row>
        <row r="26">
          <cell r="B26" t="str">
            <v>Intra Cash &amp; Bank Transfers</v>
          </cell>
          <cell r="D26">
            <v>0</v>
          </cell>
          <cell r="EJ26">
            <v>0</v>
          </cell>
        </row>
        <row r="28">
          <cell r="D28">
            <v>0</v>
          </cell>
          <cell r="EJ28">
            <v>0</v>
          </cell>
        </row>
        <row r="29">
          <cell r="D29">
            <v>0</v>
          </cell>
          <cell r="EJ29">
            <v>0</v>
          </cell>
        </row>
        <row r="30">
          <cell r="D30">
            <v>0</v>
          </cell>
          <cell r="EJ30">
            <v>0</v>
          </cell>
        </row>
        <row r="31">
          <cell r="D31">
            <v>0</v>
          </cell>
          <cell r="EJ31">
            <v>0</v>
          </cell>
        </row>
        <row r="32">
          <cell r="D32">
            <v>0</v>
          </cell>
          <cell r="EJ32">
            <v>0</v>
          </cell>
        </row>
        <row r="33">
          <cell r="D33">
            <v>0</v>
          </cell>
          <cell r="EJ33">
            <v>0</v>
          </cell>
        </row>
        <row r="34">
          <cell r="D34">
            <v>0</v>
          </cell>
          <cell r="EJ34">
            <v>0</v>
          </cell>
        </row>
        <row r="35">
          <cell r="D35">
            <v>0</v>
          </cell>
          <cell r="EH35">
            <v>0</v>
          </cell>
          <cell r="EJ35">
            <v>0</v>
          </cell>
        </row>
        <row r="37">
          <cell r="D37">
            <v>0</v>
          </cell>
          <cell r="EJ37">
            <v>0</v>
          </cell>
        </row>
        <row r="39">
          <cell r="D39">
            <v>0</v>
          </cell>
          <cell r="EJ39">
            <v>0</v>
          </cell>
        </row>
        <row r="40">
          <cell r="D40">
            <v>0</v>
          </cell>
          <cell r="EJ40">
            <v>0</v>
          </cell>
        </row>
        <row r="48">
          <cell r="EJ48">
            <v>0</v>
          </cell>
        </row>
        <row r="53">
          <cell r="EJ53">
            <v>0</v>
          </cell>
        </row>
        <row r="54">
          <cell r="EJ54">
            <v>0</v>
          </cell>
        </row>
        <row r="55">
          <cell r="EJ55">
            <v>0</v>
          </cell>
        </row>
        <row r="56">
          <cell r="EJ56">
            <v>0</v>
          </cell>
        </row>
        <row r="57">
          <cell r="EJ57">
            <v>0</v>
          </cell>
        </row>
        <row r="58">
          <cell r="EJ58">
            <v>0</v>
          </cell>
        </row>
        <row r="60">
          <cell r="EJ60">
            <v>0</v>
          </cell>
        </row>
        <row r="61">
          <cell r="EJ61">
            <v>0</v>
          </cell>
        </row>
        <row r="62">
          <cell r="EJ62">
            <v>0</v>
          </cell>
        </row>
        <row r="64">
          <cell r="EJ64">
            <v>0</v>
          </cell>
        </row>
        <row r="65">
          <cell r="EJ65">
            <v>0</v>
          </cell>
        </row>
        <row r="66">
          <cell r="EJ66">
            <v>0</v>
          </cell>
        </row>
        <row r="67">
          <cell r="EJ67">
            <v>0</v>
          </cell>
        </row>
        <row r="68">
          <cell r="EJ68">
            <v>0</v>
          </cell>
        </row>
        <row r="69">
          <cell r="EJ69">
            <v>0</v>
          </cell>
        </row>
        <row r="70">
          <cell r="EJ70">
            <v>0</v>
          </cell>
        </row>
        <row r="71">
          <cell r="EJ71">
            <v>0</v>
          </cell>
        </row>
        <row r="72">
          <cell r="EJ72">
            <v>0</v>
          </cell>
        </row>
        <row r="73">
          <cell r="EJ73">
            <v>0</v>
          </cell>
        </row>
        <row r="74">
          <cell r="EJ74">
            <v>0</v>
          </cell>
        </row>
        <row r="75">
          <cell r="EJ75">
            <v>0</v>
          </cell>
        </row>
        <row r="76">
          <cell r="EJ76">
            <v>0</v>
          </cell>
        </row>
        <row r="77">
          <cell r="EJ77">
            <v>0</v>
          </cell>
        </row>
        <row r="78">
          <cell r="EJ78">
            <v>0</v>
          </cell>
        </row>
        <row r="79">
          <cell r="EJ79">
            <v>0</v>
          </cell>
        </row>
        <row r="80">
          <cell r="EJ80">
            <v>0</v>
          </cell>
        </row>
        <row r="81">
          <cell r="EJ81">
            <v>0</v>
          </cell>
        </row>
        <row r="82">
          <cell r="EJ82">
            <v>0</v>
          </cell>
        </row>
        <row r="83">
          <cell r="EJ83">
            <v>0</v>
          </cell>
        </row>
        <row r="84">
          <cell r="EJ84">
            <v>0</v>
          </cell>
        </row>
        <row r="85">
          <cell r="EJ85">
            <v>0</v>
          </cell>
        </row>
        <row r="86">
          <cell r="EJ86">
            <v>0</v>
          </cell>
        </row>
        <row r="87">
          <cell r="EJ87">
            <v>0</v>
          </cell>
        </row>
        <row r="88">
          <cell r="EJ88">
            <v>0</v>
          </cell>
        </row>
        <row r="89">
          <cell r="EJ89">
            <v>0</v>
          </cell>
        </row>
        <row r="91">
          <cell r="EJ91">
            <v>0</v>
          </cell>
        </row>
      </sheetData>
      <sheetData sheetId="2"/>
      <sheetData sheetId="3"/>
      <sheetData sheetId="4">
        <row r="33">
          <cell r="F33">
            <v>0</v>
          </cell>
        </row>
        <row r="38">
          <cell r="B38">
            <v>0</v>
          </cell>
          <cell r="F38">
            <v>0</v>
          </cell>
        </row>
        <row r="39">
          <cell r="F39">
            <v>0</v>
          </cell>
        </row>
      </sheetData>
      <sheetData sheetId="5">
        <row r="8">
          <cell r="B8">
            <v>0</v>
          </cell>
          <cell r="C8">
            <v>0</v>
          </cell>
          <cell r="D8">
            <v>0</v>
          </cell>
          <cell r="E8">
            <v>0</v>
          </cell>
          <cell r="F8">
            <v>0</v>
          </cell>
        </row>
        <row r="9">
          <cell r="B9">
            <v>0</v>
          </cell>
          <cell r="C9">
            <v>0</v>
          </cell>
          <cell r="D9">
            <v>0</v>
          </cell>
          <cell r="E9">
            <v>0</v>
          </cell>
          <cell r="F9">
            <v>0</v>
          </cell>
        </row>
        <row r="10">
          <cell r="B10">
            <v>0</v>
          </cell>
          <cell r="C10">
            <v>0</v>
          </cell>
          <cell r="D10">
            <v>0</v>
          </cell>
          <cell r="E10">
            <v>0</v>
          </cell>
          <cell r="F10">
            <v>0</v>
          </cell>
        </row>
        <row r="14">
          <cell r="B14">
            <v>0</v>
          </cell>
          <cell r="C14">
            <v>0</v>
          </cell>
          <cell r="D14">
            <v>0</v>
          </cell>
          <cell r="E14">
            <v>0</v>
          </cell>
          <cell r="F14">
            <v>0</v>
          </cell>
        </row>
        <row r="15">
          <cell r="B15">
            <v>0</v>
          </cell>
          <cell r="C15">
            <v>0</v>
          </cell>
          <cell r="D15">
            <v>0</v>
          </cell>
          <cell r="E15">
            <v>0</v>
          </cell>
          <cell r="F15">
            <v>0</v>
          </cell>
        </row>
        <row r="16">
          <cell r="B16">
            <v>0</v>
          </cell>
          <cell r="C16">
            <v>0</v>
          </cell>
          <cell r="D16">
            <v>0</v>
          </cell>
          <cell r="E16">
            <v>0</v>
          </cell>
          <cell r="F16">
            <v>0</v>
          </cell>
        </row>
        <row r="27">
          <cell r="B27">
            <v>0</v>
          </cell>
        </row>
        <row r="28">
          <cell r="B28">
            <v>0.1</v>
          </cell>
        </row>
        <row r="29">
          <cell r="B29">
            <v>0.2</v>
          </cell>
        </row>
        <row r="30">
          <cell r="B30">
            <v>0.33</v>
          </cell>
        </row>
        <row r="31">
          <cell r="B31">
            <v>0.25</v>
          </cell>
        </row>
      </sheetData>
      <sheetData sheetId="6"/>
      <sheetData sheetId="7">
        <row r="16">
          <cell r="I16">
            <v>0</v>
          </cell>
        </row>
        <row r="17">
          <cell r="I17">
            <v>0</v>
          </cell>
        </row>
        <row r="18">
          <cell r="I18">
            <v>0</v>
          </cell>
        </row>
        <row r="33">
          <cell r="A33">
            <v>365</v>
          </cell>
          <cell r="C33">
            <v>45383</v>
          </cell>
          <cell r="E33">
            <v>2024</v>
          </cell>
          <cell r="G33">
            <v>19</v>
          </cell>
        </row>
        <row r="34">
          <cell r="A34">
            <v>365</v>
          </cell>
          <cell r="D34">
            <v>46112</v>
          </cell>
          <cell r="E34">
            <v>2025</v>
          </cell>
          <cell r="G34">
            <v>19</v>
          </cell>
        </row>
        <row r="35">
          <cell r="A35">
            <v>730</v>
          </cell>
        </row>
        <row r="79">
          <cell r="F79">
            <v>0</v>
          </cell>
          <cell r="I79">
            <v>0</v>
          </cell>
        </row>
        <row r="102">
          <cell r="K102">
            <v>0</v>
          </cell>
        </row>
      </sheetData>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ardmeeting"/>
      <sheetName val="Directors&amp;Secretary"/>
      <sheetName val="RegisterofMembers"/>
      <sheetName val="DirectorsInterests"/>
      <sheetName val="Charges&amp;Debentures"/>
    </sheetNames>
    <sheetDataSet>
      <sheetData sheetId="0"/>
      <sheetData sheetId="1"/>
      <sheetData sheetId="2">
        <row r="1">
          <cell r="F1">
            <v>1</v>
          </cell>
          <cell r="G1">
            <v>0</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sheetName val="FAreconciliation"/>
      <sheetName val="HPfinance"/>
    </sheetNames>
    <sheetDataSet>
      <sheetData sheetId="0">
        <row r="1">
          <cell r="G1">
            <v>0</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360"/>
  <sheetViews>
    <sheetView tabSelected="1" zoomScaleNormal="100" workbookViewId="0">
      <selection activeCell="A11" sqref="A11"/>
    </sheetView>
  </sheetViews>
  <sheetFormatPr baseColWidth="10" defaultColWidth="8.83203125" defaultRowHeight="15" x14ac:dyDescent="0.2"/>
  <cols>
    <col min="1" max="1" width="13.6640625" customWidth="1"/>
    <col min="2" max="2" width="5.6640625" customWidth="1"/>
    <col min="3" max="4" width="9.6640625" customWidth="1"/>
    <col min="5" max="5" width="2" customWidth="1"/>
    <col min="6" max="6" width="6.5" customWidth="1"/>
    <col min="7" max="7" width="2" customWidth="1"/>
    <col min="8" max="8" width="9.1640625" customWidth="1"/>
    <col min="9" max="9" width="13.33203125" customWidth="1"/>
    <col min="10" max="10" width="2.5" customWidth="1"/>
    <col min="11" max="11" width="2" customWidth="1"/>
    <col min="12" max="12" width="6.6640625" customWidth="1"/>
    <col min="13" max="13" width="2" customWidth="1"/>
    <col min="14" max="14" width="11.5" customWidth="1"/>
    <col min="15" max="15" width="11" customWidth="1"/>
    <col min="16" max="16" width="3.5" customWidth="1"/>
    <col min="17" max="17" width="1.6640625" customWidth="1"/>
  </cols>
  <sheetData>
    <row r="1" spans="1:30" x14ac:dyDescent="0.2">
      <c r="F1" s="345"/>
      <c r="G1" s="345"/>
      <c r="H1" s="345"/>
      <c r="K1" s="396" t="str">
        <f>UPPER([1]OpenAccounts!$E$2)</f>
        <v/>
      </c>
      <c r="L1" s="396"/>
      <c r="M1" s="396"/>
      <c r="N1" s="396"/>
      <c r="O1" s="396"/>
      <c r="P1" s="396"/>
    </row>
    <row r="2" spans="1:30" x14ac:dyDescent="0.2">
      <c r="A2" s="405" t="s">
        <v>512</v>
      </c>
      <c r="B2" s="406"/>
      <c r="C2" s="406"/>
      <c r="D2" s="184">
        <v>0</v>
      </c>
      <c r="E2" s="185" t="s">
        <v>513</v>
      </c>
      <c r="H2" s="401" t="s">
        <v>20</v>
      </c>
      <c r="I2" s="283"/>
      <c r="J2" s="400">
        <f>H46</f>
        <v>45383</v>
      </c>
      <c r="K2" s="400"/>
      <c r="L2" s="400"/>
      <c r="M2" s="19" t="s">
        <v>0</v>
      </c>
      <c r="N2" s="397">
        <f>IF(H59&gt;0,H59,H51)</f>
        <v>46112</v>
      </c>
      <c r="O2" s="397"/>
      <c r="P2" s="345"/>
    </row>
    <row r="3" spans="1:30" x14ac:dyDescent="0.2">
      <c r="A3" s="405" t="s">
        <v>514</v>
      </c>
      <c r="B3" s="406"/>
      <c r="C3" s="406"/>
      <c r="D3" s="210">
        <v>0</v>
      </c>
      <c r="E3" t="s">
        <v>61</v>
      </c>
      <c r="H3" s="131"/>
      <c r="I3" s="132"/>
      <c r="J3" s="132"/>
      <c r="K3" s="133"/>
      <c r="M3" s="19"/>
      <c r="N3" s="134"/>
      <c r="O3" s="134"/>
    </row>
    <row r="4" spans="1:30" ht="34.5" customHeight="1" x14ac:dyDescent="0.2">
      <c r="A4" s="291" t="s">
        <v>520</v>
      </c>
      <c r="B4" s="292"/>
      <c r="C4" s="292"/>
      <c r="D4" s="293" t="str">
        <f>IF(ROUND([1]TrialBalance!$EJ$91,2)&lt;&gt;0,"Trial Balance shows audit accuracy check (bottom right), correct before completing return.","Trail Balance shows aggregate zero for errors.")</f>
        <v>Trail Balance shows aggregate zero for errors.</v>
      </c>
      <c r="E4" s="294"/>
      <c r="F4" s="294"/>
      <c r="G4" s="294"/>
      <c r="H4" s="294"/>
      <c r="I4" s="294"/>
      <c r="J4" s="294"/>
      <c r="K4" s="294"/>
      <c r="L4" s="294"/>
      <c r="M4" s="294"/>
      <c r="N4" s="294"/>
      <c r="O4" s="294"/>
      <c r="P4" s="294"/>
      <c r="R4" s="293" t="s">
        <v>953</v>
      </c>
      <c r="S4" s="293"/>
      <c r="T4" s="293"/>
      <c r="U4" s="293"/>
      <c r="V4" s="293"/>
      <c r="W4" s="209"/>
      <c r="X4" s="209"/>
      <c r="Y4" s="209"/>
      <c r="Z4" s="209"/>
      <c r="AA4" s="209"/>
      <c r="AB4" s="209"/>
      <c r="AC4" s="209"/>
      <c r="AD4" s="209"/>
    </row>
    <row r="5" spans="1:30" ht="36" customHeight="1" x14ac:dyDescent="0.2">
      <c r="A5" s="291" t="s">
        <v>521</v>
      </c>
      <c r="B5" s="292"/>
      <c r="C5" s="292"/>
      <c r="D5" s="293" t="str">
        <f>IF(ROUND([1]PubBalSht!$F$33,2)-ROUND([1]PubBalSht!$F$39,2)&lt;&gt;0,"In Financial Accounts, Balance Sheet's Net Assets and Shareholder's funds do not balance. Correct before completing return.","Financial Accounts' Balance Sheet balances.")</f>
        <v>Financial Accounts' Balance Sheet balances.</v>
      </c>
      <c r="E5" s="294"/>
      <c r="F5" s="294"/>
      <c r="G5" s="294"/>
      <c r="H5" s="294"/>
      <c r="I5" s="294"/>
      <c r="J5" s="294"/>
      <c r="K5" s="294"/>
      <c r="L5" s="294"/>
      <c r="M5" s="294"/>
      <c r="N5" s="294"/>
      <c r="O5" s="294"/>
      <c r="P5" s="294"/>
      <c r="R5" s="449" t="s">
        <v>954</v>
      </c>
      <c r="S5" s="449"/>
      <c r="T5" s="449"/>
      <c r="U5" s="449"/>
      <c r="V5" s="449"/>
    </row>
    <row r="6" spans="1:30" ht="66.75" customHeight="1" x14ac:dyDescent="0.2">
      <c r="A6" s="291" t="s">
        <v>522</v>
      </c>
      <c r="B6" s="292"/>
      <c r="C6" s="292"/>
      <c r="D6" s="293" t="str">
        <f>IF(ABS(H286-H309)&gt;0,"Rounding has possibly resulted in an difference between Total net assets (box AC68) and the shareholders Funds (box AC80). Check for errors then consider setting the rounding compensation (above) to absorb this error into the cash at hand balance.","The Balance Sheet balances.")</f>
        <v>The Balance Sheet balances.</v>
      </c>
      <c r="E6" s="294"/>
      <c r="F6" s="294"/>
      <c r="G6" s="294"/>
      <c r="H6" s="294"/>
      <c r="I6" s="294"/>
      <c r="J6" s="294"/>
      <c r="K6" s="294"/>
      <c r="L6" s="294"/>
      <c r="M6" s="294"/>
      <c r="N6" s="294"/>
      <c r="O6" s="294"/>
      <c r="P6" s="294"/>
      <c r="R6" s="449" t="s">
        <v>955</v>
      </c>
      <c r="S6" s="449"/>
      <c r="T6" s="449"/>
      <c r="U6" s="449"/>
      <c r="V6" s="449"/>
    </row>
    <row r="7" spans="1:30" ht="17" x14ac:dyDescent="0.2">
      <c r="A7" s="187"/>
      <c r="B7" s="187"/>
      <c r="C7" s="188"/>
      <c r="D7" s="295" t="str">
        <f>IF(H1220&lt;&gt;0,"Rounding compensation of " &amp; TEXT(H1220,"0.00") &amp; " applied.","No rounding compensation applied.")</f>
        <v>No rounding compensation applied.</v>
      </c>
      <c r="E7" s="296"/>
      <c r="F7" s="296"/>
      <c r="G7" s="296"/>
      <c r="H7" s="296"/>
      <c r="I7" s="296"/>
      <c r="J7" s="296"/>
      <c r="K7" s="296"/>
      <c r="L7" s="296"/>
      <c r="M7" s="296"/>
      <c r="N7" s="296"/>
      <c r="O7" s="296"/>
      <c r="P7" s="296"/>
    </row>
    <row r="8" spans="1:30" ht="16" x14ac:dyDescent="0.2">
      <c r="A8" s="231" t="s">
        <v>1</v>
      </c>
      <c r="B8" s="232"/>
      <c r="C8" s="232"/>
      <c r="D8" s="232"/>
      <c r="F8" s="233" t="s">
        <v>12</v>
      </c>
      <c r="G8" s="233"/>
      <c r="H8" s="233"/>
      <c r="I8" s="233"/>
      <c r="J8" s="233"/>
      <c r="K8" s="233"/>
      <c r="L8" s="233"/>
      <c r="M8" s="233"/>
      <c r="N8" s="233"/>
      <c r="O8" s="233"/>
      <c r="P8" s="233"/>
      <c r="Q8" s="233"/>
    </row>
    <row r="9" spans="1:30" ht="5" customHeight="1" x14ac:dyDescent="0.2">
      <c r="A9" s="1"/>
      <c r="B9" s="1"/>
      <c r="C9" s="1"/>
      <c r="D9" s="1"/>
      <c r="E9" s="1"/>
      <c r="F9" s="1"/>
      <c r="G9" s="1"/>
      <c r="H9" s="1"/>
      <c r="I9" s="1"/>
      <c r="J9" s="1"/>
      <c r="K9" s="1"/>
      <c r="L9" s="1"/>
      <c r="M9" s="1"/>
      <c r="N9" s="1"/>
      <c r="O9" s="1"/>
      <c r="P9" s="1"/>
      <c r="Q9" s="1"/>
    </row>
    <row r="10" spans="1:30" x14ac:dyDescent="0.2">
      <c r="A10" s="234" t="s">
        <v>2</v>
      </c>
      <c r="B10" s="235"/>
      <c r="C10" s="235"/>
      <c r="D10" s="235"/>
      <c r="E10" s="236"/>
      <c r="F10" s="236"/>
      <c r="G10" s="236"/>
      <c r="H10" s="236"/>
      <c r="I10" s="236"/>
      <c r="J10" s="236"/>
      <c r="K10" s="236"/>
      <c r="L10" s="236"/>
      <c r="M10" s="236"/>
      <c r="N10" s="236"/>
      <c r="O10" s="236"/>
      <c r="P10" s="236"/>
      <c r="Q10" s="237"/>
    </row>
    <row r="11" spans="1:30" x14ac:dyDescent="0.2">
      <c r="A11" s="39" t="s">
        <v>13</v>
      </c>
      <c r="B11" s="39"/>
      <c r="C11" s="39"/>
      <c r="D11" s="39"/>
      <c r="E11" s="37"/>
      <c r="F11" s="37"/>
      <c r="G11" s="37"/>
      <c r="H11" s="37"/>
      <c r="I11" s="37"/>
      <c r="J11" s="37"/>
      <c r="K11" s="37"/>
      <c r="L11" s="37"/>
      <c r="M11" s="37"/>
      <c r="N11" s="37"/>
      <c r="O11" s="37"/>
      <c r="P11" s="37"/>
      <c r="Q11" s="38"/>
    </row>
    <row r="12" spans="1:30" x14ac:dyDescent="0.2">
      <c r="A12" s="36"/>
      <c r="Q12" s="2"/>
    </row>
    <row r="13" spans="1:30" ht="5" customHeight="1" x14ac:dyDescent="0.2">
      <c r="A13" s="3"/>
      <c r="B13" s="5"/>
      <c r="C13" s="5"/>
      <c r="D13" s="4"/>
      <c r="E13" s="5"/>
      <c r="F13" s="5"/>
      <c r="G13" s="5"/>
      <c r="H13" s="5"/>
      <c r="I13" s="5"/>
      <c r="J13" s="5"/>
      <c r="K13" s="5"/>
      <c r="L13" s="5"/>
      <c r="M13" s="5"/>
      <c r="N13" s="5"/>
      <c r="O13" s="5"/>
      <c r="P13" s="4"/>
      <c r="Q13" s="2"/>
    </row>
    <row r="14" spans="1:30" x14ac:dyDescent="0.2">
      <c r="A14" s="224" t="s">
        <v>4</v>
      </c>
      <c r="B14" s="225"/>
      <c r="C14" s="283"/>
      <c r="D14" s="284"/>
      <c r="E14" s="20"/>
      <c r="F14" s="398" t="str">
        <f>UPPER([1]OpenAccounts!$E$2)</f>
        <v/>
      </c>
      <c r="G14" s="398"/>
      <c r="H14" s="398"/>
      <c r="I14" s="398"/>
      <c r="J14" s="398"/>
      <c r="K14" s="398"/>
      <c r="L14" s="398"/>
      <c r="M14" s="398"/>
      <c r="N14" s="398"/>
      <c r="O14" s="398"/>
      <c r="P14" s="399"/>
      <c r="Q14" s="2"/>
    </row>
    <row r="15" spans="1:30" ht="5" customHeight="1" x14ac:dyDescent="0.2">
      <c r="A15" s="47"/>
      <c r="B15" s="21"/>
      <c r="C15" s="21"/>
      <c r="D15" s="9"/>
      <c r="E15" s="10"/>
      <c r="F15" s="10"/>
      <c r="G15" s="10"/>
      <c r="H15" s="10"/>
      <c r="I15" s="10"/>
      <c r="J15" s="10"/>
      <c r="K15" s="10"/>
      <c r="L15" s="10"/>
      <c r="M15" s="10"/>
      <c r="N15" s="10"/>
      <c r="O15" s="10"/>
      <c r="P15" s="28"/>
      <c r="Q15" s="2"/>
    </row>
    <row r="16" spans="1:30" x14ac:dyDescent="0.2">
      <c r="A16" s="402"/>
      <c r="B16" s="403"/>
      <c r="C16" s="404"/>
      <c r="D16" s="404"/>
      <c r="E16" s="35"/>
      <c r="F16" s="388"/>
      <c r="G16" s="388"/>
      <c r="H16" s="388"/>
      <c r="I16" s="388"/>
      <c r="J16" s="388"/>
      <c r="K16" s="388"/>
      <c r="L16" s="388"/>
      <c r="M16" s="388"/>
      <c r="N16" s="388"/>
      <c r="O16" s="388"/>
      <c r="P16" s="389"/>
      <c r="Q16" s="2"/>
    </row>
    <row r="17" spans="1:17" ht="5" customHeight="1" x14ac:dyDescent="0.2">
      <c r="A17" s="48"/>
      <c r="B17" s="23"/>
      <c r="C17" s="23"/>
      <c r="D17" s="7"/>
      <c r="E17" s="20"/>
      <c r="F17" s="27"/>
      <c r="G17" s="27"/>
      <c r="H17" s="27"/>
      <c r="I17" s="27"/>
      <c r="J17" s="27"/>
      <c r="K17" s="27"/>
      <c r="L17" s="27"/>
      <c r="M17" s="27"/>
      <c r="N17" s="27"/>
      <c r="O17" s="27"/>
      <c r="P17" s="26"/>
      <c r="Q17" s="2"/>
    </row>
    <row r="18" spans="1:17" x14ac:dyDescent="0.2">
      <c r="A18" s="224" t="s">
        <v>5</v>
      </c>
      <c r="B18" s="225"/>
      <c r="C18" s="283"/>
      <c r="D18" s="284"/>
      <c r="E18" s="20"/>
      <c r="F18" s="70" t="s">
        <v>3</v>
      </c>
      <c r="G18" s="43"/>
      <c r="H18" s="390" t="str">
        <f>IF([1]OpenAccounts!$E$3&gt;0,[1]OpenAccounts!$E$3,"")</f>
        <v/>
      </c>
      <c r="I18" s="390"/>
      <c r="J18" s="390"/>
      <c r="K18" s="390"/>
      <c r="L18" s="390"/>
      <c r="M18" s="390"/>
      <c r="N18" s="390"/>
      <c r="O18" s="390"/>
      <c r="P18" s="391"/>
      <c r="Q18" s="2"/>
    </row>
    <row r="19" spans="1:17" ht="3.75" customHeight="1" x14ac:dyDescent="0.2">
      <c r="A19" s="47"/>
      <c r="B19" s="21"/>
      <c r="C19" s="21"/>
      <c r="D19" s="9"/>
      <c r="E19" s="10"/>
      <c r="F19" s="10"/>
      <c r="G19" s="10"/>
      <c r="H19" s="10"/>
      <c r="I19" s="10"/>
      <c r="J19" s="10"/>
      <c r="K19" s="10"/>
      <c r="L19" s="10"/>
      <c r="M19" s="10"/>
      <c r="N19" s="10"/>
      <c r="O19" s="10"/>
      <c r="P19" s="28"/>
      <c r="Q19" s="2"/>
    </row>
    <row r="20" spans="1:17" x14ac:dyDescent="0.2">
      <c r="A20" s="402"/>
      <c r="B20" s="403"/>
      <c r="C20" s="404"/>
      <c r="D20" s="404"/>
      <c r="E20" s="35"/>
      <c r="F20" s="388"/>
      <c r="G20" s="388"/>
      <c r="H20" s="388"/>
      <c r="I20" s="388"/>
      <c r="J20" s="388"/>
      <c r="K20" s="388"/>
      <c r="L20" s="388"/>
      <c r="M20" s="388"/>
      <c r="N20" s="388"/>
      <c r="O20" s="388"/>
      <c r="P20" s="389"/>
      <c r="Q20" s="2"/>
    </row>
    <row r="21" spans="1:17" ht="5" customHeight="1" x14ac:dyDescent="0.2">
      <c r="A21" s="48"/>
      <c r="B21" s="23"/>
      <c r="C21" s="23"/>
      <c r="D21" s="7"/>
      <c r="E21" s="20"/>
      <c r="F21" s="27"/>
      <c r="G21" s="27"/>
      <c r="H21" s="27"/>
      <c r="I21" s="27"/>
      <c r="J21" s="27"/>
      <c r="K21" s="27"/>
      <c r="L21" s="27"/>
      <c r="M21" s="27"/>
      <c r="N21" s="27"/>
      <c r="O21" s="27"/>
      <c r="P21" s="26"/>
      <c r="Q21" s="2"/>
    </row>
    <row r="22" spans="1:17" x14ac:dyDescent="0.2">
      <c r="A22" s="224" t="s">
        <v>6</v>
      </c>
      <c r="B22" s="225"/>
      <c r="C22" s="283"/>
      <c r="D22" s="284"/>
      <c r="E22" s="20"/>
      <c r="F22" s="392" t="str">
        <f>IF([1]OpenAccounts!$J$3&gt;0,[1]OpenAccounts!$J$3,"")</f>
        <v/>
      </c>
      <c r="G22" s="392"/>
      <c r="H22" s="392"/>
      <c r="I22" s="392"/>
      <c r="J22" s="392"/>
      <c r="K22" s="392"/>
      <c r="L22" s="392"/>
      <c r="M22" s="392"/>
      <c r="N22" s="392"/>
      <c r="O22" s="392"/>
      <c r="P22" s="393"/>
      <c r="Q22" s="2"/>
    </row>
    <row r="23" spans="1:17" ht="3.75" customHeight="1" x14ac:dyDescent="0.2">
      <c r="A23" s="47"/>
      <c r="B23" s="21"/>
      <c r="C23" s="21"/>
      <c r="D23" s="9"/>
      <c r="E23" s="21"/>
      <c r="F23" s="10"/>
      <c r="G23" s="10"/>
      <c r="H23" s="10"/>
      <c r="I23" s="10"/>
      <c r="J23" s="10"/>
      <c r="K23" s="10"/>
      <c r="L23" s="10"/>
      <c r="M23" s="10"/>
      <c r="N23" s="10"/>
      <c r="O23" s="10"/>
      <c r="P23" s="28"/>
      <c r="Q23" s="2"/>
    </row>
    <row r="24" spans="1:17" ht="5" customHeight="1" x14ac:dyDescent="0.2">
      <c r="A24" s="49"/>
      <c r="B24" s="24"/>
      <c r="C24" s="24"/>
      <c r="D24" s="14"/>
      <c r="E24" s="24"/>
      <c r="F24" s="29"/>
      <c r="G24" s="29"/>
      <c r="H24" s="29"/>
      <c r="I24" s="29"/>
      <c r="J24" s="29"/>
      <c r="K24" s="29"/>
      <c r="L24" s="29"/>
      <c r="M24" s="29"/>
      <c r="N24" s="29"/>
      <c r="O24" s="29"/>
      <c r="P24" s="30"/>
      <c r="Q24" s="2"/>
    </row>
    <row r="25" spans="1:17" x14ac:dyDescent="0.2">
      <c r="A25" s="221"/>
      <c r="B25" s="222"/>
      <c r="C25" s="283"/>
      <c r="D25" s="284"/>
      <c r="E25" s="22"/>
      <c r="F25" s="394" t="str">
        <f>IF([1]OpenAccounts!$J$4&gt;0,[1]OpenAccounts!$J$4,"")</f>
        <v/>
      </c>
      <c r="G25" s="394"/>
      <c r="H25" s="394"/>
      <c r="I25" s="394"/>
      <c r="J25" s="394"/>
      <c r="K25" s="394"/>
      <c r="L25" s="394"/>
      <c r="M25" s="394"/>
      <c r="N25" s="394"/>
      <c r="O25" s="394"/>
      <c r="P25" s="395"/>
      <c r="Q25" s="2"/>
    </row>
    <row r="26" spans="1:17" ht="3.75" customHeight="1" x14ac:dyDescent="0.2">
      <c r="A26" s="50"/>
      <c r="B26" s="25"/>
      <c r="C26" s="25"/>
      <c r="D26" s="16"/>
      <c r="E26" s="25"/>
      <c r="F26" s="31"/>
      <c r="G26" s="31"/>
      <c r="H26" s="31"/>
      <c r="I26" s="31"/>
      <c r="J26" s="31"/>
      <c r="K26" s="31"/>
      <c r="L26" s="31"/>
      <c r="M26" s="31"/>
      <c r="N26" s="31"/>
      <c r="O26" s="31"/>
      <c r="P26" s="32"/>
      <c r="Q26" s="2"/>
    </row>
    <row r="27" spans="1:17" ht="5" customHeight="1" x14ac:dyDescent="0.2">
      <c r="A27" s="48"/>
      <c r="B27" s="23"/>
      <c r="C27" s="23"/>
      <c r="D27" s="12"/>
      <c r="E27" s="23"/>
      <c r="F27" s="33"/>
      <c r="G27" s="33"/>
      <c r="H27" s="33"/>
      <c r="I27" s="33"/>
      <c r="J27" s="33"/>
      <c r="K27" s="33"/>
      <c r="L27" s="33"/>
      <c r="M27" s="33"/>
      <c r="N27" s="33"/>
      <c r="O27" s="33"/>
      <c r="P27" s="34"/>
      <c r="Q27" s="2"/>
    </row>
    <row r="28" spans="1:17" x14ac:dyDescent="0.2">
      <c r="A28" s="224" t="s">
        <v>7</v>
      </c>
      <c r="B28" s="225"/>
      <c r="C28" s="283"/>
      <c r="D28" s="284"/>
      <c r="E28" s="20"/>
      <c r="F28" s="392" t="str">
        <f>IF([1]OpenAccounts!$J$6&gt;0,[1]OpenAccounts!$J$6,"")</f>
        <v/>
      </c>
      <c r="G28" s="392"/>
      <c r="H28" s="392"/>
      <c r="I28" s="392"/>
      <c r="J28" s="392"/>
      <c r="K28" s="392"/>
      <c r="L28" s="392"/>
      <c r="M28" s="392"/>
      <c r="N28" s="392"/>
      <c r="O28" s="392"/>
      <c r="P28" s="393"/>
      <c r="Q28" s="2"/>
    </row>
    <row r="29" spans="1:17" ht="3.75" customHeight="1" x14ac:dyDescent="0.2">
      <c r="A29" s="47"/>
      <c r="B29" s="21"/>
      <c r="C29" s="21"/>
      <c r="D29" s="9"/>
      <c r="E29" s="21"/>
      <c r="F29" s="10"/>
      <c r="G29" s="10"/>
      <c r="H29" s="10"/>
      <c r="I29" s="10"/>
      <c r="J29" s="10"/>
      <c r="K29" s="10"/>
      <c r="L29" s="10"/>
      <c r="M29" s="10"/>
      <c r="N29" s="10"/>
      <c r="O29" s="10"/>
      <c r="P29" s="28"/>
      <c r="Q29" s="2"/>
    </row>
    <row r="30" spans="1:17" ht="5" customHeight="1" x14ac:dyDescent="0.2">
      <c r="A30" s="49"/>
      <c r="B30" s="24"/>
      <c r="C30" s="24"/>
      <c r="D30" s="14"/>
      <c r="E30" s="24"/>
      <c r="F30" s="29"/>
      <c r="G30" s="29"/>
      <c r="H30" s="29"/>
      <c r="I30" s="29"/>
      <c r="J30" s="29"/>
      <c r="K30" s="29"/>
      <c r="L30" s="29"/>
      <c r="M30" s="29"/>
      <c r="N30" s="29"/>
      <c r="O30" s="29"/>
      <c r="P30" s="30"/>
      <c r="Q30" s="2"/>
    </row>
    <row r="31" spans="1:17" x14ac:dyDescent="0.2">
      <c r="A31" s="221" t="s">
        <v>8</v>
      </c>
      <c r="B31" s="222"/>
      <c r="C31" s="283"/>
      <c r="D31" s="284"/>
      <c r="E31" s="22"/>
      <c r="F31" s="394" t="str">
        <f>IF([1]OpenAccounts!$J$5&gt;0,[1]OpenAccounts!$J$5,"")</f>
        <v/>
      </c>
      <c r="G31" s="394"/>
      <c r="H31" s="394"/>
      <c r="I31" s="394"/>
      <c r="J31" s="394"/>
      <c r="K31" s="394"/>
      <c r="L31" s="394"/>
      <c r="M31" s="394"/>
      <c r="N31" s="394"/>
      <c r="O31" s="394"/>
      <c r="P31" s="395"/>
      <c r="Q31" s="2"/>
    </row>
    <row r="32" spans="1:17" ht="3.75" customHeight="1" x14ac:dyDescent="0.2">
      <c r="A32" s="50"/>
      <c r="B32" s="25"/>
      <c r="C32" s="25"/>
      <c r="D32" s="16"/>
      <c r="E32" s="25"/>
      <c r="F32" s="31"/>
      <c r="G32" s="31"/>
      <c r="H32" s="31"/>
      <c r="I32" s="31"/>
      <c r="J32" s="31"/>
      <c r="K32" s="31"/>
      <c r="L32" s="31"/>
      <c r="M32" s="31"/>
      <c r="N32" s="31"/>
      <c r="O32" s="31"/>
      <c r="P32" s="32"/>
      <c r="Q32" s="2"/>
    </row>
    <row r="33" spans="1:17" ht="5" customHeight="1" x14ac:dyDescent="0.2">
      <c r="A33" s="48"/>
      <c r="B33" s="23"/>
      <c r="C33" s="23"/>
      <c r="D33" s="12"/>
      <c r="E33" s="23"/>
      <c r="F33" s="33"/>
      <c r="G33" s="33"/>
      <c r="H33" s="33"/>
      <c r="I33" s="33"/>
      <c r="J33" s="33"/>
      <c r="K33" s="33"/>
      <c r="L33" s="33"/>
      <c r="M33" s="33"/>
      <c r="N33" s="33"/>
      <c r="O33" s="33"/>
      <c r="P33" s="34"/>
      <c r="Q33" s="2"/>
    </row>
    <row r="34" spans="1:17" x14ac:dyDescent="0.2">
      <c r="A34" s="224" t="s">
        <v>9</v>
      </c>
      <c r="B34" s="225"/>
      <c r="C34" s="283"/>
      <c r="D34" s="284"/>
      <c r="E34" s="20"/>
      <c r="F34" s="392" t="str">
        <f>IF([1]OpenAccounts!$N$6&gt;0,[1]OpenAccounts!$N$6,"")</f>
        <v/>
      </c>
      <c r="G34" s="392"/>
      <c r="H34" s="392"/>
      <c r="I34" s="392"/>
      <c r="J34" s="392"/>
      <c r="K34" s="392"/>
      <c r="L34" s="392"/>
      <c r="M34" s="392"/>
      <c r="N34" s="392"/>
      <c r="O34" s="392"/>
      <c r="P34" s="393"/>
      <c r="Q34" s="2"/>
    </row>
    <row r="35" spans="1:17" ht="3.75" customHeight="1" x14ac:dyDescent="0.2">
      <c r="A35" s="47"/>
      <c r="B35" s="21"/>
      <c r="C35" s="21"/>
      <c r="D35" s="9"/>
      <c r="E35" s="21"/>
      <c r="F35" s="10"/>
      <c r="G35" s="10"/>
      <c r="H35" s="10"/>
      <c r="I35" s="10"/>
      <c r="J35" s="10"/>
      <c r="K35" s="10"/>
      <c r="L35" s="10"/>
      <c r="M35" s="10"/>
      <c r="N35" s="10"/>
      <c r="O35" s="10"/>
      <c r="P35" s="28"/>
      <c r="Q35" s="2"/>
    </row>
    <row r="36" spans="1:17" ht="5" customHeight="1" x14ac:dyDescent="0.2">
      <c r="A36" s="49"/>
      <c r="B36" s="24"/>
      <c r="C36" s="24"/>
      <c r="D36" s="24"/>
      <c r="E36" s="49"/>
      <c r="F36" s="29"/>
      <c r="G36" s="29"/>
      <c r="H36" s="29"/>
      <c r="I36" s="29"/>
      <c r="J36" s="29"/>
      <c r="K36" s="29"/>
      <c r="L36" s="29"/>
      <c r="M36" s="29"/>
      <c r="N36" s="29"/>
      <c r="O36" s="29"/>
      <c r="P36" s="30"/>
      <c r="Q36" s="2"/>
    </row>
    <row r="37" spans="1:17" x14ac:dyDescent="0.2">
      <c r="A37" s="221" t="s">
        <v>10</v>
      </c>
      <c r="B37" s="222"/>
      <c r="C37" s="283"/>
      <c r="D37" s="284"/>
      <c r="E37" s="22"/>
      <c r="F37" s="394" t="s">
        <v>11</v>
      </c>
      <c r="G37" s="394"/>
      <c r="H37" s="394"/>
      <c r="I37" s="394"/>
      <c r="J37" s="394"/>
      <c r="K37" s="394"/>
      <c r="L37" s="394"/>
      <c r="M37" s="394"/>
      <c r="N37" s="394"/>
      <c r="O37" s="394"/>
      <c r="P37" s="395"/>
      <c r="Q37" s="2"/>
    </row>
    <row r="38" spans="1:17" ht="3.75" customHeight="1" x14ac:dyDescent="0.2">
      <c r="A38" s="15"/>
      <c r="B38" s="18"/>
      <c r="C38" s="18"/>
      <c r="D38" s="17"/>
      <c r="E38" s="18"/>
      <c r="F38" s="18"/>
      <c r="G38" s="18"/>
      <c r="H38" s="18"/>
      <c r="I38" s="18"/>
      <c r="J38" s="18"/>
      <c r="K38" s="18"/>
      <c r="L38" s="18"/>
      <c r="M38" s="18"/>
      <c r="N38" s="18"/>
      <c r="O38" s="18"/>
      <c r="P38" s="17"/>
      <c r="Q38" s="2"/>
    </row>
    <row r="39" spans="1:17" ht="30.75" customHeight="1" x14ac:dyDescent="0.2">
      <c r="Q39" s="2"/>
    </row>
    <row r="40" spans="1:17" ht="5" customHeight="1" x14ac:dyDescent="0.2"/>
    <row r="41" spans="1:17" x14ac:dyDescent="0.2">
      <c r="A41" s="234" t="s">
        <v>14</v>
      </c>
      <c r="B41" s="235"/>
      <c r="C41" s="235"/>
      <c r="D41" s="235"/>
      <c r="E41" s="236"/>
      <c r="F41" s="236"/>
      <c r="G41" s="236"/>
      <c r="H41" s="236"/>
      <c r="I41" s="236"/>
      <c r="J41" s="236"/>
      <c r="K41" s="236"/>
      <c r="L41" s="236"/>
      <c r="M41" s="236"/>
      <c r="N41" s="236"/>
      <c r="O41" s="236"/>
      <c r="P41" s="236"/>
      <c r="Q41" s="237"/>
    </row>
    <row r="42" spans="1:17" x14ac:dyDescent="0.2">
      <c r="A42" s="39"/>
      <c r="B42" s="39"/>
      <c r="C42" s="39"/>
      <c r="D42" s="39"/>
      <c r="E42" s="37"/>
      <c r="F42" s="37"/>
      <c r="G42" s="37"/>
      <c r="H42" s="37"/>
      <c r="I42" s="37"/>
      <c r="J42" s="37"/>
      <c r="K42" s="37"/>
      <c r="L42" s="37"/>
      <c r="M42" s="37"/>
      <c r="N42" s="37"/>
      <c r="O42" s="37"/>
      <c r="P42" s="37"/>
      <c r="Q42" s="38"/>
    </row>
    <row r="43" spans="1:17" x14ac:dyDescent="0.2">
      <c r="A43" s="36"/>
      <c r="Q43" s="2"/>
    </row>
    <row r="44" spans="1:17" ht="5" customHeight="1" x14ac:dyDescent="0.2">
      <c r="A44" s="3"/>
      <c r="B44" s="5"/>
      <c r="C44" s="5"/>
      <c r="D44" s="4"/>
      <c r="E44" s="5"/>
      <c r="F44" s="5"/>
      <c r="G44" s="5"/>
      <c r="H44" s="5"/>
      <c r="I44" s="5"/>
      <c r="J44" s="5"/>
      <c r="K44" s="5"/>
      <c r="L44" s="5"/>
      <c r="M44" s="5"/>
      <c r="N44" s="5"/>
      <c r="O44" s="5"/>
      <c r="P44" s="4"/>
      <c r="Q44" s="2"/>
    </row>
    <row r="45" spans="1:17" ht="15" customHeight="1" x14ac:dyDescent="0.25">
      <c r="A45" s="6"/>
      <c r="B45" s="43"/>
      <c r="C45" s="43"/>
      <c r="D45" s="52"/>
      <c r="E45" s="43"/>
      <c r="F45" s="342" t="s">
        <v>459</v>
      </c>
      <c r="G45" s="342"/>
      <c r="H45" s="342"/>
      <c r="I45" s="342"/>
      <c r="J45" s="342"/>
      <c r="K45" s="342"/>
      <c r="L45" s="342"/>
      <c r="M45" s="342"/>
      <c r="N45" s="342"/>
      <c r="O45" s="342"/>
      <c r="P45" s="52"/>
      <c r="Q45" s="2"/>
    </row>
    <row r="46" spans="1:17" x14ac:dyDescent="0.2">
      <c r="A46" s="224" t="s">
        <v>15</v>
      </c>
      <c r="B46" s="225"/>
      <c r="C46" s="283"/>
      <c r="D46" s="284"/>
      <c r="E46" s="20"/>
      <c r="F46" s="70" t="s">
        <v>17</v>
      </c>
      <c r="G46" s="43"/>
      <c r="H46" s="308">
        <f>[1]CorporationTax!$C$33</f>
        <v>45383</v>
      </c>
      <c r="I46" s="309"/>
      <c r="J46" s="411"/>
      <c r="K46" s="412"/>
      <c r="L46" s="411"/>
      <c r="M46" s="412"/>
      <c r="N46" s="411"/>
      <c r="O46" s="412"/>
      <c r="P46" s="56"/>
      <c r="Q46" s="2"/>
    </row>
    <row r="47" spans="1:17" x14ac:dyDescent="0.2">
      <c r="A47" s="6"/>
      <c r="B47" s="43"/>
      <c r="C47" s="43"/>
      <c r="D47" s="52"/>
      <c r="E47" s="20"/>
      <c r="F47" s="407" t="s">
        <v>965</v>
      </c>
      <c r="G47" s="407"/>
      <c r="H47" s="408"/>
      <c r="I47" s="408"/>
      <c r="J47" s="408"/>
      <c r="K47" s="408"/>
      <c r="L47" s="408"/>
      <c r="M47" s="408"/>
      <c r="N47" s="408"/>
      <c r="O47" s="408"/>
      <c r="P47" s="409"/>
      <c r="Q47" s="2"/>
    </row>
    <row r="48" spans="1:17" ht="5" customHeight="1" x14ac:dyDescent="0.2">
      <c r="A48" s="8"/>
      <c r="B48" s="44"/>
      <c r="C48" s="44"/>
      <c r="D48" s="53"/>
      <c r="E48" s="10"/>
      <c r="F48" s="10"/>
      <c r="G48" s="10"/>
      <c r="H48" s="10"/>
      <c r="I48" s="10"/>
      <c r="J48" s="10"/>
      <c r="K48" s="10"/>
      <c r="L48" s="10"/>
      <c r="M48" s="10"/>
      <c r="N48" s="10"/>
      <c r="O48" s="10"/>
      <c r="P48" s="28"/>
      <c r="Q48" s="2"/>
    </row>
    <row r="49" spans="1:17" ht="5" customHeight="1" x14ac:dyDescent="0.2">
      <c r="A49" s="13"/>
      <c r="B49" s="46"/>
      <c r="C49" s="46"/>
      <c r="D49" s="55"/>
      <c r="E49" s="24"/>
      <c r="F49" s="29"/>
      <c r="G49" s="29"/>
      <c r="H49" s="29"/>
      <c r="I49" s="29"/>
      <c r="J49" s="29"/>
      <c r="K49" s="29"/>
      <c r="L49" s="29"/>
      <c r="M49" s="29"/>
      <c r="N49" s="29"/>
      <c r="O49" s="29"/>
      <c r="P49" s="30"/>
      <c r="Q49" s="2"/>
    </row>
    <row r="50" spans="1:17" ht="15" customHeight="1" x14ac:dyDescent="0.25">
      <c r="A50" s="11"/>
      <c r="B50" s="45"/>
      <c r="C50" s="45"/>
      <c r="D50" s="54"/>
      <c r="E50" s="22"/>
      <c r="F50" s="339" t="s">
        <v>460</v>
      </c>
      <c r="G50" s="339"/>
      <c r="H50" s="339"/>
      <c r="I50" s="339"/>
      <c r="J50" s="339"/>
      <c r="K50" s="339"/>
      <c r="L50" s="339"/>
      <c r="M50" s="339"/>
      <c r="N50" s="339"/>
      <c r="O50" s="339"/>
      <c r="P50" s="41"/>
      <c r="Q50" s="2"/>
    </row>
    <row r="51" spans="1:17" x14ac:dyDescent="0.2">
      <c r="A51" s="221" t="s">
        <v>16</v>
      </c>
      <c r="B51" s="222"/>
      <c r="C51" s="283"/>
      <c r="D51" s="284"/>
      <c r="E51" s="22"/>
      <c r="F51" s="70" t="s">
        <v>18</v>
      </c>
      <c r="G51" s="45"/>
      <c r="H51" s="308">
        <f>[1]CorporationTax!$D$34</f>
        <v>46112</v>
      </c>
      <c r="I51" s="309"/>
      <c r="J51" s="413"/>
      <c r="K51" s="414"/>
      <c r="L51" s="413"/>
      <c r="M51" s="414"/>
      <c r="N51" s="413"/>
      <c r="O51" s="414"/>
      <c r="P51" s="161"/>
      <c r="Q51" s="2"/>
    </row>
    <row r="52" spans="1:17" x14ac:dyDescent="0.2">
      <c r="A52" s="11"/>
      <c r="B52" s="45"/>
      <c r="C52" s="45"/>
      <c r="D52" s="54"/>
      <c r="E52" s="22"/>
      <c r="F52" s="410" t="s">
        <v>965</v>
      </c>
      <c r="G52" s="410"/>
      <c r="H52" s="408"/>
      <c r="I52" s="408"/>
      <c r="J52" s="408"/>
      <c r="K52" s="408"/>
      <c r="L52" s="408"/>
      <c r="M52" s="408"/>
      <c r="N52" s="408"/>
      <c r="O52" s="408"/>
      <c r="P52" s="409"/>
      <c r="Q52" s="2"/>
    </row>
    <row r="53" spans="1:17" ht="5" customHeight="1" x14ac:dyDescent="0.2">
      <c r="A53" s="15"/>
      <c r="B53" s="18"/>
      <c r="C53" s="18"/>
      <c r="D53" s="17"/>
      <c r="E53" s="25"/>
      <c r="F53" s="31"/>
      <c r="G53" s="31"/>
      <c r="H53" s="31"/>
      <c r="I53" s="31"/>
      <c r="J53" s="31"/>
      <c r="K53" s="31"/>
      <c r="L53" s="31"/>
      <c r="M53" s="31"/>
      <c r="N53" s="31"/>
      <c r="O53" s="31"/>
      <c r="P53" s="32"/>
      <c r="Q53" s="2"/>
    </row>
    <row r="54" spans="1:17" x14ac:dyDescent="0.2">
      <c r="Q54" s="2"/>
    </row>
    <row r="55" spans="1:17" ht="35.25" customHeight="1" x14ac:dyDescent="0.2">
      <c r="A55" s="212" t="s">
        <v>19</v>
      </c>
      <c r="B55" s="212"/>
      <c r="C55" s="212"/>
      <c r="D55" s="212"/>
      <c r="E55" s="212"/>
      <c r="F55" s="212"/>
      <c r="G55" s="212"/>
      <c r="H55" s="212"/>
      <c r="I55" s="212"/>
      <c r="J55" s="212"/>
      <c r="K55" s="212"/>
      <c r="L55" s="212"/>
      <c r="M55" s="212"/>
      <c r="N55" s="212"/>
      <c r="O55" s="212"/>
      <c r="P55" s="212"/>
      <c r="Q55" s="2"/>
    </row>
    <row r="56" spans="1:17" x14ac:dyDescent="0.2">
      <c r="Q56" s="2"/>
    </row>
    <row r="57" spans="1:17" ht="5" customHeight="1" x14ac:dyDescent="0.2">
      <c r="A57" s="3"/>
      <c r="B57" s="5"/>
      <c r="C57" s="5"/>
      <c r="D57" s="4"/>
      <c r="E57" s="5"/>
      <c r="F57" s="5"/>
      <c r="G57" s="5"/>
      <c r="H57" s="5"/>
      <c r="I57" s="5"/>
      <c r="J57" s="5"/>
      <c r="K57" s="5"/>
      <c r="L57" s="5"/>
      <c r="M57" s="5"/>
      <c r="N57" s="5"/>
      <c r="O57" s="5"/>
      <c r="P57" s="4"/>
      <c r="Q57" s="2"/>
    </row>
    <row r="58" spans="1:17" ht="15" customHeight="1" x14ac:dyDescent="0.25">
      <c r="A58" s="6"/>
      <c r="B58" s="43"/>
      <c r="C58" s="43"/>
      <c r="D58" s="52"/>
      <c r="E58" s="43"/>
      <c r="F58" s="342" t="s">
        <v>449</v>
      </c>
      <c r="G58" s="342"/>
      <c r="H58" s="342"/>
      <c r="I58" s="342"/>
      <c r="J58" s="43"/>
      <c r="K58" s="43"/>
      <c r="L58" s="43"/>
      <c r="M58" s="43"/>
      <c r="N58" s="43"/>
      <c r="O58" s="43"/>
      <c r="P58" s="52"/>
      <c r="Q58" s="2"/>
    </row>
    <row r="59" spans="1:17" x14ac:dyDescent="0.2">
      <c r="A59" s="224" t="s">
        <v>21</v>
      </c>
      <c r="B59" s="225"/>
      <c r="C59" s="283"/>
      <c r="D59" s="284"/>
      <c r="E59" s="20"/>
      <c r="F59" s="70" t="s">
        <v>22</v>
      </c>
      <c r="G59" s="57"/>
      <c r="H59" s="308"/>
      <c r="I59" s="309"/>
      <c r="J59" s="42"/>
      <c r="K59" s="42"/>
      <c r="L59" s="42"/>
      <c r="M59" s="42"/>
      <c r="N59" s="42"/>
      <c r="O59" s="42"/>
      <c r="P59" s="56"/>
      <c r="Q59" s="2"/>
    </row>
    <row r="60" spans="1:17" x14ac:dyDescent="0.2">
      <c r="A60" s="6"/>
      <c r="B60" s="43"/>
      <c r="C60" s="43"/>
      <c r="D60" s="52"/>
      <c r="E60" s="20"/>
      <c r="F60" s="407" t="s">
        <v>965</v>
      </c>
      <c r="G60" s="407"/>
      <c r="H60" s="408"/>
      <c r="I60" s="408"/>
      <c r="J60" s="408"/>
      <c r="K60" s="408"/>
      <c r="L60" s="408"/>
      <c r="M60" s="408"/>
      <c r="N60" s="408"/>
      <c r="O60" s="408"/>
      <c r="P60" s="409"/>
      <c r="Q60" s="2"/>
    </row>
    <row r="61" spans="1:17" ht="5" customHeight="1" x14ac:dyDescent="0.2">
      <c r="A61" s="8"/>
      <c r="B61" s="44"/>
      <c r="C61" s="44"/>
      <c r="D61" s="53"/>
      <c r="E61" s="10"/>
      <c r="F61" s="10"/>
      <c r="G61" s="10"/>
      <c r="H61" s="10"/>
      <c r="I61" s="10"/>
      <c r="J61" s="10"/>
      <c r="K61" s="10"/>
      <c r="L61" s="10"/>
      <c r="M61" s="10"/>
      <c r="N61" s="10"/>
      <c r="O61" s="10"/>
      <c r="P61" s="28"/>
      <c r="Q61" s="2"/>
    </row>
    <row r="62" spans="1:17" ht="5" customHeight="1" x14ac:dyDescent="0.2">
      <c r="Q62" s="2"/>
    </row>
    <row r="64" spans="1:17" x14ac:dyDescent="0.2">
      <c r="A64" s="234" t="s">
        <v>23</v>
      </c>
      <c r="B64" s="235"/>
      <c r="C64" s="235"/>
      <c r="D64" s="235"/>
      <c r="E64" s="236"/>
      <c r="F64" s="236"/>
      <c r="G64" s="236"/>
      <c r="H64" s="236"/>
      <c r="I64" s="236"/>
      <c r="J64" s="236"/>
      <c r="K64" s="236"/>
      <c r="L64" s="236"/>
      <c r="M64" s="236"/>
      <c r="N64" s="236"/>
      <c r="O64" s="236"/>
      <c r="P64" s="236"/>
      <c r="Q64" s="237"/>
    </row>
    <row r="65" spans="1:17" x14ac:dyDescent="0.2">
      <c r="A65" s="39"/>
      <c r="B65" s="39"/>
      <c r="C65" s="39"/>
      <c r="D65" s="39"/>
      <c r="E65" s="37"/>
      <c r="F65" s="37"/>
      <c r="G65" s="37"/>
      <c r="H65" s="37"/>
      <c r="I65" s="37"/>
      <c r="J65" s="37"/>
      <c r="K65" s="37"/>
      <c r="L65" s="37"/>
      <c r="M65" s="37"/>
      <c r="N65" s="37"/>
      <c r="O65" s="37"/>
      <c r="P65" s="37"/>
      <c r="Q65" s="38"/>
    </row>
    <row r="66" spans="1:17" x14ac:dyDescent="0.2">
      <c r="A66" s="36"/>
      <c r="Q66" s="2"/>
    </row>
    <row r="67" spans="1:17" ht="5" customHeight="1" x14ac:dyDescent="0.2">
      <c r="A67" s="3"/>
      <c r="B67" s="5"/>
      <c r="C67" s="5"/>
      <c r="D67" s="4"/>
      <c r="E67" s="5"/>
      <c r="F67" s="5"/>
      <c r="G67" s="5"/>
      <c r="H67" s="5"/>
      <c r="I67" s="5"/>
      <c r="J67" s="5"/>
      <c r="K67" s="5"/>
      <c r="L67" s="5"/>
      <c r="M67" s="5"/>
      <c r="N67" s="5"/>
      <c r="O67" s="5"/>
      <c r="P67" s="4"/>
      <c r="Q67" s="2"/>
    </row>
    <row r="68" spans="1:17" x14ac:dyDescent="0.2">
      <c r="A68" s="224" t="s">
        <v>24</v>
      </c>
      <c r="B68" s="225"/>
      <c r="C68" s="283"/>
      <c r="D68" s="284"/>
      <c r="E68" s="20"/>
      <c r="F68" s="70" t="s">
        <v>26</v>
      </c>
      <c r="G68" s="43"/>
      <c r="H68" s="308" t="str">
        <f>IF([1]OpenAccounts!$E$34&lt;&gt;0,DATE(YEAR(H46)-1,MONTH(H46),DAY(H46)),"")</f>
        <v/>
      </c>
      <c r="I68" s="309"/>
      <c r="J68" s="42"/>
      <c r="K68" s="42"/>
      <c r="L68" s="42"/>
      <c r="M68" s="42"/>
      <c r="N68" s="42"/>
      <c r="O68" s="42"/>
      <c r="P68" s="56"/>
      <c r="Q68" s="2"/>
    </row>
    <row r="69" spans="1:17" x14ac:dyDescent="0.2">
      <c r="A69" s="6"/>
      <c r="B69" s="43"/>
      <c r="C69" s="43"/>
      <c r="D69" s="52"/>
      <c r="E69" s="20"/>
      <c r="F69" s="407" t="s">
        <v>965</v>
      </c>
      <c r="G69" s="407"/>
      <c r="H69" s="408"/>
      <c r="I69" s="408"/>
      <c r="J69" s="408"/>
      <c r="K69" s="408"/>
      <c r="L69" s="408"/>
      <c r="M69" s="408"/>
      <c r="N69" s="408"/>
      <c r="O69" s="408"/>
      <c r="P69" s="409"/>
      <c r="Q69" s="2"/>
    </row>
    <row r="70" spans="1:17" ht="5" customHeight="1" x14ac:dyDescent="0.2">
      <c r="A70" s="8"/>
      <c r="B70" s="44"/>
      <c r="C70" s="44"/>
      <c r="D70" s="53"/>
      <c r="E70" s="10"/>
      <c r="F70" s="10"/>
      <c r="G70" s="10"/>
      <c r="H70" s="10"/>
      <c r="I70" s="10"/>
      <c r="J70" s="10"/>
      <c r="K70" s="10"/>
      <c r="L70" s="10"/>
      <c r="M70" s="10"/>
      <c r="N70" s="10"/>
      <c r="O70" s="10"/>
      <c r="P70" s="28"/>
      <c r="Q70" s="2"/>
    </row>
    <row r="71" spans="1:17" ht="5" customHeight="1" x14ac:dyDescent="0.2">
      <c r="A71" s="13"/>
      <c r="B71" s="46"/>
      <c r="C71" s="46"/>
      <c r="D71" s="55"/>
      <c r="E71" s="24"/>
      <c r="F71" s="29"/>
      <c r="G71" s="29"/>
      <c r="H71" s="29"/>
      <c r="I71" s="29"/>
      <c r="J71" s="29"/>
      <c r="K71" s="29"/>
      <c r="L71" s="29"/>
      <c r="M71" s="29"/>
      <c r="N71" s="29"/>
      <c r="O71" s="29"/>
      <c r="P71" s="30"/>
      <c r="Q71" s="2"/>
    </row>
    <row r="72" spans="1:17" x14ac:dyDescent="0.2">
      <c r="A72" s="221" t="s">
        <v>25</v>
      </c>
      <c r="B72" s="222"/>
      <c r="C72" s="283"/>
      <c r="D72" s="284"/>
      <c r="E72" s="22"/>
      <c r="F72" s="70" t="s">
        <v>27</v>
      </c>
      <c r="G72" s="45"/>
      <c r="H72" s="308" t="str">
        <f>IF([1]OpenAccounts!$E$34&lt;&gt;0,DATE(YEAR(H51)-1,MONTH(H51),DAY(H51)),"")</f>
        <v/>
      </c>
      <c r="I72" s="309"/>
      <c r="J72" s="144"/>
      <c r="K72" s="144"/>
      <c r="L72" s="144"/>
      <c r="M72" s="144"/>
      <c r="N72" s="144"/>
      <c r="O72" s="144"/>
      <c r="P72" s="145"/>
      <c r="Q72" s="2"/>
    </row>
    <row r="73" spans="1:17" x14ac:dyDescent="0.2">
      <c r="A73" s="11"/>
      <c r="B73" s="45"/>
      <c r="C73" s="45"/>
      <c r="D73" s="54"/>
      <c r="E73" s="22"/>
      <c r="F73" s="410" t="s">
        <v>965</v>
      </c>
      <c r="G73" s="410"/>
      <c r="H73" s="408"/>
      <c r="I73" s="408"/>
      <c r="J73" s="408"/>
      <c r="K73" s="408"/>
      <c r="L73" s="408"/>
      <c r="M73" s="408"/>
      <c r="N73" s="408"/>
      <c r="O73" s="408"/>
      <c r="P73" s="409"/>
      <c r="Q73" s="2"/>
    </row>
    <row r="74" spans="1:17" ht="5" customHeight="1" x14ac:dyDescent="0.2">
      <c r="A74" s="15"/>
      <c r="B74" s="18"/>
      <c r="C74" s="18"/>
      <c r="D74" s="17"/>
      <c r="E74" s="25"/>
      <c r="F74" s="31"/>
      <c r="G74" s="31"/>
      <c r="H74" s="31"/>
      <c r="I74" s="31"/>
      <c r="J74" s="31"/>
      <c r="K74" s="31"/>
      <c r="L74" s="31"/>
      <c r="M74" s="31"/>
      <c r="N74" s="31"/>
      <c r="O74" s="31"/>
      <c r="P74" s="32"/>
      <c r="Q74" s="2"/>
    </row>
    <row r="75" spans="1:17" x14ac:dyDescent="0.2">
      <c r="Q75" s="2"/>
    </row>
    <row r="76" spans="1:17" ht="62.25" customHeight="1" x14ac:dyDescent="0.2">
      <c r="A76" s="212" t="s">
        <v>28</v>
      </c>
      <c r="B76" s="212"/>
      <c r="C76" s="212"/>
      <c r="D76" s="212"/>
      <c r="E76" s="212"/>
      <c r="F76" s="212"/>
      <c r="G76" s="212"/>
      <c r="H76" s="212"/>
      <c r="I76" s="212"/>
      <c r="J76" s="212"/>
      <c r="K76" s="212"/>
      <c r="L76" s="212"/>
      <c r="M76" s="212"/>
      <c r="N76" s="212"/>
      <c r="O76" s="212"/>
      <c r="P76" s="212"/>
      <c r="Q76" s="2"/>
    </row>
    <row r="77" spans="1:17" x14ac:dyDescent="0.2">
      <c r="Q77" s="2"/>
    </row>
    <row r="78" spans="1:17" ht="29.25" customHeight="1" x14ac:dyDescent="0.2">
      <c r="A78" s="266" t="s">
        <v>966</v>
      </c>
      <c r="B78" s="266"/>
      <c r="C78" s="266"/>
      <c r="D78" s="266"/>
      <c r="E78" s="266"/>
      <c r="F78" s="266"/>
      <c r="G78" s="266"/>
      <c r="H78" s="266"/>
      <c r="I78" s="266"/>
      <c r="J78" s="58" t="s">
        <v>31</v>
      </c>
      <c r="K78" s="59"/>
      <c r="L78" s="60" t="s">
        <v>32</v>
      </c>
      <c r="M78" s="59" t="s">
        <v>29</v>
      </c>
      <c r="N78" s="59"/>
      <c r="O78" s="59" t="s">
        <v>30</v>
      </c>
    </row>
    <row r="81" spans="1:17" ht="16" x14ac:dyDescent="0.2">
      <c r="A81" s="231" t="s">
        <v>33</v>
      </c>
      <c r="B81" s="232"/>
      <c r="C81" s="232"/>
      <c r="D81" s="232"/>
      <c r="F81" s="233" t="s">
        <v>12</v>
      </c>
      <c r="G81" s="233"/>
      <c r="H81" s="233"/>
      <c r="I81" s="233"/>
      <c r="J81" s="233"/>
      <c r="K81" s="233"/>
      <c r="L81" s="233"/>
      <c r="M81" s="233"/>
      <c r="N81" s="233"/>
      <c r="O81" s="233"/>
      <c r="P81" s="233"/>
      <c r="Q81" s="233"/>
    </row>
    <row r="82" spans="1:17" ht="5" customHeight="1" x14ac:dyDescent="0.2">
      <c r="A82" s="1"/>
      <c r="B82" s="1"/>
      <c r="C82" s="1"/>
      <c r="D82" s="1"/>
      <c r="E82" s="1"/>
      <c r="F82" s="1"/>
      <c r="G82" s="1"/>
      <c r="H82" s="1"/>
      <c r="I82" s="1"/>
      <c r="J82" s="1"/>
      <c r="K82" s="1"/>
      <c r="L82" s="1"/>
      <c r="M82" s="1"/>
      <c r="N82" s="1"/>
      <c r="O82" s="1"/>
      <c r="P82" s="1"/>
      <c r="Q82" s="1"/>
    </row>
    <row r="83" spans="1:17" ht="25.5" customHeight="1" x14ac:dyDescent="0.2">
      <c r="A83" s="234"/>
      <c r="B83" s="235"/>
      <c r="C83" s="235"/>
      <c r="D83" s="235"/>
      <c r="E83" s="236"/>
      <c r="F83" s="236"/>
      <c r="G83" s="236"/>
      <c r="H83" s="236"/>
      <c r="I83" s="236"/>
      <c r="J83" s="236"/>
      <c r="K83" s="236"/>
      <c r="L83" s="236"/>
      <c r="M83" s="236"/>
      <c r="N83" s="236"/>
      <c r="O83" s="236"/>
      <c r="P83" s="236"/>
      <c r="Q83" s="237"/>
    </row>
    <row r="84" spans="1:17" x14ac:dyDescent="0.2">
      <c r="A84" s="39" t="s">
        <v>34</v>
      </c>
      <c r="B84" s="39"/>
      <c r="C84" s="39"/>
      <c r="D84" s="39"/>
      <c r="E84" s="37"/>
      <c r="F84" s="37"/>
      <c r="G84" s="37"/>
      <c r="H84" s="37"/>
      <c r="I84" s="37"/>
      <c r="J84" s="37"/>
      <c r="K84" s="37"/>
      <c r="L84" s="37"/>
      <c r="M84" s="37"/>
      <c r="N84" s="37"/>
      <c r="O84" s="37"/>
      <c r="P84" s="37"/>
      <c r="Q84" s="38"/>
    </row>
    <row r="85" spans="1:17" x14ac:dyDescent="0.2">
      <c r="A85" s="39" t="s">
        <v>35</v>
      </c>
      <c r="B85" s="39"/>
      <c r="C85" s="39"/>
      <c r="D85" s="39"/>
      <c r="E85" s="37"/>
      <c r="F85" s="37"/>
      <c r="G85" s="37"/>
      <c r="H85" s="37"/>
      <c r="I85" s="37"/>
      <c r="J85" s="37"/>
      <c r="K85" s="37"/>
      <c r="L85" s="37"/>
      <c r="M85" s="37"/>
      <c r="N85" s="37"/>
      <c r="O85" s="37"/>
      <c r="P85" s="37"/>
      <c r="Q85" s="38"/>
    </row>
    <row r="86" spans="1:17" x14ac:dyDescent="0.2">
      <c r="A86" s="36"/>
      <c r="Q86" s="2"/>
    </row>
    <row r="87" spans="1:17" ht="5" customHeight="1" x14ac:dyDescent="0.2">
      <c r="A87" s="49"/>
      <c r="B87" s="24"/>
      <c r="C87" s="24"/>
      <c r="D87" s="14"/>
      <c r="E87" s="24"/>
      <c r="F87" s="29"/>
      <c r="G87" s="29"/>
      <c r="H87" s="29"/>
      <c r="I87" s="29"/>
      <c r="J87" s="29"/>
      <c r="K87" s="29"/>
      <c r="L87" s="29"/>
      <c r="M87" s="29"/>
      <c r="N87" s="29"/>
      <c r="O87" s="29"/>
      <c r="P87" s="30"/>
      <c r="Q87" s="2"/>
    </row>
    <row r="88" spans="1:17" x14ac:dyDescent="0.2">
      <c r="A88" s="221" t="s">
        <v>36</v>
      </c>
      <c r="B88" s="222"/>
      <c r="C88" s="283"/>
      <c r="D88" s="284"/>
      <c r="E88" s="22"/>
      <c r="F88" s="70" t="s">
        <v>44</v>
      </c>
      <c r="G88" s="40"/>
      <c r="H88" s="308" t="str">
        <f>IF('[2]Directors&amp;Secretary'!$A$2&gt;0,'[2]Directors&amp;Secretary'!$A$2,"")</f>
        <v/>
      </c>
      <c r="I88" s="329"/>
      <c r="J88" s="330"/>
      <c r="K88" s="330"/>
      <c r="L88" s="330"/>
      <c r="M88" s="330"/>
      <c r="N88" s="330"/>
      <c r="O88" s="331"/>
      <c r="P88" s="41"/>
      <c r="Q88" s="2"/>
    </row>
    <row r="89" spans="1:17" ht="5" customHeight="1" x14ac:dyDescent="0.2">
      <c r="A89" s="50"/>
      <c r="B89" s="25"/>
      <c r="C89" s="25"/>
      <c r="D89" s="16"/>
      <c r="E89" s="25"/>
      <c r="F89" s="31"/>
      <c r="G89" s="31"/>
      <c r="H89" s="31"/>
      <c r="I89" s="31"/>
      <c r="J89" s="31"/>
      <c r="K89" s="31"/>
      <c r="L89" s="31"/>
      <c r="M89" s="31"/>
      <c r="N89" s="31"/>
      <c r="O89" s="31"/>
      <c r="P89" s="32"/>
      <c r="Q89" s="2"/>
    </row>
    <row r="90" spans="1:17" ht="5" customHeight="1" x14ac:dyDescent="0.2">
      <c r="A90" s="49"/>
      <c r="B90" s="24"/>
      <c r="C90" s="24"/>
      <c r="D90" s="14"/>
      <c r="E90" s="24"/>
      <c r="F90" s="29"/>
      <c r="G90" s="29"/>
      <c r="H90" s="29"/>
      <c r="I90" s="29"/>
      <c r="J90" s="29"/>
      <c r="K90" s="29"/>
      <c r="L90" s="29"/>
      <c r="M90" s="29"/>
      <c r="N90" s="29"/>
      <c r="O90" s="29"/>
      <c r="P90" s="30"/>
      <c r="Q90" s="2"/>
    </row>
    <row r="91" spans="1:17" x14ac:dyDescent="0.2">
      <c r="A91" s="221" t="s">
        <v>38</v>
      </c>
      <c r="B91" s="222"/>
      <c r="C91" s="283"/>
      <c r="D91" s="284"/>
      <c r="E91" s="22"/>
      <c r="F91" s="70" t="s">
        <v>45</v>
      </c>
      <c r="G91" s="40"/>
      <c r="H91" s="308" t="str">
        <f>IF('[2]Directors&amp;Secretary'!$A$3&gt;0,'[2]Directors&amp;Secretary'!$A$3,"")</f>
        <v/>
      </c>
      <c r="I91" s="329"/>
      <c r="J91" s="330"/>
      <c r="K91" s="330"/>
      <c r="L91" s="330"/>
      <c r="M91" s="330"/>
      <c r="N91" s="330"/>
      <c r="O91" s="331"/>
      <c r="P91" s="41"/>
      <c r="Q91" s="2"/>
    </row>
    <row r="92" spans="1:17" ht="5" customHeight="1" x14ac:dyDescent="0.2">
      <c r="A92" s="50"/>
      <c r="B92" s="25"/>
      <c r="C92" s="25"/>
      <c r="D92" s="16"/>
      <c r="E92" s="25"/>
      <c r="F92" s="31"/>
      <c r="G92" s="31"/>
      <c r="H92" s="31"/>
      <c r="I92" s="31"/>
      <c r="J92" s="31"/>
      <c r="K92" s="31"/>
      <c r="L92" s="31"/>
      <c r="M92" s="31"/>
      <c r="N92" s="31"/>
      <c r="O92" s="31"/>
      <c r="P92" s="32"/>
      <c r="Q92" s="2"/>
    </row>
    <row r="93" spans="1:17" ht="5" customHeight="1" x14ac:dyDescent="0.2">
      <c r="A93" s="49"/>
      <c r="B93" s="24"/>
      <c r="C93" s="24"/>
      <c r="D93" s="14"/>
      <c r="E93" s="24"/>
      <c r="F93" s="29"/>
      <c r="G93" s="29"/>
      <c r="H93" s="29"/>
      <c r="I93" s="29"/>
      <c r="J93" s="29"/>
      <c r="K93" s="29"/>
      <c r="L93" s="29"/>
      <c r="M93" s="29"/>
      <c r="N93" s="29"/>
      <c r="O93" s="29"/>
      <c r="P93" s="30"/>
      <c r="Q93" s="2"/>
    </row>
    <row r="94" spans="1:17" x14ac:dyDescent="0.2">
      <c r="A94" s="221" t="s">
        <v>38</v>
      </c>
      <c r="B94" s="222"/>
      <c r="C94" s="283"/>
      <c r="D94" s="284"/>
      <c r="E94" s="22"/>
      <c r="F94" s="70" t="s">
        <v>46</v>
      </c>
      <c r="G94" s="40"/>
      <c r="H94" s="308" t="str">
        <f>IF('[2]Directors&amp;Secretary'!$A$4&gt;0,'[2]Directors&amp;Secretary'!$A$4,"")</f>
        <v/>
      </c>
      <c r="I94" s="329"/>
      <c r="J94" s="330"/>
      <c r="K94" s="330"/>
      <c r="L94" s="330"/>
      <c r="M94" s="330"/>
      <c r="N94" s="330"/>
      <c r="O94" s="331"/>
      <c r="P94" s="41"/>
      <c r="Q94" s="2"/>
    </row>
    <row r="95" spans="1:17" ht="5" customHeight="1" x14ac:dyDescent="0.2">
      <c r="A95" s="50"/>
      <c r="B95" s="25"/>
      <c r="C95" s="25"/>
      <c r="D95" s="16"/>
      <c r="E95" s="25"/>
      <c r="F95" s="31"/>
      <c r="G95" s="31"/>
      <c r="H95" s="31"/>
      <c r="I95" s="31"/>
      <c r="J95" s="31"/>
      <c r="K95" s="31"/>
      <c r="L95" s="31"/>
      <c r="M95" s="31"/>
      <c r="N95" s="31"/>
      <c r="O95" s="31"/>
      <c r="P95" s="32"/>
      <c r="Q95" s="2"/>
    </row>
    <row r="96" spans="1:17" ht="5" customHeight="1" x14ac:dyDescent="0.2">
      <c r="A96" s="49"/>
      <c r="B96" s="24"/>
      <c r="C96" s="24"/>
      <c r="D96" s="14"/>
      <c r="E96" s="24"/>
      <c r="F96" s="29"/>
      <c r="G96" s="29"/>
      <c r="H96" s="29"/>
      <c r="I96" s="29"/>
      <c r="J96" s="29"/>
      <c r="K96" s="29"/>
      <c r="L96" s="29"/>
      <c r="M96" s="29"/>
      <c r="N96" s="29"/>
      <c r="O96" s="29"/>
      <c r="P96" s="30"/>
      <c r="Q96" s="2"/>
    </row>
    <row r="97" spans="1:17" x14ac:dyDescent="0.2">
      <c r="A97" s="221" t="s">
        <v>38</v>
      </c>
      <c r="B97" s="222"/>
      <c r="C97" s="283"/>
      <c r="D97" s="284"/>
      <c r="E97" s="22"/>
      <c r="F97" s="70" t="s">
        <v>47</v>
      </c>
      <c r="G97" s="40"/>
      <c r="H97" s="308" t="str">
        <f>IF('[2]Directors&amp;Secretary'!$A$5&gt;0,'[2]Directors&amp;Secretary'!$A$5,"")</f>
        <v/>
      </c>
      <c r="I97" s="329"/>
      <c r="J97" s="330"/>
      <c r="K97" s="330"/>
      <c r="L97" s="330"/>
      <c r="M97" s="330"/>
      <c r="N97" s="330"/>
      <c r="O97" s="331"/>
      <c r="P97" s="41"/>
      <c r="Q97" s="2"/>
    </row>
    <row r="98" spans="1:17" ht="5" customHeight="1" x14ac:dyDescent="0.2">
      <c r="A98" s="50"/>
      <c r="B98" s="25"/>
      <c r="C98" s="25"/>
      <c r="D98" s="16"/>
      <c r="E98" s="25"/>
      <c r="F98" s="31"/>
      <c r="G98" s="31"/>
      <c r="H98" s="31"/>
      <c r="I98" s="31"/>
      <c r="J98" s="31"/>
      <c r="K98" s="31"/>
      <c r="L98" s="31"/>
      <c r="M98" s="31"/>
      <c r="N98" s="31"/>
      <c r="O98" s="31"/>
      <c r="P98" s="32"/>
      <c r="Q98" s="2"/>
    </row>
    <row r="99" spans="1:17" ht="5" customHeight="1" x14ac:dyDescent="0.2">
      <c r="A99" s="49"/>
      <c r="B99" s="24"/>
      <c r="C99" s="24"/>
      <c r="D99" s="14"/>
      <c r="E99" s="24"/>
      <c r="F99" s="29"/>
      <c r="G99" s="29"/>
      <c r="H99" s="29"/>
      <c r="I99" s="29"/>
      <c r="J99" s="29"/>
      <c r="K99" s="29"/>
      <c r="L99" s="29"/>
      <c r="M99" s="29"/>
      <c r="N99" s="29"/>
      <c r="O99" s="29"/>
      <c r="P99" s="30"/>
      <c r="Q99" s="2"/>
    </row>
    <row r="100" spans="1:17" x14ac:dyDescent="0.2">
      <c r="A100" s="221" t="s">
        <v>38</v>
      </c>
      <c r="B100" s="222"/>
      <c r="C100" s="283"/>
      <c r="D100" s="284"/>
      <c r="E100" s="22"/>
      <c r="F100" s="70" t="s">
        <v>48</v>
      </c>
      <c r="G100" s="40"/>
      <c r="H100" s="308" t="str">
        <f>IF('[2]Directors&amp;Secretary'!$A$6&gt;0,'[2]Directors&amp;Secretary'!$A$6,"")</f>
        <v/>
      </c>
      <c r="I100" s="329"/>
      <c r="J100" s="330"/>
      <c r="K100" s="330"/>
      <c r="L100" s="330"/>
      <c r="M100" s="330"/>
      <c r="N100" s="330"/>
      <c r="O100" s="331"/>
      <c r="P100" s="41"/>
      <c r="Q100" s="2"/>
    </row>
    <row r="101" spans="1:17" ht="5" customHeight="1" x14ac:dyDescent="0.2">
      <c r="A101" s="50"/>
      <c r="B101" s="25"/>
      <c r="C101" s="25"/>
      <c r="D101" s="16"/>
      <c r="E101" s="25"/>
      <c r="F101" s="31"/>
      <c r="G101" s="31"/>
      <c r="H101" s="31"/>
      <c r="I101" s="31"/>
      <c r="J101" s="31"/>
      <c r="K101" s="31"/>
      <c r="L101" s="31"/>
      <c r="M101" s="31"/>
      <c r="N101" s="31"/>
      <c r="O101" s="31"/>
      <c r="P101" s="32"/>
      <c r="Q101" s="2"/>
    </row>
    <row r="102" spans="1:17" x14ac:dyDescent="0.2">
      <c r="A102" s="61"/>
      <c r="B102" s="22"/>
      <c r="C102" s="22"/>
      <c r="D102" s="22"/>
      <c r="E102" s="22"/>
      <c r="F102" s="40"/>
      <c r="G102" s="40"/>
      <c r="H102" s="40"/>
      <c r="I102" s="40"/>
      <c r="J102" s="40"/>
      <c r="K102" s="40"/>
      <c r="L102" s="40"/>
      <c r="M102" s="40"/>
      <c r="N102" s="40"/>
      <c r="O102" s="40"/>
      <c r="P102" s="40"/>
      <c r="Q102" s="2"/>
    </row>
    <row r="103" spans="1:17" x14ac:dyDescent="0.2">
      <c r="A103" s="417" t="s">
        <v>39</v>
      </c>
      <c r="B103" s="345"/>
      <c r="C103" s="345"/>
      <c r="D103" s="345"/>
      <c r="E103" s="345"/>
      <c r="F103" s="345"/>
      <c r="G103" s="345"/>
      <c r="H103" s="345"/>
      <c r="I103" s="40"/>
      <c r="J103" s="65" t="s">
        <v>41</v>
      </c>
      <c r="K103" s="40"/>
      <c r="L103" s="40"/>
      <c r="M103" s="40"/>
      <c r="N103" s="40"/>
      <c r="O103" s="40"/>
      <c r="P103" s="40"/>
      <c r="Q103" s="2"/>
    </row>
    <row r="104" spans="1:17" x14ac:dyDescent="0.2">
      <c r="A104" s="61"/>
      <c r="B104" s="22"/>
      <c r="C104" s="22"/>
      <c r="D104" s="22"/>
      <c r="E104" s="22"/>
      <c r="F104" s="40"/>
      <c r="G104" s="40"/>
      <c r="H104" s="40"/>
      <c r="I104" s="40"/>
      <c r="J104" s="40"/>
      <c r="K104" s="40"/>
      <c r="L104" s="40"/>
      <c r="M104" s="40"/>
      <c r="N104" s="40"/>
      <c r="O104" s="40"/>
      <c r="P104" s="40"/>
      <c r="Q104" s="2"/>
    </row>
    <row r="105" spans="1:17" ht="5" customHeight="1" x14ac:dyDescent="0.2">
      <c r="A105" s="48"/>
      <c r="B105" s="23"/>
      <c r="C105" s="23"/>
      <c r="D105" s="12"/>
      <c r="E105" s="23"/>
      <c r="F105" s="33"/>
      <c r="G105" s="33"/>
      <c r="H105" s="33"/>
      <c r="I105" s="33"/>
      <c r="J105" s="33"/>
      <c r="K105" s="33"/>
      <c r="L105" s="33"/>
      <c r="M105" s="33"/>
      <c r="N105" s="33"/>
      <c r="O105" s="33"/>
      <c r="P105" s="34"/>
      <c r="Q105" s="2"/>
    </row>
    <row r="106" spans="1:17" ht="15" customHeight="1" x14ac:dyDescent="0.25">
      <c r="A106" s="141"/>
      <c r="B106" s="20"/>
      <c r="C106" s="20"/>
      <c r="D106" s="7"/>
      <c r="E106" s="20"/>
      <c r="F106" s="27"/>
      <c r="G106" s="27"/>
      <c r="H106" s="342" t="s">
        <v>216</v>
      </c>
      <c r="I106" s="340"/>
      <c r="J106" s="340"/>
      <c r="K106" s="340"/>
      <c r="L106" s="340"/>
      <c r="M106" s="340"/>
      <c r="N106" s="340"/>
      <c r="O106" s="340"/>
      <c r="P106" s="341"/>
      <c r="Q106" s="2"/>
    </row>
    <row r="107" spans="1:17" x14ac:dyDescent="0.2">
      <c r="A107" s="224" t="s">
        <v>36</v>
      </c>
      <c r="B107" s="225"/>
      <c r="C107" s="283"/>
      <c r="D107" s="284"/>
      <c r="E107" s="20"/>
      <c r="F107" s="70" t="s">
        <v>49</v>
      </c>
      <c r="G107" s="27"/>
      <c r="H107" s="308"/>
      <c r="I107" s="329"/>
      <c r="J107" s="330"/>
      <c r="K107" s="330"/>
      <c r="L107" s="330"/>
      <c r="M107" s="330"/>
      <c r="N107" s="330"/>
      <c r="O107" s="331"/>
      <c r="P107" s="7"/>
      <c r="Q107" s="2"/>
    </row>
    <row r="108" spans="1:17" ht="5" customHeight="1" x14ac:dyDescent="0.2">
      <c r="A108" s="47"/>
      <c r="B108" s="21"/>
      <c r="C108" s="21"/>
      <c r="D108" s="9"/>
      <c r="E108" s="21"/>
      <c r="F108" s="10"/>
      <c r="G108" s="10"/>
      <c r="H108" s="10"/>
      <c r="I108" s="10"/>
      <c r="J108" s="10"/>
      <c r="K108" s="10"/>
      <c r="L108" s="10"/>
      <c r="M108" s="10"/>
      <c r="N108" s="10"/>
      <c r="O108" s="10"/>
      <c r="P108" s="28"/>
      <c r="Q108" s="2"/>
    </row>
    <row r="109" spans="1:17" ht="5" customHeight="1" x14ac:dyDescent="0.2">
      <c r="A109" s="49"/>
      <c r="B109" s="24"/>
      <c r="C109" s="24"/>
      <c r="D109" s="14"/>
      <c r="E109" s="24"/>
      <c r="F109" s="29"/>
      <c r="G109" s="29"/>
      <c r="H109" s="29"/>
      <c r="I109" s="29"/>
      <c r="J109" s="29"/>
      <c r="K109" s="29"/>
      <c r="L109" s="29"/>
      <c r="M109" s="29"/>
      <c r="N109" s="29"/>
      <c r="O109" s="29"/>
      <c r="P109" s="30"/>
      <c r="Q109" s="2"/>
    </row>
    <row r="110" spans="1:17" ht="15" customHeight="1" x14ac:dyDescent="0.25">
      <c r="A110" s="61"/>
      <c r="B110" s="22"/>
      <c r="C110" s="22"/>
      <c r="D110" s="150"/>
      <c r="E110" s="22"/>
      <c r="F110" s="40"/>
      <c r="G110" s="40"/>
      <c r="H110" s="339" t="s">
        <v>217</v>
      </c>
      <c r="I110" s="340"/>
      <c r="J110" s="340"/>
      <c r="K110" s="340"/>
      <c r="L110" s="340"/>
      <c r="M110" s="340"/>
      <c r="N110" s="340"/>
      <c r="O110" s="340"/>
      <c r="P110" s="341"/>
      <c r="Q110" s="2"/>
    </row>
    <row r="111" spans="1:17" x14ac:dyDescent="0.2">
      <c r="A111" s="221" t="s">
        <v>37</v>
      </c>
      <c r="B111" s="222"/>
      <c r="C111" s="283"/>
      <c r="D111" s="284"/>
      <c r="E111" s="22"/>
      <c r="F111" s="70" t="s">
        <v>50</v>
      </c>
      <c r="G111" s="40"/>
      <c r="H111" s="308"/>
      <c r="I111" s="329"/>
      <c r="J111" s="330"/>
      <c r="K111" s="330"/>
      <c r="L111" s="330"/>
      <c r="M111" s="330"/>
      <c r="N111" s="330"/>
      <c r="O111" s="331"/>
      <c r="P111" s="150"/>
      <c r="Q111" s="2"/>
    </row>
    <row r="112" spans="1:17" ht="5" customHeight="1" x14ac:dyDescent="0.2">
      <c r="A112" s="15"/>
      <c r="B112" s="18"/>
      <c r="C112" s="18"/>
      <c r="D112" s="17"/>
      <c r="E112" s="18"/>
      <c r="F112" s="18"/>
      <c r="G112" s="18"/>
      <c r="H112" s="18"/>
      <c r="I112" s="18"/>
      <c r="J112" s="18"/>
      <c r="K112" s="18"/>
      <c r="L112" s="18"/>
      <c r="M112" s="18"/>
      <c r="N112" s="18"/>
      <c r="O112" s="18"/>
      <c r="P112" s="17"/>
      <c r="Q112" s="2"/>
    </row>
    <row r="113" spans="1:17" x14ac:dyDescent="0.2">
      <c r="A113" s="61"/>
      <c r="B113" s="22"/>
      <c r="C113" s="22"/>
      <c r="D113" s="22"/>
      <c r="E113" s="22"/>
      <c r="F113" s="40"/>
      <c r="G113" s="40"/>
      <c r="H113" s="40"/>
      <c r="I113" s="40"/>
      <c r="J113" s="40"/>
      <c r="K113" s="40"/>
      <c r="L113" s="40"/>
      <c r="M113" s="40"/>
      <c r="N113" s="40"/>
      <c r="O113" s="40"/>
      <c r="P113" s="40"/>
      <c r="Q113" s="2"/>
    </row>
    <row r="114" spans="1:17" ht="5" customHeight="1" x14ac:dyDescent="0.2">
      <c r="A114" s="48"/>
      <c r="B114" s="23"/>
      <c r="C114" s="23"/>
      <c r="D114" s="12"/>
      <c r="E114" s="23"/>
      <c r="F114" s="33"/>
      <c r="G114" s="33"/>
      <c r="H114" s="33"/>
      <c r="I114" s="33"/>
      <c r="J114" s="33"/>
      <c r="K114" s="33"/>
      <c r="L114" s="33"/>
      <c r="M114" s="33"/>
      <c r="N114" s="33"/>
      <c r="O114" s="33"/>
      <c r="P114" s="34"/>
      <c r="Q114" s="2"/>
    </row>
    <row r="115" spans="1:17" ht="15" customHeight="1" x14ac:dyDescent="0.25">
      <c r="A115" s="141"/>
      <c r="B115" s="20"/>
      <c r="C115" s="20"/>
      <c r="D115" s="7"/>
      <c r="E115" s="20"/>
      <c r="F115" s="27"/>
      <c r="G115" s="27"/>
      <c r="H115" s="342" t="s">
        <v>216</v>
      </c>
      <c r="I115" s="340"/>
      <c r="J115" s="340"/>
      <c r="K115" s="340"/>
      <c r="L115" s="340"/>
      <c r="M115" s="340"/>
      <c r="N115" s="340"/>
      <c r="O115" s="340"/>
      <c r="P115" s="341"/>
      <c r="Q115" s="2"/>
    </row>
    <row r="116" spans="1:17" x14ac:dyDescent="0.2">
      <c r="A116" s="224" t="s">
        <v>36</v>
      </c>
      <c r="B116" s="225"/>
      <c r="C116" s="283"/>
      <c r="D116" s="284"/>
      <c r="E116" s="20"/>
      <c r="F116" s="70" t="s">
        <v>52</v>
      </c>
      <c r="G116" s="27"/>
      <c r="H116" s="308"/>
      <c r="I116" s="329"/>
      <c r="J116" s="330"/>
      <c r="K116" s="330"/>
      <c r="L116" s="330"/>
      <c r="M116" s="330"/>
      <c r="N116" s="330"/>
      <c r="O116" s="331"/>
      <c r="P116" s="7"/>
      <c r="Q116" s="2"/>
    </row>
    <row r="117" spans="1:17" ht="5" customHeight="1" x14ac:dyDescent="0.2">
      <c r="A117" s="47"/>
      <c r="B117" s="21"/>
      <c r="C117" s="21"/>
      <c r="D117" s="9"/>
      <c r="E117" s="21"/>
      <c r="F117" s="10"/>
      <c r="G117" s="10"/>
      <c r="H117" s="10"/>
      <c r="I117" s="10"/>
      <c r="J117" s="10"/>
      <c r="K117" s="10"/>
      <c r="L117" s="10"/>
      <c r="M117" s="10"/>
      <c r="N117" s="10"/>
      <c r="O117" s="10"/>
      <c r="P117" s="28"/>
      <c r="Q117" s="2"/>
    </row>
    <row r="118" spans="1:17" ht="5" customHeight="1" x14ac:dyDescent="0.2">
      <c r="A118" s="49"/>
      <c r="B118" s="24"/>
      <c r="C118" s="24"/>
      <c r="D118" s="24"/>
      <c r="E118" s="49"/>
      <c r="F118" s="29"/>
      <c r="G118" s="29"/>
      <c r="H118" s="29"/>
      <c r="I118" s="29"/>
      <c r="J118" s="29"/>
      <c r="K118" s="29"/>
      <c r="L118" s="29"/>
      <c r="M118" s="29"/>
      <c r="N118" s="29"/>
      <c r="O118" s="29"/>
      <c r="P118" s="30"/>
      <c r="Q118" s="2"/>
    </row>
    <row r="119" spans="1:17" ht="15" customHeight="1" x14ac:dyDescent="0.25">
      <c r="A119" s="61"/>
      <c r="B119" s="22"/>
      <c r="C119" s="22"/>
      <c r="D119" s="150"/>
      <c r="E119" s="22"/>
      <c r="F119" s="40"/>
      <c r="G119" s="40"/>
      <c r="H119" s="339" t="s">
        <v>217</v>
      </c>
      <c r="I119" s="340"/>
      <c r="J119" s="340"/>
      <c r="K119" s="340"/>
      <c r="L119" s="340"/>
      <c r="M119" s="340"/>
      <c r="N119" s="340"/>
      <c r="O119" s="340"/>
      <c r="P119" s="341"/>
      <c r="Q119" s="2"/>
    </row>
    <row r="120" spans="1:17" x14ac:dyDescent="0.2">
      <c r="A120" s="221" t="s">
        <v>37</v>
      </c>
      <c r="B120" s="222"/>
      <c r="C120" s="283"/>
      <c r="D120" s="284"/>
      <c r="E120" s="22"/>
      <c r="F120" s="70" t="s">
        <v>53</v>
      </c>
      <c r="G120" s="40"/>
      <c r="H120" s="308"/>
      <c r="I120" s="329"/>
      <c r="J120" s="330"/>
      <c r="K120" s="330"/>
      <c r="L120" s="330"/>
      <c r="M120" s="330"/>
      <c r="N120" s="330"/>
      <c r="O120" s="331"/>
      <c r="P120" s="150"/>
      <c r="Q120" s="2"/>
    </row>
    <row r="121" spans="1:17" ht="5" customHeight="1" x14ac:dyDescent="0.2">
      <c r="A121" s="15"/>
      <c r="B121" s="18"/>
      <c r="C121" s="18"/>
      <c r="D121" s="17"/>
      <c r="E121" s="18"/>
      <c r="F121" s="18"/>
      <c r="G121" s="18"/>
      <c r="H121" s="18"/>
      <c r="I121" s="18"/>
      <c r="J121" s="18"/>
      <c r="K121" s="18"/>
      <c r="L121" s="18"/>
      <c r="M121" s="18"/>
      <c r="N121" s="18"/>
      <c r="O121" s="18"/>
      <c r="P121" s="17"/>
      <c r="Q121" s="2"/>
    </row>
    <row r="122" spans="1:17" x14ac:dyDescent="0.2">
      <c r="A122" s="61"/>
      <c r="B122" s="22"/>
      <c r="C122" s="22"/>
      <c r="D122" s="40"/>
      <c r="E122" s="22"/>
      <c r="F122" s="40"/>
      <c r="G122" s="40"/>
      <c r="H122" s="40"/>
      <c r="I122" s="40"/>
      <c r="J122" s="40"/>
      <c r="K122" s="40"/>
      <c r="L122" s="40"/>
      <c r="M122" s="40"/>
      <c r="N122" s="40"/>
      <c r="O122" s="40"/>
      <c r="P122" s="40"/>
      <c r="Q122" s="2"/>
    </row>
    <row r="123" spans="1:17" x14ac:dyDescent="0.2">
      <c r="A123" s="417" t="s">
        <v>40</v>
      </c>
      <c r="B123" s="345"/>
      <c r="C123" s="345"/>
      <c r="D123" s="345"/>
      <c r="E123" s="345"/>
      <c r="F123" s="345"/>
      <c r="G123" s="345"/>
      <c r="H123" s="345"/>
      <c r="I123" s="40"/>
      <c r="J123" s="65" t="s">
        <v>42</v>
      </c>
      <c r="K123" s="40"/>
      <c r="L123" s="65"/>
      <c r="M123" s="40"/>
      <c r="N123" s="40"/>
      <c r="O123" s="40"/>
      <c r="P123" s="40"/>
      <c r="Q123" s="2"/>
    </row>
    <row r="124" spans="1:17" x14ac:dyDescent="0.2">
      <c r="A124" s="61"/>
      <c r="B124" s="22"/>
      <c r="C124" s="22"/>
      <c r="D124" s="40"/>
      <c r="E124" s="22"/>
      <c r="F124" s="40"/>
      <c r="G124" s="40"/>
      <c r="H124" s="40"/>
      <c r="I124" s="40"/>
      <c r="J124" s="40"/>
      <c r="K124" s="40"/>
      <c r="L124" s="40"/>
      <c r="M124" s="40"/>
      <c r="N124" s="40"/>
      <c r="O124" s="40"/>
      <c r="P124" s="40"/>
      <c r="Q124" s="2"/>
    </row>
    <row r="125" spans="1:17" ht="5" customHeight="1" x14ac:dyDescent="0.2">
      <c r="A125" s="48"/>
      <c r="B125" s="23"/>
      <c r="C125" s="23"/>
      <c r="D125" s="12"/>
      <c r="E125" s="23"/>
      <c r="F125" s="33"/>
      <c r="G125" s="33"/>
      <c r="H125" s="33"/>
      <c r="I125" s="33"/>
      <c r="J125" s="33"/>
      <c r="K125" s="33"/>
      <c r="L125" s="33"/>
      <c r="M125" s="33"/>
      <c r="N125" s="33"/>
      <c r="O125" s="33"/>
      <c r="P125" s="34"/>
      <c r="Q125" s="2"/>
    </row>
    <row r="126" spans="1:17" ht="15" customHeight="1" x14ac:dyDescent="0.25">
      <c r="A126" s="141"/>
      <c r="B126" s="20"/>
      <c r="C126" s="20"/>
      <c r="D126" s="7"/>
      <c r="E126" s="20"/>
      <c r="F126" s="27"/>
      <c r="G126" s="27"/>
      <c r="H126" s="342" t="s">
        <v>218</v>
      </c>
      <c r="I126" s="340"/>
      <c r="J126" s="340"/>
      <c r="K126" s="340"/>
      <c r="L126" s="340"/>
      <c r="M126" s="340"/>
      <c r="N126" s="340"/>
      <c r="O126" s="340"/>
      <c r="P126" s="341"/>
      <c r="Q126" s="2"/>
    </row>
    <row r="127" spans="1:17" x14ac:dyDescent="0.2">
      <c r="A127" s="224" t="s">
        <v>36</v>
      </c>
      <c r="B127" s="225"/>
      <c r="C127" s="283"/>
      <c r="D127" s="284"/>
      <c r="E127" s="20"/>
      <c r="F127" s="70" t="s">
        <v>51</v>
      </c>
      <c r="G127" s="27"/>
      <c r="H127" s="308"/>
      <c r="I127" s="329"/>
      <c r="J127" s="330"/>
      <c r="K127" s="330"/>
      <c r="L127" s="330"/>
      <c r="M127" s="330"/>
      <c r="N127" s="330"/>
      <c r="O127" s="331"/>
      <c r="P127" s="7"/>
      <c r="Q127" s="2"/>
    </row>
    <row r="128" spans="1:17" ht="5" customHeight="1" x14ac:dyDescent="0.2">
      <c r="A128" s="47"/>
      <c r="B128" s="21"/>
      <c r="C128" s="21"/>
      <c r="D128" s="9"/>
      <c r="E128" s="21"/>
      <c r="F128" s="10"/>
      <c r="G128" s="10"/>
      <c r="H128" s="10"/>
      <c r="I128" s="10"/>
      <c r="J128" s="10"/>
      <c r="K128" s="10"/>
      <c r="L128" s="10"/>
      <c r="M128" s="10"/>
      <c r="N128" s="10"/>
      <c r="O128" s="10"/>
      <c r="P128" s="28"/>
      <c r="Q128" s="2"/>
    </row>
    <row r="129" spans="1:17" ht="5" customHeight="1" x14ac:dyDescent="0.2">
      <c r="A129" s="49"/>
      <c r="B129" s="24"/>
      <c r="C129" s="24"/>
      <c r="D129" s="24"/>
      <c r="E129" s="49"/>
      <c r="F129" s="29"/>
      <c r="G129" s="29"/>
      <c r="H129" s="29"/>
      <c r="I129" s="29"/>
      <c r="J129" s="29"/>
      <c r="K129" s="29"/>
      <c r="L129" s="29"/>
      <c r="M129" s="29"/>
      <c r="N129" s="29"/>
      <c r="O129" s="29"/>
      <c r="P129" s="30"/>
      <c r="Q129" s="2"/>
    </row>
    <row r="130" spans="1:17" ht="15" customHeight="1" x14ac:dyDescent="0.25">
      <c r="A130" s="61"/>
      <c r="B130" s="22"/>
      <c r="C130" s="22"/>
      <c r="D130" s="150"/>
      <c r="E130" s="22"/>
      <c r="F130" s="40"/>
      <c r="G130" s="40"/>
      <c r="H130" s="339" t="s">
        <v>219</v>
      </c>
      <c r="I130" s="340"/>
      <c r="J130" s="340"/>
      <c r="K130" s="340"/>
      <c r="L130" s="340"/>
      <c r="M130" s="340"/>
      <c r="N130" s="340"/>
      <c r="O130" s="340"/>
      <c r="P130" s="341"/>
      <c r="Q130" s="2"/>
    </row>
    <row r="131" spans="1:17" x14ac:dyDescent="0.2">
      <c r="A131" s="221" t="s">
        <v>37</v>
      </c>
      <c r="B131" s="222"/>
      <c r="C131" s="283"/>
      <c r="D131" s="284"/>
      <c r="E131" s="22"/>
      <c r="F131" s="70" t="s">
        <v>54</v>
      </c>
      <c r="G131" s="40"/>
      <c r="H131" s="308"/>
      <c r="I131" s="329"/>
      <c r="J131" s="330"/>
      <c r="K131" s="330"/>
      <c r="L131" s="330"/>
      <c r="M131" s="330"/>
      <c r="N131" s="330"/>
      <c r="O131" s="331"/>
      <c r="P131" s="150"/>
      <c r="Q131" s="2"/>
    </row>
    <row r="132" spans="1:17" ht="5" customHeight="1" x14ac:dyDescent="0.2">
      <c r="A132" s="15"/>
      <c r="B132" s="18"/>
      <c r="C132" s="18"/>
      <c r="D132" s="17"/>
      <c r="E132" s="18"/>
      <c r="F132" s="18"/>
      <c r="G132" s="18"/>
      <c r="H132" s="18"/>
      <c r="I132" s="18"/>
      <c r="J132" s="18"/>
      <c r="K132" s="18"/>
      <c r="L132" s="18"/>
      <c r="M132" s="18"/>
      <c r="N132" s="18"/>
      <c r="O132" s="18"/>
      <c r="P132" s="17"/>
      <c r="Q132" s="2"/>
    </row>
    <row r="133" spans="1:17" x14ac:dyDescent="0.2">
      <c r="A133" s="61"/>
      <c r="B133" s="22"/>
      <c r="C133" s="22"/>
      <c r="D133" s="40"/>
      <c r="E133" s="22"/>
      <c r="F133" s="40"/>
      <c r="G133" s="40"/>
      <c r="H133" s="40"/>
      <c r="I133" s="40"/>
      <c r="J133" s="40"/>
      <c r="K133" s="40"/>
      <c r="L133" s="40"/>
      <c r="M133" s="40"/>
      <c r="N133" s="40"/>
      <c r="O133" s="40"/>
      <c r="P133" s="40"/>
      <c r="Q133" s="2"/>
    </row>
    <row r="134" spans="1:17" ht="5" customHeight="1" x14ac:dyDescent="0.2">
      <c r="A134" s="48"/>
      <c r="B134" s="23"/>
      <c r="C134" s="23"/>
      <c r="D134" s="12"/>
      <c r="E134" s="23"/>
      <c r="F134" s="33"/>
      <c r="G134" s="33"/>
      <c r="H134" s="33"/>
      <c r="I134" s="33"/>
      <c r="J134" s="33"/>
      <c r="K134" s="33"/>
      <c r="L134" s="33"/>
      <c r="M134" s="33"/>
      <c r="N134" s="33"/>
      <c r="O134" s="33"/>
      <c r="P134" s="34"/>
      <c r="Q134" s="2"/>
    </row>
    <row r="135" spans="1:17" ht="15" customHeight="1" x14ac:dyDescent="0.25">
      <c r="A135" s="141"/>
      <c r="B135" s="20"/>
      <c r="C135" s="20"/>
      <c r="D135" s="7"/>
      <c r="E135" s="20"/>
      <c r="F135" s="27"/>
      <c r="G135" s="27"/>
      <c r="H135" s="342" t="s">
        <v>218</v>
      </c>
      <c r="I135" s="340"/>
      <c r="J135" s="340"/>
      <c r="K135" s="340"/>
      <c r="L135" s="340"/>
      <c r="M135" s="340"/>
      <c r="N135" s="340"/>
      <c r="O135" s="340"/>
      <c r="P135" s="341"/>
      <c r="Q135" s="2"/>
    </row>
    <row r="136" spans="1:17" x14ac:dyDescent="0.2">
      <c r="A136" s="224" t="s">
        <v>36</v>
      </c>
      <c r="B136" s="225"/>
      <c r="C136" s="283"/>
      <c r="D136" s="284"/>
      <c r="E136" s="20"/>
      <c r="F136" s="70" t="s">
        <v>55</v>
      </c>
      <c r="G136" s="27"/>
      <c r="H136" s="308"/>
      <c r="I136" s="329"/>
      <c r="J136" s="330"/>
      <c r="K136" s="330"/>
      <c r="L136" s="330"/>
      <c r="M136" s="330"/>
      <c r="N136" s="330"/>
      <c r="O136" s="331"/>
      <c r="P136" s="7"/>
      <c r="Q136" s="2"/>
    </row>
    <row r="137" spans="1:17" ht="5" customHeight="1" x14ac:dyDescent="0.2">
      <c r="A137" s="47"/>
      <c r="B137" s="21"/>
      <c r="C137" s="21"/>
      <c r="D137" s="9"/>
      <c r="E137" s="21"/>
      <c r="F137" s="10"/>
      <c r="G137" s="10"/>
      <c r="H137" s="10"/>
      <c r="I137" s="10"/>
      <c r="J137" s="10"/>
      <c r="K137" s="10"/>
      <c r="L137" s="10"/>
      <c r="M137" s="10"/>
      <c r="N137" s="10"/>
      <c r="O137" s="10"/>
      <c r="P137" s="28"/>
      <c r="Q137" s="2"/>
    </row>
    <row r="138" spans="1:17" ht="5" customHeight="1" x14ac:dyDescent="0.2">
      <c r="A138" s="49"/>
      <c r="B138" s="24"/>
      <c r="C138" s="24"/>
      <c r="D138" s="14"/>
      <c r="E138" s="24"/>
      <c r="F138" s="29"/>
      <c r="G138" s="29"/>
      <c r="H138" s="29"/>
      <c r="I138" s="29"/>
      <c r="J138" s="29"/>
      <c r="K138" s="29"/>
      <c r="L138" s="29"/>
      <c r="M138" s="29"/>
      <c r="N138" s="29"/>
      <c r="O138" s="29"/>
      <c r="P138" s="30"/>
      <c r="Q138" s="2"/>
    </row>
    <row r="139" spans="1:17" ht="15" customHeight="1" x14ac:dyDescent="0.25">
      <c r="A139" s="61"/>
      <c r="B139" s="22"/>
      <c r="C139" s="22"/>
      <c r="D139" s="150"/>
      <c r="E139" s="22"/>
      <c r="F139" s="40"/>
      <c r="G139" s="40"/>
      <c r="H139" s="339" t="s">
        <v>220</v>
      </c>
      <c r="I139" s="340"/>
      <c r="J139" s="340"/>
      <c r="K139" s="340"/>
      <c r="L139" s="340"/>
      <c r="M139" s="340"/>
      <c r="N139" s="340"/>
      <c r="O139" s="340"/>
      <c r="P139" s="341"/>
      <c r="Q139" s="2"/>
    </row>
    <row r="140" spans="1:17" ht="14.25" customHeight="1" x14ac:dyDescent="0.2">
      <c r="A140" s="221" t="s">
        <v>37</v>
      </c>
      <c r="B140" s="222"/>
      <c r="C140" s="283"/>
      <c r="D140" s="284"/>
      <c r="E140" s="22"/>
      <c r="F140" s="70" t="s">
        <v>57</v>
      </c>
      <c r="H140" s="308"/>
      <c r="I140" s="329"/>
      <c r="J140" s="330"/>
      <c r="K140" s="330"/>
      <c r="L140" s="330"/>
      <c r="M140" s="330"/>
      <c r="N140" s="330"/>
      <c r="O140" s="331"/>
      <c r="P140" s="150"/>
      <c r="Q140" s="2"/>
    </row>
    <row r="141" spans="1:17" ht="5" customHeight="1" x14ac:dyDescent="0.2">
      <c r="A141" s="15"/>
      <c r="B141" s="18"/>
      <c r="C141" s="18"/>
      <c r="D141" s="17"/>
      <c r="E141" s="18"/>
      <c r="F141" s="18"/>
      <c r="G141" s="18"/>
      <c r="H141" s="18"/>
      <c r="I141" s="18"/>
      <c r="J141" s="18"/>
      <c r="K141" s="18"/>
      <c r="L141" s="18"/>
      <c r="M141" s="18"/>
      <c r="N141" s="18"/>
      <c r="O141" s="18"/>
      <c r="P141" s="17"/>
      <c r="Q141" s="2"/>
    </row>
    <row r="142" spans="1:17" x14ac:dyDescent="0.2">
      <c r="Q142" s="2"/>
    </row>
    <row r="143" spans="1:17" ht="5" customHeight="1" x14ac:dyDescent="0.2">
      <c r="A143" s="48"/>
      <c r="B143" s="23"/>
      <c r="C143" s="23"/>
      <c r="D143" s="12"/>
      <c r="E143" s="23"/>
      <c r="F143" s="33"/>
      <c r="G143" s="33"/>
      <c r="H143" s="33"/>
      <c r="I143" s="33"/>
      <c r="J143" s="33"/>
      <c r="K143" s="33"/>
      <c r="L143" s="33"/>
      <c r="M143" s="33"/>
      <c r="N143" s="33"/>
      <c r="O143" s="33"/>
      <c r="P143" s="34"/>
      <c r="Q143" s="2"/>
    </row>
    <row r="144" spans="1:17" ht="17" x14ac:dyDescent="0.25">
      <c r="A144" s="141"/>
      <c r="B144" s="20"/>
      <c r="C144" s="20"/>
      <c r="D144" s="7"/>
      <c r="E144" s="20"/>
      <c r="F144" s="27"/>
      <c r="G144" s="27"/>
      <c r="H144" s="342" t="s">
        <v>221</v>
      </c>
      <c r="I144" s="340"/>
      <c r="J144" s="340"/>
      <c r="K144" s="340"/>
      <c r="L144" s="340"/>
      <c r="M144" s="340"/>
      <c r="N144" s="340"/>
      <c r="O144" s="340"/>
      <c r="P144" s="341"/>
      <c r="Q144" s="2"/>
    </row>
    <row r="145" spans="1:17" x14ac:dyDescent="0.2">
      <c r="A145" s="224" t="s">
        <v>43</v>
      </c>
      <c r="B145" s="225"/>
      <c r="C145" s="283"/>
      <c r="D145" s="284"/>
      <c r="E145" s="20"/>
      <c r="F145" s="70" t="s">
        <v>56</v>
      </c>
      <c r="G145" s="27"/>
      <c r="H145" s="308"/>
      <c r="I145" s="329"/>
      <c r="J145" s="330"/>
      <c r="K145" s="330"/>
      <c r="L145" s="330"/>
      <c r="M145" s="330"/>
      <c r="N145" s="330"/>
      <c r="O145" s="331"/>
      <c r="P145" s="7"/>
      <c r="Q145" s="2"/>
    </row>
    <row r="146" spans="1:17" ht="5" customHeight="1" x14ac:dyDescent="0.2">
      <c r="A146" s="47"/>
      <c r="B146" s="21"/>
      <c r="C146" s="21"/>
      <c r="D146" s="9"/>
      <c r="E146" s="21"/>
      <c r="F146" s="10"/>
      <c r="G146" s="10"/>
      <c r="H146" s="10"/>
      <c r="I146" s="10"/>
      <c r="J146" s="10"/>
      <c r="K146" s="10"/>
      <c r="L146" s="10"/>
      <c r="M146" s="10"/>
      <c r="N146" s="10"/>
      <c r="O146" s="10"/>
      <c r="P146" s="28"/>
      <c r="Q146" s="2"/>
    </row>
    <row r="147" spans="1:17" x14ac:dyDescent="0.2">
      <c r="Q147" s="2"/>
    </row>
    <row r="149" spans="1:17" ht="16" x14ac:dyDescent="0.2">
      <c r="A149" s="231" t="s">
        <v>58</v>
      </c>
      <c r="B149" s="232"/>
      <c r="C149" s="232"/>
      <c r="D149" s="232"/>
      <c r="F149" s="233"/>
      <c r="G149" s="233"/>
      <c r="H149" s="233"/>
      <c r="I149" s="233"/>
      <c r="J149" s="233"/>
      <c r="K149" s="233"/>
      <c r="L149" s="233"/>
      <c r="M149" s="233"/>
      <c r="N149" s="233"/>
      <c r="O149" s="233"/>
      <c r="P149" s="233"/>
      <c r="Q149" s="233"/>
    </row>
    <row r="150" spans="1:17" ht="5" customHeight="1" x14ac:dyDescent="0.2">
      <c r="A150" s="1"/>
      <c r="B150" s="1"/>
      <c r="C150" s="1"/>
      <c r="D150" s="1"/>
      <c r="E150" s="1"/>
      <c r="F150" s="1"/>
      <c r="G150" s="1"/>
      <c r="H150" s="1"/>
      <c r="I150" s="1"/>
      <c r="J150" s="1"/>
      <c r="K150" s="1"/>
      <c r="L150" s="1"/>
      <c r="M150" s="1"/>
      <c r="N150" s="1"/>
      <c r="O150" s="1"/>
      <c r="P150" s="1"/>
      <c r="Q150" s="1"/>
    </row>
    <row r="151" spans="1:17" x14ac:dyDescent="0.2">
      <c r="A151" s="234" t="str">
        <f>"Profit and Loss account for the year ended "&amp;TEXT(N2,"dd Mmm yyyy")</f>
        <v>Profit and Loss account for the year ended 31 Mar 2026</v>
      </c>
      <c r="B151" s="235"/>
      <c r="C151" s="235"/>
      <c r="D151" s="235"/>
      <c r="E151" s="236"/>
      <c r="F151" s="236"/>
      <c r="G151" s="236"/>
      <c r="H151" s="236"/>
      <c r="I151" s="236"/>
      <c r="J151" s="236"/>
      <c r="K151" s="236"/>
      <c r="L151" s="236"/>
      <c r="M151" s="236"/>
      <c r="N151" s="236"/>
      <c r="O151" s="236"/>
      <c r="P151" s="236"/>
      <c r="Q151" s="237"/>
    </row>
    <row r="152" spans="1:17" x14ac:dyDescent="0.2">
      <c r="A152" s="39" t="s">
        <v>59</v>
      </c>
      <c r="B152" s="39"/>
      <c r="C152" s="39"/>
      <c r="D152" s="39"/>
      <c r="E152" s="37"/>
      <c r="F152" s="37"/>
      <c r="G152" s="37"/>
      <c r="H152" s="37"/>
      <c r="I152" s="37"/>
      <c r="J152" s="37"/>
      <c r="K152" s="37"/>
      <c r="L152" s="37"/>
      <c r="M152" s="37"/>
      <c r="N152" s="37"/>
      <c r="O152" s="37"/>
      <c r="P152" s="37"/>
      <c r="Q152" s="38"/>
    </row>
    <row r="153" spans="1:17" x14ac:dyDescent="0.2">
      <c r="A153" s="39"/>
      <c r="B153" s="39"/>
      <c r="C153" s="39"/>
      <c r="D153" s="39"/>
      <c r="E153" s="37"/>
      <c r="F153" s="37"/>
      <c r="G153" s="37"/>
      <c r="H153" s="37"/>
      <c r="I153" s="37"/>
      <c r="J153" s="37"/>
      <c r="K153" s="37"/>
      <c r="L153" s="37"/>
      <c r="M153" s="37"/>
      <c r="N153" s="37"/>
      <c r="O153" s="37"/>
      <c r="P153" s="37"/>
      <c r="Q153" s="38"/>
    </row>
    <row r="154" spans="1:17" ht="39.75" customHeight="1" x14ac:dyDescent="0.2">
      <c r="A154" s="326" t="s">
        <v>60</v>
      </c>
      <c r="B154" s="212"/>
      <c r="C154" s="212"/>
      <c r="D154" s="212"/>
      <c r="E154" s="212"/>
      <c r="F154" s="212"/>
      <c r="G154" s="212"/>
      <c r="H154" s="212"/>
      <c r="I154" s="212"/>
      <c r="J154" s="212"/>
      <c r="K154" s="212"/>
      <c r="L154" s="212"/>
      <c r="M154" s="212"/>
      <c r="N154" s="212"/>
      <c r="O154" s="212"/>
      <c r="P154" s="212"/>
      <c r="Q154" s="38"/>
    </row>
    <row r="155" spans="1:17" ht="15" customHeight="1" x14ac:dyDescent="0.2">
      <c r="A155" s="62"/>
      <c r="B155" s="51"/>
      <c r="C155" s="51"/>
      <c r="D155" s="51"/>
      <c r="E155" s="51"/>
      <c r="F155" s="51"/>
      <c r="G155" s="51"/>
      <c r="H155" s="51"/>
      <c r="I155" s="51"/>
      <c r="J155" s="51"/>
      <c r="K155" s="51"/>
      <c r="L155" s="51"/>
      <c r="M155" s="51"/>
      <c r="N155" s="51"/>
      <c r="O155" s="51"/>
      <c r="P155" s="51"/>
      <c r="Q155" s="38"/>
    </row>
    <row r="156" spans="1:17" ht="15" customHeight="1" x14ac:dyDescent="0.2">
      <c r="A156" s="71"/>
      <c r="B156" s="72"/>
      <c r="C156" s="72"/>
      <c r="D156" s="72"/>
      <c r="E156" s="72"/>
      <c r="F156" s="418" t="str">
        <f>TEXT((YEARFRAC(J2,N2)*12),"0")&amp;" months to "&amp;TEXT(N2,"dd Mmm yyyy")&amp;"."</f>
        <v>24 months to 31 Mar 2026.</v>
      </c>
      <c r="G156" s="418"/>
      <c r="H156" s="418"/>
      <c r="I156" s="418"/>
      <c r="J156" s="72"/>
      <c r="K156" s="72"/>
      <c r="L156" s="239" t="str">
        <f>IF(H72&gt;0,TEXT(H72,"yyyy"),"")</f>
        <v/>
      </c>
      <c r="M156" s="239"/>
      <c r="N156" s="239"/>
      <c r="O156" s="239"/>
      <c r="P156" s="72"/>
      <c r="Q156" s="38"/>
    </row>
    <row r="157" spans="1:17" x14ac:dyDescent="0.2">
      <c r="A157" s="36"/>
      <c r="Q157" s="2"/>
    </row>
    <row r="158" spans="1:17" ht="5" customHeight="1" x14ac:dyDescent="0.2">
      <c r="A158" s="48"/>
      <c r="B158" s="23"/>
      <c r="C158" s="23"/>
      <c r="D158" s="12"/>
      <c r="E158" s="23"/>
      <c r="F158" s="33"/>
      <c r="G158" s="33"/>
      <c r="H158" s="33"/>
      <c r="I158" s="33"/>
      <c r="J158" s="34"/>
      <c r="K158" s="33"/>
      <c r="L158" s="33"/>
      <c r="M158" s="33"/>
      <c r="N158" s="33"/>
      <c r="O158" s="33"/>
      <c r="P158" s="34"/>
      <c r="Q158" s="2"/>
    </row>
    <row r="159" spans="1:17" x14ac:dyDescent="0.2">
      <c r="A159" s="224" t="s">
        <v>62</v>
      </c>
      <c r="B159" s="225"/>
      <c r="C159" s="283"/>
      <c r="D159" s="284"/>
      <c r="E159" s="20"/>
      <c r="F159" s="70" t="s">
        <v>65</v>
      </c>
      <c r="G159" s="66" t="s">
        <v>61</v>
      </c>
      <c r="H159" s="213">
        <f>N1265</f>
        <v>0</v>
      </c>
      <c r="I159" s="214"/>
      <c r="J159" s="26"/>
      <c r="K159" s="27"/>
      <c r="L159" s="70" t="s">
        <v>406</v>
      </c>
      <c r="M159" s="66" t="s">
        <v>61</v>
      </c>
      <c r="N159" s="213">
        <f>IF(H72&gt;0,ROUND([1]OpenAccounts!$E$43,D2),"")</f>
        <v>0</v>
      </c>
      <c r="O159" s="214"/>
      <c r="P159" s="26"/>
      <c r="Q159" s="2"/>
    </row>
    <row r="160" spans="1:17" ht="5" customHeight="1" x14ac:dyDescent="0.2">
      <c r="A160" s="47"/>
      <c r="B160" s="21"/>
      <c r="C160" s="21"/>
      <c r="D160" s="9"/>
      <c r="E160" s="21"/>
      <c r="F160" s="10"/>
      <c r="G160" s="10"/>
      <c r="H160" s="10"/>
      <c r="I160" s="10"/>
      <c r="J160" s="28"/>
      <c r="K160" s="10"/>
      <c r="L160" s="10"/>
      <c r="M160" s="10"/>
      <c r="N160" s="10"/>
      <c r="O160" s="10"/>
      <c r="P160" s="28"/>
      <c r="Q160" s="2"/>
    </row>
    <row r="161" spans="1:17" ht="5" customHeight="1" x14ac:dyDescent="0.2">
      <c r="A161" s="49"/>
      <c r="B161" s="24"/>
      <c r="C161" s="24"/>
      <c r="D161" s="14"/>
      <c r="E161" s="24"/>
      <c r="F161" s="29"/>
      <c r="G161" s="29"/>
      <c r="H161" s="29"/>
      <c r="I161" s="29"/>
      <c r="J161" s="30"/>
      <c r="K161" s="29"/>
      <c r="L161" s="29"/>
      <c r="M161" s="29"/>
      <c r="N161" s="29"/>
      <c r="O161" s="29"/>
      <c r="P161" s="30"/>
      <c r="Q161" s="2"/>
    </row>
    <row r="162" spans="1:17" x14ac:dyDescent="0.2">
      <c r="A162" s="221" t="s">
        <v>63</v>
      </c>
      <c r="B162" s="222"/>
      <c r="C162" s="283"/>
      <c r="D162" s="284"/>
      <c r="E162" s="22"/>
      <c r="F162" s="70" t="s">
        <v>66</v>
      </c>
      <c r="G162" s="67" t="s">
        <v>61</v>
      </c>
      <c r="H162" s="213">
        <f>N1286-[1]TrialBalance!EJ70</f>
        <v>0</v>
      </c>
      <c r="I162" s="214"/>
      <c r="J162" s="41"/>
      <c r="K162" s="40"/>
      <c r="L162" s="70" t="s">
        <v>419</v>
      </c>
      <c r="M162" s="67" t="s">
        <v>61</v>
      </c>
      <c r="N162" s="213">
        <f>IF(H72&gt;0,ROUND([1]OpenAccounts!$G$50,D2),"")</f>
        <v>0</v>
      </c>
      <c r="O162" s="214"/>
      <c r="P162" s="41"/>
      <c r="Q162" s="2"/>
    </row>
    <row r="163" spans="1:17" ht="5" customHeight="1" x14ac:dyDescent="0.2">
      <c r="A163" s="50"/>
      <c r="B163" s="25"/>
      <c r="C163" s="25"/>
      <c r="D163" s="16"/>
      <c r="E163" s="25"/>
      <c r="F163" s="31"/>
      <c r="G163" s="31"/>
      <c r="H163" s="31"/>
      <c r="I163" s="31"/>
      <c r="J163" s="32"/>
      <c r="K163" s="31"/>
      <c r="L163" s="31"/>
      <c r="M163" s="31"/>
      <c r="N163" s="31"/>
      <c r="O163" s="31"/>
      <c r="P163" s="32"/>
      <c r="Q163" s="2"/>
    </row>
    <row r="164" spans="1:17" ht="5" customHeight="1" x14ac:dyDescent="0.2">
      <c r="A164" s="48"/>
      <c r="B164" s="23"/>
      <c r="C164" s="23"/>
      <c r="D164" s="12"/>
      <c r="E164" s="23"/>
      <c r="F164" s="33"/>
      <c r="G164" s="33"/>
      <c r="H164" s="33"/>
      <c r="I164" s="33"/>
      <c r="J164" s="34"/>
      <c r="K164" s="33"/>
      <c r="L164" s="33"/>
      <c r="M164" s="33"/>
      <c r="N164" s="33"/>
      <c r="O164" s="33"/>
      <c r="P164" s="34"/>
      <c r="Q164" s="2"/>
    </row>
    <row r="165" spans="1:17" x14ac:dyDescent="0.2">
      <c r="A165" s="244" t="s">
        <v>64</v>
      </c>
      <c r="B165" s="245"/>
      <c r="C165" s="285"/>
      <c r="D165" s="286"/>
      <c r="E165" s="20"/>
      <c r="F165" s="70" t="s">
        <v>67</v>
      </c>
      <c r="G165" s="27" t="s">
        <v>61</v>
      </c>
      <c r="H165" s="242">
        <f>H159-H162</f>
        <v>0</v>
      </c>
      <c r="I165" s="325"/>
      <c r="J165" s="26"/>
      <c r="K165" s="27"/>
      <c r="L165" s="70" t="s">
        <v>418</v>
      </c>
      <c r="M165" s="27" t="s">
        <v>61</v>
      </c>
      <c r="N165" s="242">
        <f>IF(H72&gt;0,N159-N162,"")</f>
        <v>0</v>
      </c>
      <c r="O165" s="325"/>
      <c r="P165" s="26"/>
      <c r="Q165" s="2"/>
    </row>
    <row r="166" spans="1:17" ht="5" customHeight="1" x14ac:dyDescent="0.2">
      <c r="A166" s="47"/>
      <c r="B166" s="21"/>
      <c r="C166" s="21"/>
      <c r="D166" s="9"/>
      <c r="E166" s="21"/>
      <c r="F166" s="10"/>
      <c r="G166" s="10"/>
      <c r="H166" s="10"/>
      <c r="I166" s="10"/>
      <c r="J166" s="28"/>
      <c r="K166" s="10"/>
      <c r="L166" s="10"/>
      <c r="M166" s="10"/>
      <c r="N166" s="10"/>
      <c r="O166" s="10"/>
      <c r="P166" s="28"/>
      <c r="Q166" s="2"/>
    </row>
    <row r="167" spans="1:17" x14ac:dyDescent="0.2">
      <c r="Q167" s="2"/>
    </row>
    <row r="168" spans="1:17" ht="5" customHeight="1" x14ac:dyDescent="0.2">
      <c r="A168" s="49"/>
      <c r="B168" s="24"/>
      <c r="C168" s="24"/>
      <c r="D168" s="14"/>
      <c r="E168" s="24"/>
      <c r="F168" s="29"/>
      <c r="G168" s="29"/>
      <c r="H168" s="29"/>
      <c r="I168" s="29"/>
      <c r="J168" s="30"/>
      <c r="K168" s="29"/>
      <c r="L168" s="29"/>
      <c r="M168" s="29"/>
      <c r="N168" s="29"/>
      <c r="O168" s="29"/>
      <c r="P168" s="30"/>
      <c r="Q168" s="2"/>
    </row>
    <row r="169" spans="1:17" x14ac:dyDescent="0.2">
      <c r="A169" s="221" t="s">
        <v>68</v>
      </c>
      <c r="B169" s="222"/>
      <c r="C169" s="283"/>
      <c r="D169" s="284"/>
      <c r="E169" s="22"/>
      <c r="F169" s="70" t="s">
        <v>72</v>
      </c>
      <c r="G169" s="67" t="s">
        <v>61</v>
      </c>
      <c r="H169" s="213">
        <f>[1]TrialBalance!EJ70</f>
        <v>0</v>
      </c>
      <c r="I169" s="214"/>
      <c r="J169" s="41"/>
      <c r="K169" s="40"/>
      <c r="L169" s="70" t="s">
        <v>417</v>
      </c>
      <c r="M169" s="67" t="s">
        <v>61</v>
      </c>
      <c r="N169" s="213">
        <f>IF(H72&gt;0,ROUND([1]OpenAccounts!$G$59,D2),"")</f>
        <v>0</v>
      </c>
      <c r="O169" s="214"/>
      <c r="P169" s="41"/>
      <c r="Q169" s="2"/>
    </row>
    <row r="170" spans="1:17" ht="5" customHeight="1" x14ac:dyDescent="0.2">
      <c r="A170" s="50"/>
      <c r="B170" s="25"/>
      <c r="C170" s="25"/>
      <c r="D170" s="16"/>
      <c r="E170" s="25"/>
      <c r="F170" s="31"/>
      <c r="G170" s="31"/>
      <c r="H170" s="31"/>
      <c r="I170" s="31"/>
      <c r="J170" s="32"/>
      <c r="K170" s="31"/>
      <c r="L170" s="31"/>
      <c r="M170" s="31"/>
      <c r="N170" s="31"/>
      <c r="O170" s="31"/>
      <c r="P170" s="32"/>
      <c r="Q170" s="2"/>
    </row>
    <row r="171" spans="1:17" ht="5" customHeight="1" x14ac:dyDescent="0.2">
      <c r="A171" s="48"/>
      <c r="B171" s="23"/>
      <c r="C171" s="23"/>
      <c r="D171" s="12"/>
      <c r="E171" s="23"/>
      <c r="F171" s="33"/>
      <c r="G171" s="68"/>
      <c r="H171" s="33"/>
      <c r="I171" s="33"/>
      <c r="J171" s="34"/>
      <c r="K171" s="33"/>
      <c r="L171" s="33"/>
      <c r="M171" s="33"/>
      <c r="N171" s="33"/>
      <c r="O171" s="33"/>
      <c r="P171" s="34"/>
      <c r="Q171" s="2"/>
    </row>
    <row r="172" spans="1:17" x14ac:dyDescent="0.2">
      <c r="A172" s="224" t="s">
        <v>69</v>
      </c>
      <c r="B172" s="225"/>
      <c r="C172" s="283"/>
      <c r="D172" s="284"/>
      <c r="E172" s="20"/>
      <c r="F172" s="70" t="s">
        <v>73</v>
      </c>
      <c r="G172" s="40" t="s">
        <v>61</v>
      </c>
      <c r="H172" s="213">
        <f>N1397-H185</f>
        <v>0</v>
      </c>
      <c r="I172" s="214"/>
      <c r="J172" s="26"/>
      <c r="K172" s="27"/>
      <c r="L172" s="70" t="s">
        <v>416</v>
      </c>
      <c r="M172" s="40" t="s">
        <v>61</v>
      </c>
      <c r="N172" s="213">
        <f>IF(H72&gt;0,ROUND(SUM([1]OpenAccounts!E54:'[1]OpenAccounts'!E76),D2)-N169-N185,"")</f>
        <v>0</v>
      </c>
      <c r="O172" s="214"/>
      <c r="P172" s="26"/>
      <c r="Q172" s="2"/>
    </row>
    <row r="173" spans="1:17" ht="5" customHeight="1" x14ac:dyDescent="0.2">
      <c r="A173" s="47"/>
      <c r="B173" s="21"/>
      <c r="C173" s="21"/>
      <c r="D173" s="9"/>
      <c r="E173" s="21"/>
      <c r="F173" s="10"/>
      <c r="G173" s="69"/>
      <c r="H173" s="10"/>
      <c r="I173" s="10"/>
      <c r="J173" s="28"/>
      <c r="K173" s="10"/>
      <c r="L173" s="10"/>
      <c r="M173" s="10"/>
      <c r="N173" s="10"/>
      <c r="O173" s="10"/>
      <c r="P173" s="28"/>
      <c r="Q173" s="2"/>
    </row>
    <row r="174" spans="1:17" ht="5" customHeight="1" x14ac:dyDescent="0.2">
      <c r="A174" s="49"/>
      <c r="B174" s="24"/>
      <c r="C174" s="24"/>
      <c r="D174" s="14"/>
      <c r="E174" s="24"/>
      <c r="F174" s="29"/>
      <c r="G174" s="29"/>
      <c r="H174" s="29"/>
      <c r="I174" s="29"/>
      <c r="J174" s="30"/>
      <c r="K174" s="29"/>
      <c r="L174" s="29"/>
      <c r="M174" s="29"/>
      <c r="N174" s="29"/>
      <c r="O174" s="29"/>
      <c r="P174" s="30"/>
      <c r="Q174" s="2"/>
    </row>
    <row r="175" spans="1:17" x14ac:dyDescent="0.2">
      <c r="A175" s="221" t="s">
        <v>70</v>
      </c>
      <c r="B175" s="222"/>
      <c r="C175" s="283"/>
      <c r="D175" s="284"/>
      <c r="E175" s="22"/>
      <c r="F175" s="70" t="s">
        <v>74</v>
      </c>
      <c r="G175" s="67" t="s">
        <v>61</v>
      </c>
      <c r="H175" s="213">
        <f>-ROUND([1]TrialBalance!EJ57,D2)</f>
        <v>0</v>
      </c>
      <c r="I175" s="214"/>
      <c r="J175" s="41"/>
      <c r="K175" s="40"/>
      <c r="L175" s="70" t="s">
        <v>415</v>
      </c>
      <c r="M175" s="67" t="s">
        <v>61</v>
      </c>
      <c r="N175" s="213">
        <f>IF(H72&gt;0,ROUND([1]OpenAccounts!E44,D2),"")</f>
        <v>0</v>
      </c>
      <c r="O175" s="214"/>
      <c r="P175" s="41"/>
      <c r="Q175" s="2"/>
    </row>
    <row r="176" spans="1:17" ht="5" customHeight="1" x14ac:dyDescent="0.2">
      <c r="A176" s="50"/>
      <c r="B176" s="25"/>
      <c r="C176" s="25"/>
      <c r="D176" s="16"/>
      <c r="E176" s="25"/>
      <c r="F176" s="31"/>
      <c r="G176" s="31"/>
      <c r="H176" s="31"/>
      <c r="I176" s="31"/>
      <c r="J176" s="32"/>
      <c r="K176" s="31"/>
      <c r="L176" s="31"/>
      <c r="M176" s="31"/>
      <c r="N176" s="31"/>
      <c r="O176" s="31"/>
      <c r="P176" s="32"/>
      <c r="Q176" s="2"/>
    </row>
    <row r="177" spans="1:17" ht="5" customHeight="1" x14ac:dyDescent="0.2">
      <c r="A177" s="48"/>
      <c r="B177" s="23"/>
      <c r="C177" s="23"/>
      <c r="D177" s="12"/>
      <c r="E177" s="23"/>
      <c r="F177" s="33"/>
      <c r="G177" s="33"/>
      <c r="H177" s="33"/>
      <c r="I177" s="33"/>
      <c r="J177" s="34"/>
      <c r="K177" s="33"/>
      <c r="L177" s="33"/>
      <c r="M177" s="33"/>
      <c r="N177" s="33"/>
      <c r="O177" s="33"/>
      <c r="P177" s="34"/>
      <c r="Q177" s="2"/>
    </row>
    <row r="178" spans="1:17" x14ac:dyDescent="0.2">
      <c r="A178" s="244" t="s">
        <v>71</v>
      </c>
      <c r="B178" s="245"/>
      <c r="C178" s="285"/>
      <c r="D178" s="286"/>
      <c r="E178" s="20"/>
      <c r="F178" s="70" t="s">
        <v>75</v>
      </c>
      <c r="G178" s="27" t="s">
        <v>61</v>
      </c>
      <c r="H178" s="242">
        <f>H165-SUM(H169+H172)-H175</f>
        <v>0</v>
      </c>
      <c r="I178" s="325"/>
      <c r="J178" s="26"/>
      <c r="K178" s="27"/>
      <c r="L178" s="70" t="s">
        <v>414</v>
      </c>
      <c r="M178" s="27" t="s">
        <v>61</v>
      </c>
      <c r="N178" s="242">
        <f>IF(H72&gt;0,N165-SUM(N169+N172)-N175,"")</f>
        <v>0</v>
      </c>
      <c r="O178" s="325"/>
      <c r="P178" s="26"/>
      <c r="Q178" s="2"/>
    </row>
    <row r="179" spans="1:17" ht="5" customHeight="1" x14ac:dyDescent="0.2">
      <c r="A179" s="47"/>
      <c r="B179" s="21"/>
      <c r="C179" s="21"/>
      <c r="D179" s="9"/>
      <c r="E179" s="21"/>
      <c r="F179" s="10"/>
      <c r="G179" s="10"/>
      <c r="H179" s="10"/>
      <c r="I179" s="10"/>
      <c r="J179" s="28"/>
      <c r="K179" s="10"/>
      <c r="L179" s="10"/>
      <c r="M179" s="10"/>
      <c r="N179" s="10"/>
      <c r="O179" s="10"/>
      <c r="P179" s="28"/>
      <c r="Q179" s="2"/>
    </row>
    <row r="180" spans="1:17" x14ac:dyDescent="0.2">
      <c r="Q180" s="2"/>
    </row>
    <row r="181" spans="1:17" ht="5" customHeight="1" x14ac:dyDescent="0.2">
      <c r="A181" s="48"/>
      <c r="B181" s="23"/>
      <c r="C181" s="23"/>
      <c r="D181" s="12"/>
      <c r="E181" s="23"/>
      <c r="F181" s="33"/>
      <c r="G181" s="33"/>
      <c r="H181" s="33"/>
      <c r="I181" s="33"/>
      <c r="J181" s="34"/>
      <c r="K181" s="33"/>
      <c r="L181" s="33"/>
      <c r="M181" s="33"/>
      <c r="N181" s="33"/>
      <c r="O181" s="33"/>
      <c r="P181" s="34"/>
      <c r="Q181" s="2"/>
    </row>
    <row r="182" spans="1:17" x14ac:dyDescent="0.2">
      <c r="A182" s="224" t="s">
        <v>81</v>
      </c>
      <c r="B182" s="225"/>
      <c r="C182" s="283"/>
      <c r="D182" s="284"/>
      <c r="E182" s="20"/>
      <c r="F182" s="70" t="s">
        <v>94</v>
      </c>
      <c r="G182" s="66" t="s">
        <v>61</v>
      </c>
      <c r="H182" s="213">
        <f>N1422</f>
        <v>0</v>
      </c>
      <c r="I182" s="214"/>
      <c r="J182" s="26"/>
      <c r="K182" s="27"/>
      <c r="L182" s="70" t="s">
        <v>413</v>
      </c>
      <c r="M182" s="66" t="s">
        <v>61</v>
      </c>
      <c r="N182" s="213">
        <f>IF(H72&gt;0,ROUND([1]OpenAccounts!E80,D2),"")</f>
        <v>0</v>
      </c>
      <c r="O182" s="214"/>
      <c r="P182" s="26"/>
      <c r="Q182" s="2"/>
    </row>
    <row r="183" spans="1:17" ht="5" customHeight="1" x14ac:dyDescent="0.2">
      <c r="A183" s="47"/>
      <c r="B183" s="21"/>
      <c r="C183" s="21"/>
      <c r="D183" s="9"/>
      <c r="E183" s="21"/>
      <c r="F183" s="10"/>
      <c r="G183" s="10"/>
      <c r="H183" s="10"/>
      <c r="I183" s="10"/>
      <c r="J183" s="28"/>
      <c r="K183" s="10"/>
      <c r="L183" s="10"/>
      <c r="M183" s="10"/>
      <c r="N183" s="10"/>
      <c r="O183" s="10"/>
      <c r="P183" s="28"/>
      <c r="Q183" s="2"/>
    </row>
    <row r="184" spans="1:17" ht="5" customHeight="1" x14ac:dyDescent="0.2">
      <c r="A184" s="49"/>
      <c r="B184" s="24"/>
      <c r="C184" s="24"/>
      <c r="D184" s="14"/>
      <c r="E184" s="24"/>
      <c r="F184" s="29"/>
      <c r="G184" s="29"/>
      <c r="H184" s="29"/>
      <c r="I184" s="29"/>
      <c r="J184" s="30"/>
      <c r="K184" s="29"/>
      <c r="L184" s="29"/>
      <c r="M184" s="29"/>
      <c r="N184" s="29"/>
      <c r="O184" s="29"/>
      <c r="P184" s="30"/>
      <c r="Q184" s="2"/>
    </row>
    <row r="185" spans="1:17" x14ac:dyDescent="0.2">
      <c r="A185" s="221" t="s">
        <v>76</v>
      </c>
      <c r="B185" s="222"/>
      <c r="C185" s="283"/>
      <c r="D185" s="284"/>
      <c r="E185" s="22"/>
      <c r="F185" s="70" t="s">
        <v>95</v>
      </c>
      <c r="G185" s="67" t="s">
        <v>61</v>
      </c>
      <c r="H185" s="213">
        <f>ROUND([1]TrialBalance!EJ82,D2)</f>
        <v>0</v>
      </c>
      <c r="I185" s="214"/>
      <c r="J185" s="41"/>
      <c r="K185" s="40"/>
      <c r="L185" s="70" t="s">
        <v>412</v>
      </c>
      <c r="M185" s="67" t="s">
        <v>61</v>
      </c>
      <c r="N185" s="213">
        <f>IF(H72&gt;0,ROUND([1]OpenAccounts!E71,D2),"")</f>
        <v>0</v>
      </c>
      <c r="O185" s="214"/>
      <c r="P185" s="41"/>
      <c r="Q185" s="2"/>
    </row>
    <row r="186" spans="1:17" ht="5" customHeight="1" x14ac:dyDescent="0.2">
      <c r="A186" s="50"/>
      <c r="B186" s="25"/>
      <c r="C186" s="25"/>
      <c r="D186" s="16"/>
      <c r="E186" s="25"/>
      <c r="F186" s="31"/>
      <c r="G186" s="31"/>
      <c r="H186" s="31"/>
      <c r="I186" s="31"/>
      <c r="J186" s="32"/>
      <c r="K186" s="31"/>
      <c r="L186" s="31"/>
      <c r="M186" s="31"/>
      <c r="N186" s="31"/>
      <c r="O186" s="31"/>
      <c r="P186" s="32"/>
      <c r="Q186" s="2"/>
    </row>
    <row r="187" spans="1:17" ht="5" customHeight="1" x14ac:dyDescent="0.2">
      <c r="A187" s="48"/>
      <c r="B187" s="23"/>
      <c r="C187" s="23"/>
      <c r="D187" s="12"/>
      <c r="E187" s="23"/>
      <c r="F187" s="33"/>
      <c r="G187" s="33"/>
      <c r="H187" s="33"/>
      <c r="I187" s="33"/>
      <c r="J187" s="34"/>
      <c r="K187" s="33"/>
      <c r="L187" s="33"/>
      <c r="M187" s="33"/>
      <c r="N187" s="33"/>
      <c r="O187" s="33"/>
      <c r="P187" s="34"/>
      <c r="Q187" s="2"/>
    </row>
    <row r="188" spans="1:17" ht="27" customHeight="1" x14ac:dyDescent="0.2">
      <c r="A188" s="377" t="s">
        <v>78</v>
      </c>
      <c r="B188" s="378"/>
      <c r="C188" s="354"/>
      <c r="D188" s="359"/>
      <c r="E188" s="20"/>
      <c r="F188" s="70" t="s">
        <v>96</v>
      </c>
      <c r="G188" s="63" t="s">
        <v>61</v>
      </c>
      <c r="H188" s="415">
        <f>H178+H182-H185</f>
        <v>0</v>
      </c>
      <c r="I188" s="416"/>
      <c r="J188" s="26"/>
      <c r="K188" s="27"/>
      <c r="L188" s="70" t="s">
        <v>411</v>
      </c>
      <c r="M188" s="63" t="s">
        <v>61</v>
      </c>
      <c r="N188" s="415">
        <f>IF(H72&gt;0,N178+N182-N185,"")</f>
        <v>0</v>
      </c>
      <c r="O188" s="416"/>
      <c r="P188" s="26"/>
      <c r="Q188" s="2"/>
    </row>
    <row r="189" spans="1:17" ht="5" customHeight="1" x14ac:dyDescent="0.2">
      <c r="A189" s="47"/>
      <c r="B189" s="21"/>
      <c r="C189" s="21"/>
      <c r="D189" s="9"/>
      <c r="E189" s="21"/>
      <c r="F189" s="10"/>
      <c r="G189" s="10"/>
      <c r="H189" s="10"/>
      <c r="I189" s="10"/>
      <c r="J189" s="28"/>
      <c r="K189" s="10"/>
      <c r="L189" s="10"/>
      <c r="M189" s="10"/>
      <c r="N189" s="10"/>
      <c r="O189" s="10"/>
      <c r="P189" s="28"/>
      <c r="Q189" s="2"/>
    </row>
    <row r="190" spans="1:17" ht="5" customHeight="1" x14ac:dyDescent="0.2">
      <c r="A190" s="49"/>
      <c r="B190" s="24"/>
      <c r="C190" s="24"/>
      <c r="D190" s="14"/>
      <c r="E190" s="24"/>
      <c r="F190" s="29"/>
      <c r="G190" s="29"/>
      <c r="H190" s="29"/>
      <c r="I190" s="29"/>
      <c r="J190" s="30"/>
      <c r="K190" s="29"/>
      <c r="L190" s="29"/>
      <c r="M190" s="29"/>
      <c r="N190" s="29"/>
      <c r="O190" s="29"/>
      <c r="P190" s="30"/>
      <c r="Q190" s="2"/>
    </row>
    <row r="191" spans="1:17" x14ac:dyDescent="0.2">
      <c r="A191" s="221" t="s">
        <v>77</v>
      </c>
      <c r="B191" s="222"/>
      <c r="C191" s="283"/>
      <c r="D191" s="284"/>
      <c r="E191" s="22"/>
      <c r="F191" s="70" t="s">
        <v>97</v>
      </c>
      <c r="G191" s="67" t="s">
        <v>61</v>
      </c>
      <c r="H191" s="213">
        <f>H538</f>
        <v>0</v>
      </c>
      <c r="I191" s="214"/>
      <c r="J191" s="41"/>
      <c r="K191" s="40"/>
      <c r="L191" s="70" t="s">
        <v>409</v>
      </c>
      <c r="M191" s="67" t="s">
        <v>61</v>
      </c>
      <c r="N191" s="213">
        <f>IF(H72&gt;0,N538,"")</f>
        <v>0</v>
      </c>
      <c r="O191" s="214"/>
      <c r="P191" s="41"/>
      <c r="Q191" s="2"/>
    </row>
    <row r="192" spans="1:17" ht="5" customHeight="1" x14ac:dyDescent="0.2">
      <c r="A192" s="50"/>
      <c r="B192" s="25"/>
      <c r="C192" s="25"/>
      <c r="D192" s="16"/>
      <c r="E192" s="25"/>
      <c r="F192" s="31"/>
      <c r="G192" s="31"/>
      <c r="H192" s="31"/>
      <c r="I192" s="31"/>
      <c r="J192" s="32"/>
      <c r="K192" s="31"/>
      <c r="L192" s="31"/>
      <c r="M192" s="31"/>
      <c r="N192" s="31"/>
      <c r="O192" s="31"/>
      <c r="P192" s="32"/>
      <c r="Q192" s="2"/>
    </row>
    <row r="193" spans="1:17" ht="5" customHeight="1" x14ac:dyDescent="0.2">
      <c r="A193" s="48"/>
      <c r="B193" s="23"/>
      <c r="C193" s="23"/>
      <c r="D193" s="12"/>
      <c r="E193" s="23"/>
      <c r="F193" s="33"/>
      <c r="G193" s="33"/>
      <c r="H193" s="33"/>
      <c r="I193" s="33"/>
      <c r="J193" s="34"/>
      <c r="K193" s="33"/>
      <c r="L193" s="33"/>
      <c r="M193" s="33"/>
      <c r="N193" s="33"/>
      <c r="O193" s="33"/>
      <c r="P193" s="34"/>
      <c r="Q193" s="2"/>
    </row>
    <row r="194" spans="1:17" x14ac:dyDescent="0.2">
      <c r="A194" s="244" t="s">
        <v>79</v>
      </c>
      <c r="B194" s="245"/>
      <c r="C194" s="285"/>
      <c r="D194" s="286"/>
      <c r="E194" s="20"/>
      <c r="F194" s="70" t="s">
        <v>98</v>
      </c>
      <c r="G194" s="27" t="s">
        <v>61</v>
      </c>
      <c r="H194" s="242">
        <f>H188-H191</f>
        <v>0</v>
      </c>
      <c r="I194" s="325"/>
      <c r="J194" s="26"/>
      <c r="K194" s="27"/>
      <c r="L194" s="70" t="s">
        <v>410</v>
      </c>
      <c r="M194" s="27" t="s">
        <v>61</v>
      </c>
      <c r="N194" s="242">
        <f>IF(H72&gt;0,N188-N191,"")</f>
        <v>0</v>
      </c>
      <c r="O194" s="325"/>
      <c r="P194" s="26"/>
      <c r="Q194" s="2"/>
    </row>
    <row r="195" spans="1:17" ht="5" customHeight="1" x14ac:dyDescent="0.2">
      <c r="A195" s="47"/>
      <c r="B195" s="21"/>
      <c r="C195" s="21"/>
      <c r="D195" s="9"/>
      <c r="E195" s="21"/>
      <c r="F195" s="10"/>
      <c r="G195" s="10"/>
      <c r="H195" s="10"/>
      <c r="I195" s="10"/>
      <c r="J195" s="28"/>
      <c r="K195" s="10"/>
      <c r="L195" s="10"/>
      <c r="M195" s="10"/>
      <c r="N195" s="10"/>
      <c r="O195" s="10"/>
      <c r="P195" s="28"/>
      <c r="Q195" s="2"/>
    </row>
    <row r="196" spans="1:17" x14ac:dyDescent="0.2">
      <c r="Q196" s="2"/>
    </row>
    <row r="197" spans="1:17" x14ac:dyDescent="0.2">
      <c r="A197" s="419" t="s">
        <v>80</v>
      </c>
      <c r="B197" s="419"/>
      <c r="C197" s="419"/>
      <c r="D197" s="419"/>
      <c r="E197" s="419"/>
      <c r="F197" s="419"/>
      <c r="G197" s="419"/>
      <c r="H197" s="419"/>
      <c r="I197" s="419"/>
      <c r="J197" s="419"/>
      <c r="K197" s="419"/>
      <c r="L197" s="419"/>
      <c r="M197" s="419"/>
      <c r="N197" s="419"/>
      <c r="O197" s="419"/>
      <c r="P197" s="419"/>
      <c r="Q197" s="2"/>
    </row>
    <row r="198" spans="1:17" x14ac:dyDescent="0.2">
      <c r="Q198" s="2"/>
    </row>
    <row r="199" spans="1:17" ht="5" customHeight="1" x14ac:dyDescent="0.2">
      <c r="A199" s="49"/>
      <c r="B199" s="24"/>
      <c r="C199" s="24"/>
      <c r="D199" s="14"/>
      <c r="E199" s="24"/>
      <c r="F199" s="29"/>
      <c r="G199" s="29"/>
      <c r="H199" s="29"/>
      <c r="I199" s="29"/>
      <c r="J199" s="30"/>
      <c r="K199" s="29"/>
      <c r="L199" s="29"/>
      <c r="M199" s="29"/>
      <c r="N199" s="29"/>
      <c r="O199" s="29"/>
      <c r="P199" s="30"/>
      <c r="Q199" s="2"/>
    </row>
    <row r="200" spans="1:17" x14ac:dyDescent="0.2">
      <c r="A200" s="221" t="s">
        <v>82</v>
      </c>
      <c r="B200" s="222"/>
      <c r="C200" s="283"/>
      <c r="D200" s="284"/>
      <c r="E200" s="22"/>
      <c r="F200" s="70" t="s">
        <v>99</v>
      </c>
      <c r="G200" s="67" t="s">
        <v>61</v>
      </c>
      <c r="H200" s="213">
        <f>H591</f>
        <v>0</v>
      </c>
      <c r="I200" s="214"/>
      <c r="J200" s="41"/>
      <c r="K200" s="40"/>
      <c r="L200" s="70" t="s">
        <v>408</v>
      </c>
      <c r="M200" s="67" t="s">
        <v>61</v>
      </c>
      <c r="N200" s="213">
        <f>IF(H72&gt;0,N591,"")</f>
        <v>0</v>
      </c>
      <c r="O200" s="214"/>
      <c r="P200" s="41"/>
      <c r="Q200" s="2"/>
    </row>
    <row r="201" spans="1:17" ht="5" customHeight="1" x14ac:dyDescent="0.2">
      <c r="A201" s="50"/>
      <c r="B201" s="25"/>
      <c r="C201" s="25"/>
      <c r="D201" s="16"/>
      <c r="E201" s="25"/>
      <c r="F201" s="31"/>
      <c r="G201" s="31"/>
      <c r="H201" s="31"/>
      <c r="I201" s="31"/>
      <c r="J201" s="32"/>
      <c r="K201" s="31"/>
      <c r="L201" s="31"/>
      <c r="M201" s="31"/>
      <c r="N201" s="31"/>
      <c r="O201" s="31"/>
      <c r="P201" s="32"/>
      <c r="Q201" s="2"/>
    </row>
    <row r="202" spans="1:17" x14ac:dyDescent="0.2">
      <c r="Q202" s="2"/>
    </row>
    <row r="203" spans="1:17" ht="4.5" customHeight="1" x14ac:dyDescent="0.2">
      <c r="A203" s="48"/>
      <c r="B203" s="23"/>
      <c r="C203" s="23"/>
      <c r="D203" s="12"/>
      <c r="E203" s="23"/>
      <c r="F203" s="33"/>
      <c r="G203" s="33"/>
      <c r="H203" s="33"/>
      <c r="I203" s="33"/>
      <c r="J203" s="34"/>
      <c r="K203" s="33"/>
      <c r="L203" s="33"/>
      <c r="M203" s="33"/>
      <c r="N203" s="33"/>
      <c r="O203" s="33"/>
      <c r="P203" s="34"/>
      <c r="Q203" s="2"/>
    </row>
    <row r="204" spans="1:17" ht="27.75" customHeight="1" x14ac:dyDescent="0.2">
      <c r="A204" s="377" t="s">
        <v>83</v>
      </c>
      <c r="B204" s="245"/>
      <c r="C204" s="285"/>
      <c r="D204" s="286"/>
      <c r="E204" s="20"/>
      <c r="F204" s="70" t="s">
        <v>100</v>
      </c>
      <c r="G204" s="63" t="s">
        <v>61</v>
      </c>
      <c r="H204" s="314">
        <f>H194-H200</f>
        <v>0</v>
      </c>
      <c r="I204" s="315"/>
      <c r="J204" s="26"/>
      <c r="K204" s="27"/>
      <c r="L204" s="70" t="s">
        <v>407</v>
      </c>
      <c r="M204" s="63" t="s">
        <v>61</v>
      </c>
      <c r="N204" s="314">
        <f>IF(H72&gt;0,N194-N200,"")</f>
        <v>0</v>
      </c>
      <c r="O204" s="315"/>
      <c r="P204" s="26"/>
      <c r="Q204" s="2"/>
    </row>
    <row r="205" spans="1:17" ht="5" customHeight="1" x14ac:dyDescent="0.2">
      <c r="A205" s="47"/>
      <c r="B205" s="21"/>
      <c r="C205" s="21"/>
      <c r="D205" s="9"/>
      <c r="E205" s="21"/>
      <c r="F205" s="10"/>
      <c r="G205" s="10"/>
      <c r="H205" s="10"/>
      <c r="I205" s="10"/>
      <c r="J205" s="28"/>
      <c r="K205" s="10"/>
      <c r="L205" s="10"/>
      <c r="M205" s="10"/>
      <c r="N205" s="10"/>
      <c r="O205" s="10"/>
      <c r="P205" s="28"/>
      <c r="Q205" s="2"/>
    </row>
    <row r="206" spans="1:17" x14ac:dyDescent="0.2">
      <c r="Q206" s="2"/>
    </row>
    <row r="207" spans="1:17" s="51" customFormat="1" ht="30" customHeight="1" x14ac:dyDescent="0.2">
      <c r="A207" s="212" t="s">
        <v>84</v>
      </c>
      <c r="B207" s="212"/>
      <c r="C207" s="212"/>
      <c r="D207" s="212"/>
      <c r="E207" s="212"/>
      <c r="F207" s="212"/>
      <c r="G207" s="212"/>
      <c r="H207" s="212"/>
      <c r="I207" s="212"/>
      <c r="J207" s="212"/>
      <c r="K207" s="212"/>
      <c r="L207" s="212"/>
      <c r="M207" s="212"/>
      <c r="N207" s="212"/>
      <c r="O207" s="212"/>
      <c r="P207" s="212"/>
    </row>
    <row r="209" spans="1:17" x14ac:dyDescent="0.2">
      <c r="A209" s="212" t="s">
        <v>85</v>
      </c>
      <c r="B209" s="345"/>
      <c r="C209" s="345"/>
      <c r="D209" s="345"/>
      <c r="E209" s="345"/>
      <c r="F209" s="345"/>
      <c r="G209" s="345"/>
      <c r="H209" s="345"/>
      <c r="I209" s="345"/>
      <c r="J209" s="345"/>
      <c r="K209" s="345"/>
      <c r="L209" s="345"/>
      <c r="M209" s="345"/>
      <c r="N209" s="345"/>
      <c r="O209" s="345"/>
      <c r="P209" s="345"/>
    </row>
    <row r="212" spans="1:17" ht="16" x14ac:dyDescent="0.2">
      <c r="A212" s="231" t="s">
        <v>86</v>
      </c>
      <c r="B212" s="232"/>
      <c r="C212" s="232"/>
      <c r="D212" s="232"/>
      <c r="F212" s="233"/>
      <c r="G212" s="233"/>
      <c r="H212" s="233"/>
      <c r="I212" s="233"/>
      <c r="J212" s="233"/>
      <c r="K212" s="233"/>
      <c r="L212" s="233"/>
      <c r="M212" s="233"/>
      <c r="N212" s="233"/>
      <c r="O212" s="233"/>
      <c r="P212" s="233"/>
      <c r="Q212" s="233"/>
    </row>
    <row r="213" spans="1:17" ht="5" customHeight="1" x14ac:dyDescent="0.2">
      <c r="A213" s="1"/>
      <c r="B213" s="1"/>
      <c r="C213" s="1"/>
      <c r="D213" s="1"/>
      <c r="E213" s="1"/>
      <c r="F213" s="1"/>
      <c r="G213" s="1"/>
      <c r="H213" s="1"/>
      <c r="I213" s="1"/>
      <c r="J213" s="1"/>
      <c r="K213" s="1"/>
      <c r="L213" s="1"/>
      <c r="M213" s="1"/>
      <c r="N213" s="1"/>
      <c r="O213" s="1"/>
      <c r="P213" s="1"/>
      <c r="Q213" s="1"/>
    </row>
    <row r="214" spans="1:17" x14ac:dyDescent="0.2">
      <c r="A214" s="272"/>
      <c r="B214" s="273"/>
      <c r="C214" s="273"/>
      <c r="D214" s="273"/>
      <c r="E214" s="273"/>
      <c r="F214" s="273"/>
      <c r="G214" s="273"/>
      <c r="H214" s="273"/>
      <c r="I214" s="273"/>
      <c r="J214" s="273"/>
      <c r="K214" s="273"/>
      <c r="L214" s="273"/>
      <c r="M214" s="273"/>
      <c r="N214" s="273"/>
      <c r="O214" s="273"/>
      <c r="P214" s="273"/>
      <c r="Q214" s="274"/>
    </row>
    <row r="215" spans="1:17" ht="45" customHeight="1" x14ac:dyDescent="0.25">
      <c r="A215" s="423" t="s">
        <v>87</v>
      </c>
      <c r="B215" s="424"/>
      <c r="C215" s="424"/>
      <c r="D215" s="424"/>
      <c r="E215" s="424"/>
      <c r="F215" s="424"/>
      <c r="G215" s="424"/>
      <c r="H215" s="424"/>
      <c r="I215" s="64" t="s">
        <v>31</v>
      </c>
      <c r="J215" s="219" t="s">
        <v>395</v>
      </c>
      <c r="K215" s="344"/>
      <c r="L215" s="344"/>
      <c r="M215" s="344"/>
      <c r="N215" s="344"/>
      <c r="O215" s="344"/>
      <c r="P215" s="344"/>
      <c r="Q215" s="38"/>
    </row>
    <row r="216" spans="1:17" x14ac:dyDescent="0.2">
      <c r="A216" s="39"/>
      <c r="B216" s="39"/>
      <c r="C216" s="39"/>
      <c r="D216" s="39"/>
      <c r="E216" s="37"/>
      <c r="F216" s="37"/>
      <c r="G216" s="37"/>
      <c r="H216" s="37"/>
      <c r="I216" s="37"/>
      <c r="J216" s="37"/>
      <c r="K216" s="37"/>
      <c r="L216" s="37"/>
      <c r="M216" s="37"/>
      <c r="N216" s="37"/>
      <c r="O216" s="37"/>
      <c r="P216" s="37"/>
      <c r="Q216" s="38"/>
    </row>
    <row r="217" spans="1:17" ht="15" customHeight="1" x14ac:dyDescent="0.2">
      <c r="A217" s="71"/>
      <c r="B217" s="72"/>
      <c r="C217" s="72"/>
      <c r="D217" s="72"/>
      <c r="E217" s="72"/>
      <c r="F217" s="238" t="str">
        <f>F156</f>
        <v>24 months to 31 Mar 2026.</v>
      </c>
      <c r="G217" s="239"/>
      <c r="H217" s="239"/>
      <c r="I217" s="239"/>
      <c r="J217" s="140"/>
      <c r="K217" s="140"/>
      <c r="L217" s="238" t="str">
        <f>IF(H72&gt;0,TEXT(H72,"yyyy"),"")</f>
        <v/>
      </c>
      <c r="M217" s="239"/>
      <c r="N217" s="239"/>
      <c r="O217" s="239"/>
      <c r="P217" s="140"/>
      <c r="Q217" s="38"/>
    </row>
    <row r="218" spans="1:17" ht="15" customHeight="1" x14ac:dyDescent="0.2">
      <c r="A218" s="71"/>
      <c r="B218" s="72"/>
      <c r="C218" s="72"/>
      <c r="D218" s="72"/>
      <c r="E218" s="72"/>
      <c r="F218" s="153"/>
      <c r="G218" s="152"/>
      <c r="H218" s="152"/>
      <c r="I218" s="152"/>
      <c r="J218" s="140"/>
      <c r="K218" s="140"/>
      <c r="L218" s="140"/>
      <c r="M218" s="140"/>
      <c r="N218" s="140"/>
      <c r="O218" s="140"/>
      <c r="P218" s="140"/>
      <c r="Q218" s="38"/>
    </row>
    <row r="219" spans="1:17" ht="5" customHeight="1" x14ac:dyDescent="0.2">
      <c r="A219" s="48"/>
      <c r="B219" s="23"/>
      <c r="C219" s="23"/>
      <c r="D219" s="12"/>
      <c r="E219" s="23"/>
      <c r="F219" s="33"/>
      <c r="G219" s="33"/>
      <c r="H219" s="33"/>
      <c r="I219" s="33"/>
      <c r="J219" s="33"/>
      <c r="K219" s="33"/>
      <c r="L219" s="33"/>
      <c r="M219" s="33"/>
      <c r="N219" s="33"/>
      <c r="O219" s="33"/>
      <c r="P219" s="34"/>
      <c r="Q219" s="2"/>
    </row>
    <row r="220" spans="1:17" x14ac:dyDescent="0.2">
      <c r="A220" s="224" t="s">
        <v>389</v>
      </c>
      <c r="B220" s="225"/>
      <c r="C220" s="283"/>
      <c r="D220" s="284"/>
      <c r="E220" s="20"/>
      <c r="F220" s="70" t="s">
        <v>390</v>
      </c>
      <c r="G220" s="27" t="s">
        <v>61</v>
      </c>
      <c r="H220" s="242">
        <f>H194</f>
        <v>0</v>
      </c>
      <c r="I220" s="243"/>
      <c r="J220" s="27"/>
      <c r="K220" s="27"/>
      <c r="L220" s="70" t="s">
        <v>421</v>
      </c>
      <c r="M220" s="27" t="s">
        <v>61</v>
      </c>
      <c r="N220" s="242">
        <f>IF(H72&gt;0,N194,"")</f>
        <v>0</v>
      </c>
      <c r="O220" s="243"/>
      <c r="P220" s="26"/>
      <c r="Q220" s="2"/>
    </row>
    <row r="221" spans="1:17" ht="5" customHeight="1" x14ac:dyDescent="0.2">
      <c r="A221" s="47"/>
      <c r="B221" s="21"/>
      <c r="C221" s="21"/>
      <c r="D221" s="9"/>
      <c r="E221" s="21"/>
      <c r="F221" s="10"/>
      <c r="G221" s="10"/>
      <c r="H221" s="10"/>
      <c r="I221" s="10"/>
      <c r="J221" s="10"/>
      <c r="K221" s="10"/>
      <c r="L221" s="10"/>
      <c r="M221" s="10"/>
      <c r="N221" s="10"/>
      <c r="O221" s="10"/>
      <c r="P221" s="28"/>
      <c r="Q221" s="2"/>
    </row>
    <row r="222" spans="1:17" ht="5" customHeight="1" x14ac:dyDescent="0.2">
      <c r="A222" s="49"/>
      <c r="B222" s="24"/>
      <c r="C222" s="24"/>
      <c r="D222" s="14"/>
      <c r="E222" s="24"/>
      <c r="F222" s="29"/>
      <c r="G222" s="29"/>
      <c r="H222" s="29"/>
      <c r="I222" s="29"/>
      <c r="J222" s="29"/>
      <c r="K222" s="29"/>
      <c r="L222" s="29"/>
      <c r="M222" s="29"/>
      <c r="N222" s="29"/>
      <c r="O222" s="29"/>
      <c r="P222" s="30"/>
      <c r="Q222" s="2"/>
    </row>
    <row r="223" spans="1:17" ht="15" customHeight="1" x14ac:dyDescent="0.25">
      <c r="A223" s="61"/>
      <c r="B223" s="22"/>
      <c r="C223" s="22"/>
      <c r="D223" s="150"/>
      <c r="E223" s="22"/>
      <c r="F223" s="303" t="s">
        <v>420</v>
      </c>
      <c r="G223" s="387"/>
      <c r="H223" s="387"/>
      <c r="I223" s="387"/>
      <c r="J223" s="142"/>
      <c r="K223" s="151"/>
      <c r="L223" s="303" t="s">
        <v>420</v>
      </c>
      <c r="M223" s="387"/>
      <c r="N223" s="387"/>
      <c r="O223" s="387"/>
      <c r="P223" s="41"/>
      <c r="Q223" s="2"/>
    </row>
    <row r="224" spans="1:17" ht="17" x14ac:dyDescent="0.25">
      <c r="A224" s="221" t="s">
        <v>393</v>
      </c>
      <c r="B224" s="222"/>
      <c r="C224" s="283"/>
      <c r="D224" s="284"/>
      <c r="E224" s="22"/>
      <c r="F224" s="70" t="s">
        <v>391</v>
      </c>
      <c r="G224" s="67" t="s">
        <v>61</v>
      </c>
      <c r="H224" s="213"/>
      <c r="I224" s="214"/>
      <c r="J224" s="143"/>
      <c r="K224" s="142"/>
      <c r="L224" s="70" t="s">
        <v>422</v>
      </c>
      <c r="M224" s="67" t="s">
        <v>61</v>
      </c>
      <c r="N224" s="213"/>
      <c r="O224" s="214"/>
      <c r="P224" s="41"/>
      <c r="Q224" s="2"/>
    </row>
    <row r="225" spans="1:17" ht="5" customHeight="1" x14ac:dyDescent="0.2">
      <c r="A225" s="50"/>
      <c r="B225" s="25"/>
      <c r="C225" s="25"/>
      <c r="D225" s="16"/>
      <c r="E225" s="25"/>
      <c r="F225" s="31"/>
      <c r="G225" s="31"/>
      <c r="H225" s="31"/>
      <c r="I225" s="31"/>
      <c r="J225" s="31"/>
      <c r="K225" s="31"/>
      <c r="L225" s="31"/>
      <c r="M225" s="31"/>
      <c r="N225" s="31"/>
      <c r="O225" s="31"/>
      <c r="P225" s="32"/>
      <c r="Q225" s="2"/>
    </row>
    <row r="226" spans="1:17" ht="5" customHeight="1" x14ac:dyDescent="0.2">
      <c r="A226" s="48"/>
      <c r="B226" s="23"/>
      <c r="C226" s="23"/>
      <c r="D226" s="12"/>
      <c r="E226" s="23"/>
      <c r="F226" s="33"/>
      <c r="G226" s="33"/>
      <c r="H226" s="33"/>
      <c r="I226" s="33"/>
      <c r="J226" s="33"/>
      <c r="K226" s="33"/>
      <c r="L226" s="33"/>
      <c r="M226" s="33"/>
      <c r="N226" s="33"/>
      <c r="O226" s="33"/>
      <c r="P226" s="34"/>
      <c r="Q226" s="2"/>
    </row>
    <row r="227" spans="1:17" ht="25.5" customHeight="1" x14ac:dyDescent="0.2">
      <c r="A227" s="377" t="s">
        <v>394</v>
      </c>
      <c r="B227" s="378"/>
      <c r="C227" s="385"/>
      <c r="D227" s="386"/>
      <c r="E227" s="20"/>
      <c r="F227" s="70" t="s">
        <v>392</v>
      </c>
      <c r="G227" s="27" t="s">
        <v>61</v>
      </c>
      <c r="H227" s="242">
        <f>H220+H224</f>
        <v>0</v>
      </c>
      <c r="I227" s="243"/>
      <c r="J227" s="27"/>
      <c r="K227" s="27"/>
      <c r="L227" s="70" t="s">
        <v>423</v>
      </c>
      <c r="M227" s="27" t="s">
        <v>61</v>
      </c>
      <c r="N227" s="242">
        <f>IF(H72&gt;0,N220+N224,"")</f>
        <v>0</v>
      </c>
      <c r="O227" s="243"/>
      <c r="P227" s="26"/>
      <c r="Q227" s="2"/>
    </row>
    <row r="228" spans="1:17" ht="5" customHeight="1" x14ac:dyDescent="0.2">
      <c r="A228" s="47"/>
      <c r="B228" s="21"/>
      <c r="C228" s="21"/>
      <c r="D228" s="9"/>
      <c r="E228" s="21"/>
      <c r="F228" s="10"/>
      <c r="G228" s="10"/>
      <c r="H228" s="10"/>
      <c r="I228" s="10"/>
      <c r="J228" s="10"/>
      <c r="K228" s="10"/>
      <c r="L228" s="10"/>
      <c r="M228" s="10"/>
      <c r="N228" s="10"/>
      <c r="O228" s="10"/>
      <c r="P228" s="28"/>
      <c r="Q228" s="2"/>
    </row>
    <row r="229" spans="1:17" x14ac:dyDescent="0.2">
      <c r="A229" s="22"/>
      <c r="B229" s="22"/>
      <c r="C229" s="22"/>
      <c r="D229" s="22"/>
      <c r="E229" s="22"/>
      <c r="F229" s="40"/>
      <c r="G229" s="40"/>
      <c r="H229" s="40"/>
      <c r="I229" s="40"/>
      <c r="J229" s="40"/>
      <c r="K229" s="40"/>
      <c r="L229" s="40"/>
      <c r="M229" s="40"/>
      <c r="N229" s="40"/>
      <c r="O229" s="40"/>
      <c r="P229" s="40"/>
      <c r="Q229" s="2"/>
    </row>
    <row r="230" spans="1:17" x14ac:dyDescent="0.2">
      <c r="A230" s="345" t="s">
        <v>209</v>
      </c>
      <c r="B230" s="345"/>
      <c r="C230" s="345"/>
      <c r="D230" s="345"/>
      <c r="E230" s="345"/>
      <c r="F230" s="345"/>
      <c r="G230" s="345"/>
      <c r="H230" s="345"/>
      <c r="I230" s="345"/>
      <c r="J230" s="345"/>
      <c r="K230" s="345"/>
      <c r="L230" s="345"/>
      <c r="M230" s="345"/>
      <c r="N230" s="345"/>
      <c r="O230" s="345"/>
      <c r="Q230" s="2"/>
    </row>
    <row r="231" spans="1:17" x14ac:dyDescent="0.2">
      <c r="Q231" s="2"/>
    </row>
    <row r="232" spans="1:17" ht="100" customHeight="1" x14ac:dyDescent="0.2">
      <c r="A232" s="213"/>
      <c r="B232" s="346"/>
      <c r="C232" s="347"/>
      <c r="D232" s="347"/>
      <c r="E232" s="347"/>
      <c r="F232" s="347"/>
      <c r="G232" s="347"/>
      <c r="H232" s="347"/>
      <c r="I232" s="347"/>
      <c r="J232" s="347"/>
      <c r="K232" s="347"/>
      <c r="L232" s="347"/>
      <c r="M232" s="347"/>
      <c r="N232" s="347"/>
      <c r="O232" s="347"/>
      <c r="P232" s="348"/>
      <c r="Q232" s="2"/>
    </row>
    <row r="233" spans="1:17" x14ac:dyDescent="0.2">
      <c r="A233" s="62"/>
      <c r="B233" s="51"/>
      <c r="C233" s="51"/>
      <c r="D233" s="51"/>
      <c r="E233" s="51"/>
      <c r="F233" s="51"/>
      <c r="G233" s="51"/>
      <c r="H233" s="51"/>
      <c r="I233" s="51"/>
      <c r="J233" s="51"/>
      <c r="K233" s="51"/>
      <c r="L233" s="51"/>
      <c r="M233" s="51"/>
      <c r="N233" s="51"/>
      <c r="O233" s="51"/>
      <c r="P233" s="51"/>
      <c r="Q233" s="2"/>
    </row>
    <row r="234" spans="1:17" x14ac:dyDescent="0.2">
      <c r="A234" s="62"/>
      <c r="B234" s="51"/>
      <c r="C234" s="51"/>
      <c r="D234" s="51"/>
      <c r="E234" s="51"/>
      <c r="F234" s="51"/>
      <c r="G234" s="51"/>
      <c r="H234" s="51"/>
      <c r="I234" s="51"/>
      <c r="J234" s="51"/>
      <c r="K234" s="51"/>
      <c r="L234" s="51"/>
      <c r="M234" s="51"/>
      <c r="N234" s="51"/>
      <c r="O234" s="51"/>
      <c r="P234" s="51"/>
      <c r="Q234" s="37"/>
    </row>
    <row r="235" spans="1:17" ht="16" x14ac:dyDescent="0.2">
      <c r="A235" s="231" t="s">
        <v>88</v>
      </c>
      <c r="B235" s="232"/>
      <c r="C235" s="232"/>
      <c r="D235" s="232"/>
      <c r="F235" s="233"/>
      <c r="G235" s="233"/>
      <c r="H235" s="233"/>
      <c r="I235" s="233"/>
      <c r="J235" s="233"/>
      <c r="K235" s="233"/>
      <c r="L235" s="233"/>
      <c r="M235" s="233"/>
      <c r="N235" s="233"/>
      <c r="O235" s="233"/>
      <c r="P235" s="233"/>
      <c r="Q235" s="233"/>
    </row>
    <row r="236" spans="1:17" ht="5" customHeight="1" x14ac:dyDescent="0.2">
      <c r="A236" s="1"/>
      <c r="B236" s="1"/>
      <c r="C236" s="1"/>
      <c r="D236" s="1"/>
      <c r="E236" s="1"/>
      <c r="F236" s="1"/>
      <c r="G236" s="1"/>
      <c r="H236" s="1"/>
      <c r="I236" s="1"/>
      <c r="J236" s="1"/>
      <c r="K236" s="1"/>
      <c r="L236" s="1"/>
      <c r="M236" s="1"/>
      <c r="N236" s="1"/>
      <c r="O236" s="1"/>
      <c r="P236" s="1"/>
      <c r="Q236" s="1"/>
    </row>
    <row r="237" spans="1:17" x14ac:dyDescent="0.2">
      <c r="A237" s="234" t="str">
        <f>"Balance sheet for the year ended "&amp;TEXT(N2,"dd Mmm yyyy")</f>
        <v>Balance sheet for the year ended 31 Mar 2026</v>
      </c>
      <c r="B237" s="235"/>
      <c r="C237" s="235"/>
      <c r="D237" s="235"/>
      <c r="E237" s="236"/>
      <c r="F237" s="236"/>
      <c r="G237" s="236"/>
      <c r="H237" s="236"/>
      <c r="I237" s="236"/>
      <c r="J237" s="236"/>
      <c r="K237" s="236"/>
      <c r="L237" s="236"/>
      <c r="M237" s="236"/>
      <c r="N237" s="236"/>
      <c r="O237" s="236"/>
      <c r="P237" s="236"/>
      <c r="Q237" s="237"/>
    </row>
    <row r="238" spans="1:17" x14ac:dyDescent="0.2">
      <c r="A238" s="39" t="s">
        <v>59</v>
      </c>
      <c r="B238" s="39"/>
      <c r="C238" s="39"/>
      <c r="D238" s="39"/>
      <c r="E238" s="37"/>
      <c r="F238" s="37"/>
      <c r="G238" s="37"/>
      <c r="H238" s="37"/>
      <c r="I238" s="37"/>
      <c r="J238" s="37"/>
      <c r="K238" s="37"/>
      <c r="L238" s="37"/>
      <c r="M238" s="37"/>
      <c r="N238" s="37"/>
      <c r="O238" s="37"/>
      <c r="P238" s="37"/>
      <c r="Q238" s="38"/>
    </row>
    <row r="239" spans="1:17" x14ac:dyDescent="0.2">
      <c r="A239" s="39"/>
      <c r="B239" s="39"/>
      <c r="C239" s="39"/>
      <c r="D239" s="39"/>
      <c r="E239" s="37"/>
      <c r="F239" s="37"/>
      <c r="G239" s="37"/>
      <c r="H239" s="37"/>
      <c r="I239" s="37"/>
      <c r="J239" s="37"/>
      <c r="K239" s="37"/>
      <c r="L239" s="37"/>
      <c r="M239" s="37"/>
      <c r="N239" s="37"/>
      <c r="O239" s="37"/>
      <c r="P239" s="37"/>
      <c r="Q239" s="38"/>
    </row>
    <row r="240" spans="1:17" ht="39.75" customHeight="1" x14ac:dyDescent="0.2">
      <c r="A240" s="326" t="s">
        <v>89</v>
      </c>
      <c r="B240" s="212"/>
      <c r="C240" s="212"/>
      <c r="D240" s="212"/>
      <c r="E240" s="212"/>
      <c r="F240" s="212"/>
      <c r="G240" s="212"/>
      <c r="H240" s="212"/>
      <c r="I240" s="212"/>
      <c r="J240" s="212"/>
      <c r="K240" s="212"/>
      <c r="L240" s="212"/>
      <c r="M240" s="212"/>
      <c r="N240" s="212"/>
      <c r="O240" s="212"/>
      <c r="P240" s="212"/>
      <c r="Q240" s="38"/>
    </row>
    <row r="241" spans="1:17" ht="15" customHeight="1" x14ac:dyDescent="0.2">
      <c r="A241" s="62"/>
      <c r="B241" s="51"/>
      <c r="C241" s="51"/>
      <c r="D241" s="51"/>
      <c r="E241" s="51"/>
      <c r="F241" s="51"/>
      <c r="G241" s="51"/>
      <c r="H241" s="51"/>
      <c r="I241" s="51"/>
      <c r="J241" s="51"/>
      <c r="K241" s="51"/>
      <c r="L241" s="51"/>
      <c r="M241" s="51"/>
      <c r="N241" s="51"/>
      <c r="O241" s="51"/>
      <c r="P241" s="51"/>
      <c r="Q241" s="38"/>
    </row>
    <row r="242" spans="1:17" ht="15" customHeight="1" x14ac:dyDescent="0.2">
      <c r="A242" s="71" t="s">
        <v>90</v>
      </c>
      <c r="B242" s="72"/>
      <c r="C242" s="72"/>
      <c r="D242" s="72"/>
      <c r="E242" s="72"/>
      <c r="F242" s="238" t="str">
        <f>TEXT(N2,"yyyy")</f>
        <v>2026</v>
      </c>
      <c r="G242" s="239"/>
      <c r="H242" s="239"/>
      <c r="I242" s="239"/>
      <c r="J242" s="140"/>
      <c r="K242" s="140"/>
      <c r="L242" s="238" t="str">
        <f>IF(H72&gt;0,TEXT(H72,"yyyy"),"")</f>
        <v/>
      </c>
      <c r="M242" s="239"/>
      <c r="N242" s="239"/>
      <c r="O242" s="239"/>
      <c r="P242" s="140"/>
      <c r="Q242" s="38"/>
    </row>
    <row r="243" spans="1:17" x14ac:dyDescent="0.2">
      <c r="A243" s="36"/>
      <c r="Q243" s="2"/>
    </row>
    <row r="244" spans="1:17" ht="5" customHeight="1" x14ac:dyDescent="0.2">
      <c r="A244" s="48"/>
      <c r="B244" s="23"/>
      <c r="C244" s="23"/>
      <c r="D244" s="12"/>
      <c r="E244" s="23"/>
      <c r="F244" s="33"/>
      <c r="G244" s="33"/>
      <c r="H244" s="33"/>
      <c r="I244" s="33"/>
      <c r="J244" s="34"/>
      <c r="K244" s="33"/>
      <c r="L244" s="33"/>
      <c r="M244" s="33"/>
      <c r="N244" s="33"/>
      <c r="O244" s="33"/>
      <c r="P244" s="34"/>
      <c r="Q244" s="2"/>
    </row>
    <row r="245" spans="1:17" ht="15" customHeight="1" x14ac:dyDescent="0.2">
      <c r="A245" s="141"/>
      <c r="B245" s="20"/>
      <c r="C245" s="20"/>
      <c r="D245" s="7"/>
      <c r="E245" s="20"/>
      <c r="F245" s="304" t="s">
        <v>420</v>
      </c>
      <c r="G245" s="420"/>
      <c r="H245" s="420"/>
      <c r="I245" s="420"/>
      <c r="J245" s="26"/>
      <c r="K245" s="27"/>
      <c r="L245" s="304" t="s">
        <v>420</v>
      </c>
      <c r="M245" s="420"/>
      <c r="N245" s="420"/>
      <c r="O245" s="420"/>
      <c r="P245" s="26"/>
      <c r="Q245" s="2"/>
    </row>
    <row r="246" spans="1:17" ht="16" x14ac:dyDescent="0.25">
      <c r="A246" s="224" t="s">
        <v>91</v>
      </c>
      <c r="B246" s="225"/>
      <c r="C246" s="283"/>
      <c r="D246" s="284"/>
      <c r="E246" s="20"/>
      <c r="F246" s="70" t="s">
        <v>101</v>
      </c>
      <c r="G246" s="66" t="s">
        <v>61</v>
      </c>
      <c r="H246" s="213"/>
      <c r="I246" s="214"/>
      <c r="J246" s="128"/>
      <c r="K246" s="109"/>
      <c r="L246" s="70" t="s">
        <v>424</v>
      </c>
      <c r="M246" s="66" t="s">
        <v>61</v>
      </c>
      <c r="N246" s="213"/>
      <c r="O246" s="214"/>
      <c r="P246" s="26"/>
      <c r="Q246" s="2"/>
    </row>
    <row r="247" spans="1:17" ht="5" customHeight="1" x14ac:dyDescent="0.2">
      <c r="A247" s="47"/>
      <c r="B247" s="21"/>
      <c r="C247" s="21"/>
      <c r="D247" s="9"/>
      <c r="E247" s="21"/>
      <c r="F247" s="10"/>
      <c r="G247" s="10"/>
      <c r="H247" s="10"/>
      <c r="I247" s="10"/>
      <c r="J247" s="28"/>
      <c r="K247" s="10"/>
      <c r="L247" s="10"/>
      <c r="M247" s="10"/>
      <c r="N247" s="10"/>
      <c r="O247" s="10"/>
      <c r="P247" s="28"/>
      <c r="Q247" s="2"/>
    </row>
    <row r="248" spans="1:17" ht="5" customHeight="1" x14ac:dyDescent="0.2">
      <c r="A248" s="49"/>
      <c r="B248" s="24"/>
      <c r="C248" s="24"/>
      <c r="D248" s="14"/>
      <c r="E248" s="24"/>
      <c r="F248" s="29"/>
      <c r="G248" s="29"/>
      <c r="H248" s="29"/>
      <c r="I248" s="29"/>
      <c r="J248" s="30"/>
      <c r="K248" s="29"/>
      <c r="L248" s="29"/>
      <c r="M248" s="29"/>
      <c r="N248" s="29"/>
      <c r="O248" s="29"/>
      <c r="P248" s="30"/>
      <c r="Q248" s="2"/>
    </row>
    <row r="249" spans="1:17" x14ac:dyDescent="0.2">
      <c r="A249" s="221" t="s">
        <v>92</v>
      </c>
      <c r="B249" s="222"/>
      <c r="C249" s="283"/>
      <c r="D249" s="284"/>
      <c r="E249" s="22"/>
      <c r="F249" s="70" t="s">
        <v>102</v>
      </c>
      <c r="G249" s="67" t="s">
        <v>61</v>
      </c>
      <c r="H249" s="213">
        <f>H941</f>
        <v>0</v>
      </c>
      <c r="I249" s="214"/>
      <c r="J249" s="176"/>
      <c r="K249" s="40"/>
      <c r="L249" s="70" t="s">
        <v>425</v>
      </c>
      <c r="M249" s="67" t="s">
        <v>61</v>
      </c>
      <c r="N249" s="213">
        <f>H944</f>
        <v>0</v>
      </c>
      <c r="O249" s="214"/>
      <c r="P249" s="41"/>
      <c r="Q249" s="2"/>
    </row>
    <row r="250" spans="1:17" ht="5" customHeight="1" x14ac:dyDescent="0.2">
      <c r="A250" s="50"/>
      <c r="B250" s="25"/>
      <c r="C250" s="25"/>
      <c r="D250" s="16"/>
      <c r="E250" s="25"/>
      <c r="F250" s="31"/>
      <c r="G250" s="31"/>
      <c r="H250" s="31"/>
      <c r="I250" s="31"/>
      <c r="J250" s="177"/>
      <c r="K250" s="31"/>
      <c r="L250" s="31"/>
      <c r="M250" s="31"/>
      <c r="N250" s="31"/>
      <c r="O250" s="31"/>
      <c r="P250" s="32"/>
      <c r="Q250" s="2"/>
    </row>
    <row r="251" spans="1:17" ht="5" customHeight="1" x14ac:dyDescent="0.2">
      <c r="A251" s="48"/>
      <c r="B251" s="23"/>
      <c r="C251" s="23"/>
      <c r="D251" s="12"/>
      <c r="E251" s="23"/>
      <c r="F251" s="33"/>
      <c r="G251" s="33"/>
      <c r="H251" s="33"/>
      <c r="I251" s="33"/>
      <c r="J251" s="178"/>
      <c r="K251" s="33"/>
      <c r="L251" s="33"/>
      <c r="M251" s="33"/>
      <c r="N251" s="33"/>
      <c r="O251" s="33"/>
      <c r="P251" s="34"/>
      <c r="Q251" s="2"/>
    </row>
    <row r="252" spans="1:17" x14ac:dyDescent="0.2">
      <c r="A252" s="244" t="s">
        <v>93</v>
      </c>
      <c r="B252" s="245"/>
      <c r="C252" s="287"/>
      <c r="D252" s="288"/>
      <c r="E252" s="20"/>
      <c r="F252" s="70" t="s">
        <v>103</v>
      </c>
      <c r="G252" s="27" t="s">
        <v>61</v>
      </c>
      <c r="H252" s="242">
        <f>H246+H249</f>
        <v>0</v>
      </c>
      <c r="I252" s="243"/>
      <c r="J252" s="179"/>
      <c r="K252" s="27"/>
      <c r="L252" s="70" t="s">
        <v>426</v>
      </c>
      <c r="M252" s="27" t="s">
        <v>61</v>
      </c>
      <c r="N252" s="242">
        <f>IF(H72&gt;0,N246+N249,"")</f>
        <v>0</v>
      </c>
      <c r="O252" s="243"/>
      <c r="P252" s="26"/>
      <c r="Q252" s="2"/>
    </row>
    <row r="253" spans="1:17" ht="5" customHeight="1" x14ac:dyDescent="0.2">
      <c r="A253" s="47"/>
      <c r="B253" s="21"/>
      <c r="C253" s="21"/>
      <c r="D253" s="9"/>
      <c r="E253" s="21"/>
      <c r="F253" s="10"/>
      <c r="G253" s="10"/>
      <c r="H253" s="10"/>
      <c r="I253" s="10"/>
      <c r="J253" s="180"/>
      <c r="K253" s="10"/>
      <c r="L253" s="10"/>
      <c r="M253" s="10"/>
      <c r="N253" s="10"/>
      <c r="O253" s="10"/>
      <c r="P253" s="28"/>
      <c r="Q253" s="2"/>
    </row>
    <row r="254" spans="1:17" ht="15" customHeight="1" x14ac:dyDescent="0.2">
      <c r="A254" s="22"/>
      <c r="B254" s="22"/>
      <c r="C254" s="22"/>
      <c r="D254" s="22"/>
      <c r="E254" s="22"/>
      <c r="F254" s="40"/>
      <c r="G254" s="40"/>
      <c r="H254" s="40"/>
      <c r="I254" s="40"/>
      <c r="J254" s="181"/>
      <c r="K254" s="40"/>
      <c r="L254" s="40"/>
      <c r="M254" s="40"/>
      <c r="N254" s="40"/>
      <c r="O254" s="40"/>
      <c r="P254" s="40"/>
      <c r="Q254" s="2"/>
    </row>
    <row r="255" spans="1:17" ht="15" customHeight="1" x14ac:dyDescent="0.2">
      <c r="A255" s="238" t="s">
        <v>104</v>
      </c>
      <c r="B255" s="239"/>
      <c r="C255" s="72"/>
      <c r="D255" s="72"/>
      <c r="E255" s="72"/>
      <c r="F255" s="238" t="str">
        <f>TEXT(N2,"yyyy")</f>
        <v>2026</v>
      </c>
      <c r="G255" s="239"/>
      <c r="H255" s="239"/>
      <c r="I255" s="239"/>
      <c r="J255" s="182"/>
      <c r="K255" s="140"/>
      <c r="L255" s="238" t="str">
        <f>IF(HJ72&gt;0,TEXT(H72,"yyyy"),"")</f>
        <v/>
      </c>
      <c r="M255" s="239"/>
      <c r="N255" s="239"/>
      <c r="O255" s="239"/>
      <c r="P255" s="140"/>
      <c r="Q255" s="38"/>
    </row>
    <row r="256" spans="1:17" ht="5" customHeight="1" x14ac:dyDescent="0.2">
      <c r="J256" s="108"/>
      <c r="Q256" s="2"/>
    </row>
    <row r="257" spans="1:17" ht="5" customHeight="1" x14ac:dyDescent="0.2">
      <c r="A257" s="48"/>
      <c r="B257" s="23"/>
      <c r="C257" s="23"/>
      <c r="D257" s="12"/>
      <c r="E257" s="23"/>
      <c r="F257" s="33"/>
      <c r="G257" s="68"/>
      <c r="H257" s="33"/>
      <c r="I257" s="33"/>
      <c r="J257" s="178"/>
      <c r="K257" s="33"/>
      <c r="L257" s="33"/>
      <c r="M257" s="33"/>
      <c r="N257" s="33"/>
      <c r="O257" s="33"/>
      <c r="P257" s="34"/>
      <c r="Q257" s="2"/>
    </row>
    <row r="258" spans="1:17" x14ac:dyDescent="0.2">
      <c r="A258" s="224" t="s">
        <v>105</v>
      </c>
      <c r="B258" s="225"/>
      <c r="C258" s="283"/>
      <c r="D258" s="284"/>
      <c r="E258" s="20"/>
      <c r="F258" s="70" t="s">
        <v>113</v>
      </c>
      <c r="G258" s="40" t="s">
        <v>61</v>
      </c>
      <c r="H258" s="213">
        <f>ROUND([1]TrialBalance!EJ19,D2)</f>
        <v>0</v>
      </c>
      <c r="I258" s="214"/>
      <c r="J258" s="179"/>
      <c r="K258" s="27"/>
      <c r="L258" s="70" t="s">
        <v>427</v>
      </c>
      <c r="M258" s="67" t="s">
        <v>61</v>
      </c>
      <c r="N258" s="213">
        <f>IF(H72&gt;0,ROUND([1]TrialBalance!D19,D2),"")</f>
        <v>0</v>
      </c>
      <c r="O258" s="214"/>
      <c r="P258" s="26"/>
      <c r="Q258" s="2"/>
    </row>
    <row r="259" spans="1:17" ht="5" customHeight="1" x14ac:dyDescent="0.2">
      <c r="A259" s="47"/>
      <c r="B259" s="21"/>
      <c r="C259" s="21"/>
      <c r="D259" s="9"/>
      <c r="E259" s="21"/>
      <c r="F259" s="10"/>
      <c r="G259" s="69"/>
      <c r="H259" s="10"/>
      <c r="I259" s="10"/>
      <c r="J259" s="180"/>
      <c r="K259" s="10"/>
      <c r="L259" s="10"/>
      <c r="M259" s="10"/>
      <c r="N259" s="10"/>
      <c r="O259" s="10"/>
      <c r="P259" s="28"/>
      <c r="Q259" s="2"/>
    </row>
    <row r="260" spans="1:17" ht="5" customHeight="1" x14ac:dyDescent="0.2">
      <c r="A260" s="49"/>
      <c r="B260" s="24"/>
      <c r="C260" s="24"/>
      <c r="D260" s="14"/>
      <c r="E260" s="24"/>
      <c r="F260" s="29"/>
      <c r="G260" s="29"/>
      <c r="H260" s="29"/>
      <c r="I260" s="29"/>
      <c r="J260" s="183"/>
      <c r="K260" s="29"/>
      <c r="L260" s="29"/>
      <c r="M260" s="29"/>
      <c r="N260" s="29"/>
      <c r="O260" s="29"/>
      <c r="P260" s="30"/>
      <c r="Q260" s="2"/>
    </row>
    <row r="261" spans="1:17" x14ac:dyDescent="0.2">
      <c r="A261" s="221" t="s">
        <v>106</v>
      </c>
      <c r="B261" s="222"/>
      <c r="C261" s="283"/>
      <c r="D261" s="284"/>
      <c r="E261" s="22"/>
      <c r="F261" s="70" t="s">
        <v>114</v>
      </c>
      <c r="G261" s="67" t="s">
        <v>61</v>
      </c>
      <c r="H261" s="213">
        <f>H973</f>
        <v>0</v>
      </c>
      <c r="I261" s="214"/>
      <c r="J261" s="176"/>
      <c r="K261" s="40"/>
      <c r="L261" s="70" t="s">
        <v>428</v>
      </c>
      <c r="M261" s="67" t="s">
        <v>61</v>
      </c>
      <c r="N261" s="213">
        <f>IF(H72&gt;0,N973,"")</f>
        <v>0</v>
      </c>
      <c r="O261" s="214"/>
      <c r="P261" s="41"/>
      <c r="Q261" s="2"/>
    </row>
    <row r="262" spans="1:17" ht="5" customHeight="1" x14ac:dyDescent="0.2">
      <c r="A262" s="50"/>
      <c r="B262" s="25"/>
      <c r="C262" s="25"/>
      <c r="D262" s="16"/>
      <c r="E262" s="25"/>
      <c r="F262" s="31"/>
      <c r="G262" s="31"/>
      <c r="H262" s="31"/>
      <c r="I262" s="31"/>
      <c r="J262" s="177"/>
      <c r="K262" s="31"/>
      <c r="L262" s="31"/>
      <c r="M262" s="31"/>
      <c r="N262" s="31"/>
      <c r="O262" s="31"/>
      <c r="P262" s="32"/>
      <c r="Q262" s="2"/>
    </row>
    <row r="263" spans="1:17" ht="5" customHeight="1" x14ac:dyDescent="0.2">
      <c r="A263" s="48"/>
      <c r="B263" s="23"/>
      <c r="C263" s="23"/>
      <c r="D263" s="12"/>
      <c r="E263" s="23"/>
      <c r="F263" s="33"/>
      <c r="G263" s="33"/>
      <c r="H263" s="33"/>
      <c r="I263" s="33"/>
      <c r="J263" s="178"/>
      <c r="K263" s="33"/>
      <c r="L263" s="33"/>
      <c r="M263" s="33"/>
      <c r="N263" s="33"/>
      <c r="O263" s="33"/>
      <c r="P263" s="34"/>
      <c r="Q263" s="2"/>
    </row>
    <row r="264" spans="1:17" x14ac:dyDescent="0.2">
      <c r="A264" s="224" t="s">
        <v>430</v>
      </c>
      <c r="B264" s="225"/>
      <c r="C264" s="283"/>
      <c r="D264" s="284"/>
      <c r="E264" s="20"/>
      <c r="F264" s="70" t="s">
        <v>115</v>
      </c>
      <c r="G264" s="66" t="s">
        <v>61</v>
      </c>
      <c r="H264" s="213">
        <f>H1223</f>
        <v>0</v>
      </c>
      <c r="I264" s="214"/>
      <c r="J264" s="179"/>
      <c r="K264" s="27"/>
      <c r="L264" s="70" t="s">
        <v>429</v>
      </c>
      <c r="M264" s="66" t="s">
        <v>61</v>
      </c>
      <c r="N264" s="213">
        <f>N1223</f>
        <v>0</v>
      </c>
      <c r="O264" s="214"/>
      <c r="P264" s="26"/>
      <c r="Q264" s="2"/>
    </row>
    <row r="265" spans="1:17" ht="5" customHeight="1" x14ac:dyDescent="0.2">
      <c r="A265" s="47"/>
      <c r="B265" s="21"/>
      <c r="C265" s="21"/>
      <c r="D265" s="9"/>
      <c r="E265" s="21"/>
      <c r="F265" s="10"/>
      <c r="G265" s="10"/>
      <c r="H265" s="10"/>
      <c r="I265" s="10"/>
      <c r="J265" s="180"/>
      <c r="K265" s="10"/>
      <c r="L265" s="10"/>
      <c r="M265" s="10"/>
      <c r="N265" s="10"/>
      <c r="O265" s="10"/>
      <c r="P265" s="28"/>
      <c r="Q265" s="2"/>
    </row>
    <row r="266" spans="1:17" ht="5" customHeight="1" x14ac:dyDescent="0.2">
      <c r="A266" s="49"/>
      <c r="B266" s="24"/>
      <c r="C266" s="24"/>
      <c r="D266" s="14"/>
      <c r="E266" s="24"/>
      <c r="F266" s="29"/>
      <c r="G266" s="29"/>
      <c r="H266" s="29"/>
      <c r="I266" s="29"/>
      <c r="J266" s="183"/>
      <c r="K266" s="29"/>
      <c r="L266" s="29"/>
      <c r="M266" s="29"/>
      <c r="N266" s="29"/>
      <c r="O266" s="29"/>
      <c r="P266" s="30"/>
      <c r="Q266" s="2"/>
    </row>
    <row r="267" spans="1:17" x14ac:dyDescent="0.2">
      <c r="A267" s="247" t="s">
        <v>107</v>
      </c>
      <c r="B267" s="248"/>
      <c r="C267" s="312"/>
      <c r="D267" s="313"/>
      <c r="E267" s="22"/>
      <c r="F267" s="70" t="s">
        <v>116</v>
      </c>
      <c r="G267" s="40" t="s">
        <v>61</v>
      </c>
      <c r="H267" s="240">
        <f>SUM(H258,H261,H264)</f>
        <v>0</v>
      </c>
      <c r="I267" s="241"/>
      <c r="J267" s="176"/>
      <c r="K267" s="40"/>
      <c r="L267" s="70" t="s">
        <v>438</v>
      </c>
      <c r="M267" s="40" t="s">
        <v>61</v>
      </c>
      <c r="N267" s="240">
        <f>IF(H72&gt;0,SUM(N258,N261,N264),"")</f>
        <v>0</v>
      </c>
      <c r="O267" s="241"/>
      <c r="P267" s="41"/>
      <c r="Q267" s="2"/>
    </row>
    <row r="268" spans="1:17" ht="5" customHeight="1" x14ac:dyDescent="0.2">
      <c r="A268" s="50"/>
      <c r="B268" s="25"/>
      <c r="C268" s="25"/>
      <c r="D268" s="16"/>
      <c r="E268" s="25"/>
      <c r="F268" s="31"/>
      <c r="G268" s="31"/>
      <c r="H268" s="31"/>
      <c r="I268" s="31"/>
      <c r="J268" s="177"/>
      <c r="K268" s="31"/>
      <c r="L268" s="31"/>
      <c r="M268" s="31"/>
      <c r="N268" s="31"/>
      <c r="O268" s="31"/>
      <c r="P268" s="32"/>
      <c r="Q268" s="2"/>
    </row>
    <row r="269" spans="1:17" ht="5" customHeight="1" x14ac:dyDescent="0.2">
      <c r="A269" s="48"/>
      <c r="B269" s="23"/>
      <c r="C269" s="23"/>
      <c r="D269" s="12"/>
      <c r="E269" s="23"/>
      <c r="F269" s="33"/>
      <c r="G269" s="33"/>
      <c r="H269" s="33"/>
      <c r="I269" s="33"/>
      <c r="J269" s="178"/>
      <c r="K269" s="33"/>
      <c r="L269" s="33"/>
      <c r="M269" s="33"/>
      <c r="N269" s="33"/>
      <c r="O269" s="33"/>
      <c r="P269" s="34"/>
      <c r="Q269" s="2"/>
    </row>
    <row r="270" spans="1:17" ht="27" customHeight="1" x14ac:dyDescent="0.2">
      <c r="A270" s="327" t="s">
        <v>432</v>
      </c>
      <c r="B270" s="328"/>
      <c r="C270" s="328"/>
      <c r="D270" s="422"/>
      <c r="E270" s="20"/>
      <c r="F270" s="70" t="s">
        <v>117</v>
      </c>
      <c r="G270" s="73" t="s">
        <v>61</v>
      </c>
      <c r="H270" s="368">
        <f>H1017</f>
        <v>0</v>
      </c>
      <c r="I270" s="369"/>
      <c r="J270" s="179"/>
      <c r="K270" s="74"/>
      <c r="L270" s="70" t="s">
        <v>431</v>
      </c>
      <c r="M270" s="73" t="s">
        <v>61</v>
      </c>
      <c r="N270" s="368">
        <f>IF(H72&gt;0,N1017,"")</f>
        <v>0</v>
      </c>
      <c r="O270" s="369"/>
      <c r="P270" s="26"/>
      <c r="Q270" s="2"/>
    </row>
    <row r="271" spans="1:17" ht="5" customHeight="1" x14ac:dyDescent="0.2">
      <c r="A271" s="47"/>
      <c r="B271" s="21"/>
      <c r="C271" s="21"/>
      <c r="D271" s="9"/>
      <c r="E271" s="21"/>
      <c r="F271" s="10"/>
      <c r="G271" s="10"/>
      <c r="H271" s="10"/>
      <c r="I271" s="10"/>
      <c r="J271" s="180"/>
      <c r="K271" s="10"/>
      <c r="L271" s="10"/>
      <c r="M271" s="10"/>
      <c r="N271" s="10"/>
      <c r="O271" s="10"/>
      <c r="P271" s="28"/>
      <c r="Q271" s="2"/>
    </row>
    <row r="272" spans="1:17" ht="5" customHeight="1" x14ac:dyDescent="0.2">
      <c r="A272" s="49"/>
      <c r="B272" s="24"/>
      <c r="C272" s="24"/>
      <c r="D272" s="14"/>
      <c r="E272" s="24"/>
      <c r="F272" s="29"/>
      <c r="G272" s="29"/>
      <c r="H272" s="29"/>
      <c r="I272" s="29"/>
      <c r="J272" s="183"/>
      <c r="K272" s="29"/>
      <c r="L272" s="29"/>
      <c r="M272" s="29"/>
      <c r="N272" s="29"/>
      <c r="O272" s="29"/>
      <c r="P272" s="30"/>
      <c r="Q272" s="2"/>
    </row>
    <row r="273" spans="1:17" x14ac:dyDescent="0.2">
      <c r="A273" s="247" t="s">
        <v>109</v>
      </c>
      <c r="B273" s="248"/>
      <c r="C273" s="285"/>
      <c r="D273" s="286"/>
      <c r="E273" s="22"/>
      <c r="F273" s="70" t="s">
        <v>118</v>
      </c>
      <c r="G273" s="40" t="s">
        <v>61</v>
      </c>
      <c r="H273" s="240">
        <f>H267-H270</f>
        <v>0</v>
      </c>
      <c r="I273" s="241"/>
      <c r="J273" s="176"/>
      <c r="K273" s="40"/>
      <c r="L273" s="70" t="s">
        <v>433</v>
      </c>
      <c r="M273" s="40" t="s">
        <v>61</v>
      </c>
      <c r="N273" s="240">
        <f>IF(H72&gt;0,N267-N270,"")</f>
        <v>0</v>
      </c>
      <c r="O273" s="241"/>
      <c r="P273" s="41"/>
      <c r="Q273" s="2"/>
    </row>
    <row r="274" spans="1:17" ht="5" customHeight="1" x14ac:dyDescent="0.2">
      <c r="A274" s="50"/>
      <c r="B274" s="25"/>
      <c r="C274" s="25"/>
      <c r="D274" s="16"/>
      <c r="E274" s="25"/>
      <c r="F274" s="31"/>
      <c r="G274" s="31"/>
      <c r="H274" s="31"/>
      <c r="I274" s="31"/>
      <c r="J274" s="177"/>
      <c r="K274" s="31"/>
      <c r="L274" s="31"/>
      <c r="M274" s="31"/>
      <c r="N274" s="31"/>
      <c r="O274" s="31"/>
      <c r="P274" s="32"/>
      <c r="Q274" s="2"/>
    </row>
    <row r="275" spans="1:17" ht="5" customHeight="1" x14ac:dyDescent="0.2">
      <c r="A275" s="48"/>
      <c r="B275" s="23"/>
      <c r="C275" s="23"/>
      <c r="D275" s="12"/>
      <c r="E275" s="23"/>
      <c r="F275" s="33"/>
      <c r="G275" s="33"/>
      <c r="H275" s="33"/>
      <c r="I275" s="33"/>
      <c r="J275" s="178"/>
      <c r="K275" s="33"/>
      <c r="L275" s="33"/>
      <c r="M275" s="33"/>
      <c r="N275" s="33"/>
      <c r="O275" s="33"/>
      <c r="P275" s="34"/>
      <c r="Q275" s="2"/>
    </row>
    <row r="276" spans="1:17" ht="27" customHeight="1" x14ac:dyDescent="0.2">
      <c r="A276" s="377" t="s">
        <v>110</v>
      </c>
      <c r="B276" s="378"/>
      <c r="C276" s="354"/>
      <c r="D276" s="359"/>
      <c r="E276" s="20"/>
      <c r="F276" s="70" t="s">
        <v>119</v>
      </c>
      <c r="G276" s="63" t="s">
        <v>61</v>
      </c>
      <c r="H276" s="379">
        <f>H252+H273</f>
        <v>0</v>
      </c>
      <c r="I276" s="380"/>
      <c r="J276" s="179"/>
      <c r="K276" s="27"/>
      <c r="L276" s="70" t="s">
        <v>434</v>
      </c>
      <c r="M276" s="63" t="s">
        <v>61</v>
      </c>
      <c r="N276" s="379">
        <f>IF(H72&gt;0,N252+N273,"")</f>
        <v>0</v>
      </c>
      <c r="O276" s="380"/>
      <c r="P276" s="26"/>
      <c r="Q276" s="2"/>
    </row>
    <row r="277" spans="1:17" ht="5" customHeight="1" x14ac:dyDescent="0.2">
      <c r="A277" s="47"/>
      <c r="B277" s="21"/>
      <c r="C277" s="21"/>
      <c r="D277" s="9"/>
      <c r="E277" s="21"/>
      <c r="F277" s="10"/>
      <c r="G277" s="10"/>
      <c r="H277" s="10"/>
      <c r="I277" s="10"/>
      <c r="J277" s="28"/>
      <c r="K277" s="10"/>
      <c r="L277" s="10"/>
      <c r="M277" s="10"/>
      <c r="N277" s="10"/>
      <c r="O277" s="10"/>
      <c r="P277" s="28"/>
      <c r="Q277" s="2"/>
    </row>
    <row r="278" spans="1:17" ht="5" customHeight="1" x14ac:dyDescent="0.2">
      <c r="A278" s="49"/>
      <c r="B278" s="24"/>
      <c r="C278" s="24"/>
      <c r="D278" s="14"/>
      <c r="E278" s="24"/>
      <c r="F278" s="29"/>
      <c r="G278" s="29"/>
      <c r="H278" s="29"/>
      <c r="I278" s="29"/>
      <c r="J278" s="30"/>
      <c r="K278" s="29"/>
      <c r="L278" s="29"/>
      <c r="M278" s="29"/>
      <c r="N278" s="29"/>
      <c r="O278" s="29"/>
      <c r="P278" s="30"/>
      <c r="Q278" s="2"/>
    </row>
    <row r="279" spans="1:17" ht="26.25" customHeight="1" x14ac:dyDescent="0.2">
      <c r="A279" s="265" t="s">
        <v>123</v>
      </c>
      <c r="B279" s="305"/>
      <c r="C279" s="306"/>
      <c r="D279" s="307"/>
      <c r="E279" s="22"/>
      <c r="F279" s="70" t="s">
        <v>120</v>
      </c>
      <c r="G279" s="67" t="s">
        <v>61</v>
      </c>
      <c r="H279" s="213">
        <f>H1051</f>
        <v>0</v>
      </c>
      <c r="I279" s="214"/>
      <c r="J279" s="41"/>
      <c r="K279" s="40"/>
      <c r="L279" s="70" t="s">
        <v>435</v>
      </c>
      <c r="M279" s="67" t="s">
        <v>61</v>
      </c>
      <c r="N279" s="213">
        <f>IF(H72&gt;0,N1051,"")</f>
        <v>0</v>
      </c>
      <c r="O279" s="214"/>
      <c r="P279" s="41"/>
      <c r="Q279" s="2"/>
    </row>
    <row r="280" spans="1:17" ht="5" customHeight="1" x14ac:dyDescent="0.2">
      <c r="A280" s="50"/>
      <c r="B280" s="25"/>
      <c r="C280" s="25"/>
      <c r="D280" s="16"/>
      <c r="E280" s="25"/>
      <c r="F280" s="31"/>
      <c r="G280" s="31"/>
      <c r="H280" s="31"/>
      <c r="I280" s="31"/>
      <c r="J280" s="32"/>
      <c r="K280" s="31"/>
      <c r="L280" s="31"/>
      <c r="M280" s="31"/>
      <c r="N280" s="31"/>
      <c r="O280" s="31"/>
      <c r="P280" s="32"/>
      <c r="Q280" s="2"/>
    </row>
    <row r="281" spans="1:17" ht="5" customHeight="1" x14ac:dyDescent="0.2">
      <c r="A281" s="48"/>
      <c r="B281" s="23"/>
      <c r="C281" s="23"/>
      <c r="D281" s="12"/>
      <c r="E281" s="23"/>
      <c r="F281" s="33"/>
      <c r="G281" s="33"/>
      <c r="H281" s="33"/>
      <c r="I281" s="33"/>
      <c r="J281" s="34"/>
      <c r="K281" s="33"/>
      <c r="L281" s="33"/>
      <c r="M281" s="33"/>
      <c r="N281" s="33"/>
      <c r="O281" s="33"/>
      <c r="P281" s="34"/>
      <c r="Q281" s="2"/>
    </row>
    <row r="282" spans="1:17" ht="15" customHeight="1" x14ac:dyDescent="0.2">
      <c r="A282" s="141"/>
      <c r="B282" s="20"/>
      <c r="C282" s="20"/>
      <c r="D282" s="7"/>
      <c r="E282" s="20"/>
      <c r="F282" s="304" t="s">
        <v>420</v>
      </c>
      <c r="G282" s="420"/>
      <c r="H282" s="420"/>
      <c r="I282" s="420"/>
      <c r="J282" s="26"/>
      <c r="K282" s="27"/>
      <c r="L282" s="289" t="s">
        <v>420</v>
      </c>
      <c r="M282" s="421"/>
      <c r="N282" s="421"/>
      <c r="O282" s="421"/>
      <c r="P282" s="26"/>
      <c r="Q282" s="2"/>
    </row>
    <row r="283" spans="1:17" ht="15.75" customHeight="1" x14ac:dyDescent="0.2">
      <c r="A283" s="244" t="s">
        <v>111</v>
      </c>
      <c r="B283" s="245"/>
      <c r="C283" s="285"/>
      <c r="D283" s="286"/>
      <c r="E283" s="20"/>
      <c r="F283" s="70" t="s">
        <v>121</v>
      </c>
      <c r="G283" s="73" t="s">
        <v>61</v>
      </c>
      <c r="H283" s="368"/>
      <c r="I283" s="369"/>
      <c r="J283" s="26"/>
      <c r="K283" s="27"/>
      <c r="L283" s="70" t="s">
        <v>436</v>
      </c>
      <c r="M283" s="73" t="s">
        <v>61</v>
      </c>
      <c r="N283" s="368"/>
      <c r="O283" s="369"/>
      <c r="P283" s="26"/>
      <c r="Q283" s="2"/>
    </row>
    <row r="284" spans="1:17" ht="5" customHeight="1" x14ac:dyDescent="0.2">
      <c r="A284" s="47"/>
      <c r="B284" s="21"/>
      <c r="C284" s="21"/>
      <c r="D284" s="9"/>
      <c r="E284" s="21"/>
      <c r="F284" s="10"/>
      <c r="G284" s="10"/>
      <c r="H284" s="10"/>
      <c r="I284" s="10"/>
      <c r="J284" s="28"/>
      <c r="K284" s="10"/>
      <c r="L284" s="10"/>
      <c r="M284" s="10"/>
      <c r="N284" s="10"/>
      <c r="O284" s="10"/>
      <c r="P284" s="28"/>
      <c r="Q284" s="2"/>
    </row>
    <row r="285" spans="1:17" ht="5" customHeight="1" x14ac:dyDescent="0.2">
      <c r="A285" s="49"/>
      <c r="B285" s="24"/>
      <c r="C285" s="24"/>
      <c r="D285" s="14"/>
      <c r="E285" s="24"/>
      <c r="F285" s="29"/>
      <c r="G285" s="29"/>
      <c r="H285" s="29"/>
      <c r="I285" s="29"/>
      <c r="J285" s="30"/>
      <c r="K285" s="29"/>
      <c r="L285" s="29"/>
      <c r="M285" s="29"/>
      <c r="N285" s="29"/>
      <c r="O285" s="29"/>
      <c r="P285" s="30"/>
      <c r="Q285" s="2"/>
    </row>
    <row r="286" spans="1:17" x14ac:dyDescent="0.2">
      <c r="A286" s="247" t="s">
        <v>112</v>
      </c>
      <c r="B286" s="248"/>
      <c r="C286" s="312"/>
      <c r="D286" s="313"/>
      <c r="E286" s="22"/>
      <c r="F286" s="70" t="s">
        <v>122</v>
      </c>
      <c r="G286" s="40" t="s">
        <v>61</v>
      </c>
      <c r="H286" s="240">
        <f>H276-H279-H283</f>
        <v>0</v>
      </c>
      <c r="I286" s="241"/>
      <c r="J286" s="41"/>
      <c r="K286" s="40"/>
      <c r="L286" s="70" t="s">
        <v>437</v>
      </c>
      <c r="M286" s="40" t="s">
        <v>61</v>
      </c>
      <c r="N286" s="240">
        <f>IF(H72&gt;0,N276-N279-N283,"")</f>
        <v>0</v>
      </c>
      <c r="O286" s="241"/>
      <c r="P286" s="41"/>
      <c r="Q286" s="2"/>
    </row>
    <row r="287" spans="1:17" ht="5" customHeight="1" x14ac:dyDescent="0.2">
      <c r="A287" s="50"/>
      <c r="B287" s="25"/>
      <c r="C287" s="25"/>
      <c r="D287" s="16"/>
      <c r="E287" s="25"/>
      <c r="F287" s="31"/>
      <c r="G287" s="31"/>
      <c r="H287" s="31"/>
      <c r="I287" s="31"/>
      <c r="J287" s="32"/>
      <c r="K287" s="31"/>
      <c r="L287" s="31"/>
      <c r="M287" s="31"/>
      <c r="N287" s="31"/>
      <c r="O287" s="31"/>
      <c r="P287" s="32"/>
      <c r="Q287" s="2"/>
    </row>
    <row r="288" spans="1:17" x14ac:dyDescent="0.2">
      <c r="Q288" s="2"/>
    </row>
    <row r="290" spans="1:17" ht="16" x14ac:dyDescent="0.2">
      <c r="A290" s="231" t="s">
        <v>124</v>
      </c>
      <c r="B290" s="232"/>
      <c r="C290" s="232"/>
      <c r="D290" s="232"/>
      <c r="F290" s="233"/>
      <c r="G290" s="233"/>
      <c r="H290" s="233"/>
      <c r="I290" s="233"/>
      <c r="J290" s="233"/>
      <c r="K290" s="233"/>
      <c r="L290" s="233"/>
      <c r="M290" s="233"/>
      <c r="N290" s="233"/>
      <c r="O290" s="233"/>
      <c r="P290" s="233"/>
      <c r="Q290" s="233"/>
    </row>
    <row r="291" spans="1:17" ht="5" customHeight="1" x14ac:dyDescent="0.2">
      <c r="A291" s="1"/>
      <c r="B291" s="1"/>
      <c r="C291" s="1"/>
      <c r="D291" s="1"/>
      <c r="E291" s="1"/>
      <c r="F291" s="1"/>
      <c r="G291" s="1"/>
      <c r="H291" s="1"/>
      <c r="I291" s="1"/>
      <c r="J291" s="1"/>
      <c r="K291" s="1"/>
      <c r="L291" s="1"/>
      <c r="M291" s="1"/>
      <c r="N291" s="1"/>
      <c r="O291" s="1"/>
      <c r="P291" s="1"/>
      <c r="Q291" s="1"/>
    </row>
    <row r="292" spans="1:17" x14ac:dyDescent="0.2">
      <c r="A292" s="234" t="str">
        <f>"Balance sheet for the year ended "&amp;TEXT(N2,"dd Mmm yyyy")</f>
        <v>Balance sheet for the year ended 31 Mar 2026</v>
      </c>
      <c r="B292" s="235"/>
      <c r="C292" s="235"/>
      <c r="D292" s="235"/>
      <c r="E292" s="236"/>
      <c r="F292" s="236"/>
      <c r="G292" s="236"/>
      <c r="H292" s="236"/>
      <c r="I292" s="236"/>
      <c r="J292" s="236"/>
      <c r="K292" s="236"/>
      <c r="L292" s="236"/>
      <c r="M292" s="236"/>
      <c r="N292" s="236"/>
      <c r="O292" s="236"/>
      <c r="P292" s="236"/>
      <c r="Q292" s="237"/>
    </row>
    <row r="293" spans="1:17" x14ac:dyDescent="0.2">
      <c r="A293" s="39"/>
      <c r="B293" s="39"/>
      <c r="C293" s="39"/>
      <c r="D293" s="39"/>
      <c r="E293" s="37"/>
      <c r="F293" s="37"/>
      <c r="G293" s="37"/>
      <c r="H293" s="37"/>
      <c r="I293" s="37"/>
      <c r="J293" s="37"/>
      <c r="K293" s="37"/>
      <c r="L293" s="37"/>
      <c r="M293" s="37"/>
      <c r="N293" s="37"/>
      <c r="O293" s="37"/>
      <c r="P293" s="37"/>
      <c r="Q293" s="38"/>
    </row>
    <row r="294" spans="1:17" ht="29.25" customHeight="1" x14ac:dyDescent="0.2">
      <c r="A294" s="326" t="s">
        <v>125</v>
      </c>
      <c r="B294" s="212"/>
      <c r="C294" s="212"/>
      <c r="D294" s="212"/>
      <c r="E294" s="212"/>
      <c r="F294" s="212"/>
      <c r="G294" s="212"/>
      <c r="H294" s="212"/>
      <c r="I294" s="212"/>
      <c r="J294" s="212"/>
      <c r="K294" s="212"/>
      <c r="L294" s="212"/>
      <c r="M294" s="212"/>
      <c r="N294" s="212"/>
      <c r="O294" s="212"/>
      <c r="P294" s="212"/>
      <c r="Q294" s="38"/>
    </row>
    <row r="295" spans="1:17" x14ac:dyDescent="0.2">
      <c r="A295" s="62"/>
      <c r="B295" s="51"/>
      <c r="C295" s="51"/>
      <c r="D295" s="51"/>
      <c r="E295" s="51"/>
      <c r="F295" s="51"/>
      <c r="G295" s="51"/>
      <c r="H295" s="51"/>
      <c r="I295" s="51"/>
      <c r="J295" s="51"/>
      <c r="K295" s="51"/>
      <c r="L295" s="51"/>
      <c r="M295" s="51"/>
      <c r="N295" s="51"/>
      <c r="O295" s="51"/>
      <c r="P295" s="51"/>
      <c r="Q295" s="38"/>
    </row>
    <row r="296" spans="1:17" x14ac:dyDescent="0.2">
      <c r="A296" s="238" t="s">
        <v>126</v>
      </c>
      <c r="B296" s="239"/>
      <c r="C296" s="72"/>
      <c r="D296" s="72"/>
      <c r="E296" s="72"/>
      <c r="F296" s="140" t="str">
        <f>TEXT(N2,"yyyy")</f>
        <v>2026</v>
      </c>
      <c r="G296" s="140"/>
      <c r="H296" s="140"/>
      <c r="I296" s="140"/>
      <c r="J296" s="140"/>
      <c r="K296" s="140"/>
      <c r="L296" s="238" t="str">
        <f>IF(H72&gt;0,TEXT(H72,"yyyy"),"")</f>
        <v/>
      </c>
      <c r="M296" s="239"/>
      <c r="N296" s="239"/>
      <c r="O296" s="239"/>
      <c r="P296" s="140"/>
      <c r="Q296" s="38"/>
    </row>
    <row r="297" spans="1:17" x14ac:dyDescent="0.2">
      <c r="A297" s="36"/>
      <c r="Q297" s="2"/>
    </row>
    <row r="298" spans="1:17" ht="5" customHeight="1" x14ac:dyDescent="0.2">
      <c r="A298" s="48"/>
      <c r="B298" s="23"/>
      <c r="C298" s="23"/>
      <c r="D298" s="12"/>
      <c r="E298" s="23"/>
      <c r="F298" s="33"/>
      <c r="G298" s="33"/>
      <c r="H298" s="33"/>
      <c r="I298" s="33"/>
      <c r="J298" s="34"/>
      <c r="K298" s="33"/>
      <c r="L298" s="33"/>
      <c r="M298" s="33"/>
      <c r="N298" s="33"/>
      <c r="O298" s="33"/>
      <c r="P298" s="34"/>
      <c r="Q298" s="2"/>
    </row>
    <row r="299" spans="1:17" x14ac:dyDescent="0.2">
      <c r="A299" s="224" t="s">
        <v>131</v>
      </c>
      <c r="B299" s="225"/>
      <c r="C299" s="283"/>
      <c r="D299" s="284"/>
      <c r="E299" s="20"/>
      <c r="F299" s="70" t="s">
        <v>132</v>
      </c>
      <c r="G299" s="66" t="s">
        <v>61</v>
      </c>
      <c r="H299" s="213">
        <f>N1098</f>
        <v>0</v>
      </c>
      <c r="I299" s="214"/>
      <c r="J299" s="26"/>
      <c r="K299" s="27"/>
      <c r="L299" s="70" t="s">
        <v>439</v>
      </c>
      <c r="M299" s="66" t="s">
        <v>61</v>
      </c>
      <c r="N299" s="213">
        <f>N1084</f>
        <v>0</v>
      </c>
      <c r="O299" s="214"/>
      <c r="P299" s="26"/>
      <c r="Q299" s="2"/>
    </row>
    <row r="300" spans="1:17" ht="5" customHeight="1" x14ac:dyDescent="0.2">
      <c r="A300" s="47"/>
      <c r="B300" s="21"/>
      <c r="C300" s="21"/>
      <c r="D300" s="9"/>
      <c r="E300" s="21"/>
      <c r="F300" s="10"/>
      <c r="G300" s="10"/>
      <c r="H300" s="10"/>
      <c r="I300" s="10"/>
      <c r="J300" s="28"/>
      <c r="K300" s="10"/>
      <c r="L300" s="10"/>
      <c r="M300" s="10"/>
      <c r="N300" s="10"/>
      <c r="O300" s="10"/>
      <c r="P300" s="28"/>
      <c r="Q300" s="2"/>
    </row>
    <row r="301" spans="1:17" ht="5" customHeight="1" x14ac:dyDescent="0.2">
      <c r="A301" s="49"/>
      <c r="B301" s="24"/>
      <c r="C301" s="24"/>
      <c r="D301" s="14"/>
      <c r="E301" s="24"/>
      <c r="F301" s="29"/>
      <c r="G301" s="29"/>
      <c r="H301" s="29"/>
      <c r="I301" s="29"/>
      <c r="J301" s="30"/>
      <c r="K301" s="29"/>
      <c r="L301" s="29"/>
      <c r="M301" s="29"/>
      <c r="N301" s="29"/>
      <c r="O301" s="29"/>
      <c r="P301" s="30"/>
      <c r="Q301" s="2"/>
    </row>
    <row r="302" spans="1:17" ht="15" customHeight="1" x14ac:dyDescent="0.2">
      <c r="A302" s="61"/>
      <c r="B302" s="22"/>
      <c r="C302" s="22"/>
      <c r="D302" s="150"/>
      <c r="E302" s="22"/>
      <c r="F302" s="303" t="s">
        <v>420</v>
      </c>
      <c r="G302" s="367"/>
      <c r="H302" s="367"/>
      <c r="I302" s="367"/>
      <c r="J302" s="41"/>
      <c r="K302" s="40"/>
      <c r="L302" s="303" t="s">
        <v>420</v>
      </c>
      <c r="M302" s="367"/>
      <c r="N302" s="367"/>
      <c r="O302" s="367"/>
      <c r="P302" s="41"/>
      <c r="Q302" s="2"/>
    </row>
    <row r="303" spans="1:17" x14ac:dyDescent="0.2">
      <c r="A303" s="221" t="s">
        <v>128</v>
      </c>
      <c r="B303" s="222"/>
      <c r="C303" s="283"/>
      <c r="D303" s="284"/>
      <c r="E303" s="22"/>
      <c r="F303" s="70" t="s">
        <v>133</v>
      </c>
      <c r="G303" s="67" t="s">
        <v>61</v>
      </c>
      <c r="H303" s="213"/>
      <c r="I303" s="214"/>
      <c r="J303" s="41"/>
      <c r="K303" s="139"/>
      <c r="L303" s="70" t="s">
        <v>440</v>
      </c>
      <c r="M303" s="67" t="s">
        <v>61</v>
      </c>
      <c r="N303" s="213"/>
      <c r="O303" s="214"/>
      <c r="P303" s="41"/>
      <c r="Q303" s="2"/>
    </row>
    <row r="304" spans="1:17" ht="5" customHeight="1" x14ac:dyDescent="0.2">
      <c r="A304" s="50"/>
      <c r="B304" s="25"/>
      <c r="C304" s="25"/>
      <c r="D304" s="16"/>
      <c r="E304" s="25"/>
      <c r="F304" s="31"/>
      <c r="G304" s="31"/>
      <c r="H304" s="31"/>
      <c r="I304" s="31"/>
      <c r="J304" s="32"/>
      <c r="K304" s="31"/>
      <c r="L304" s="31"/>
      <c r="M304" s="31"/>
      <c r="N304" s="31"/>
      <c r="O304" s="31"/>
      <c r="P304" s="32"/>
      <c r="Q304" s="2"/>
    </row>
    <row r="305" spans="1:17" ht="5" customHeight="1" x14ac:dyDescent="0.2">
      <c r="A305" s="48"/>
      <c r="B305" s="23"/>
      <c r="C305" s="23"/>
      <c r="D305" s="12"/>
      <c r="E305" s="23"/>
      <c r="F305" s="33"/>
      <c r="G305" s="33"/>
      <c r="H305" s="33"/>
      <c r="I305" s="33"/>
      <c r="J305" s="34"/>
      <c r="K305" s="33"/>
      <c r="L305" s="33"/>
      <c r="M305" s="33"/>
      <c r="N305" s="33"/>
      <c r="O305" s="33"/>
      <c r="P305" s="34"/>
      <c r="Q305" s="2"/>
    </row>
    <row r="306" spans="1:17" x14ac:dyDescent="0.2">
      <c r="A306" s="224" t="s">
        <v>129</v>
      </c>
      <c r="B306" s="225"/>
      <c r="C306" s="283"/>
      <c r="D306" s="284"/>
      <c r="E306" s="20"/>
      <c r="F306" s="70" t="s">
        <v>388</v>
      </c>
      <c r="G306" s="66" t="s">
        <v>61</v>
      </c>
      <c r="H306" s="373">
        <f>H1140</f>
        <v>0</v>
      </c>
      <c r="I306" s="214"/>
      <c r="J306" s="26"/>
      <c r="K306" s="27"/>
      <c r="L306" s="70" t="s">
        <v>441</v>
      </c>
      <c r="M306" s="66" t="s">
        <v>61</v>
      </c>
      <c r="N306" s="213">
        <f>IF(H72&gt;0,H1131,"")</f>
        <v>0</v>
      </c>
      <c r="O306" s="214"/>
      <c r="P306" s="26"/>
      <c r="Q306" s="2"/>
    </row>
    <row r="307" spans="1:17" ht="5" customHeight="1" x14ac:dyDescent="0.2">
      <c r="A307" s="47"/>
      <c r="B307" s="21"/>
      <c r="C307" s="21"/>
      <c r="D307" s="9"/>
      <c r="E307" s="21"/>
      <c r="F307" s="10"/>
      <c r="G307" s="10"/>
      <c r="H307" s="10"/>
      <c r="I307" s="10"/>
      <c r="J307" s="28"/>
      <c r="K307" s="10"/>
      <c r="L307" s="10"/>
      <c r="M307" s="10"/>
      <c r="N307" s="10"/>
      <c r="O307" s="10"/>
      <c r="P307" s="28"/>
      <c r="Q307" s="2"/>
    </row>
    <row r="308" spans="1:17" ht="5" customHeight="1" x14ac:dyDescent="0.2">
      <c r="A308" s="49"/>
      <c r="B308" s="24"/>
      <c r="C308" s="24"/>
      <c r="D308" s="14"/>
      <c r="E308" s="24"/>
      <c r="F308" s="29"/>
      <c r="G308" s="29"/>
      <c r="H308" s="29"/>
      <c r="I308" s="29"/>
      <c r="J308" s="30"/>
      <c r="K308" s="29"/>
      <c r="L308" s="29"/>
      <c r="M308" s="29"/>
      <c r="N308" s="29"/>
      <c r="O308" s="29"/>
      <c r="P308" s="30"/>
      <c r="Q308" s="2"/>
    </row>
    <row r="309" spans="1:17" x14ac:dyDescent="0.2">
      <c r="A309" s="247" t="s">
        <v>130</v>
      </c>
      <c r="B309" s="248"/>
      <c r="C309" s="312"/>
      <c r="D309" s="313"/>
      <c r="E309" s="22"/>
      <c r="F309" s="70" t="s">
        <v>134</v>
      </c>
      <c r="G309" s="40" t="s">
        <v>61</v>
      </c>
      <c r="H309" s="240">
        <f>H299+H303+H306</f>
        <v>0</v>
      </c>
      <c r="I309" s="241"/>
      <c r="J309" s="41"/>
      <c r="K309" s="40"/>
      <c r="L309" s="70" t="s">
        <v>442</v>
      </c>
      <c r="M309" s="40" t="s">
        <v>61</v>
      </c>
      <c r="N309" s="240">
        <f>IF(H72&gt;0,N299+N303+N306,"")</f>
        <v>0</v>
      </c>
      <c r="O309" s="241"/>
      <c r="P309" s="41"/>
      <c r="Q309" s="2"/>
    </row>
    <row r="310" spans="1:17" ht="5" customHeight="1" x14ac:dyDescent="0.2">
      <c r="A310" s="50"/>
      <c r="B310" s="25"/>
      <c r="C310" s="25"/>
      <c r="D310" s="16"/>
      <c r="E310" s="25"/>
      <c r="F310" s="31"/>
      <c r="G310" s="31"/>
      <c r="H310" s="31"/>
      <c r="I310" s="31"/>
      <c r="J310" s="32"/>
      <c r="K310" s="31"/>
      <c r="L310" s="31"/>
      <c r="M310" s="31"/>
      <c r="N310" s="31"/>
      <c r="O310" s="31"/>
      <c r="P310" s="32"/>
      <c r="Q310" s="2"/>
    </row>
    <row r="311" spans="1:17" x14ac:dyDescent="0.2">
      <c r="A311" s="22"/>
      <c r="B311" s="22"/>
      <c r="C311" s="22"/>
      <c r="D311" s="22"/>
      <c r="E311" s="22"/>
      <c r="F311" s="40"/>
      <c r="G311" s="40"/>
      <c r="H311" s="40"/>
      <c r="I311" s="40"/>
      <c r="J311" s="40"/>
      <c r="K311" s="40"/>
      <c r="L311" s="40"/>
      <c r="M311" s="40"/>
      <c r="N311" s="139"/>
      <c r="O311" s="40"/>
      <c r="P311" s="40"/>
      <c r="Q311" s="2"/>
    </row>
    <row r="312" spans="1:17" ht="18" customHeight="1" x14ac:dyDescent="0.2">
      <c r="A312" s="212" t="s">
        <v>136</v>
      </c>
      <c r="B312" s="212"/>
      <c r="C312" s="212"/>
      <c r="D312" s="212"/>
      <c r="E312" s="212"/>
      <c r="F312" s="212"/>
      <c r="G312" s="212"/>
      <c r="H312" s="212"/>
      <c r="I312" s="212"/>
      <c r="J312" s="212"/>
      <c r="K312" s="212"/>
      <c r="L312" s="212"/>
      <c r="M312" s="212"/>
      <c r="N312" s="212"/>
      <c r="O312" s="212"/>
      <c r="P312" s="212"/>
      <c r="Q312" s="38"/>
    </row>
    <row r="313" spans="1:17" x14ac:dyDescent="0.2">
      <c r="Q313" s="38"/>
    </row>
    <row r="314" spans="1:17" ht="30.75" customHeight="1" x14ac:dyDescent="0.2">
      <c r="A314" s="212" t="s">
        <v>135</v>
      </c>
      <c r="B314" s="212"/>
      <c r="C314" s="212"/>
      <c r="D314" s="212"/>
      <c r="E314" s="212"/>
      <c r="F314" s="212"/>
      <c r="G314" s="212"/>
      <c r="H314" s="212"/>
      <c r="I314" s="212"/>
      <c r="J314" s="212"/>
      <c r="K314" s="212"/>
      <c r="L314" s="212"/>
      <c r="M314" s="212"/>
      <c r="N314" s="212"/>
      <c r="O314" s="212"/>
      <c r="P314" s="212"/>
      <c r="Q314" s="38"/>
    </row>
    <row r="315" spans="1:17" x14ac:dyDescent="0.2">
      <c r="Q315" s="38"/>
    </row>
    <row r="316" spans="1:17" x14ac:dyDescent="0.2">
      <c r="A316" s="37" t="s">
        <v>137</v>
      </c>
      <c r="Q316" s="38"/>
    </row>
    <row r="317" spans="1:17" x14ac:dyDescent="0.2">
      <c r="Q317" s="38"/>
    </row>
    <row r="318" spans="1:17" ht="4.5" customHeight="1" x14ac:dyDescent="0.2">
      <c r="A318" s="27"/>
      <c r="B318" s="27"/>
      <c r="C318" s="27"/>
      <c r="D318" s="27"/>
      <c r="E318" s="27"/>
      <c r="F318" s="27"/>
      <c r="G318" s="27"/>
      <c r="H318" s="27"/>
      <c r="I318" s="27"/>
      <c r="J318" s="27"/>
      <c r="K318" s="27"/>
      <c r="L318" s="27"/>
      <c r="M318" s="27"/>
      <c r="N318" s="27"/>
      <c r="O318" s="27"/>
      <c r="P318" s="27"/>
      <c r="Q318" s="38"/>
    </row>
    <row r="319" spans="1:17" ht="30.75" customHeight="1" x14ac:dyDescent="0.2">
      <c r="A319" s="27"/>
      <c r="B319" s="76" t="s">
        <v>138</v>
      </c>
      <c r="C319" s="77" t="s">
        <v>31</v>
      </c>
      <c r="D319" s="310" t="s">
        <v>139</v>
      </c>
      <c r="E319" s="310"/>
      <c r="F319" s="310"/>
      <c r="G319" s="310"/>
      <c r="H319" s="310"/>
      <c r="I319" s="310"/>
      <c r="J319" s="310"/>
      <c r="K319" s="310"/>
      <c r="L319" s="310"/>
      <c r="M319" s="310"/>
      <c r="N319" s="310"/>
      <c r="O319" s="310"/>
      <c r="P319" s="27"/>
      <c r="Q319" s="38"/>
    </row>
    <row r="320" spans="1:17" ht="5" customHeight="1" x14ac:dyDescent="0.2">
      <c r="A320" s="27"/>
      <c r="B320" s="27"/>
      <c r="C320" s="27"/>
      <c r="D320" s="27"/>
      <c r="E320" s="27"/>
      <c r="F320" s="27"/>
      <c r="G320" s="27"/>
      <c r="H320" s="27"/>
      <c r="I320" s="27"/>
      <c r="J320" s="27"/>
      <c r="K320" s="27"/>
      <c r="L320" s="27"/>
      <c r="M320" s="27"/>
      <c r="N320" s="27"/>
      <c r="O320" s="27"/>
      <c r="P320" s="27"/>
      <c r="Q320" s="38"/>
    </row>
    <row r="321" spans="1:17" x14ac:dyDescent="0.2">
      <c r="Q321" s="38"/>
    </row>
    <row r="322" spans="1:17" ht="4.5" customHeight="1" x14ac:dyDescent="0.2">
      <c r="A322" s="27"/>
      <c r="B322" s="27"/>
      <c r="C322" s="27"/>
      <c r="D322" s="27"/>
      <c r="E322" s="27"/>
      <c r="F322" s="27"/>
      <c r="G322" s="27"/>
      <c r="H322" s="27"/>
      <c r="I322" s="27"/>
      <c r="J322" s="27"/>
      <c r="K322" s="27"/>
      <c r="L322" s="27"/>
      <c r="M322" s="27"/>
      <c r="N322" s="27"/>
      <c r="O322" s="27"/>
      <c r="P322" s="27"/>
      <c r="Q322" s="38"/>
    </row>
    <row r="323" spans="1:17" ht="30.75" customHeight="1" x14ac:dyDescent="0.2">
      <c r="A323" s="27"/>
      <c r="B323" s="76" t="s">
        <v>138</v>
      </c>
      <c r="C323" s="77" t="s">
        <v>31</v>
      </c>
      <c r="D323" s="310" t="s">
        <v>140</v>
      </c>
      <c r="E323" s="310"/>
      <c r="F323" s="310"/>
      <c r="G323" s="310"/>
      <c r="H323" s="310"/>
      <c r="I323" s="310"/>
      <c r="J323" s="310"/>
      <c r="K323" s="310"/>
      <c r="L323" s="310"/>
      <c r="M323" s="310"/>
      <c r="N323" s="310"/>
      <c r="O323" s="310"/>
      <c r="P323" s="27"/>
      <c r="Q323" s="38"/>
    </row>
    <row r="324" spans="1:17" ht="5" customHeight="1" x14ac:dyDescent="0.2">
      <c r="A324" s="27"/>
      <c r="B324" s="27"/>
      <c r="C324" s="27"/>
      <c r="D324" s="27"/>
      <c r="E324" s="27"/>
      <c r="F324" s="27"/>
      <c r="G324" s="27"/>
      <c r="H324" s="27"/>
      <c r="I324" s="27"/>
      <c r="J324" s="27"/>
      <c r="K324" s="27"/>
      <c r="L324" s="27"/>
      <c r="M324" s="27"/>
      <c r="N324" s="27"/>
      <c r="O324" s="27"/>
      <c r="P324" s="27"/>
      <c r="Q324" s="38"/>
    </row>
    <row r="325" spans="1:17" x14ac:dyDescent="0.2">
      <c r="Q325" s="38"/>
    </row>
    <row r="326" spans="1:17" ht="4.5" customHeight="1" x14ac:dyDescent="0.2">
      <c r="A326" s="27"/>
      <c r="B326" s="27"/>
      <c r="C326" s="27"/>
      <c r="D326" s="27"/>
      <c r="E326" s="27"/>
      <c r="F326" s="27"/>
      <c r="G326" s="27"/>
      <c r="H326" s="27"/>
      <c r="I326" s="27"/>
      <c r="J326" s="27"/>
      <c r="K326" s="27"/>
      <c r="L326" s="27"/>
      <c r="M326" s="27"/>
      <c r="N326" s="27"/>
      <c r="O326" s="27"/>
      <c r="P326" s="27"/>
      <c r="Q326" s="38"/>
    </row>
    <row r="327" spans="1:17" ht="30.75" customHeight="1" x14ac:dyDescent="0.2">
      <c r="A327" s="27"/>
      <c r="B327" s="76" t="s">
        <v>138</v>
      </c>
      <c r="C327" s="77" t="s">
        <v>31</v>
      </c>
      <c r="D327" s="310" t="s">
        <v>141</v>
      </c>
      <c r="E327" s="310"/>
      <c r="F327" s="310"/>
      <c r="G327" s="310"/>
      <c r="H327" s="310"/>
      <c r="I327" s="310"/>
      <c r="J327" s="310"/>
      <c r="K327" s="310"/>
      <c r="L327" s="310"/>
      <c r="M327" s="310"/>
      <c r="N327" s="310"/>
      <c r="O327" s="310"/>
      <c r="P327" s="27"/>
      <c r="Q327" s="38"/>
    </row>
    <row r="328" spans="1:17" ht="5" customHeight="1" x14ac:dyDescent="0.2">
      <c r="A328" s="27"/>
      <c r="B328" s="27"/>
      <c r="C328" s="27"/>
      <c r="D328" s="27"/>
      <c r="E328" s="27"/>
      <c r="F328" s="27"/>
      <c r="G328" s="27"/>
      <c r="H328" s="27"/>
      <c r="I328" s="27"/>
      <c r="J328" s="27"/>
      <c r="K328" s="27"/>
      <c r="L328" s="27"/>
      <c r="M328" s="27"/>
      <c r="N328" s="27"/>
      <c r="O328" s="27"/>
      <c r="P328" s="27"/>
      <c r="Q328" s="38"/>
    </row>
    <row r="329" spans="1:17" x14ac:dyDescent="0.2">
      <c r="Q329" s="38"/>
    </row>
    <row r="330" spans="1:17" x14ac:dyDescent="0.2">
      <c r="A330" s="212" t="s">
        <v>142</v>
      </c>
      <c r="B330" s="345"/>
      <c r="C330" s="345"/>
      <c r="D330" s="345"/>
      <c r="E330" s="345"/>
      <c r="F330" s="345"/>
      <c r="G330" s="345"/>
      <c r="H330" s="345"/>
      <c r="I330" s="345"/>
      <c r="J330" s="345"/>
      <c r="K330" s="345"/>
      <c r="L330" s="345"/>
      <c r="M330" s="345"/>
      <c r="N330" s="345"/>
      <c r="O330" s="345"/>
      <c r="P330" s="345"/>
      <c r="Q330" s="38"/>
    </row>
    <row r="331" spans="1:17" x14ac:dyDescent="0.2">
      <c r="Q331" s="38"/>
    </row>
    <row r="332" spans="1:17" ht="4.5" customHeight="1" x14ac:dyDescent="0.2">
      <c r="A332" s="27"/>
      <c r="B332" s="27"/>
      <c r="C332" s="27"/>
      <c r="D332" s="27"/>
      <c r="E332" s="27"/>
      <c r="F332" s="27"/>
      <c r="G332" s="27"/>
      <c r="H332" s="27"/>
      <c r="I332" s="27"/>
      <c r="J332" s="27"/>
      <c r="K332" s="27"/>
      <c r="L332" s="27"/>
      <c r="M332" s="27"/>
      <c r="N332" s="27"/>
      <c r="O332" s="27"/>
      <c r="P332" s="27"/>
      <c r="Q332" s="38"/>
    </row>
    <row r="333" spans="1:17" ht="49.5" customHeight="1" x14ac:dyDescent="0.2">
      <c r="A333" s="27"/>
      <c r="B333" s="76" t="s">
        <v>138</v>
      </c>
      <c r="C333" s="77" t="s">
        <v>31</v>
      </c>
      <c r="D333" s="310" t="s">
        <v>967</v>
      </c>
      <c r="E333" s="310"/>
      <c r="F333" s="310"/>
      <c r="G333" s="310"/>
      <c r="H333" s="310"/>
      <c r="I333" s="310"/>
      <c r="J333" s="310"/>
      <c r="K333" s="310"/>
      <c r="L333" s="310"/>
      <c r="M333" s="310"/>
      <c r="N333" s="310"/>
      <c r="O333" s="310"/>
      <c r="P333" s="27"/>
      <c r="Q333" s="38"/>
    </row>
    <row r="334" spans="1:17" ht="5" customHeight="1" x14ac:dyDescent="0.2">
      <c r="A334" s="27"/>
      <c r="B334" s="27"/>
      <c r="C334" s="27"/>
      <c r="D334" s="27"/>
      <c r="E334" s="27"/>
      <c r="F334" s="27"/>
      <c r="G334" s="27"/>
      <c r="H334" s="27"/>
      <c r="I334" s="27"/>
      <c r="J334" s="27"/>
      <c r="K334" s="27"/>
      <c r="L334" s="27"/>
      <c r="M334" s="27"/>
      <c r="N334" s="27"/>
      <c r="O334" s="27"/>
      <c r="P334" s="27"/>
      <c r="Q334" s="38"/>
    </row>
    <row r="335" spans="1:17" x14ac:dyDescent="0.2">
      <c r="Q335" s="38"/>
    </row>
    <row r="336" spans="1:17" x14ac:dyDescent="0.2">
      <c r="A336" s="212" t="s">
        <v>143</v>
      </c>
      <c r="B336" s="345"/>
      <c r="C336" s="345"/>
      <c r="D336" s="345"/>
      <c r="E336" s="345"/>
      <c r="F336" s="345"/>
      <c r="G336" s="345"/>
      <c r="H336" s="345"/>
      <c r="I336" s="345"/>
      <c r="J336" s="345"/>
      <c r="K336" s="345"/>
      <c r="L336" s="345"/>
      <c r="M336" s="345"/>
      <c r="N336" s="345"/>
      <c r="O336" s="345"/>
      <c r="P336" s="345"/>
      <c r="Q336" s="38"/>
    </row>
    <row r="337" spans="1:17" x14ac:dyDescent="0.2">
      <c r="Q337" s="38"/>
    </row>
    <row r="338" spans="1:17" ht="4.5" customHeight="1" x14ac:dyDescent="0.2">
      <c r="A338" s="27"/>
      <c r="B338" s="27"/>
      <c r="C338" s="27"/>
      <c r="D338" s="27"/>
      <c r="E338" s="27"/>
      <c r="F338" s="27"/>
      <c r="G338" s="27"/>
      <c r="H338" s="27"/>
      <c r="I338" s="27"/>
      <c r="J338" s="27"/>
      <c r="K338" s="27"/>
      <c r="L338" s="27"/>
      <c r="M338" s="27"/>
      <c r="N338" s="27"/>
      <c r="O338" s="27"/>
      <c r="P338" s="27"/>
      <c r="Q338" s="38"/>
    </row>
    <row r="339" spans="1:17" ht="30.75" customHeight="1" x14ac:dyDescent="0.2">
      <c r="A339" s="27"/>
      <c r="B339" s="76"/>
      <c r="C339" s="77" t="s">
        <v>31</v>
      </c>
      <c r="D339" s="310" t="s">
        <v>144</v>
      </c>
      <c r="E339" s="310"/>
      <c r="F339" s="310"/>
      <c r="G339" s="310"/>
      <c r="H339" s="310"/>
      <c r="I339" s="310"/>
      <c r="J339" s="310"/>
      <c r="K339" s="310"/>
      <c r="L339" s="310"/>
      <c r="M339" s="310"/>
      <c r="N339" s="310"/>
      <c r="O339" s="310"/>
      <c r="P339" s="27"/>
      <c r="Q339" s="38"/>
    </row>
    <row r="340" spans="1:17" ht="5" customHeight="1" x14ac:dyDescent="0.2">
      <c r="A340" s="27"/>
      <c r="B340" s="27"/>
      <c r="C340" s="27"/>
      <c r="D340" s="27"/>
      <c r="E340" s="27"/>
      <c r="F340" s="27"/>
      <c r="G340" s="27"/>
      <c r="H340" s="27"/>
      <c r="I340" s="27"/>
      <c r="J340" s="27"/>
      <c r="K340" s="27"/>
      <c r="L340" s="27"/>
      <c r="M340" s="27"/>
      <c r="N340" s="27"/>
      <c r="O340" s="27"/>
      <c r="P340" s="27"/>
      <c r="Q340" s="38"/>
    </row>
    <row r="341" spans="1:17" x14ac:dyDescent="0.2">
      <c r="Q341" s="38"/>
    </row>
    <row r="343" spans="1:17" ht="16" x14ac:dyDescent="0.2">
      <c r="A343" s="231" t="s">
        <v>145</v>
      </c>
      <c r="B343" s="232"/>
      <c r="C343" s="232"/>
      <c r="D343" s="232"/>
      <c r="F343" s="311"/>
      <c r="G343" s="311"/>
      <c r="H343" s="311"/>
      <c r="I343" s="311"/>
      <c r="J343" s="311"/>
      <c r="K343" s="311"/>
      <c r="L343" s="311"/>
      <c r="M343" s="311"/>
      <c r="N343" s="311"/>
      <c r="O343" s="311"/>
      <c r="P343" s="311"/>
      <c r="Q343" s="311"/>
    </row>
    <row r="344" spans="1:17" ht="5" customHeight="1" x14ac:dyDescent="0.2">
      <c r="A344" s="1"/>
      <c r="B344" s="1"/>
      <c r="C344" s="1"/>
      <c r="D344" s="1"/>
      <c r="E344" s="1"/>
      <c r="F344" s="1"/>
      <c r="G344" s="1"/>
      <c r="H344" s="1"/>
      <c r="I344" s="1"/>
      <c r="J344" s="1"/>
      <c r="K344" s="1"/>
      <c r="L344" s="1"/>
      <c r="M344" s="1"/>
      <c r="N344" s="1"/>
      <c r="O344" s="1"/>
      <c r="P344" s="1"/>
      <c r="Q344" s="1"/>
    </row>
    <row r="345" spans="1:17" x14ac:dyDescent="0.2">
      <c r="A345" s="272"/>
      <c r="B345" s="273"/>
      <c r="C345" s="273"/>
      <c r="D345" s="273"/>
      <c r="E345" s="273"/>
      <c r="F345" s="273"/>
      <c r="G345" s="273"/>
      <c r="H345" s="273"/>
      <c r="I345" s="273"/>
      <c r="J345" s="273"/>
      <c r="K345" s="273"/>
      <c r="L345" s="273"/>
      <c r="M345" s="273"/>
      <c r="N345" s="273"/>
      <c r="O345" s="273"/>
      <c r="P345" s="273"/>
      <c r="Q345" s="274"/>
    </row>
    <row r="346" spans="1:17" ht="49.5" customHeight="1" x14ac:dyDescent="0.2">
      <c r="A346" s="211" t="s">
        <v>146</v>
      </c>
      <c r="B346" s="212"/>
      <c r="C346" s="212"/>
      <c r="D346" s="212"/>
      <c r="E346" s="212"/>
      <c r="F346" s="212"/>
      <c r="G346" s="212"/>
      <c r="H346" s="212"/>
      <c r="I346" s="212"/>
      <c r="J346" s="212"/>
      <c r="K346" s="212"/>
      <c r="L346" s="212"/>
      <c r="M346" s="212"/>
      <c r="N346" s="212"/>
      <c r="O346" s="212"/>
      <c r="P346" s="212"/>
      <c r="Q346" s="38"/>
    </row>
    <row r="347" spans="1:17" x14ac:dyDescent="0.2">
      <c r="A347" s="62"/>
      <c r="B347" s="51"/>
      <c r="C347" s="51"/>
      <c r="D347" s="51"/>
      <c r="E347" s="51"/>
      <c r="F347" s="51"/>
      <c r="G347" s="51"/>
      <c r="H347" s="51"/>
      <c r="I347" s="51"/>
      <c r="J347" s="51"/>
      <c r="K347" s="51"/>
      <c r="L347" s="51"/>
      <c r="M347" s="51"/>
      <c r="N347" s="51"/>
      <c r="O347" s="51"/>
      <c r="P347" s="51"/>
      <c r="Q347" s="38"/>
    </row>
    <row r="348" spans="1:17" x14ac:dyDescent="0.2">
      <c r="A348" s="238" t="s">
        <v>147</v>
      </c>
      <c r="B348" s="239"/>
      <c r="C348" s="72"/>
      <c r="D348" s="72"/>
      <c r="E348" s="72"/>
      <c r="F348" s="238" t="s">
        <v>148</v>
      </c>
      <c r="G348" s="238"/>
      <c r="H348" s="238"/>
      <c r="I348" s="238"/>
      <c r="J348" s="238"/>
      <c r="K348" s="238"/>
      <c r="L348" s="238"/>
      <c r="M348" s="238"/>
      <c r="N348" s="238"/>
      <c r="O348" s="238"/>
      <c r="P348" s="238"/>
      <c r="Q348" s="38"/>
    </row>
    <row r="349" spans="1:17" x14ac:dyDescent="0.2">
      <c r="A349" s="36"/>
      <c r="Q349" s="2"/>
    </row>
    <row r="350" spans="1:17" ht="5" customHeight="1" x14ac:dyDescent="0.2">
      <c r="A350" s="48"/>
      <c r="B350" s="23"/>
      <c r="C350" s="23"/>
      <c r="D350" s="23"/>
      <c r="E350" s="23"/>
      <c r="F350" s="33"/>
      <c r="G350" s="33"/>
      <c r="H350" s="33"/>
      <c r="I350" s="33"/>
      <c r="J350" s="33"/>
      <c r="K350" s="33"/>
      <c r="L350" s="33"/>
      <c r="M350" s="33"/>
      <c r="N350" s="33"/>
      <c r="O350" s="33"/>
      <c r="P350" s="34"/>
      <c r="Q350" s="2"/>
    </row>
    <row r="351" spans="1:17" ht="16" x14ac:dyDescent="0.25">
      <c r="A351" s="317" t="s">
        <v>149</v>
      </c>
      <c r="B351" s="318"/>
      <c r="C351" s="319"/>
      <c r="D351" s="319"/>
      <c r="E351" s="27"/>
      <c r="F351" s="27"/>
      <c r="G351" s="79" t="s">
        <v>138</v>
      </c>
      <c r="H351" s="27"/>
      <c r="I351" s="97" t="s">
        <v>177</v>
      </c>
      <c r="J351" s="27"/>
      <c r="K351" s="27"/>
      <c r="L351" s="27"/>
      <c r="M351" s="27"/>
      <c r="N351" s="27"/>
      <c r="O351" s="27"/>
      <c r="P351" s="26"/>
      <c r="Q351" s="2"/>
    </row>
    <row r="352" spans="1:17" ht="5" customHeight="1" x14ac:dyDescent="0.25">
      <c r="A352" s="47"/>
      <c r="B352" s="21"/>
      <c r="C352" s="21"/>
      <c r="D352" s="21"/>
      <c r="E352" s="21"/>
      <c r="F352" s="10"/>
      <c r="G352" s="10"/>
      <c r="H352" s="10"/>
      <c r="I352" s="98"/>
      <c r="J352" s="10"/>
      <c r="K352" s="10"/>
      <c r="L352" s="10"/>
      <c r="M352" s="10"/>
      <c r="N352" s="10"/>
      <c r="O352" s="10"/>
      <c r="P352" s="28"/>
      <c r="Q352" s="2"/>
    </row>
    <row r="353" spans="1:17" ht="5" customHeight="1" x14ac:dyDescent="0.25">
      <c r="A353" s="49"/>
      <c r="B353" s="24"/>
      <c r="C353" s="24"/>
      <c r="D353" s="24"/>
      <c r="E353" s="24"/>
      <c r="F353" s="29"/>
      <c r="G353" s="29"/>
      <c r="H353" s="29"/>
      <c r="I353" s="99"/>
      <c r="J353" s="29"/>
      <c r="K353" s="29"/>
      <c r="L353" s="29"/>
      <c r="M353" s="29"/>
      <c r="N353" s="29"/>
      <c r="O353" s="29"/>
      <c r="P353" s="30"/>
      <c r="Q353" s="2"/>
    </row>
    <row r="354" spans="1:17" ht="16" x14ac:dyDescent="0.25">
      <c r="A354" s="381" t="s">
        <v>150</v>
      </c>
      <c r="B354" s="382"/>
      <c r="C354" s="383"/>
      <c r="D354" s="383"/>
      <c r="E354" s="89"/>
      <c r="F354" s="90"/>
      <c r="G354" s="105"/>
      <c r="H354" s="90"/>
      <c r="I354" s="100" t="s">
        <v>196</v>
      </c>
      <c r="J354" s="90"/>
      <c r="K354" s="92"/>
      <c r="L354" s="90"/>
      <c r="M354" s="90"/>
      <c r="N354" s="90"/>
      <c r="O354" s="90"/>
      <c r="P354" s="41"/>
      <c r="Q354" s="2"/>
    </row>
    <row r="355" spans="1:17" ht="5" customHeight="1" x14ac:dyDescent="0.25">
      <c r="A355" s="50"/>
      <c r="B355" s="25"/>
      <c r="C355" s="25"/>
      <c r="D355" s="25"/>
      <c r="E355" s="25"/>
      <c r="F355" s="31"/>
      <c r="G355" s="31"/>
      <c r="H355" s="31"/>
      <c r="I355" s="101"/>
      <c r="J355" s="31"/>
      <c r="K355" s="31"/>
      <c r="L355" s="31"/>
      <c r="M355" s="31"/>
      <c r="N355" s="31"/>
      <c r="O355" s="31"/>
      <c r="P355" s="32"/>
      <c r="Q355" s="2"/>
    </row>
    <row r="356" spans="1:17" ht="5" customHeight="1" x14ac:dyDescent="0.25">
      <c r="A356" s="48"/>
      <c r="B356" s="23"/>
      <c r="C356" s="23"/>
      <c r="D356" s="23"/>
      <c r="E356" s="23"/>
      <c r="F356" s="33"/>
      <c r="G356" s="33"/>
      <c r="H356" s="33"/>
      <c r="I356" s="102"/>
      <c r="J356" s="33"/>
      <c r="K356" s="33"/>
      <c r="L356" s="33"/>
      <c r="M356" s="33"/>
      <c r="N356" s="33"/>
      <c r="O356" s="33"/>
      <c r="P356" s="34"/>
      <c r="Q356" s="2"/>
    </row>
    <row r="357" spans="1:17" ht="16" x14ac:dyDescent="0.25">
      <c r="A357" s="433" t="s">
        <v>151</v>
      </c>
      <c r="B357" s="434"/>
      <c r="C357" s="383"/>
      <c r="D357" s="383"/>
      <c r="E357" s="93"/>
      <c r="F357" s="94"/>
      <c r="G357" s="106"/>
      <c r="H357" s="94"/>
      <c r="I357" s="103" t="s">
        <v>196</v>
      </c>
      <c r="J357" s="94"/>
      <c r="K357" s="94"/>
      <c r="L357" s="94"/>
      <c r="M357" s="27"/>
      <c r="N357" s="27"/>
      <c r="O357" s="27"/>
      <c r="P357" s="26"/>
      <c r="Q357" s="2"/>
    </row>
    <row r="358" spans="1:17" ht="5" customHeight="1" x14ac:dyDescent="0.25">
      <c r="A358" s="47"/>
      <c r="B358" s="21"/>
      <c r="C358" s="21"/>
      <c r="D358" s="21"/>
      <c r="E358" s="21"/>
      <c r="F358" s="10"/>
      <c r="G358" s="10"/>
      <c r="H358" s="10"/>
      <c r="I358" s="98"/>
      <c r="J358" s="10"/>
      <c r="K358" s="10"/>
      <c r="L358" s="10"/>
      <c r="M358" s="10"/>
      <c r="N358" s="10"/>
      <c r="O358" s="10"/>
      <c r="P358" s="28"/>
      <c r="Q358" s="2"/>
    </row>
    <row r="359" spans="1:17" ht="5" customHeight="1" x14ac:dyDescent="0.25">
      <c r="A359" s="49"/>
      <c r="B359" s="24"/>
      <c r="C359" s="24"/>
      <c r="D359" s="24"/>
      <c r="E359" s="24"/>
      <c r="F359" s="29"/>
      <c r="G359" s="29"/>
      <c r="H359" s="29"/>
      <c r="I359" s="99"/>
      <c r="J359" s="29"/>
      <c r="K359" s="29"/>
      <c r="L359" s="29"/>
      <c r="M359" s="29"/>
      <c r="N359" s="29"/>
      <c r="O359" s="29"/>
      <c r="P359" s="30"/>
      <c r="Q359" s="2"/>
    </row>
    <row r="360" spans="1:17" ht="16" x14ac:dyDescent="0.25">
      <c r="A360" s="374" t="s">
        <v>968</v>
      </c>
      <c r="B360" s="375"/>
      <c r="C360" s="376"/>
      <c r="D360" s="376"/>
      <c r="E360" s="40"/>
      <c r="F360" s="40"/>
      <c r="G360" s="79" t="str">
        <f>IF(H480&lt;&gt;0,"X","")</f>
        <v/>
      </c>
      <c r="H360" s="40"/>
      <c r="I360" s="104" t="s">
        <v>176</v>
      </c>
      <c r="J360" s="40"/>
      <c r="K360" s="40"/>
      <c r="L360" s="40"/>
      <c r="M360" s="40"/>
      <c r="N360" s="40"/>
      <c r="O360" s="40"/>
      <c r="P360" s="41"/>
      <c r="Q360" s="2"/>
    </row>
    <row r="361" spans="1:17" ht="5" customHeight="1" x14ac:dyDescent="0.25">
      <c r="A361" s="50"/>
      <c r="B361" s="25"/>
      <c r="C361" s="25"/>
      <c r="D361" s="25"/>
      <c r="E361" s="25"/>
      <c r="F361" s="31"/>
      <c r="G361" s="31"/>
      <c r="H361" s="31"/>
      <c r="I361" s="101"/>
      <c r="J361" s="31"/>
      <c r="K361" s="31"/>
      <c r="L361" s="31"/>
      <c r="M361" s="31"/>
      <c r="N361" s="31"/>
      <c r="O361" s="31"/>
      <c r="P361" s="32"/>
      <c r="Q361" s="2"/>
    </row>
    <row r="362" spans="1:17" ht="5" customHeight="1" x14ac:dyDescent="0.25">
      <c r="A362" s="48"/>
      <c r="B362" s="23"/>
      <c r="C362" s="23"/>
      <c r="D362" s="23"/>
      <c r="E362" s="23"/>
      <c r="F362" s="33"/>
      <c r="G362" s="33"/>
      <c r="H362" s="33"/>
      <c r="I362" s="102"/>
      <c r="J362" s="33"/>
      <c r="K362" s="33"/>
      <c r="L362" s="33"/>
      <c r="M362" s="33"/>
      <c r="N362" s="33"/>
      <c r="O362" s="33"/>
      <c r="P362" s="34"/>
      <c r="Q362" s="2"/>
    </row>
    <row r="363" spans="1:17" ht="16" x14ac:dyDescent="0.25">
      <c r="A363" s="317" t="s">
        <v>152</v>
      </c>
      <c r="B363" s="318"/>
      <c r="C363" s="319"/>
      <c r="D363" s="319"/>
      <c r="E363" s="20"/>
      <c r="F363" s="27"/>
      <c r="G363" s="78" t="str">
        <f>IF(H508&lt;&gt;0,"X","")</f>
        <v/>
      </c>
      <c r="H363" s="27"/>
      <c r="I363" s="97" t="s">
        <v>175</v>
      </c>
      <c r="J363" s="27"/>
      <c r="K363" s="27"/>
      <c r="L363" s="27"/>
      <c r="M363" s="27"/>
      <c r="N363" s="27"/>
      <c r="O363" s="27"/>
      <c r="P363" s="26"/>
      <c r="Q363" s="2"/>
    </row>
    <row r="364" spans="1:17" ht="5" customHeight="1" x14ac:dyDescent="0.25">
      <c r="A364" s="47"/>
      <c r="B364" s="21"/>
      <c r="C364" s="21"/>
      <c r="D364" s="21"/>
      <c r="E364" s="21"/>
      <c r="F364" s="10"/>
      <c r="G364" s="10"/>
      <c r="H364" s="10"/>
      <c r="I364" s="98"/>
      <c r="J364" s="10"/>
      <c r="K364" s="10"/>
      <c r="L364" s="10"/>
      <c r="M364" s="10"/>
      <c r="N364" s="10"/>
      <c r="O364" s="10"/>
      <c r="P364" s="28"/>
      <c r="Q364" s="2"/>
    </row>
    <row r="365" spans="1:17" ht="5" customHeight="1" x14ac:dyDescent="0.25">
      <c r="A365" s="49"/>
      <c r="B365" s="24"/>
      <c r="C365" s="24"/>
      <c r="D365" s="24"/>
      <c r="E365" s="24"/>
      <c r="F365" s="29"/>
      <c r="G365" s="29"/>
      <c r="H365" s="29"/>
      <c r="I365" s="99"/>
      <c r="J365" s="29"/>
      <c r="K365" s="29"/>
      <c r="L365" s="29"/>
      <c r="M365" s="29"/>
      <c r="N365" s="29"/>
      <c r="O365" s="29"/>
      <c r="P365" s="30"/>
      <c r="Q365" s="2"/>
    </row>
    <row r="366" spans="1:17" ht="16" x14ac:dyDescent="0.25">
      <c r="A366" s="374" t="s">
        <v>153</v>
      </c>
      <c r="B366" s="375"/>
      <c r="C366" s="376"/>
      <c r="D366" s="376"/>
      <c r="E366" s="40"/>
      <c r="F366" s="40"/>
      <c r="G366" s="79" t="str">
        <f>IF(OR(H538&lt;&gt;0,H545&lt;&gt;0,H566&lt;&gt;0),"X","")</f>
        <v/>
      </c>
      <c r="H366" s="40"/>
      <c r="I366" s="104" t="s">
        <v>197</v>
      </c>
      <c r="J366" s="40"/>
      <c r="K366" s="40"/>
      <c r="L366" s="40"/>
      <c r="M366" s="40"/>
      <c r="N366" s="40"/>
      <c r="O366" s="40"/>
      <c r="P366" s="41"/>
      <c r="Q366" s="2"/>
    </row>
    <row r="367" spans="1:17" ht="5" customHeight="1" x14ac:dyDescent="0.25">
      <c r="A367" s="50"/>
      <c r="B367" s="25"/>
      <c r="C367" s="25"/>
      <c r="D367" s="25"/>
      <c r="E367" s="25"/>
      <c r="F367" s="31"/>
      <c r="G367" s="31"/>
      <c r="H367" s="31"/>
      <c r="I367" s="101"/>
      <c r="J367" s="31"/>
      <c r="K367" s="31"/>
      <c r="L367" s="31"/>
      <c r="M367" s="31"/>
      <c r="N367" s="31"/>
      <c r="O367" s="31"/>
      <c r="P367" s="32"/>
      <c r="Q367" s="2"/>
    </row>
    <row r="368" spans="1:17" ht="5" customHeight="1" x14ac:dyDescent="0.25">
      <c r="A368" s="48"/>
      <c r="B368" s="23"/>
      <c r="C368" s="23"/>
      <c r="D368" s="23"/>
      <c r="E368" s="23"/>
      <c r="F368" s="33"/>
      <c r="G368" s="33"/>
      <c r="H368" s="33"/>
      <c r="I368" s="102"/>
      <c r="J368" s="33"/>
      <c r="K368" s="33"/>
      <c r="L368" s="33"/>
      <c r="M368" s="33"/>
      <c r="N368" s="33"/>
      <c r="O368" s="33"/>
      <c r="P368" s="34"/>
      <c r="Q368" s="2"/>
    </row>
    <row r="369" spans="1:17" ht="16" x14ac:dyDescent="0.25">
      <c r="A369" s="317" t="s">
        <v>154</v>
      </c>
      <c r="B369" s="318"/>
      <c r="C369" s="319"/>
      <c r="D369" s="319"/>
      <c r="E369" s="20"/>
      <c r="F369" s="27"/>
      <c r="G369" s="78" t="str">
        <f>IF(H591&lt;&gt;0,"X","")</f>
        <v/>
      </c>
      <c r="H369" s="27"/>
      <c r="I369" s="97" t="s">
        <v>174</v>
      </c>
      <c r="J369" s="27"/>
      <c r="K369" s="27"/>
      <c r="L369" s="27"/>
      <c r="M369" s="27"/>
      <c r="N369" s="27"/>
      <c r="O369" s="27"/>
      <c r="P369" s="26"/>
      <c r="Q369" s="2"/>
    </row>
    <row r="370" spans="1:17" ht="5" customHeight="1" x14ac:dyDescent="0.25">
      <c r="A370" s="47"/>
      <c r="B370" s="21"/>
      <c r="C370" s="21"/>
      <c r="D370" s="21"/>
      <c r="E370" s="21"/>
      <c r="F370" s="10"/>
      <c r="G370" s="10"/>
      <c r="H370" s="10"/>
      <c r="I370" s="98"/>
      <c r="J370" s="10"/>
      <c r="K370" s="10"/>
      <c r="L370" s="10"/>
      <c r="M370" s="10"/>
      <c r="N370" s="10"/>
      <c r="O370" s="10"/>
      <c r="P370" s="28"/>
      <c r="Q370" s="2"/>
    </row>
    <row r="371" spans="1:17" ht="5" customHeight="1" x14ac:dyDescent="0.25">
      <c r="A371" s="49"/>
      <c r="B371" s="24"/>
      <c r="C371" s="24"/>
      <c r="D371" s="24"/>
      <c r="E371" s="24"/>
      <c r="F371" s="29"/>
      <c r="G371" s="29"/>
      <c r="H371" s="29"/>
      <c r="I371" s="99"/>
      <c r="J371" s="29"/>
      <c r="K371" s="29"/>
      <c r="L371" s="29"/>
      <c r="M371" s="29"/>
      <c r="N371" s="29"/>
      <c r="O371" s="29"/>
      <c r="P371" s="30"/>
      <c r="Q371" s="2"/>
    </row>
    <row r="372" spans="1:17" ht="16" x14ac:dyDescent="0.25">
      <c r="A372" s="381" t="s">
        <v>195</v>
      </c>
      <c r="B372" s="382"/>
      <c r="C372" s="384"/>
      <c r="D372" s="384"/>
      <c r="E372" s="90"/>
      <c r="F372" s="90"/>
      <c r="G372" s="105"/>
      <c r="H372" s="90"/>
      <c r="I372" s="100" t="s">
        <v>196</v>
      </c>
      <c r="J372" s="90"/>
      <c r="K372" s="90"/>
      <c r="L372" s="90"/>
      <c r="M372" s="40"/>
      <c r="N372" s="40"/>
      <c r="O372" s="40"/>
      <c r="P372" s="41"/>
      <c r="Q372" s="2"/>
    </row>
    <row r="373" spans="1:17" ht="5" customHeight="1" x14ac:dyDescent="0.25">
      <c r="A373" s="50"/>
      <c r="B373" s="25"/>
      <c r="C373" s="25"/>
      <c r="D373" s="25"/>
      <c r="E373" s="25"/>
      <c r="F373" s="31"/>
      <c r="G373" s="31"/>
      <c r="H373" s="31"/>
      <c r="I373" s="101"/>
      <c r="J373" s="31"/>
      <c r="K373" s="31"/>
      <c r="L373" s="31"/>
      <c r="M373" s="31"/>
      <c r="N373" s="31"/>
      <c r="O373" s="31"/>
      <c r="P373" s="32"/>
      <c r="Q373" s="2"/>
    </row>
    <row r="374" spans="1:17" ht="5" customHeight="1" x14ac:dyDescent="0.25">
      <c r="A374" s="48"/>
      <c r="B374" s="23"/>
      <c r="C374" s="23"/>
      <c r="D374" s="23"/>
      <c r="E374" s="23"/>
      <c r="F374" s="33"/>
      <c r="G374" s="33"/>
      <c r="H374" s="33"/>
      <c r="I374" s="102"/>
      <c r="J374" s="33"/>
      <c r="K374" s="33"/>
      <c r="L374" s="33"/>
      <c r="M374" s="33"/>
      <c r="N374" s="33"/>
      <c r="O374" s="33"/>
      <c r="P374" s="34"/>
      <c r="Q374" s="2"/>
    </row>
    <row r="375" spans="1:17" ht="16" x14ac:dyDescent="0.25">
      <c r="A375" s="317" t="s">
        <v>155</v>
      </c>
      <c r="B375" s="318"/>
      <c r="C375" s="319"/>
      <c r="D375" s="319"/>
      <c r="E375" s="27"/>
      <c r="F375" s="27"/>
      <c r="G375" s="79" t="str">
        <f>IF(OR(G377="X",G379="X",G381="X",G383="X",G385="X"),"X","")</f>
        <v/>
      </c>
      <c r="H375" s="27"/>
      <c r="I375" s="97" t="s">
        <v>969</v>
      </c>
      <c r="J375" s="27"/>
      <c r="K375" s="27"/>
      <c r="L375" s="27"/>
      <c r="M375" s="27"/>
      <c r="N375" s="27"/>
      <c r="O375" s="27"/>
      <c r="P375" s="26"/>
      <c r="Q375" s="2"/>
    </row>
    <row r="376" spans="1:17" ht="5" customHeight="1" x14ac:dyDescent="0.25">
      <c r="A376" s="80"/>
      <c r="B376" s="81"/>
      <c r="C376" s="75"/>
      <c r="D376" s="75"/>
      <c r="E376" s="27"/>
      <c r="F376" s="27"/>
      <c r="G376" s="75"/>
      <c r="H376" s="27"/>
      <c r="I376" s="97"/>
      <c r="J376" s="27"/>
      <c r="K376" s="27"/>
      <c r="L376" s="27"/>
      <c r="M376" s="27"/>
      <c r="N376" s="27"/>
      <c r="O376" s="27"/>
      <c r="P376" s="26"/>
      <c r="Q376" s="2"/>
    </row>
    <row r="377" spans="1:17" ht="16" x14ac:dyDescent="0.25">
      <c r="A377" s="322" t="s">
        <v>169</v>
      </c>
      <c r="B377" s="323"/>
      <c r="C377" s="323"/>
      <c r="D377" s="323"/>
      <c r="E377" s="27"/>
      <c r="F377" s="27"/>
      <c r="G377" s="78" t="str">
        <f>IF(OR(H609&lt;&gt;0,H632&lt;&gt;0,H651&lt;&gt;0),"X","")</f>
        <v/>
      </c>
      <c r="H377" s="27"/>
      <c r="I377" s="97" t="s">
        <v>200</v>
      </c>
      <c r="J377" s="27"/>
      <c r="K377" s="27"/>
      <c r="L377" s="27"/>
      <c r="M377" s="27"/>
      <c r="N377" s="27"/>
      <c r="O377" s="27"/>
      <c r="P377" s="26"/>
      <c r="Q377" s="2"/>
    </row>
    <row r="378" spans="1:17" ht="5" customHeight="1" x14ac:dyDescent="0.25">
      <c r="A378" s="82"/>
      <c r="B378" s="83"/>
      <c r="C378" s="75"/>
      <c r="D378" s="75"/>
      <c r="E378" s="27"/>
      <c r="F378" s="27"/>
      <c r="G378" s="75"/>
      <c r="H378" s="27"/>
      <c r="I378" s="97"/>
      <c r="J378" s="27"/>
      <c r="K378" s="27"/>
      <c r="L378" s="27"/>
      <c r="M378" s="27"/>
      <c r="N378" s="27"/>
      <c r="O378" s="27"/>
      <c r="P378" s="26"/>
      <c r="Q378" s="2"/>
    </row>
    <row r="379" spans="1:17" ht="16" x14ac:dyDescent="0.25">
      <c r="A379" s="322" t="s">
        <v>170</v>
      </c>
      <c r="B379" s="323"/>
      <c r="C379" s="324"/>
      <c r="D379" s="324"/>
      <c r="E379" s="27"/>
      <c r="F379" s="27"/>
      <c r="G379" s="78" t="str">
        <f>IF(OR(H668&lt;&gt;0,H691&lt;&gt;0,H710&lt;&gt;0),"X","")</f>
        <v/>
      </c>
      <c r="H379" s="27"/>
      <c r="I379" s="97" t="s">
        <v>198</v>
      </c>
      <c r="J379" s="27"/>
      <c r="K379" s="27"/>
      <c r="L379" s="27"/>
      <c r="M379" s="27"/>
      <c r="N379" s="27"/>
      <c r="O379" s="27"/>
      <c r="P379" s="26"/>
      <c r="Q379" s="2"/>
    </row>
    <row r="380" spans="1:17" ht="5" customHeight="1" x14ac:dyDescent="0.25">
      <c r="A380" s="82"/>
      <c r="B380" s="83"/>
      <c r="C380" s="75"/>
      <c r="D380" s="75"/>
      <c r="E380" s="27"/>
      <c r="F380" s="27"/>
      <c r="G380" s="75"/>
      <c r="H380" s="27"/>
      <c r="I380" s="97"/>
      <c r="J380" s="27"/>
      <c r="K380" s="27"/>
      <c r="L380" s="27"/>
      <c r="M380" s="27"/>
      <c r="N380" s="27"/>
      <c r="O380" s="27"/>
      <c r="P380" s="26"/>
      <c r="Q380" s="2"/>
    </row>
    <row r="381" spans="1:17" ht="16" x14ac:dyDescent="0.25">
      <c r="A381" s="322" t="s">
        <v>171</v>
      </c>
      <c r="B381" s="323"/>
      <c r="C381" s="324"/>
      <c r="D381" s="324"/>
      <c r="E381" s="27"/>
      <c r="F381" s="27"/>
      <c r="G381" s="78" t="str">
        <f>IF(OR(H727&lt;&gt;0,H750&lt;&gt;0,H769&lt;&gt;0),"X","")</f>
        <v/>
      </c>
      <c r="H381" s="27"/>
      <c r="I381" s="97" t="s">
        <v>199</v>
      </c>
      <c r="J381" s="27"/>
      <c r="K381" s="27"/>
      <c r="L381" s="27"/>
      <c r="M381" s="27"/>
      <c r="N381" s="27"/>
      <c r="O381" s="27"/>
      <c r="P381" s="26"/>
      <c r="Q381" s="2"/>
    </row>
    <row r="382" spans="1:17" ht="5" customHeight="1" x14ac:dyDescent="0.25">
      <c r="A382" s="82"/>
      <c r="B382" s="83"/>
      <c r="C382" s="75"/>
      <c r="D382" s="75"/>
      <c r="E382" s="27"/>
      <c r="F382" s="27"/>
      <c r="G382" s="75"/>
      <c r="H382" s="27"/>
      <c r="I382" s="97"/>
      <c r="J382" s="27"/>
      <c r="K382" s="27"/>
      <c r="L382" s="27"/>
      <c r="M382" s="27"/>
      <c r="N382" s="27"/>
      <c r="O382" s="27"/>
      <c r="P382" s="26"/>
      <c r="Q382" s="2"/>
    </row>
    <row r="383" spans="1:17" ht="16" x14ac:dyDescent="0.25">
      <c r="A383" s="322" t="s">
        <v>172</v>
      </c>
      <c r="B383" s="323"/>
      <c r="C383" s="324"/>
      <c r="D383" s="324"/>
      <c r="E383" s="435"/>
      <c r="F383" s="436"/>
      <c r="G383" s="78" t="str">
        <f>IF(OR(H786&lt;&gt;0,H809&lt;&gt;0,H828&lt;&gt;0),"X","")</f>
        <v/>
      </c>
      <c r="H383" s="27"/>
      <c r="I383" s="97" t="s">
        <v>201</v>
      </c>
      <c r="J383" s="27"/>
      <c r="K383" s="27"/>
      <c r="L383" s="27"/>
      <c r="M383" s="27"/>
      <c r="N383" s="27"/>
      <c r="O383" s="27"/>
      <c r="P383" s="26"/>
      <c r="Q383" s="2"/>
    </row>
    <row r="384" spans="1:17" ht="5" customHeight="1" x14ac:dyDescent="0.25">
      <c r="A384" s="82"/>
      <c r="B384" s="83"/>
      <c r="C384" s="75"/>
      <c r="D384" s="75"/>
      <c r="E384" s="27"/>
      <c r="F384" s="27"/>
      <c r="G384" s="75"/>
      <c r="H384" s="27"/>
      <c r="I384" s="97"/>
      <c r="J384" s="27"/>
      <c r="K384" s="27"/>
      <c r="L384" s="27"/>
      <c r="M384" s="27"/>
      <c r="N384" s="27"/>
      <c r="O384" s="27"/>
      <c r="P384" s="26"/>
      <c r="Q384" s="2"/>
    </row>
    <row r="385" spans="1:17" ht="16" x14ac:dyDescent="0.25">
      <c r="A385" s="322" t="s">
        <v>173</v>
      </c>
      <c r="B385" s="323"/>
      <c r="C385" s="324"/>
      <c r="D385" s="324"/>
      <c r="E385" s="27"/>
      <c r="F385" s="27"/>
      <c r="G385" s="78" t="str">
        <f>IF(OR(H845&lt;&gt;0,H868&lt;&gt;0,H887&lt;&gt;0),"X","")</f>
        <v/>
      </c>
      <c r="H385" s="27"/>
      <c r="I385" s="97" t="s">
        <v>202</v>
      </c>
      <c r="J385" s="27"/>
      <c r="K385" s="27"/>
      <c r="L385" s="27"/>
      <c r="M385" s="27"/>
      <c r="N385" s="27"/>
      <c r="O385" s="27"/>
      <c r="P385" s="26"/>
      <c r="Q385" s="2"/>
    </row>
    <row r="386" spans="1:17" ht="5" customHeight="1" x14ac:dyDescent="0.25">
      <c r="A386" s="47"/>
      <c r="B386" s="21"/>
      <c r="C386" s="21"/>
      <c r="D386" s="21"/>
      <c r="E386" s="21"/>
      <c r="F386" s="10"/>
      <c r="G386" s="10"/>
      <c r="H386" s="10"/>
      <c r="I386" s="98"/>
      <c r="J386" s="10"/>
      <c r="K386" s="10"/>
      <c r="L386" s="10"/>
      <c r="M386" s="10"/>
      <c r="N386" s="10"/>
      <c r="O386" s="10"/>
      <c r="P386" s="28"/>
      <c r="Q386" s="2"/>
    </row>
    <row r="387" spans="1:17" ht="5" customHeight="1" x14ac:dyDescent="0.25">
      <c r="A387" s="49"/>
      <c r="B387" s="24"/>
      <c r="C387" s="24"/>
      <c r="D387" s="24"/>
      <c r="E387" s="24"/>
      <c r="F387" s="29"/>
      <c r="G387" s="29"/>
      <c r="H387" s="29"/>
      <c r="I387" s="99"/>
      <c r="J387" s="29"/>
      <c r="K387" s="29"/>
      <c r="L387" s="29"/>
      <c r="M387" s="29"/>
      <c r="N387" s="29"/>
      <c r="O387" s="29"/>
      <c r="P387" s="30"/>
      <c r="Q387" s="2"/>
    </row>
    <row r="388" spans="1:17" ht="16" x14ac:dyDescent="0.25">
      <c r="A388" s="381" t="s">
        <v>156</v>
      </c>
      <c r="B388" s="382"/>
      <c r="C388" s="383"/>
      <c r="D388" s="383"/>
      <c r="E388" s="89"/>
      <c r="F388" s="90"/>
      <c r="G388" s="105"/>
      <c r="H388" s="90"/>
      <c r="I388" s="100" t="s">
        <v>196</v>
      </c>
      <c r="J388" s="91"/>
      <c r="K388" s="90"/>
      <c r="L388" s="90"/>
      <c r="M388" s="40"/>
      <c r="N388" s="40"/>
      <c r="O388" s="40"/>
      <c r="P388" s="41"/>
      <c r="Q388" s="2"/>
    </row>
    <row r="389" spans="1:17" ht="5" customHeight="1" x14ac:dyDescent="0.25">
      <c r="A389" s="50"/>
      <c r="B389" s="25"/>
      <c r="C389" s="25"/>
      <c r="D389" s="25"/>
      <c r="E389" s="25"/>
      <c r="F389" s="31"/>
      <c r="G389" s="31"/>
      <c r="H389" s="31"/>
      <c r="I389" s="101"/>
      <c r="J389" s="84"/>
      <c r="K389" s="31"/>
      <c r="L389" s="31"/>
      <c r="M389" s="31"/>
      <c r="N389" s="31"/>
      <c r="O389" s="31"/>
      <c r="P389" s="32"/>
      <c r="Q389" s="2"/>
    </row>
    <row r="390" spans="1:17" ht="5" customHeight="1" x14ac:dyDescent="0.25">
      <c r="A390" s="48"/>
      <c r="B390" s="23"/>
      <c r="C390" s="23"/>
      <c r="D390" s="23"/>
      <c r="E390" s="23"/>
      <c r="F390" s="33"/>
      <c r="G390" s="33"/>
      <c r="H390" s="33"/>
      <c r="I390" s="102"/>
      <c r="J390" s="85"/>
      <c r="K390" s="33"/>
      <c r="L390" s="33"/>
      <c r="M390" s="33"/>
      <c r="N390" s="33"/>
      <c r="O390" s="33"/>
      <c r="P390" s="34"/>
      <c r="Q390" s="2"/>
    </row>
    <row r="391" spans="1:17" ht="16" x14ac:dyDescent="0.25">
      <c r="A391" s="317" t="s">
        <v>157</v>
      </c>
      <c r="B391" s="318"/>
      <c r="C391" s="319"/>
      <c r="D391" s="319"/>
      <c r="E391" s="20"/>
      <c r="F391" s="27"/>
      <c r="G391" s="78" t="str">
        <f>IF(OR(H962&lt;&gt;0,H966&lt;&gt;0,H970&lt;&gt;0),"X","")</f>
        <v/>
      </c>
      <c r="H391" s="27"/>
      <c r="I391" s="97" t="s">
        <v>203</v>
      </c>
      <c r="J391" s="86"/>
      <c r="K391" s="27"/>
      <c r="L391" s="27"/>
      <c r="M391" s="27"/>
      <c r="N391" s="27"/>
      <c r="O391" s="27"/>
      <c r="P391" s="26"/>
      <c r="Q391" s="2"/>
    </row>
    <row r="392" spans="1:17" ht="5" customHeight="1" x14ac:dyDescent="0.25">
      <c r="A392" s="47"/>
      <c r="B392" s="21"/>
      <c r="C392" s="21"/>
      <c r="D392" s="21"/>
      <c r="E392" s="21"/>
      <c r="F392" s="10"/>
      <c r="G392" s="10"/>
      <c r="H392" s="10"/>
      <c r="I392" s="98"/>
      <c r="J392" s="87"/>
      <c r="K392" s="10"/>
      <c r="L392" s="10"/>
      <c r="M392" s="10"/>
      <c r="N392" s="10"/>
      <c r="O392" s="10"/>
      <c r="P392" s="28"/>
      <c r="Q392" s="2"/>
    </row>
    <row r="393" spans="1:17" ht="5" customHeight="1" x14ac:dyDescent="0.25">
      <c r="A393" s="49"/>
      <c r="B393" s="24"/>
      <c r="C393" s="24"/>
      <c r="D393" s="24"/>
      <c r="E393" s="24"/>
      <c r="F393" s="29"/>
      <c r="G393" s="29"/>
      <c r="H393" s="29"/>
      <c r="I393" s="99"/>
      <c r="J393" s="88"/>
      <c r="K393" s="29"/>
      <c r="L393" s="29"/>
      <c r="M393" s="29"/>
      <c r="N393" s="29"/>
      <c r="O393" s="29"/>
      <c r="P393" s="30"/>
      <c r="Q393" s="2"/>
    </row>
    <row r="394" spans="1:17" ht="16" x14ac:dyDescent="0.25">
      <c r="A394" s="374" t="s">
        <v>108</v>
      </c>
      <c r="B394" s="375"/>
      <c r="C394" s="376"/>
      <c r="D394" s="376"/>
      <c r="E394" s="40"/>
      <c r="F394" s="40"/>
      <c r="G394" s="79" t="str">
        <f>IF(OR(H997&lt;&gt;0,H1001&lt;&gt;0,H1004&lt;&gt;0,H1007&lt;&gt;0,H1011&lt;&gt;0,H1014&lt;&gt;0),"X","")</f>
        <v/>
      </c>
      <c r="H394" s="40"/>
      <c r="I394" s="104" t="s">
        <v>204</v>
      </c>
      <c r="J394" s="65"/>
      <c r="K394" s="40"/>
      <c r="L394" s="40"/>
      <c r="M394" s="40"/>
      <c r="N394" s="40"/>
      <c r="O394" s="40"/>
      <c r="P394" s="41"/>
      <c r="Q394" s="2"/>
    </row>
    <row r="395" spans="1:17" ht="5" customHeight="1" x14ac:dyDescent="0.25">
      <c r="A395" s="50"/>
      <c r="B395" s="25"/>
      <c r="C395" s="25"/>
      <c r="D395" s="25"/>
      <c r="E395" s="25"/>
      <c r="F395" s="31"/>
      <c r="G395" s="31"/>
      <c r="H395" s="31"/>
      <c r="I395" s="101"/>
      <c r="J395" s="84"/>
      <c r="K395" s="31"/>
      <c r="L395" s="31"/>
      <c r="M395" s="31"/>
      <c r="N395" s="31"/>
      <c r="O395" s="31"/>
      <c r="P395" s="32"/>
      <c r="Q395" s="2"/>
    </row>
    <row r="396" spans="1:17" ht="5" customHeight="1" x14ac:dyDescent="0.25">
      <c r="A396" s="48"/>
      <c r="B396" s="23"/>
      <c r="C396" s="23"/>
      <c r="D396" s="23"/>
      <c r="E396" s="23"/>
      <c r="F396" s="33"/>
      <c r="G396" s="33"/>
      <c r="H396" s="33"/>
      <c r="I396" s="102"/>
      <c r="J396" s="85"/>
      <c r="K396" s="33"/>
      <c r="L396" s="33"/>
      <c r="M396" s="33"/>
      <c r="N396" s="33"/>
      <c r="O396" s="33"/>
      <c r="P396" s="34"/>
      <c r="Q396" s="2"/>
    </row>
    <row r="397" spans="1:17" ht="16" x14ac:dyDescent="0.25">
      <c r="A397" s="317" t="s">
        <v>158</v>
      </c>
      <c r="B397" s="318"/>
      <c r="C397" s="319"/>
      <c r="D397" s="319"/>
      <c r="E397" s="320"/>
      <c r="F397" s="321"/>
      <c r="G397" s="78" t="str">
        <f>IF(OR(H1041&lt;&gt;0,H1044&lt;&gt;0,H1048&lt;&gt;0),"X","")</f>
        <v/>
      </c>
      <c r="H397" s="27"/>
      <c r="I397" s="97" t="s">
        <v>205</v>
      </c>
      <c r="J397" s="75"/>
      <c r="K397" s="27"/>
      <c r="L397" s="27"/>
      <c r="M397" s="27"/>
      <c r="N397" s="27"/>
      <c r="O397" s="27"/>
      <c r="P397" s="26"/>
      <c r="Q397" s="2"/>
    </row>
    <row r="398" spans="1:17" ht="5" customHeight="1" x14ac:dyDescent="0.25">
      <c r="A398" s="47"/>
      <c r="B398" s="21"/>
      <c r="C398" s="21"/>
      <c r="D398" s="21"/>
      <c r="E398" s="21"/>
      <c r="F398" s="10"/>
      <c r="G398" s="10"/>
      <c r="H398" s="10"/>
      <c r="I398" s="98"/>
      <c r="J398" s="87"/>
      <c r="K398" s="10"/>
      <c r="L398" s="10"/>
      <c r="M398" s="10"/>
      <c r="N398" s="10"/>
      <c r="O398" s="10"/>
      <c r="P398" s="28"/>
      <c r="Q398" s="2"/>
    </row>
    <row r="399" spans="1:17" ht="5" customHeight="1" x14ac:dyDescent="0.25">
      <c r="A399" s="49"/>
      <c r="B399" s="24"/>
      <c r="C399" s="24"/>
      <c r="D399" s="24"/>
      <c r="E399" s="24"/>
      <c r="F399" s="29"/>
      <c r="G399" s="29"/>
      <c r="H399" s="29"/>
      <c r="I399" s="99"/>
      <c r="J399" s="88"/>
      <c r="K399" s="29"/>
      <c r="L399" s="29"/>
      <c r="M399" s="29"/>
      <c r="N399" s="29"/>
      <c r="O399" s="29"/>
      <c r="P399" s="30"/>
      <c r="Q399" s="2"/>
    </row>
    <row r="400" spans="1:17" ht="16" x14ac:dyDescent="0.25">
      <c r="A400" s="381" t="s">
        <v>159</v>
      </c>
      <c r="B400" s="382"/>
      <c r="C400" s="384"/>
      <c r="D400" s="384"/>
      <c r="E400" s="90"/>
      <c r="F400" s="90"/>
      <c r="G400" s="105"/>
      <c r="H400" s="90"/>
      <c r="I400" s="100" t="s">
        <v>196</v>
      </c>
      <c r="J400" s="91"/>
      <c r="K400" s="90"/>
      <c r="L400" s="90"/>
      <c r="M400" s="40"/>
      <c r="N400" s="40"/>
      <c r="O400" s="40"/>
      <c r="P400" s="41"/>
      <c r="Q400" s="2"/>
    </row>
    <row r="401" spans="1:17" ht="5" customHeight="1" x14ac:dyDescent="0.25">
      <c r="A401" s="50"/>
      <c r="B401" s="25"/>
      <c r="C401" s="25"/>
      <c r="D401" s="25"/>
      <c r="E401" s="25"/>
      <c r="F401" s="31"/>
      <c r="G401" s="31"/>
      <c r="H401" s="31"/>
      <c r="I401" s="101"/>
      <c r="J401" s="31"/>
      <c r="K401" s="31"/>
      <c r="L401" s="31"/>
      <c r="M401" s="31"/>
      <c r="N401" s="31"/>
      <c r="O401" s="31"/>
      <c r="P401" s="32"/>
      <c r="Q401" s="2"/>
    </row>
    <row r="402" spans="1:17" ht="5" customHeight="1" x14ac:dyDescent="0.25">
      <c r="A402" s="48"/>
      <c r="B402" s="23"/>
      <c r="C402" s="23"/>
      <c r="D402" s="23"/>
      <c r="E402" s="23"/>
      <c r="F402" s="33"/>
      <c r="G402" s="33"/>
      <c r="H402" s="33"/>
      <c r="I402" s="102"/>
      <c r="J402" s="33"/>
      <c r="K402" s="33"/>
      <c r="L402" s="33"/>
      <c r="M402" s="33"/>
      <c r="N402" s="33"/>
      <c r="O402" s="33"/>
      <c r="P402" s="34"/>
      <c r="Q402" s="2"/>
    </row>
    <row r="403" spans="1:17" ht="16" x14ac:dyDescent="0.25">
      <c r="A403" s="433" t="s">
        <v>160</v>
      </c>
      <c r="B403" s="434"/>
      <c r="C403" s="383"/>
      <c r="D403" s="383"/>
      <c r="E403" s="93"/>
      <c r="F403" s="94"/>
      <c r="G403" s="106"/>
      <c r="H403" s="94"/>
      <c r="I403" s="103" t="s">
        <v>196</v>
      </c>
      <c r="J403" s="94"/>
      <c r="K403" s="94"/>
      <c r="L403" s="94"/>
      <c r="M403" s="27"/>
      <c r="N403" s="27"/>
      <c r="O403" s="27"/>
      <c r="P403" s="26"/>
      <c r="Q403" s="2"/>
    </row>
    <row r="404" spans="1:17" ht="5" customHeight="1" x14ac:dyDescent="0.25">
      <c r="A404" s="47"/>
      <c r="B404" s="21"/>
      <c r="C404" s="21"/>
      <c r="D404" s="21"/>
      <c r="E404" s="21"/>
      <c r="F404" s="10"/>
      <c r="G404" s="10"/>
      <c r="H404" s="10"/>
      <c r="I404" s="98"/>
      <c r="J404" s="10"/>
      <c r="K404" s="10"/>
      <c r="L404" s="10"/>
      <c r="M404" s="10"/>
      <c r="N404" s="10"/>
      <c r="O404" s="10"/>
      <c r="P404" s="28"/>
      <c r="Q404" s="2"/>
    </row>
    <row r="405" spans="1:17" ht="5" customHeight="1" x14ac:dyDescent="0.25">
      <c r="A405" s="49"/>
      <c r="B405" s="24"/>
      <c r="C405" s="24"/>
      <c r="D405" s="24"/>
      <c r="E405" s="24"/>
      <c r="F405" s="29"/>
      <c r="G405" s="29"/>
      <c r="H405" s="29"/>
      <c r="I405" s="99"/>
      <c r="J405" s="29"/>
      <c r="K405" s="29"/>
      <c r="L405" s="29"/>
      <c r="M405" s="29"/>
      <c r="N405" s="29"/>
      <c r="O405" s="29"/>
      <c r="P405" s="30"/>
      <c r="Q405" s="2"/>
    </row>
    <row r="406" spans="1:17" ht="16" x14ac:dyDescent="0.25">
      <c r="A406" s="381" t="s">
        <v>161</v>
      </c>
      <c r="B406" s="382"/>
      <c r="C406" s="384"/>
      <c r="D406" s="384"/>
      <c r="E406" s="90"/>
      <c r="F406" s="90"/>
      <c r="G406" s="105"/>
      <c r="H406" s="90"/>
      <c r="I406" s="100" t="s">
        <v>196</v>
      </c>
      <c r="J406" s="90"/>
      <c r="K406" s="90"/>
      <c r="L406" s="90"/>
      <c r="M406" s="40"/>
      <c r="N406" s="40"/>
      <c r="O406" s="40"/>
      <c r="P406" s="41"/>
      <c r="Q406" s="2"/>
    </row>
    <row r="407" spans="1:17" ht="5" customHeight="1" x14ac:dyDescent="0.25">
      <c r="A407" s="50"/>
      <c r="B407" s="25"/>
      <c r="C407" s="25"/>
      <c r="D407" s="25"/>
      <c r="E407" s="25"/>
      <c r="F407" s="31"/>
      <c r="G407" s="31"/>
      <c r="H407" s="31"/>
      <c r="I407" s="101"/>
      <c r="J407" s="31"/>
      <c r="K407" s="31"/>
      <c r="L407" s="31"/>
      <c r="M407" s="31"/>
      <c r="N407" s="31"/>
      <c r="O407" s="31"/>
      <c r="P407" s="32"/>
      <c r="Q407" s="2"/>
    </row>
    <row r="408" spans="1:17" ht="5" customHeight="1" x14ac:dyDescent="0.25">
      <c r="A408" s="48"/>
      <c r="B408" s="23"/>
      <c r="C408" s="23"/>
      <c r="D408" s="23"/>
      <c r="E408" s="23"/>
      <c r="F408" s="33"/>
      <c r="G408" s="33"/>
      <c r="H408" s="33"/>
      <c r="I408" s="102"/>
      <c r="J408" s="33"/>
      <c r="K408" s="33"/>
      <c r="L408" s="33"/>
      <c r="M408" s="33"/>
      <c r="N408" s="33"/>
      <c r="O408" s="33"/>
      <c r="P408" s="34"/>
      <c r="Q408" s="2"/>
    </row>
    <row r="409" spans="1:17" ht="16" x14ac:dyDescent="0.25">
      <c r="A409" s="317" t="s">
        <v>127</v>
      </c>
      <c r="B409" s="318"/>
      <c r="C409" s="319"/>
      <c r="D409" s="319"/>
      <c r="E409" s="27"/>
      <c r="F409" s="27"/>
      <c r="G409" s="79" t="str">
        <f>IF(OR(D1091&lt;&gt;0,D1095&lt;&gt;0),"X","")</f>
        <v/>
      </c>
      <c r="H409" s="27"/>
      <c r="I409" s="97" t="s">
        <v>206</v>
      </c>
      <c r="J409" s="27"/>
      <c r="K409" s="27"/>
      <c r="L409" s="27"/>
      <c r="M409" s="27"/>
      <c r="N409" s="27"/>
      <c r="O409" s="27"/>
      <c r="P409" s="26"/>
      <c r="Q409" s="2"/>
    </row>
    <row r="410" spans="1:17" ht="5" customHeight="1" x14ac:dyDescent="0.25">
      <c r="A410" s="47"/>
      <c r="B410" s="21"/>
      <c r="C410" s="21"/>
      <c r="D410" s="21"/>
      <c r="E410" s="21"/>
      <c r="F410" s="10"/>
      <c r="G410" s="10"/>
      <c r="H410" s="10"/>
      <c r="I410" s="98"/>
      <c r="J410" s="10"/>
      <c r="K410" s="10"/>
      <c r="L410" s="10"/>
      <c r="M410" s="10"/>
      <c r="N410" s="10"/>
      <c r="O410" s="10"/>
      <c r="P410" s="28"/>
      <c r="Q410" s="2"/>
    </row>
    <row r="411" spans="1:17" ht="5" customHeight="1" x14ac:dyDescent="0.25">
      <c r="A411" s="49"/>
      <c r="B411" s="24"/>
      <c r="C411" s="24"/>
      <c r="D411" s="24"/>
      <c r="E411" s="24"/>
      <c r="F411" s="29"/>
      <c r="G411" s="29"/>
      <c r="H411" s="29"/>
      <c r="I411" s="99"/>
      <c r="J411" s="29"/>
      <c r="K411" s="29"/>
      <c r="L411" s="29"/>
      <c r="M411" s="29"/>
      <c r="N411" s="29"/>
      <c r="O411" s="29"/>
      <c r="P411" s="30"/>
      <c r="Q411" s="2"/>
    </row>
    <row r="412" spans="1:17" ht="16" x14ac:dyDescent="0.25">
      <c r="A412" s="381" t="s">
        <v>162</v>
      </c>
      <c r="B412" s="382"/>
      <c r="C412" s="383"/>
      <c r="D412" s="383"/>
      <c r="E412" s="89"/>
      <c r="F412" s="90"/>
      <c r="G412" s="105" t="str">
        <f>IF(OR([1]PubBalSht!$B$38&lt;&gt;0,[1]PubBalSht!$F$38&lt;&gt;0),"X","")</f>
        <v/>
      </c>
      <c r="H412" s="90"/>
      <c r="I412" s="100" t="s">
        <v>196</v>
      </c>
      <c r="J412" s="90"/>
      <c r="K412" s="90"/>
      <c r="L412" s="90"/>
      <c r="M412" s="40"/>
      <c r="N412" s="40"/>
      <c r="O412" s="40"/>
      <c r="P412" s="41"/>
      <c r="Q412" s="2"/>
    </row>
    <row r="413" spans="1:17" ht="5" customHeight="1" x14ac:dyDescent="0.25">
      <c r="A413" s="50"/>
      <c r="B413" s="25"/>
      <c r="C413" s="25"/>
      <c r="D413" s="25"/>
      <c r="E413" s="25"/>
      <c r="F413" s="31"/>
      <c r="G413" s="31"/>
      <c r="H413" s="31"/>
      <c r="I413" s="101"/>
      <c r="J413" s="31"/>
      <c r="K413" s="31"/>
      <c r="L413" s="31"/>
      <c r="M413" s="31"/>
      <c r="N413" s="31"/>
      <c r="O413" s="31"/>
      <c r="P413" s="32"/>
      <c r="Q413" s="2"/>
    </row>
    <row r="414" spans="1:17" ht="5" customHeight="1" x14ac:dyDescent="0.25">
      <c r="A414" s="48"/>
      <c r="B414" s="23"/>
      <c r="C414" s="23"/>
      <c r="D414" s="23"/>
      <c r="E414" s="23"/>
      <c r="F414" s="33"/>
      <c r="G414" s="33"/>
      <c r="H414" s="33"/>
      <c r="I414" s="102"/>
      <c r="J414" s="33"/>
      <c r="K414" s="33"/>
      <c r="L414" s="33"/>
      <c r="M414" s="33"/>
      <c r="N414" s="33"/>
      <c r="O414" s="33"/>
      <c r="P414" s="34"/>
      <c r="Q414" s="2"/>
    </row>
    <row r="415" spans="1:17" ht="16" x14ac:dyDescent="0.25">
      <c r="A415" s="317" t="s">
        <v>163</v>
      </c>
      <c r="B415" s="318"/>
      <c r="C415" s="319"/>
      <c r="D415" s="319"/>
      <c r="E415" s="20"/>
      <c r="F415" s="27"/>
      <c r="G415" s="79" t="s">
        <v>138</v>
      </c>
      <c r="H415" s="27"/>
      <c r="I415" s="97" t="s">
        <v>177</v>
      </c>
      <c r="J415" s="27"/>
      <c r="K415" s="27"/>
      <c r="L415" s="27"/>
      <c r="M415" s="27"/>
      <c r="N415" s="27"/>
      <c r="O415" s="27"/>
      <c r="P415" s="26"/>
      <c r="Q415" s="2"/>
    </row>
    <row r="416" spans="1:17" ht="5" customHeight="1" x14ac:dyDescent="0.25">
      <c r="A416" s="47"/>
      <c r="B416" s="21"/>
      <c r="C416" s="21"/>
      <c r="D416" s="21"/>
      <c r="E416" s="21"/>
      <c r="F416" s="10"/>
      <c r="G416" s="10"/>
      <c r="H416" s="10"/>
      <c r="I416" s="98"/>
      <c r="J416" s="10"/>
      <c r="K416" s="10"/>
      <c r="L416" s="10"/>
      <c r="M416" s="10"/>
      <c r="N416" s="10"/>
      <c r="O416" s="10"/>
      <c r="P416" s="28"/>
      <c r="Q416" s="2"/>
    </row>
    <row r="417" spans="1:17" ht="5" customHeight="1" x14ac:dyDescent="0.25">
      <c r="A417" s="49"/>
      <c r="B417" s="24"/>
      <c r="C417" s="24"/>
      <c r="D417" s="24"/>
      <c r="E417" s="24"/>
      <c r="F417" s="29"/>
      <c r="G417" s="29"/>
      <c r="H417" s="29"/>
      <c r="I417" s="99"/>
      <c r="J417" s="29"/>
      <c r="K417" s="29"/>
      <c r="L417" s="29"/>
      <c r="M417" s="29"/>
      <c r="N417" s="29"/>
      <c r="O417" s="29"/>
      <c r="P417" s="30"/>
      <c r="Q417" s="2"/>
    </row>
    <row r="418" spans="1:17" ht="16" x14ac:dyDescent="0.25">
      <c r="A418" s="381" t="s">
        <v>164</v>
      </c>
      <c r="B418" s="382"/>
      <c r="C418" s="384"/>
      <c r="D418" s="384"/>
      <c r="E418" s="90"/>
      <c r="F418" s="90"/>
      <c r="G418" s="105"/>
      <c r="H418" s="90"/>
      <c r="I418" s="100" t="s">
        <v>196</v>
      </c>
      <c r="J418" s="90"/>
      <c r="K418" s="90"/>
      <c r="L418" s="90"/>
      <c r="M418" s="40"/>
      <c r="N418" s="40"/>
      <c r="O418" s="40"/>
      <c r="P418" s="41"/>
      <c r="Q418" s="2"/>
    </row>
    <row r="419" spans="1:17" ht="5" customHeight="1" x14ac:dyDescent="0.25">
      <c r="A419" s="50"/>
      <c r="B419" s="25"/>
      <c r="C419" s="25"/>
      <c r="D419" s="25"/>
      <c r="E419" s="25"/>
      <c r="F419" s="31"/>
      <c r="G419" s="31"/>
      <c r="H419" s="31"/>
      <c r="I419" s="101"/>
      <c r="J419" s="31"/>
      <c r="K419" s="31"/>
      <c r="L419" s="31"/>
      <c r="M419" s="31"/>
      <c r="N419" s="31"/>
      <c r="O419" s="31"/>
      <c r="P419" s="32"/>
      <c r="Q419" s="2"/>
    </row>
    <row r="420" spans="1:17" ht="5" customHeight="1" x14ac:dyDescent="0.25">
      <c r="A420" s="48"/>
      <c r="B420" s="23"/>
      <c r="C420" s="23"/>
      <c r="D420" s="23"/>
      <c r="E420" s="23"/>
      <c r="F420" s="33"/>
      <c r="G420" s="33"/>
      <c r="H420" s="33"/>
      <c r="I420" s="102"/>
      <c r="J420" s="33"/>
      <c r="K420" s="33"/>
      <c r="L420" s="33"/>
      <c r="M420" s="33"/>
      <c r="N420" s="33"/>
      <c r="O420" s="33"/>
      <c r="P420" s="34"/>
      <c r="Q420" s="2"/>
    </row>
    <row r="421" spans="1:17" ht="16" x14ac:dyDescent="0.25">
      <c r="A421" s="433" t="s">
        <v>165</v>
      </c>
      <c r="B421" s="434"/>
      <c r="C421" s="383"/>
      <c r="D421" s="383"/>
      <c r="E421" s="20"/>
      <c r="F421" s="27"/>
      <c r="G421" s="106"/>
      <c r="H421" s="27"/>
      <c r="I421" s="103" t="s">
        <v>196</v>
      </c>
      <c r="J421" s="27"/>
      <c r="K421" s="27"/>
      <c r="L421" s="27"/>
      <c r="M421" s="27"/>
      <c r="N421" s="27"/>
      <c r="O421" s="27"/>
      <c r="P421" s="26"/>
      <c r="Q421" s="2"/>
    </row>
    <row r="422" spans="1:17" ht="5" customHeight="1" x14ac:dyDescent="0.25">
      <c r="A422" s="47"/>
      <c r="B422" s="21"/>
      <c r="C422" s="21"/>
      <c r="D422" s="21"/>
      <c r="E422" s="21"/>
      <c r="F422" s="10"/>
      <c r="G422" s="10"/>
      <c r="H422" s="10"/>
      <c r="I422" s="98"/>
      <c r="J422" s="10"/>
      <c r="K422" s="10"/>
      <c r="L422" s="10"/>
      <c r="M422" s="10"/>
      <c r="N422" s="10"/>
      <c r="O422" s="10"/>
      <c r="P422" s="28"/>
      <c r="Q422" s="2"/>
    </row>
    <row r="423" spans="1:17" ht="5" customHeight="1" x14ac:dyDescent="0.25">
      <c r="A423" s="49"/>
      <c r="B423" s="24"/>
      <c r="C423" s="24"/>
      <c r="D423" s="24"/>
      <c r="E423" s="24"/>
      <c r="F423" s="29"/>
      <c r="G423" s="29"/>
      <c r="H423" s="29"/>
      <c r="I423" s="99"/>
      <c r="J423" s="29"/>
      <c r="K423" s="29"/>
      <c r="L423" s="29"/>
      <c r="M423" s="29"/>
      <c r="N423" s="29"/>
      <c r="O423" s="29"/>
      <c r="P423" s="30"/>
      <c r="Q423" s="2"/>
    </row>
    <row r="424" spans="1:17" ht="16" x14ac:dyDescent="0.25">
      <c r="A424" s="381" t="s">
        <v>166</v>
      </c>
      <c r="B424" s="382"/>
      <c r="C424" s="384"/>
      <c r="D424" s="384"/>
      <c r="E424" s="90"/>
      <c r="F424" s="90"/>
      <c r="G424" s="105"/>
      <c r="H424" s="90"/>
      <c r="I424" s="100" t="s">
        <v>196</v>
      </c>
      <c r="J424" s="90"/>
      <c r="K424" s="90"/>
      <c r="L424" s="90"/>
      <c r="M424" s="90"/>
      <c r="N424" s="40"/>
      <c r="O424" s="40"/>
      <c r="P424" s="41"/>
      <c r="Q424" s="2"/>
    </row>
    <row r="425" spans="1:17" ht="5" customHeight="1" x14ac:dyDescent="0.25">
      <c r="A425" s="50"/>
      <c r="B425" s="25"/>
      <c r="C425" s="25"/>
      <c r="D425" s="25"/>
      <c r="E425" s="25"/>
      <c r="F425" s="31"/>
      <c r="G425" s="31"/>
      <c r="H425" s="31"/>
      <c r="I425" s="101"/>
      <c r="J425" s="31"/>
      <c r="K425" s="31"/>
      <c r="L425" s="31"/>
      <c r="M425" s="31"/>
      <c r="N425" s="31"/>
      <c r="O425" s="31"/>
      <c r="P425" s="32"/>
      <c r="Q425" s="2"/>
    </row>
    <row r="426" spans="1:17" ht="5" customHeight="1" x14ac:dyDescent="0.25">
      <c r="A426" s="48"/>
      <c r="B426" s="23"/>
      <c r="C426" s="23"/>
      <c r="D426" s="23"/>
      <c r="E426" s="23"/>
      <c r="F426" s="33"/>
      <c r="G426" s="33"/>
      <c r="H426" s="33"/>
      <c r="I426" s="102"/>
      <c r="J426" s="33"/>
      <c r="K426" s="33"/>
      <c r="L426" s="33"/>
      <c r="M426" s="33"/>
      <c r="N426" s="33"/>
      <c r="O426" s="33"/>
      <c r="P426" s="34"/>
      <c r="Q426" s="2"/>
    </row>
    <row r="427" spans="1:17" ht="16" x14ac:dyDescent="0.25">
      <c r="A427" s="433" t="s">
        <v>167</v>
      </c>
      <c r="B427" s="434"/>
      <c r="C427" s="383"/>
      <c r="D427" s="383"/>
      <c r="E427" s="93"/>
      <c r="F427" s="94"/>
      <c r="G427" s="106"/>
      <c r="H427" s="94"/>
      <c r="I427" s="103" t="s">
        <v>196</v>
      </c>
      <c r="J427" s="94"/>
      <c r="K427" s="94"/>
      <c r="L427" s="27"/>
      <c r="M427" s="27"/>
      <c r="N427" s="27"/>
      <c r="O427" s="27"/>
      <c r="P427" s="26"/>
      <c r="Q427" s="2"/>
    </row>
    <row r="428" spans="1:17" ht="5" customHeight="1" x14ac:dyDescent="0.25">
      <c r="A428" s="47"/>
      <c r="B428" s="21"/>
      <c r="C428" s="21"/>
      <c r="D428" s="21"/>
      <c r="E428" s="21"/>
      <c r="F428" s="10"/>
      <c r="G428" s="10"/>
      <c r="H428" s="10"/>
      <c r="I428" s="98"/>
      <c r="J428" s="10"/>
      <c r="K428" s="10"/>
      <c r="L428" s="10"/>
      <c r="M428" s="10"/>
      <c r="N428" s="10"/>
      <c r="O428" s="10"/>
      <c r="P428" s="28"/>
      <c r="Q428" s="2"/>
    </row>
    <row r="429" spans="1:17" ht="5" customHeight="1" x14ac:dyDescent="0.25">
      <c r="A429" s="49"/>
      <c r="B429" s="24"/>
      <c r="C429" s="24"/>
      <c r="D429" s="24"/>
      <c r="E429" s="24"/>
      <c r="F429" s="29"/>
      <c r="G429" s="29"/>
      <c r="H429" s="29"/>
      <c r="I429" s="99"/>
      <c r="J429" s="29"/>
      <c r="K429" s="29"/>
      <c r="L429" s="29"/>
      <c r="M429" s="29"/>
      <c r="N429" s="29"/>
      <c r="O429" s="29"/>
      <c r="P429" s="30"/>
      <c r="Q429" s="2"/>
    </row>
    <row r="430" spans="1:17" ht="16" x14ac:dyDescent="0.25">
      <c r="A430" s="381" t="s">
        <v>168</v>
      </c>
      <c r="B430" s="382"/>
      <c r="C430" s="384"/>
      <c r="D430" s="384"/>
      <c r="E430" s="90"/>
      <c r="F430" s="90"/>
      <c r="G430" s="105"/>
      <c r="H430" s="90"/>
      <c r="I430" s="100" t="s">
        <v>196</v>
      </c>
      <c r="J430" s="90"/>
      <c r="K430" s="90"/>
      <c r="L430" s="40"/>
      <c r="M430" s="40"/>
      <c r="N430" s="40"/>
      <c r="O430" s="40"/>
      <c r="P430" s="41"/>
      <c r="Q430" s="2"/>
    </row>
    <row r="431" spans="1:17" ht="5" customHeight="1" x14ac:dyDescent="0.2">
      <c r="A431" s="50"/>
      <c r="B431" s="25"/>
      <c r="C431" s="25"/>
      <c r="D431" s="25"/>
      <c r="E431" s="25"/>
      <c r="F431" s="31"/>
      <c r="G431" s="31"/>
      <c r="H431" s="31"/>
      <c r="I431" s="31"/>
      <c r="J431" s="31"/>
      <c r="K431" s="31"/>
      <c r="L431" s="31"/>
      <c r="M431" s="31"/>
      <c r="N431" s="31"/>
      <c r="O431" s="31"/>
      <c r="P431" s="32"/>
      <c r="Q431" s="2"/>
    </row>
    <row r="432" spans="1:17" x14ac:dyDescent="0.2">
      <c r="Q432" s="2"/>
    </row>
    <row r="434" spans="1:17" ht="16" x14ac:dyDescent="0.2">
      <c r="A434" s="231" t="s">
        <v>145</v>
      </c>
      <c r="B434" s="232"/>
      <c r="C434" s="232"/>
      <c r="D434" s="232"/>
      <c r="F434" s="233" t="s">
        <v>12</v>
      </c>
      <c r="G434" s="233"/>
      <c r="H434" s="233"/>
      <c r="I434" s="233"/>
      <c r="J434" s="233"/>
      <c r="K434" s="233"/>
      <c r="L434" s="233"/>
      <c r="M434" s="233"/>
      <c r="N434" s="233"/>
      <c r="O434" s="233"/>
      <c r="P434" s="233"/>
      <c r="Q434" s="233"/>
    </row>
    <row r="435" spans="1:17" ht="5" customHeight="1" x14ac:dyDescent="0.2">
      <c r="A435" s="1"/>
      <c r="B435" s="1"/>
      <c r="C435" s="1"/>
      <c r="D435" s="1"/>
      <c r="E435" s="1"/>
      <c r="F435" s="1"/>
      <c r="G435" s="1"/>
      <c r="H435" s="1"/>
      <c r="I435" s="1"/>
      <c r="J435" s="1"/>
      <c r="K435" s="1"/>
      <c r="L435" s="1"/>
      <c r="M435" s="1"/>
      <c r="N435" s="1"/>
      <c r="O435" s="1"/>
      <c r="P435" s="1"/>
      <c r="Q435" s="1"/>
    </row>
    <row r="436" spans="1:17" x14ac:dyDescent="0.2">
      <c r="A436" s="234" t="s">
        <v>149</v>
      </c>
      <c r="B436" s="235"/>
      <c r="C436" s="235"/>
      <c r="D436" s="235"/>
      <c r="E436" s="236"/>
      <c r="F436" s="236"/>
      <c r="G436" s="236"/>
      <c r="H436" s="236"/>
      <c r="I436" s="236"/>
      <c r="J436" s="236"/>
      <c r="K436" s="236"/>
      <c r="L436" s="236"/>
      <c r="M436" s="236"/>
      <c r="N436" s="236"/>
      <c r="O436" s="236"/>
      <c r="P436" s="236"/>
      <c r="Q436" s="237"/>
    </row>
    <row r="437" spans="1:17" x14ac:dyDescent="0.2">
      <c r="A437" s="39" t="s">
        <v>178</v>
      </c>
      <c r="B437" s="39"/>
      <c r="C437" s="39"/>
      <c r="D437" s="39"/>
      <c r="E437" s="37"/>
      <c r="F437" s="37"/>
      <c r="G437" s="37"/>
      <c r="H437" s="37"/>
      <c r="I437" s="37"/>
      <c r="J437" s="37"/>
      <c r="K437" s="37"/>
      <c r="L437" s="37"/>
      <c r="M437" s="37"/>
      <c r="N437" s="37"/>
      <c r="O437" s="37"/>
      <c r="P437" s="37"/>
      <c r="Q437" s="38"/>
    </row>
    <row r="438" spans="1:17" x14ac:dyDescent="0.2">
      <c r="A438" s="36"/>
      <c r="Q438" s="2"/>
    </row>
    <row r="439" spans="1:17" x14ac:dyDescent="0.2">
      <c r="A439" t="s">
        <v>179</v>
      </c>
    </row>
    <row r="440" spans="1:17" x14ac:dyDescent="0.2">
      <c r="A440" s="70" t="s">
        <v>181</v>
      </c>
    </row>
    <row r="441" spans="1:17" ht="26.25" customHeight="1" x14ac:dyDescent="0.2">
      <c r="A441" s="299" t="s">
        <v>180</v>
      </c>
      <c r="B441" s="300"/>
      <c r="C441" s="301"/>
      <c r="D441" s="301"/>
      <c r="E441" s="301"/>
      <c r="F441" s="301"/>
      <c r="G441" s="301"/>
      <c r="H441" s="301"/>
      <c r="I441" s="301"/>
      <c r="J441" s="301"/>
      <c r="K441" s="301"/>
      <c r="L441" s="301"/>
      <c r="M441" s="301"/>
      <c r="N441" s="301"/>
      <c r="O441" s="301"/>
      <c r="P441" s="302"/>
    </row>
    <row r="443" spans="1:17" x14ac:dyDescent="0.2">
      <c r="A443" t="s">
        <v>186</v>
      </c>
    </row>
    <row r="444" spans="1:17" x14ac:dyDescent="0.2">
      <c r="A444" s="70" t="s">
        <v>182</v>
      </c>
    </row>
    <row r="445" spans="1:17" ht="26.25" customHeight="1" x14ac:dyDescent="0.2">
      <c r="A445" s="299" t="s">
        <v>187</v>
      </c>
      <c r="B445" s="300"/>
      <c r="C445" s="301"/>
      <c r="D445" s="301"/>
      <c r="E445" s="301"/>
      <c r="F445" s="301"/>
      <c r="G445" s="301"/>
      <c r="H445" s="301"/>
      <c r="I445" s="301"/>
      <c r="J445" s="301"/>
      <c r="K445" s="301"/>
      <c r="L445" s="301"/>
      <c r="M445" s="301"/>
      <c r="N445" s="301"/>
      <c r="O445" s="301"/>
      <c r="P445" s="302"/>
    </row>
    <row r="447" spans="1:17" x14ac:dyDescent="0.2">
      <c r="A447" t="s">
        <v>188</v>
      </c>
    </row>
    <row r="448" spans="1:17" x14ac:dyDescent="0.2">
      <c r="A448" s="70" t="s">
        <v>185</v>
      </c>
    </row>
    <row r="449" spans="1:17" ht="53.25" customHeight="1" x14ac:dyDescent="0.2">
      <c r="A449" s="299" t="str">
        <f>"Depreciation is provided, after taking account of any grants receivable, at the following annual rates in order to write off each asset over its estimated useful life. Land &amp; Buildings "&amp;[1]PubNotes!$B$27*100&amp;"% on cost per annum, Plant &amp; Equipment "&amp;[1]PubNotes!$B$28*100&amp;"% on cost per annum,  Fixtures &amp; Fittings "&amp;[1]PubNotes!$B$29*100&amp;"% on cost per annum, Office Equipment "&amp;[1]PubNotes!$B$30*100&amp;"%  on cost per annum, Motor Vehicles "&amp;[1]PubNotes!$B$31*100&amp;"% on cost per annum."</f>
        <v>Depreciation is provided, after taking account of any grants receivable, at the following annual rates in order to write off each asset over its estimated useful life. Land &amp; Buildings 0% on cost per annum, Plant &amp; Equipment 10% on cost per annum,  Fixtures &amp; Fittings 20% on cost per annum, Office Equipment 33%  on cost per annum, Motor Vehicles 25% on cost per annum.</v>
      </c>
      <c r="B449" s="300"/>
      <c r="C449" s="301"/>
      <c r="D449" s="301"/>
      <c r="E449" s="301"/>
      <c r="F449" s="301"/>
      <c r="G449" s="301"/>
      <c r="H449" s="301"/>
      <c r="I449" s="301"/>
      <c r="J449" s="301"/>
      <c r="K449" s="301"/>
      <c r="L449" s="301"/>
      <c r="M449" s="301"/>
      <c r="N449" s="301"/>
      <c r="O449" s="301"/>
      <c r="P449" s="302"/>
    </row>
    <row r="451" spans="1:17" x14ac:dyDescent="0.2">
      <c r="A451" t="s">
        <v>189</v>
      </c>
    </row>
    <row r="452" spans="1:17" x14ac:dyDescent="0.2">
      <c r="A452" s="70" t="s">
        <v>183</v>
      </c>
    </row>
    <row r="453" spans="1:17" ht="51.75" customHeight="1" x14ac:dyDescent="0.2">
      <c r="A453" s="299" t="s">
        <v>192</v>
      </c>
      <c r="B453" s="300"/>
      <c r="C453" s="301"/>
      <c r="D453" s="301"/>
      <c r="E453" s="301"/>
      <c r="F453" s="301"/>
      <c r="G453" s="301"/>
      <c r="H453" s="301"/>
      <c r="I453" s="301"/>
      <c r="J453" s="301"/>
      <c r="K453" s="301"/>
      <c r="L453" s="301"/>
      <c r="M453" s="301"/>
      <c r="N453" s="301"/>
      <c r="O453" s="301"/>
      <c r="P453" s="302"/>
    </row>
    <row r="455" spans="1:17" x14ac:dyDescent="0.2">
      <c r="A455" t="s">
        <v>190</v>
      </c>
    </row>
    <row r="456" spans="1:17" x14ac:dyDescent="0.2">
      <c r="A456" s="70" t="s">
        <v>184</v>
      </c>
    </row>
    <row r="457" spans="1:17" ht="37.5" customHeight="1" x14ac:dyDescent="0.2">
      <c r="A457" s="299" t="s">
        <v>193</v>
      </c>
      <c r="B457" s="300"/>
      <c r="C457" s="301"/>
      <c r="D457" s="301"/>
      <c r="E457" s="301"/>
      <c r="F457" s="301"/>
      <c r="G457" s="301"/>
      <c r="H457" s="301"/>
      <c r="I457" s="301"/>
      <c r="J457" s="301"/>
      <c r="K457" s="301"/>
      <c r="L457" s="301"/>
      <c r="M457" s="301"/>
      <c r="N457" s="301"/>
      <c r="O457" s="301"/>
      <c r="P457" s="302"/>
    </row>
    <row r="459" spans="1:17" x14ac:dyDescent="0.2">
      <c r="A459" t="s">
        <v>191</v>
      </c>
    </row>
    <row r="460" spans="1:17" ht="92.25" customHeight="1" x14ac:dyDescent="0.2">
      <c r="A460" s="299" t="s">
        <v>194</v>
      </c>
      <c r="B460" s="300"/>
      <c r="C460" s="301"/>
      <c r="D460" s="301"/>
      <c r="E460" s="301"/>
      <c r="F460" s="301"/>
      <c r="G460" s="301"/>
      <c r="H460" s="301"/>
      <c r="I460" s="301"/>
      <c r="J460" s="301"/>
      <c r="K460" s="301"/>
      <c r="L460" s="301"/>
      <c r="M460" s="301"/>
      <c r="N460" s="301"/>
      <c r="O460" s="301"/>
      <c r="P460" s="302"/>
    </row>
    <row r="463" spans="1:17" ht="16" x14ac:dyDescent="0.2">
      <c r="A463" s="231" t="s">
        <v>145</v>
      </c>
      <c r="B463" s="232"/>
      <c r="C463" s="232"/>
      <c r="D463" s="232"/>
      <c r="F463" s="233"/>
      <c r="G463" s="233"/>
      <c r="H463" s="233"/>
      <c r="I463" s="233"/>
      <c r="J463" s="233"/>
      <c r="K463" s="233"/>
      <c r="L463" s="233"/>
      <c r="M463" s="233"/>
      <c r="N463" s="233"/>
      <c r="O463" s="233"/>
      <c r="P463" s="233"/>
      <c r="Q463" s="233"/>
    </row>
    <row r="464" spans="1:17" ht="5" customHeight="1" x14ac:dyDescent="0.2">
      <c r="A464" s="1"/>
      <c r="B464" s="1"/>
      <c r="C464" s="1"/>
      <c r="D464" s="1"/>
      <c r="E464" s="1"/>
      <c r="F464" s="1"/>
      <c r="G464" s="1"/>
      <c r="H464" s="1"/>
      <c r="I464" s="1"/>
      <c r="J464" s="1"/>
      <c r="K464" s="1"/>
      <c r="L464" s="1"/>
      <c r="M464" s="1"/>
      <c r="N464" s="1"/>
      <c r="O464" s="1"/>
      <c r="P464" s="1"/>
      <c r="Q464" s="1"/>
    </row>
    <row r="465" spans="1:17" x14ac:dyDescent="0.2">
      <c r="A465" s="234" t="s">
        <v>968</v>
      </c>
      <c r="B465" s="235"/>
      <c r="C465" s="235"/>
      <c r="D465" s="235"/>
      <c r="E465" s="236"/>
      <c r="F465" s="236"/>
      <c r="G465" s="236"/>
      <c r="H465" s="236"/>
      <c r="I465" s="236"/>
      <c r="J465" s="236"/>
      <c r="K465" s="236"/>
      <c r="L465" s="236"/>
      <c r="M465" s="236"/>
      <c r="N465" s="236"/>
      <c r="O465" s="236"/>
      <c r="P465" s="236"/>
      <c r="Q465" s="237"/>
    </row>
    <row r="466" spans="1:17" x14ac:dyDescent="0.2">
      <c r="A466" s="211" t="s">
        <v>207</v>
      </c>
      <c r="B466" s="212"/>
      <c r="C466" s="212"/>
      <c r="D466" s="212"/>
      <c r="E466" s="212"/>
      <c r="F466" s="212"/>
      <c r="G466" s="212"/>
      <c r="H466" s="212"/>
      <c r="I466" s="212"/>
      <c r="J466" s="212"/>
      <c r="K466" s="212"/>
      <c r="L466" s="212"/>
      <c r="M466" s="212"/>
      <c r="N466" s="212"/>
      <c r="O466" s="212"/>
      <c r="P466" s="212"/>
      <c r="Q466" s="38"/>
    </row>
    <row r="467" spans="1:17" x14ac:dyDescent="0.2">
      <c r="A467" s="62"/>
      <c r="B467" s="51"/>
      <c r="C467" s="51"/>
      <c r="D467" s="51"/>
      <c r="E467" s="51"/>
      <c r="F467" s="51"/>
      <c r="G467" s="51"/>
      <c r="H467" s="51"/>
      <c r="I467" s="51"/>
      <c r="J467" s="51"/>
      <c r="K467" s="51"/>
      <c r="L467" s="51"/>
      <c r="M467" s="51"/>
      <c r="N467" s="51"/>
      <c r="O467" s="51"/>
      <c r="P467" s="51"/>
      <c r="Q467" s="38"/>
    </row>
    <row r="468" spans="1:17" x14ac:dyDescent="0.2">
      <c r="A468" s="211" t="s">
        <v>970</v>
      </c>
      <c r="B468" s="212"/>
      <c r="C468" s="212"/>
      <c r="D468" s="212"/>
      <c r="E468" s="212"/>
      <c r="F468" s="212"/>
      <c r="G468" s="212"/>
      <c r="H468" s="212"/>
      <c r="I468" s="212"/>
      <c r="J468" s="212"/>
      <c r="K468" s="212"/>
      <c r="L468" s="212"/>
      <c r="M468" s="212"/>
      <c r="N468" s="212"/>
      <c r="O468" s="212"/>
      <c r="P468" s="212"/>
      <c r="Q468" s="38"/>
    </row>
    <row r="469" spans="1:17" x14ac:dyDescent="0.2">
      <c r="A469" s="62"/>
      <c r="B469" s="51"/>
      <c r="C469" s="51"/>
      <c r="D469" s="51"/>
      <c r="E469" s="51"/>
      <c r="F469" s="51"/>
      <c r="G469" s="51"/>
      <c r="H469" s="51"/>
      <c r="I469" s="51"/>
      <c r="J469" s="51"/>
      <c r="K469" s="51"/>
      <c r="L469" s="51"/>
      <c r="M469" s="51"/>
      <c r="N469" s="51"/>
      <c r="O469" s="51"/>
      <c r="P469" s="51"/>
      <c r="Q469" s="38"/>
    </row>
    <row r="470" spans="1:17" x14ac:dyDescent="0.2">
      <c r="A470" s="238" t="s">
        <v>208</v>
      </c>
      <c r="B470" s="239"/>
      <c r="C470" s="72"/>
      <c r="D470" s="72"/>
      <c r="E470" s="72"/>
      <c r="F470" s="238" t="str">
        <f>F156</f>
        <v>24 months to 31 Mar 2026.</v>
      </c>
      <c r="G470" s="239"/>
      <c r="H470" s="239"/>
      <c r="I470" s="239"/>
      <c r="J470" s="140"/>
      <c r="K470" s="140"/>
      <c r="L470" s="238" t="str">
        <f>IF(H72&gt;0,TEXT(H72,"yyyy"),"")</f>
        <v/>
      </c>
      <c r="M470" s="239"/>
      <c r="N470" s="239"/>
      <c r="O470" s="239"/>
      <c r="P470" s="140"/>
      <c r="Q470" s="38"/>
    </row>
    <row r="471" spans="1:17" x14ac:dyDescent="0.2">
      <c r="A471" s="36"/>
      <c r="Q471" s="2"/>
    </row>
    <row r="472" spans="1:17" ht="5" customHeight="1" x14ac:dyDescent="0.2">
      <c r="A472" s="48"/>
      <c r="B472" s="23"/>
      <c r="C472" s="23"/>
      <c r="D472" s="12"/>
      <c r="E472" s="23"/>
      <c r="F472" s="33"/>
      <c r="G472" s="33"/>
      <c r="H472" s="33"/>
      <c r="I472" s="33"/>
      <c r="J472" s="34"/>
      <c r="K472" s="33"/>
      <c r="L472" s="33"/>
      <c r="M472" s="33"/>
      <c r="N472" s="33"/>
      <c r="O472" s="33"/>
      <c r="P472" s="34"/>
      <c r="Q472" s="2"/>
    </row>
    <row r="473" spans="1:17" x14ac:dyDescent="0.2">
      <c r="A473" s="224" t="s">
        <v>210</v>
      </c>
      <c r="B473" s="225"/>
      <c r="C473" s="283"/>
      <c r="D473" s="284"/>
      <c r="E473" s="20"/>
      <c r="F473" s="70" t="s">
        <v>213</v>
      </c>
      <c r="G473" s="66" t="s">
        <v>61</v>
      </c>
      <c r="H473" s="213">
        <f>ROUND([1]TrialBalance!$EJ$66,D2)</f>
        <v>0</v>
      </c>
      <c r="I473" s="214"/>
      <c r="J473" s="26"/>
      <c r="K473" s="27"/>
      <c r="L473" s="70" t="s">
        <v>445</v>
      </c>
      <c r="M473" s="66" t="s">
        <v>61</v>
      </c>
      <c r="N473" s="213">
        <f>IF(H72&gt;0,ROUND([1]OpenAccounts!$E$55,D2),"")</f>
        <v>0</v>
      </c>
      <c r="O473" s="214"/>
      <c r="P473" s="26"/>
      <c r="Q473" s="2"/>
    </row>
    <row r="474" spans="1:17" ht="5" customHeight="1" x14ac:dyDescent="0.2">
      <c r="A474" s="47"/>
      <c r="B474" s="21"/>
      <c r="C474" s="21"/>
      <c r="D474" s="9"/>
      <c r="E474" s="21"/>
      <c r="F474" s="10"/>
      <c r="G474" s="10"/>
      <c r="H474" s="10"/>
      <c r="I474" s="10"/>
      <c r="J474" s="28"/>
      <c r="K474" s="10"/>
      <c r="L474" s="10"/>
      <c r="M474" s="10"/>
      <c r="N474" s="10"/>
      <c r="O474" s="10"/>
      <c r="P474" s="28"/>
      <c r="Q474" s="2"/>
    </row>
    <row r="475" spans="1:17" ht="5" customHeight="1" x14ac:dyDescent="0.2">
      <c r="A475" s="49"/>
      <c r="B475" s="24"/>
      <c r="C475" s="24"/>
      <c r="D475" s="14"/>
      <c r="E475" s="24"/>
      <c r="F475" s="29"/>
      <c r="G475" s="29"/>
      <c r="H475" s="29"/>
      <c r="I475" s="29"/>
      <c r="J475" s="30"/>
      <c r="K475" s="29"/>
      <c r="L475" s="29"/>
      <c r="M475" s="29"/>
      <c r="N475" s="29"/>
      <c r="O475" s="29"/>
      <c r="P475" s="30"/>
      <c r="Q475" s="2"/>
    </row>
    <row r="476" spans="1:17" ht="15" customHeight="1" x14ac:dyDescent="0.2">
      <c r="A476" s="61"/>
      <c r="B476" s="22"/>
      <c r="C476" s="22"/>
      <c r="D476" s="150"/>
      <c r="E476" s="22"/>
      <c r="F476" s="303" t="s">
        <v>444</v>
      </c>
      <c r="G476" s="370"/>
      <c r="H476" s="370"/>
      <c r="I476" s="370"/>
      <c r="J476" s="41"/>
      <c r="K476" s="40"/>
      <c r="L476" s="303" t="s">
        <v>444</v>
      </c>
      <c r="M476" s="370"/>
      <c r="N476" s="370"/>
      <c r="O476" s="370"/>
      <c r="P476" s="41"/>
      <c r="Q476" s="2"/>
    </row>
    <row r="477" spans="1:17" ht="28.5" customHeight="1" x14ac:dyDescent="0.25">
      <c r="A477" s="265" t="s">
        <v>211</v>
      </c>
      <c r="B477" s="305"/>
      <c r="C477" s="306"/>
      <c r="D477" s="307"/>
      <c r="E477" s="22"/>
      <c r="F477" s="70" t="s">
        <v>214</v>
      </c>
      <c r="G477" s="67" t="s">
        <v>61</v>
      </c>
      <c r="H477" s="213"/>
      <c r="I477" s="214"/>
      <c r="J477" s="154"/>
      <c r="K477" s="142"/>
      <c r="L477" s="70" t="s">
        <v>446</v>
      </c>
      <c r="M477" s="67" t="s">
        <v>61</v>
      </c>
      <c r="N477" s="213"/>
      <c r="O477" s="214"/>
      <c r="P477" s="41"/>
      <c r="Q477" s="2"/>
    </row>
    <row r="478" spans="1:17" ht="5" customHeight="1" x14ac:dyDescent="0.2">
      <c r="A478" s="50"/>
      <c r="B478" s="25"/>
      <c r="C478" s="25"/>
      <c r="D478" s="16"/>
      <c r="E478" s="25"/>
      <c r="F478" s="31"/>
      <c r="G478" s="31"/>
      <c r="H478" s="31"/>
      <c r="I478" s="31"/>
      <c r="J478" s="32"/>
      <c r="K478" s="31"/>
      <c r="L478" s="31"/>
      <c r="M478" s="31"/>
      <c r="N478" s="31"/>
      <c r="O478" s="31"/>
      <c r="P478" s="32"/>
      <c r="Q478" s="2"/>
    </row>
    <row r="479" spans="1:17" ht="5" customHeight="1" x14ac:dyDescent="0.2">
      <c r="A479" s="48"/>
      <c r="B479" s="23"/>
      <c r="C479" s="23"/>
      <c r="D479" s="12"/>
      <c r="E479" s="23"/>
      <c r="F479" s="33"/>
      <c r="G479" s="33"/>
      <c r="H479" s="33"/>
      <c r="I479" s="33"/>
      <c r="J479" s="34"/>
      <c r="K479" s="33"/>
      <c r="L479" s="33"/>
      <c r="M479" s="33"/>
      <c r="N479" s="33"/>
      <c r="O479" s="33"/>
      <c r="P479" s="34"/>
      <c r="Q479" s="2"/>
    </row>
    <row r="480" spans="1:17" x14ac:dyDescent="0.2">
      <c r="A480" s="244" t="s">
        <v>212</v>
      </c>
      <c r="B480" s="245"/>
      <c r="C480" s="285"/>
      <c r="D480" s="286"/>
      <c r="E480" s="20"/>
      <c r="F480" s="70" t="s">
        <v>215</v>
      </c>
      <c r="G480" s="27" t="s">
        <v>61</v>
      </c>
      <c r="H480" s="242">
        <f>H473+H477</f>
        <v>0</v>
      </c>
      <c r="I480" s="325"/>
      <c r="J480" s="26"/>
      <c r="K480" s="27"/>
      <c r="L480" s="70" t="s">
        <v>447</v>
      </c>
      <c r="M480" s="27" t="s">
        <v>61</v>
      </c>
      <c r="N480" s="242">
        <f>IF(H72&gt;0,N473+N477,"")</f>
        <v>0</v>
      </c>
      <c r="O480" s="325"/>
      <c r="P480" s="26"/>
      <c r="Q480" s="2"/>
    </row>
    <row r="481" spans="1:17" ht="5" customHeight="1" x14ac:dyDescent="0.2">
      <c r="A481" s="47"/>
      <c r="B481" s="21"/>
      <c r="C481" s="21"/>
      <c r="D481" s="9"/>
      <c r="E481" s="21"/>
      <c r="F481" s="10"/>
      <c r="G481" s="10"/>
      <c r="H481" s="10"/>
      <c r="I481" s="10"/>
      <c r="J481" s="28"/>
      <c r="K481" s="10"/>
      <c r="L481" s="10"/>
      <c r="M481" s="10"/>
      <c r="N481" s="10"/>
      <c r="O481" s="10"/>
      <c r="P481" s="28"/>
      <c r="Q481" s="2"/>
    </row>
    <row r="482" spans="1:17" x14ac:dyDescent="0.2">
      <c r="A482" s="22"/>
      <c r="B482" s="22"/>
      <c r="C482" s="22"/>
      <c r="D482" s="22"/>
      <c r="E482" s="22"/>
      <c r="F482" s="40"/>
      <c r="G482" s="40"/>
      <c r="H482" s="40"/>
      <c r="I482" s="40"/>
      <c r="J482" s="40"/>
      <c r="K482" s="40"/>
      <c r="L482" s="40"/>
      <c r="M482" s="40"/>
      <c r="N482" s="40"/>
      <c r="O482" s="40"/>
      <c r="P482" s="40"/>
      <c r="Q482" s="2"/>
    </row>
    <row r="483" spans="1:17" x14ac:dyDescent="0.2">
      <c r="A483" s="345" t="s">
        <v>209</v>
      </c>
      <c r="B483" s="345"/>
      <c r="C483" s="345"/>
      <c r="D483" s="345"/>
      <c r="E483" s="345"/>
      <c r="F483" s="345"/>
      <c r="G483" s="345"/>
      <c r="H483" s="345"/>
      <c r="I483" s="345"/>
      <c r="J483" s="345"/>
      <c r="K483" s="345"/>
      <c r="L483" s="345"/>
      <c r="M483" s="345"/>
      <c r="N483" s="345"/>
      <c r="O483" s="345"/>
      <c r="Q483" s="2"/>
    </row>
    <row r="484" spans="1:17" x14ac:dyDescent="0.2">
      <c r="Q484" s="2"/>
    </row>
    <row r="485" spans="1:17" ht="100" customHeight="1" x14ac:dyDescent="0.2">
      <c r="A485" s="213"/>
      <c r="B485" s="346"/>
      <c r="C485" s="347"/>
      <c r="D485" s="347"/>
      <c r="E485" s="347"/>
      <c r="F485" s="347"/>
      <c r="G485" s="347"/>
      <c r="H485" s="347"/>
      <c r="I485" s="347"/>
      <c r="J485" s="347"/>
      <c r="K485" s="347"/>
      <c r="L485" s="347"/>
      <c r="M485" s="347"/>
      <c r="N485" s="347"/>
      <c r="O485" s="347"/>
      <c r="P485" s="348"/>
      <c r="Q485" s="2"/>
    </row>
    <row r="486" spans="1:17" x14ac:dyDescent="0.2">
      <c r="Q486" s="2"/>
    </row>
    <row r="488" spans="1:17" ht="16" x14ac:dyDescent="0.2">
      <c r="A488" s="231" t="s">
        <v>145</v>
      </c>
      <c r="B488" s="232"/>
      <c r="C488" s="232"/>
      <c r="D488" s="232"/>
      <c r="F488" s="233"/>
      <c r="G488" s="233"/>
      <c r="H488" s="233"/>
      <c r="I488" s="233"/>
      <c r="J488" s="233"/>
      <c r="K488" s="233"/>
      <c r="L488" s="233"/>
      <c r="M488" s="233"/>
      <c r="N488" s="233"/>
      <c r="O488" s="233"/>
      <c r="P488" s="233"/>
      <c r="Q488" s="233"/>
    </row>
    <row r="489" spans="1:17" ht="5" customHeight="1" x14ac:dyDescent="0.2">
      <c r="A489" s="1"/>
      <c r="B489" s="1"/>
      <c r="C489" s="1"/>
      <c r="D489" s="1"/>
      <c r="E489" s="1"/>
      <c r="F489" s="1"/>
      <c r="G489" s="1"/>
      <c r="H489" s="1"/>
      <c r="I489" s="1"/>
      <c r="J489" s="1"/>
      <c r="K489" s="1"/>
      <c r="L489" s="1"/>
      <c r="M489" s="1"/>
      <c r="N489" s="1"/>
      <c r="O489" s="1"/>
      <c r="P489" s="1"/>
      <c r="Q489" s="1"/>
    </row>
    <row r="490" spans="1:17" x14ac:dyDescent="0.2">
      <c r="A490" s="234" t="s">
        <v>152</v>
      </c>
      <c r="B490" s="235"/>
      <c r="C490" s="235"/>
      <c r="D490" s="235"/>
      <c r="E490" s="236"/>
      <c r="F490" s="236"/>
      <c r="G490" s="236"/>
      <c r="H490" s="236"/>
      <c r="I490" s="236"/>
      <c r="J490" s="236"/>
      <c r="K490" s="236"/>
      <c r="L490" s="236"/>
      <c r="M490" s="236"/>
      <c r="N490" s="236"/>
      <c r="O490" s="236"/>
      <c r="P490" s="236"/>
      <c r="Q490" s="237"/>
    </row>
    <row r="491" spans="1:17" x14ac:dyDescent="0.2">
      <c r="A491" s="211" t="s">
        <v>222</v>
      </c>
      <c r="B491" s="212"/>
      <c r="C491" s="212"/>
      <c r="D491" s="212"/>
      <c r="E491" s="212"/>
      <c r="F491" s="212"/>
      <c r="G491" s="212"/>
      <c r="H491" s="212"/>
      <c r="I491" s="212"/>
      <c r="J491" s="212"/>
      <c r="K491" s="212"/>
      <c r="L491" s="212"/>
      <c r="M491" s="212"/>
      <c r="N491" s="212"/>
      <c r="O491" s="212"/>
      <c r="P491" s="212"/>
      <c r="Q491" s="38"/>
    </row>
    <row r="492" spans="1:17" x14ac:dyDescent="0.2">
      <c r="A492" s="62"/>
      <c r="B492" s="51"/>
      <c r="C492" s="51"/>
      <c r="D492" s="51"/>
      <c r="E492" s="51"/>
      <c r="F492" s="51"/>
      <c r="G492" s="51"/>
      <c r="H492" s="51"/>
      <c r="I492" s="51"/>
      <c r="J492" s="51"/>
      <c r="K492" s="51"/>
      <c r="L492" s="51"/>
      <c r="M492" s="51"/>
      <c r="N492" s="51"/>
      <c r="O492" s="51"/>
      <c r="P492" s="51"/>
      <c r="Q492" s="38"/>
    </row>
    <row r="493" spans="1:17" x14ac:dyDescent="0.2">
      <c r="A493" s="211" t="s">
        <v>970</v>
      </c>
      <c r="B493" s="212"/>
      <c r="C493" s="212"/>
      <c r="D493" s="212"/>
      <c r="E493" s="212"/>
      <c r="F493" s="212"/>
      <c r="G493" s="212"/>
      <c r="H493" s="212"/>
      <c r="I493" s="212"/>
      <c r="J493" s="212"/>
      <c r="K493" s="212"/>
      <c r="L493" s="212"/>
      <c r="M493" s="212"/>
      <c r="N493" s="212"/>
      <c r="O493" s="212"/>
      <c r="P493" s="212"/>
      <c r="Q493" s="38"/>
    </row>
    <row r="494" spans="1:17" x14ac:dyDescent="0.2">
      <c r="A494" s="62"/>
      <c r="B494" s="51"/>
      <c r="C494" s="51"/>
      <c r="D494" s="51"/>
      <c r="E494" s="51"/>
      <c r="F494" s="51"/>
      <c r="G494" s="51"/>
      <c r="H494" s="51"/>
      <c r="I494" s="51"/>
      <c r="J494" s="51"/>
      <c r="K494" s="51"/>
      <c r="L494" s="51"/>
      <c r="M494" s="51"/>
      <c r="N494" s="51"/>
      <c r="O494" s="51"/>
      <c r="P494" s="51"/>
      <c r="Q494" s="38"/>
    </row>
    <row r="495" spans="1:17" x14ac:dyDescent="0.2">
      <c r="A495" s="238" t="s">
        <v>208</v>
      </c>
      <c r="B495" s="239"/>
      <c r="C495" s="72"/>
      <c r="D495" s="72"/>
      <c r="E495" s="72"/>
      <c r="F495" s="238" t="str">
        <f>F156</f>
        <v>24 months to 31 Mar 2026.</v>
      </c>
      <c r="G495" s="239"/>
      <c r="H495" s="239"/>
      <c r="I495" s="239"/>
      <c r="J495" s="140"/>
      <c r="K495" s="140"/>
      <c r="L495" s="238" t="str">
        <f>IF(H72&gt;0,TEXT(H72,"yyyy"),"")</f>
        <v/>
      </c>
      <c r="M495" s="239"/>
      <c r="N495" s="239"/>
      <c r="O495" s="239"/>
      <c r="P495" s="140"/>
      <c r="Q495" s="38"/>
    </row>
    <row r="496" spans="1:17" x14ac:dyDescent="0.2">
      <c r="A496" s="36"/>
      <c r="Q496" s="2"/>
    </row>
    <row r="497" spans="1:17" ht="5" customHeight="1" x14ac:dyDescent="0.2">
      <c r="A497" s="48"/>
      <c r="B497" s="23"/>
      <c r="C497" s="23"/>
      <c r="D497" s="12"/>
      <c r="E497" s="23"/>
      <c r="F497" s="33"/>
      <c r="G497" s="33"/>
      <c r="H497" s="33"/>
      <c r="I497" s="33"/>
      <c r="J497" s="34"/>
      <c r="K497" s="33"/>
      <c r="L497" s="33"/>
      <c r="M497" s="33"/>
      <c r="N497" s="33"/>
      <c r="O497" s="33"/>
      <c r="P497" s="34"/>
      <c r="Q497" s="2"/>
    </row>
    <row r="498" spans="1:17" x14ac:dyDescent="0.2">
      <c r="A498" s="224" t="s">
        <v>223</v>
      </c>
      <c r="B498" s="225"/>
      <c r="C498" s="283"/>
      <c r="D498" s="284"/>
      <c r="E498" s="20"/>
      <c r="F498" s="70" t="s">
        <v>234</v>
      </c>
      <c r="G498" s="66" t="s">
        <v>61</v>
      </c>
      <c r="H498" s="213">
        <f>ROUND([1]TrialBalance!$EJ$64,D2)+ROUND([1]TrialBalance!$EJ$65,D2)</f>
        <v>0</v>
      </c>
      <c r="I498" s="214"/>
      <c r="J498" s="26"/>
      <c r="K498" s="27"/>
      <c r="L498" s="70" t="s">
        <v>234</v>
      </c>
      <c r="M498" s="66" t="s">
        <v>61</v>
      </c>
      <c r="N498" s="213">
        <f>IF(H72&gt;0,ROUND([1]OpenAccounts!E54,D2),"")</f>
        <v>0</v>
      </c>
      <c r="O498" s="214"/>
      <c r="P498" s="26"/>
      <c r="Q498" s="2"/>
    </row>
    <row r="499" spans="1:17" ht="5" customHeight="1" x14ac:dyDescent="0.2">
      <c r="A499" s="47"/>
      <c r="B499" s="21"/>
      <c r="C499" s="21"/>
      <c r="D499" s="9"/>
      <c r="E499" s="21"/>
      <c r="F499" s="10"/>
      <c r="G499" s="10"/>
      <c r="H499" s="10"/>
      <c r="I499" s="10"/>
      <c r="J499" s="28"/>
      <c r="K499" s="10"/>
      <c r="L499" s="10"/>
      <c r="M499" s="10"/>
      <c r="N499" s="10"/>
      <c r="O499" s="10"/>
      <c r="P499" s="28"/>
      <c r="Q499" s="2"/>
    </row>
    <row r="500" spans="1:17" ht="5" customHeight="1" x14ac:dyDescent="0.2">
      <c r="A500" s="49"/>
      <c r="B500" s="24"/>
      <c r="C500" s="24"/>
      <c r="D500" s="14"/>
      <c r="E500" s="24"/>
      <c r="F500" s="29"/>
      <c r="G500" s="29"/>
      <c r="H500" s="29"/>
      <c r="I500" s="29"/>
      <c r="J500" s="30"/>
      <c r="K500" s="29"/>
      <c r="L500" s="29"/>
      <c r="M500" s="29"/>
      <c r="N500" s="29"/>
      <c r="O500" s="29"/>
      <c r="P500" s="30"/>
      <c r="Q500" s="2"/>
    </row>
    <row r="501" spans="1:17" ht="17" x14ac:dyDescent="0.25">
      <c r="A501" s="265" t="s">
        <v>224</v>
      </c>
      <c r="B501" s="305"/>
      <c r="C501" s="306"/>
      <c r="D501" s="307"/>
      <c r="E501" s="22"/>
      <c r="F501" s="70" t="s">
        <v>235</v>
      </c>
      <c r="G501" s="67" t="s">
        <v>61</v>
      </c>
      <c r="H501" s="213">
        <f>ROUND([1]TrialBalance!$EJ$67,D2)</f>
        <v>0</v>
      </c>
      <c r="I501" s="214"/>
      <c r="J501" s="154"/>
      <c r="K501" s="142"/>
      <c r="L501" s="70" t="s">
        <v>235</v>
      </c>
      <c r="M501" s="67" t="s">
        <v>61</v>
      </c>
      <c r="N501" s="213">
        <f>IF(H72&gt;0,ROUND([1]OpenAccounts!$E$56,D2),0)</f>
        <v>0</v>
      </c>
      <c r="O501" s="214"/>
      <c r="P501" s="41"/>
      <c r="Q501" s="2"/>
    </row>
    <row r="502" spans="1:17" ht="5" customHeight="1" x14ac:dyDescent="0.2">
      <c r="A502" s="50"/>
      <c r="B502" s="25"/>
      <c r="C502" s="25"/>
      <c r="D502" s="16"/>
      <c r="E502" s="25"/>
      <c r="F502" s="31"/>
      <c r="G502" s="31"/>
      <c r="H502" s="31"/>
      <c r="I502" s="31"/>
      <c r="J502" s="32"/>
      <c r="K502" s="31"/>
      <c r="L502" s="31"/>
      <c r="M502" s="31"/>
      <c r="N502" s="31"/>
      <c r="O502" s="31"/>
      <c r="P502" s="32"/>
      <c r="Q502" s="2"/>
    </row>
    <row r="503" spans="1:17" ht="5" customHeight="1" x14ac:dyDescent="0.2">
      <c r="A503" s="48"/>
      <c r="B503" s="23"/>
      <c r="C503" s="23"/>
      <c r="D503" s="12"/>
      <c r="E503" s="23"/>
      <c r="F503" s="33"/>
      <c r="G503" s="33"/>
      <c r="H503" s="33"/>
      <c r="I503" s="33"/>
      <c r="J503" s="34"/>
      <c r="K503" s="33"/>
      <c r="L503" s="33"/>
      <c r="M503" s="33"/>
      <c r="N503" s="33"/>
      <c r="O503" s="33"/>
      <c r="P503" s="34"/>
      <c r="Q503" s="2"/>
    </row>
    <row r="504" spans="1:17" ht="15" customHeight="1" x14ac:dyDescent="0.25">
      <c r="A504" s="141"/>
      <c r="B504" s="20"/>
      <c r="C504" s="20"/>
      <c r="D504" s="7"/>
      <c r="E504" s="20"/>
      <c r="F504" s="316" t="s">
        <v>443</v>
      </c>
      <c r="G504" s="437"/>
      <c r="H504" s="437"/>
      <c r="I504" s="437"/>
      <c r="J504" s="26"/>
      <c r="K504" s="27"/>
      <c r="L504" s="316" t="s">
        <v>443</v>
      </c>
      <c r="M504" s="437"/>
      <c r="N504" s="437"/>
      <c r="O504" s="437"/>
      <c r="P504" s="26"/>
      <c r="Q504" s="2"/>
    </row>
    <row r="505" spans="1:17" ht="15" customHeight="1" x14ac:dyDescent="0.25">
      <c r="A505" s="224" t="s">
        <v>225</v>
      </c>
      <c r="B505" s="225"/>
      <c r="C505" s="283"/>
      <c r="D505" s="284"/>
      <c r="E505" s="20"/>
      <c r="F505" s="70" t="s">
        <v>236</v>
      </c>
      <c r="G505" s="66" t="s">
        <v>61</v>
      </c>
      <c r="H505" s="213"/>
      <c r="I505" s="214"/>
      <c r="J505" s="128"/>
      <c r="K505" s="109"/>
      <c r="L505" s="70" t="s">
        <v>236</v>
      </c>
      <c r="M505" s="66" t="s">
        <v>61</v>
      </c>
      <c r="N505" s="213"/>
      <c r="O505" s="214"/>
      <c r="P505" s="26"/>
      <c r="Q505" s="2"/>
    </row>
    <row r="506" spans="1:17" ht="5" customHeight="1" x14ac:dyDescent="0.2">
      <c r="A506" s="47"/>
      <c r="B506" s="21"/>
      <c r="C506" s="21"/>
      <c r="D506" s="9"/>
      <c r="E506" s="21"/>
      <c r="F506" s="10"/>
      <c r="G506" s="10"/>
      <c r="H506" s="10"/>
      <c r="I506" s="10"/>
      <c r="J506" s="28"/>
      <c r="K506" s="10"/>
      <c r="L506" s="10"/>
      <c r="M506" s="10"/>
      <c r="N506" s="10"/>
      <c r="O506" s="10"/>
      <c r="P506" s="28"/>
      <c r="Q506" s="2"/>
    </row>
    <row r="507" spans="1:17" ht="5" customHeight="1" x14ac:dyDescent="0.2">
      <c r="A507" s="49"/>
      <c r="B507" s="24"/>
      <c r="C507" s="24"/>
      <c r="D507" s="14"/>
      <c r="E507" s="24"/>
      <c r="F507" s="29"/>
      <c r="G507" s="29"/>
      <c r="H507" s="29"/>
      <c r="I507" s="29"/>
      <c r="J507" s="30"/>
      <c r="K507" s="29"/>
      <c r="L507" s="29"/>
      <c r="M507" s="29"/>
      <c r="N507" s="29"/>
      <c r="O507" s="29"/>
      <c r="P507" s="30"/>
      <c r="Q507" s="2"/>
    </row>
    <row r="508" spans="1:17" ht="17" x14ac:dyDescent="0.25">
      <c r="A508" s="357" t="s">
        <v>226</v>
      </c>
      <c r="B508" s="358"/>
      <c r="C508" s="354"/>
      <c r="D508" s="359"/>
      <c r="E508" s="22"/>
      <c r="F508" s="70" t="s">
        <v>237</v>
      </c>
      <c r="G508" s="107" t="s">
        <v>61</v>
      </c>
      <c r="H508" s="240">
        <f>H498+H501+H505</f>
        <v>0</v>
      </c>
      <c r="I508" s="241"/>
      <c r="J508" s="157"/>
      <c r="K508" s="142"/>
      <c r="L508" s="70" t="s">
        <v>237</v>
      </c>
      <c r="M508" s="107" t="s">
        <v>61</v>
      </c>
      <c r="N508" s="240">
        <f>IF(H72&gt;0,N498+N501+N505,"")</f>
        <v>0</v>
      </c>
      <c r="O508" s="241"/>
      <c r="P508" s="41"/>
      <c r="Q508" s="2"/>
    </row>
    <row r="509" spans="1:17" ht="5" customHeight="1" x14ac:dyDescent="0.2">
      <c r="A509" s="50"/>
      <c r="B509" s="25"/>
      <c r="C509" s="25"/>
      <c r="D509" s="16"/>
      <c r="E509" s="25"/>
      <c r="F509" s="31"/>
      <c r="G509" s="31"/>
      <c r="H509" s="31"/>
      <c r="I509" s="31"/>
      <c r="J509" s="32"/>
      <c r="K509" s="31"/>
      <c r="L509" s="31"/>
      <c r="M509" s="31"/>
      <c r="N509" s="31"/>
      <c r="O509" s="31"/>
      <c r="P509" s="32"/>
      <c r="Q509" s="2"/>
    </row>
    <row r="510" spans="1:17" ht="5" customHeight="1" x14ac:dyDescent="0.2">
      <c r="A510" s="48"/>
      <c r="B510" s="23"/>
      <c r="C510" s="23"/>
      <c r="D510" s="12"/>
      <c r="E510" s="23"/>
      <c r="F510" s="33"/>
      <c r="G510" s="33"/>
      <c r="H510" s="33"/>
      <c r="I510" s="33"/>
      <c r="J510" s="34"/>
      <c r="K510" s="33"/>
      <c r="L510" s="33"/>
      <c r="M510" s="33"/>
      <c r="N510" s="33"/>
      <c r="O510" s="33"/>
      <c r="P510" s="34"/>
      <c r="Q510" s="2"/>
    </row>
    <row r="511" spans="1:17" ht="15" customHeight="1" x14ac:dyDescent="0.25">
      <c r="A511" s="141"/>
      <c r="B511" s="20"/>
      <c r="C511" s="20"/>
      <c r="D511" s="7"/>
      <c r="E511" s="20"/>
      <c r="F511" s="316" t="s">
        <v>448</v>
      </c>
      <c r="G511" s="437"/>
      <c r="H511" s="437"/>
      <c r="I511" s="437"/>
      <c r="J511" s="26"/>
      <c r="K511" s="27"/>
      <c r="L511" s="316" t="s">
        <v>448</v>
      </c>
      <c r="M511" s="437"/>
      <c r="N511" s="437"/>
      <c r="O511" s="437"/>
      <c r="P511" s="26"/>
      <c r="Q511" s="2"/>
    </row>
    <row r="512" spans="1:17" ht="27" customHeight="1" x14ac:dyDescent="0.25">
      <c r="A512" s="327" t="s">
        <v>227</v>
      </c>
      <c r="B512" s="328"/>
      <c r="C512" s="306"/>
      <c r="D512" s="307"/>
      <c r="E512" s="20"/>
      <c r="F512" s="70" t="s">
        <v>238</v>
      </c>
      <c r="G512" s="66"/>
      <c r="H512" s="425"/>
      <c r="I512" s="426"/>
      <c r="J512" s="128"/>
      <c r="K512" s="109"/>
      <c r="L512" s="70" t="s">
        <v>238</v>
      </c>
      <c r="M512" s="66"/>
      <c r="N512" s="425"/>
      <c r="O512" s="426"/>
      <c r="P512" s="26"/>
      <c r="Q512" s="2"/>
    </row>
    <row r="513" spans="1:17" ht="5" customHeight="1" x14ac:dyDescent="0.2">
      <c r="A513" s="47"/>
      <c r="B513" s="21"/>
      <c r="C513" s="21"/>
      <c r="D513" s="9"/>
      <c r="E513" s="21"/>
      <c r="F513" s="10"/>
      <c r="G513" s="10"/>
      <c r="H513" s="10"/>
      <c r="I513" s="10"/>
      <c r="J513" s="28"/>
      <c r="K513" s="10"/>
      <c r="L513" s="10"/>
      <c r="M513" s="10"/>
      <c r="N513" s="10"/>
      <c r="O513" s="10"/>
      <c r="P513" s="28"/>
      <c r="Q513" s="2"/>
    </row>
    <row r="514" spans="1:17" x14ac:dyDescent="0.2">
      <c r="A514" s="22"/>
      <c r="B514" s="22"/>
      <c r="C514" s="22"/>
      <c r="D514" s="22"/>
      <c r="E514" s="22"/>
      <c r="F514" s="40"/>
      <c r="G514" s="40"/>
      <c r="H514" s="40"/>
      <c r="I514" s="40"/>
      <c r="J514" s="40"/>
      <c r="K514" s="40"/>
      <c r="L514" s="40"/>
      <c r="M514" s="40"/>
      <c r="N514" s="40"/>
      <c r="O514" s="40"/>
      <c r="P514" s="40"/>
      <c r="Q514" s="2"/>
    </row>
    <row r="515" spans="1:17" x14ac:dyDescent="0.2">
      <c r="A515" s="345" t="s">
        <v>209</v>
      </c>
      <c r="B515" s="345"/>
      <c r="C515" s="345"/>
      <c r="D515" s="345"/>
      <c r="E515" s="345"/>
      <c r="F515" s="345"/>
      <c r="G515" s="345"/>
      <c r="H515" s="345"/>
      <c r="I515" s="345"/>
      <c r="J515" s="345"/>
      <c r="K515" s="345"/>
      <c r="L515" s="345"/>
      <c r="M515" s="345"/>
      <c r="N515" s="345"/>
      <c r="O515" s="345"/>
      <c r="Q515" s="2"/>
    </row>
    <row r="516" spans="1:17" x14ac:dyDescent="0.2">
      <c r="Q516" s="2"/>
    </row>
    <row r="517" spans="1:17" ht="100" customHeight="1" x14ac:dyDescent="0.2">
      <c r="A517" s="213"/>
      <c r="B517" s="346"/>
      <c r="C517" s="347"/>
      <c r="D517" s="347"/>
      <c r="E517" s="347"/>
      <c r="F517" s="347"/>
      <c r="G517" s="347"/>
      <c r="H517" s="347"/>
      <c r="I517" s="347"/>
      <c r="J517" s="347"/>
      <c r="K517" s="347"/>
      <c r="L517" s="347"/>
      <c r="M517" s="347"/>
      <c r="N517" s="347"/>
      <c r="O517" s="347"/>
      <c r="P517" s="348"/>
      <c r="Q517" s="2"/>
    </row>
    <row r="518" spans="1:17" x14ac:dyDescent="0.2">
      <c r="Q518" s="2"/>
    </row>
    <row r="520" spans="1:17" ht="16" x14ac:dyDescent="0.2">
      <c r="A520" s="231" t="s">
        <v>145</v>
      </c>
      <c r="B520" s="232"/>
      <c r="C520" s="232"/>
      <c r="D520" s="232"/>
      <c r="F520" s="233"/>
      <c r="G520" s="233"/>
      <c r="H520" s="233"/>
      <c r="I520" s="233"/>
      <c r="J520" s="233"/>
      <c r="K520" s="233"/>
      <c r="L520" s="233"/>
      <c r="M520" s="233"/>
      <c r="N520" s="233"/>
      <c r="O520" s="233"/>
      <c r="P520" s="233"/>
      <c r="Q520" s="233"/>
    </row>
    <row r="521" spans="1:17" ht="5" customHeight="1" x14ac:dyDescent="0.2">
      <c r="A521" s="1"/>
      <c r="B521" s="1"/>
      <c r="C521" s="1"/>
      <c r="D521" s="1"/>
      <c r="E521" s="1"/>
      <c r="F521" s="1"/>
      <c r="G521" s="1"/>
      <c r="H521" s="1"/>
      <c r="I521" s="1"/>
      <c r="J521" s="1"/>
      <c r="K521" s="1"/>
      <c r="L521" s="1"/>
      <c r="M521" s="1"/>
      <c r="N521" s="1"/>
      <c r="O521" s="1"/>
      <c r="P521" s="1"/>
      <c r="Q521" s="1"/>
    </row>
    <row r="522" spans="1:17" x14ac:dyDescent="0.2">
      <c r="A522" s="234" t="s">
        <v>153</v>
      </c>
      <c r="B522" s="235"/>
      <c r="C522" s="235"/>
      <c r="D522" s="235"/>
      <c r="E522" s="236"/>
      <c r="F522" s="236"/>
      <c r="G522" s="236"/>
      <c r="H522" s="236"/>
      <c r="I522" s="236"/>
      <c r="J522" s="236"/>
      <c r="K522" s="236"/>
      <c r="L522" s="236"/>
      <c r="M522" s="236"/>
      <c r="N522" s="236"/>
      <c r="O522" s="236"/>
      <c r="P522" s="236"/>
      <c r="Q522" s="237"/>
    </row>
    <row r="523" spans="1:17" x14ac:dyDescent="0.2">
      <c r="A523" s="211" t="s">
        <v>228</v>
      </c>
      <c r="B523" s="212"/>
      <c r="C523" s="212"/>
      <c r="D523" s="212"/>
      <c r="E523" s="212"/>
      <c r="F523" s="212"/>
      <c r="G523" s="212"/>
      <c r="H523" s="212"/>
      <c r="I523" s="212"/>
      <c r="J523" s="212"/>
      <c r="K523" s="212"/>
      <c r="L523" s="212"/>
      <c r="M523" s="212"/>
      <c r="N523" s="212"/>
      <c r="O523" s="212"/>
      <c r="P523" s="212"/>
      <c r="Q523" s="38"/>
    </row>
    <row r="524" spans="1:17" x14ac:dyDescent="0.2">
      <c r="A524" s="62"/>
      <c r="B524" s="51"/>
      <c r="C524" s="51"/>
      <c r="D524" s="51"/>
      <c r="E524" s="51"/>
      <c r="F524" s="51"/>
      <c r="G524" s="51"/>
      <c r="H524" s="51"/>
      <c r="I524" s="51"/>
      <c r="J524" s="51"/>
      <c r="K524" s="51"/>
      <c r="L524" s="51"/>
      <c r="M524" s="51"/>
      <c r="N524" s="51"/>
      <c r="O524" s="51"/>
      <c r="P524" s="51"/>
      <c r="Q524" s="38"/>
    </row>
    <row r="525" spans="1:17" x14ac:dyDescent="0.2">
      <c r="A525" s="211" t="s">
        <v>970</v>
      </c>
      <c r="B525" s="212"/>
      <c r="C525" s="212"/>
      <c r="D525" s="212"/>
      <c r="E525" s="212"/>
      <c r="F525" s="212"/>
      <c r="G525" s="212"/>
      <c r="H525" s="212"/>
      <c r="I525" s="212"/>
      <c r="J525" s="212"/>
      <c r="K525" s="212"/>
      <c r="L525" s="212"/>
      <c r="M525" s="212"/>
      <c r="N525" s="212"/>
      <c r="O525" s="212"/>
      <c r="P525" s="212"/>
      <c r="Q525" s="38"/>
    </row>
    <row r="526" spans="1:17" x14ac:dyDescent="0.2">
      <c r="A526" s="62"/>
      <c r="B526" s="51"/>
      <c r="C526" s="51"/>
      <c r="D526" s="51"/>
      <c r="E526" s="51"/>
      <c r="F526" s="51"/>
      <c r="G526" s="51"/>
      <c r="H526" s="51"/>
      <c r="I526" s="51"/>
      <c r="J526" s="51"/>
      <c r="K526" s="51"/>
      <c r="L526" s="51"/>
      <c r="M526" s="51"/>
      <c r="N526" s="51"/>
      <c r="O526" s="51"/>
      <c r="P526" s="51"/>
      <c r="Q526" s="38"/>
    </row>
    <row r="527" spans="1:17" x14ac:dyDescent="0.2">
      <c r="A527" s="238" t="s">
        <v>208</v>
      </c>
      <c r="B527" s="239"/>
      <c r="C527" s="72"/>
      <c r="D527" s="72"/>
      <c r="E527" s="72"/>
      <c r="F527" s="238" t="str">
        <f>F156</f>
        <v>24 months to 31 Mar 2026.</v>
      </c>
      <c r="G527" s="239"/>
      <c r="H527" s="239"/>
      <c r="I527" s="239"/>
      <c r="J527" s="140"/>
      <c r="K527" s="140"/>
      <c r="L527" s="238" t="str">
        <f>IF(H72&gt;0,TEXT(H72,"yyyy"),"")</f>
        <v/>
      </c>
      <c r="M527" s="239"/>
      <c r="N527" s="239"/>
      <c r="O527" s="239"/>
      <c r="P527" s="140"/>
      <c r="Q527" s="38"/>
    </row>
    <row r="528" spans="1:17" x14ac:dyDescent="0.2">
      <c r="A528" s="36"/>
      <c r="Q528" s="2"/>
    </row>
    <row r="529" spans="1:17" ht="5" customHeight="1" x14ac:dyDescent="0.2">
      <c r="A529" s="48"/>
      <c r="B529" s="23"/>
      <c r="C529" s="23"/>
      <c r="D529" s="12"/>
      <c r="E529" s="23"/>
      <c r="F529" s="33"/>
      <c r="G529" s="33"/>
      <c r="H529" s="33"/>
      <c r="I529" s="33"/>
      <c r="J529" s="34"/>
      <c r="K529" s="33"/>
      <c r="L529" s="33"/>
      <c r="M529" s="33"/>
      <c r="N529" s="33"/>
      <c r="O529" s="33"/>
      <c r="P529" s="34"/>
      <c r="Q529" s="2"/>
    </row>
    <row r="530" spans="1:17" x14ac:dyDescent="0.2">
      <c r="A530" s="224" t="s">
        <v>229</v>
      </c>
      <c r="B530" s="225"/>
      <c r="C530" s="283"/>
      <c r="D530" s="284"/>
      <c r="E530" s="20"/>
      <c r="F530" s="70" t="s">
        <v>233</v>
      </c>
      <c r="G530" s="66" t="s">
        <v>61</v>
      </c>
      <c r="H530" s="213">
        <f>ROUND(N2315,D2)</f>
        <v>0</v>
      </c>
      <c r="I530" s="214"/>
      <c r="J530" s="26"/>
      <c r="K530" s="27"/>
      <c r="L530" s="70" t="s">
        <v>450</v>
      </c>
      <c r="M530" s="66" t="s">
        <v>61</v>
      </c>
      <c r="N530" s="213">
        <f>IF(H72&gt;0,ROUND([1]OpenAccounts!E82,D2),"")</f>
        <v>0</v>
      </c>
      <c r="O530" s="214"/>
      <c r="P530" s="26"/>
      <c r="Q530" s="2"/>
    </row>
    <row r="531" spans="1:17" ht="5" customHeight="1" x14ac:dyDescent="0.2">
      <c r="A531" s="47"/>
      <c r="B531" s="21"/>
      <c r="C531" s="21"/>
      <c r="D531" s="9"/>
      <c r="E531" s="21"/>
      <c r="F531" s="10"/>
      <c r="G531" s="10"/>
      <c r="H531" s="10"/>
      <c r="I531" s="10"/>
      <c r="J531" s="28"/>
      <c r="K531" s="10"/>
      <c r="L531" s="10"/>
      <c r="M531" s="10"/>
      <c r="N531" s="10"/>
      <c r="O531" s="10"/>
      <c r="P531" s="28"/>
      <c r="Q531" s="2"/>
    </row>
    <row r="532" spans="1:17" ht="5" customHeight="1" x14ac:dyDescent="0.2">
      <c r="A532" s="49"/>
      <c r="B532" s="24"/>
      <c r="C532" s="24"/>
      <c r="D532" s="14"/>
      <c r="E532" s="24"/>
      <c r="F532" s="29"/>
      <c r="G532" s="29"/>
      <c r="H532" s="29"/>
      <c r="I532" s="29"/>
      <c r="J532" s="30"/>
      <c r="K532" s="29"/>
      <c r="L532" s="29"/>
      <c r="M532" s="29"/>
      <c r="N532" s="29"/>
      <c r="O532" s="29"/>
      <c r="P532" s="30"/>
      <c r="Q532" s="2"/>
    </row>
    <row r="533" spans="1:17" ht="5" customHeight="1" x14ac:dyDescent="0.2">
      <c r="A533" s="61"/>
      <c r="B533" s="22"/>
      <c r="C533" s="22"/>
      <c r="D533" s="150"/>
      <c r="E533" s="22"/>
      <c r="F533" s="40"/>
      <c r="G533" s="40"/>
      <c r="H533" s="40"/>
      <c r="I533" s="40"/>
      <c r="J533" s="41"/>
      <c r="K533" s="40"/>
      <c r="L533" s="40"/>
      <c r="M533" s="40"/>
      <c r="N533" s="40"/>
      <c r="O533" s="40"/>
      <c r="P533" s="41"/>
      <c r="Q533" s="2"/>
    </row>
    <row r="534" spans="1:17" ht="15" customHeight="1" x14ac:dyDescent="0.2">
      <c r="A534" s="61"/>
      <c r="B534" s="22"/>
      <c r="C534" s="22"/>
      <c r="D534" s="150"/>
      <c r="E534" s="61"/>
      <c r="F534" s="335" t="s">
        <v>449</v>
      </c>
      <c r="G534" s="335"/>
      <c r="H534" s="335"/>
      <c r="I534" s="335"/>
      <c r="J534" s="41"/>
      <c r="K534" s="40"/>
      <c r="L534" s="335" t="s">
        <v>449</v>
      </c>
      <c r="M534" s="335"/>
      <c r="N534" s="335"/>
      <c r="O534" s="335"/>
      <c r="P534" s="41"/>
      <c r="Q534" s="2"/>
    </row>
    <row r="535" spans="1:17" ht="15" customHeight="1" x14ac:dyDescent="0.25">
      <c r="A535" s="265" t="s">
        <v>230</v>
      </c>
      <c r="B535" s="305"/>
      <c r="C535" s="306"/>
      <c r="D535" s="307"/>
      <c r="E535" s="22"/>
      <c r="F535" s="70" t="s">
        <v>232</v>
      </c>
      <c r="G535" s="67" t="s">
        <v>61</v>
      </c>
      <c r="H535" s="213"/>
      <c r="I535" s="214"/>
      <c r="J535" s="154"/>
      <c r="K535" s="142"/>
      <c r="L535" s="70" t="s">
        <v>451</v>
      </c>
      <c r="M535" s="67" t="s">
        <v>61</v>
      </c>
      <c r="N535" s="213"/>
      <c r="O535" s="214"/>
      <c r="P535" s="41"/>
      <c r="Q535" s="2"/>
    </row>
    <row r="536" spans="1:17" ht="5" customHeight="1" x14ac:dyDescent="0.2">
      <c r="A536" s="50"/>
      <c r="B536" s="25"/>
      <c r="C536" s="25"/>
      <c r="D536" s="16"/>
      <c r="E536" s="25"/>
      <c r="F536" s="31"/>
      <c r="G536" s="31"/>
      <c r="H536" s="31"/>
      <c r="I536" s="31"/>
      <c r="J536" s="32"/>
      <c r="K536" s="31"/>
      <c r="L536" s="31"/>
      <c r="M536" s="31"/>
      <c r="N536" s="31"/>
      <c r="O536" s="31"/>
      <c r="P536" s="32"/>
      <c r="Q536" s="2"/>
    </row>
    <row r="537" spans="1:17" ht="5" customHeight="1" x14ac:dyDescent="0.2">
      <c r="A537" s="48"/>
      <c r="B537" s="23"/>
      <c r="C537" s="23"/>
      <c r="D537" s="12"/>
      <c r="E537" s="23"/>
      <c r="F537" s="33"/>
      <c r="G537" s="33"/>
      <c r="H537" s="158"/>
      <c r="I537" s="33"/>
      <c r="J537" s="34"/>
      <c r="K537" s="33"/>
      <c r="L537" s="33"/>
      <c r="M537" s="33"/>
      <c r="N537" s="33"/>
      <c r="O537" s="33"/>
      <c r="P537" s="34"/>
      <c r="Q537" s="2"/>
    </row>
    <row r="538" spans="1:17" ht="15" customHeight="1" x14ac:dyDescent="0.25">
      <c r="A538" s="244" t="s">
        <v>239</v>
      </c>
      <c r="B538" s="245"/>
      <c r="C538" s="285"/>
      <c r="D538" s="286"/>
      <c r="E538" s="20"/>
      <c r="F538" s="70" t="s">
        <v>231</v>
      </c>
      <c r="G538" s="116" t="s">
        <v>61</v>
      </c>
      <c r="H538" s="314">
        <f>H530+H535</f>
        <v>0</v>
      </c>
      <c r="I538" s="315"/>
      <c r="J538" s="127"/>
      <c r="K538" s="109"/>
      <c r="L538" s="70" t="s">
        <v>452</v>
      </c>
      <c r="M538" s="116" t="s">
        <v>61</v>
      </c>
      <c r="N538" s="314">
        <f>IF(H72&gt;0,N530+N535,"")</f>
        <v>0</v>
      </c>
      <c r="O538" s="315"/>
      <c r="P538" s="26"/>
      <c r="Q538" s="2"/>
    </row>
    <row r="539" spans="1:17" ht="5" customHeight="1" x14ac:dyDescent="0.2">
      <c r="A539" s="47"/>
      <c r="B539" s="21"/>
      <c r="C539" s="21"/>
      <c r="D539" s="9"/>
      <c r="E539" s="21"/>
      <c r="F539" s="10"/>
      <c r="G539" s="10"/>
      <c r="H539" s="10"/>
      <c r="I539" s="10"/>
      <c r="J539" s="28"/>
      <c r="K539" s="10"/>
      <c r="L539" s="10"/>
      <c r="M539" s="10"/>
      <c r="N539" s="10"/>
      <c r="O539" s="10"/>
      <c r="P539" s="28"/>
      <c r="Q539" s="2"/>
    </row>
    <row r="540" spans="1:17" x14ac:dyDescent="0.2">
      <c r="J540" s="159"/>
      <c r="Q540" s="2"/>
    </row>
    <row r="541" spans="1:17" ht="5" customHeight="1" x14ac:dyDescent="0.2">
      <c r="A541" s="48"/>
      <c r="B541" s="23"/>
      <c r="C541" s="23"/>
      <c r="D541" s="12"/>
      <c r="E541" s="23"/>
      <c r="F541" s="33"/>
      <c r="G541" s="33"/>
      <c r="H541" s="33"/>
      <c r="I541" s="33"/>
      <c r="J541" s="34"/>
      <c r="K541" s="33"/>
      <c r="L541" s="33"/>
      <c r="M541" s="33"/>
      <c r="N541" s="33"/>
      <c r="O541" s="33"/>
      <c r="P541" s="34"/>
      <c r="Q541" s="2"/>
    </row>
    <row r="542" spans="1:17" s="51" customFormat="1" ht="26.25" customHeight="1" x14ac:dyDescent="0.2">
      <c r="A542" s="427" t="s">
        <v>240</v>
      </c>
      <c r="B542" s="428"/>
      <c r="C542" s="429"/>
      <c r="D542" s="430"/>
      <c r="E542" s="110"/>
      <c r="F542" s="111" t="s">
        <v>241</v>
      </c>
      <c r="G542" s="116" t="s">
        <v>61</v>
      </c>
      <c r="H542" s="314">
        <f>H188</f>
        <v>0</v>
      </c>
      <c r="I542" s="315"/>
      <c r="J542" s="113"/>
      <c r="K542" s="112"/>
      <c r="L542" s="111" t="s">
        <v>458</v>
      </c>
      <c r="M542" s="116" t="s">
        <v>61</v>
      </c>
      <c r="N542" s="314">
        <f>IF(H72&gt;0,N188,"")</f>
        <v>0</v>
      </c>
      <c r="O542" s="315"/>
      <c r="P542" s="113"/>
      <c r="Q542" s="114"/>
    </row>
    <row r="543" spans="1:17" ht="5" customHeight="1" x14ac:dyDescent="0.2">
      <c r="A543" s="47"/>
      <c r="B543" s="21"/>
      <c r="C543" s="21"/>
      <c r="D543" s="9"/>
      <c r="E543" s="21"/>
      <c r="F543" s="10"/>
      <c r="G543" s="10"/>
      <c r="H543" s="10"/>
      <c r="I543" s="10"/>
      <c r="J543" s="28"/>
      <c r="K543" s="10"/>
      <c r="L543" s="10"/>
      <c r="M543" s="10"/>
      <c r="N543" s="10"/>
      <c r="O543" s="10"/>
      <c r="P543" s="28"/>
      <c r="Q543" s="2"/>
    </row>
    <row r="544" spans="1:17" ht="5" customHeight="1" x14ac:dyDescent="0.2">
      <c r="A544" s="49"/>
      <c r="B544" s="24"/>
      <c r="C544" s="24"/>
      <c r="D544" s="14"/>
      <c r="E544" s="24"/>
      <c r="F544" s="29"/>
      <c r="G544" s="29"/>
      <c r="H544" s="29"/>
      <c r="I544" s="29"/>
      <c r="J544" s="30"/>
      <c r="K544" s="29"/>
      <c r="L544" s="29"/>
      <c r="M544" s="29"/>
      <c r="N544" s="29"/>
      <c r="O544" s="29"/>
      <c r="P544" s="30"/>
      <c r="Q544" s="2"/>
    </row>
    <row r="545" spans="1:17" ht="38.25" customHeight="1" x14ac:dyDescent="0.2">
      <c r="A545" s="265" t="s">
        <v>243</v>
      </c>
      <c r="B545" s="305"/>
      <c r="C545" s="306"/>
      <c r="D545" s="307"/>
      <c r="E545" s="22"/>
      <c r="F545" s="70" t="s">
        <v>242</v>
      </c>
      <c r="G545" s="59" t="s">
        <v>61</v>
      </c>
      <c r="H545" s="371">
        <f>ROUND(H542*O549,0)</f>
        <v>0</v>
      </c>
      <c r="I545" s="372"/>
      <c r="J545" s="157"/>
      <c r="K545" s="51"/>
      <c r="L545" s="70" t="s">
        <v>453</v>
      </c>
      <c r="M545" s="59" t="s">
        <v>61</v>
      </c>
      <c r="N545" s="371">
        <f>IF(H72&gt;0,ROUND(N542*O549,0),"")</f>
        <v>0</v>
      </c>
      <c r="O545" s="372"/>
      <c r="P545" s="41"/>
      <c r="Q545" s="2"/>
    </row>
    <row r="546" spans="1:17" ht="5" customHeight="1" x14ac:dyDescent="0.2">
      <c r="A546" s="50"/>
      <c r="B546" s="25"/>
      <c r="C546" s="25"/>
      <c r="D546" s="16"/>
      <c r="E546" s="25"/>
      <c r="F546" s="31"/>
      <c r="G546" s="31"/>
      <c r="H546" s="31"/>
      <c r="I546" s="31"/>
      <c r="J546" s="32"/>
      <c r="K546" s="31"/>
      <c r="L546" s="31"/>
      <c r="M546" s="31"/>
      <c r="N546" s="31"/>
      <c r="O546" s="31"/>
      <c r="P546" s="32"/>
      <c r="Q546" s="2"/>
    </row>
    <row r="547" spans="1:17" ht="5" customHeight="1" x14ac:dyDescent="0.2">
      <c r="A547" s="22"/>
      <c r="B547" s="22"/>
      <c r="C547" s="22"/>
      <c r="D547" s="22"/>
      <c r="E547" s="22"/>
      <c r="F547" s="40"/>
      <c r="G547" s="40"/>
      <c r="H547" s="40"/>
      <c r="I547" s="40"/>
      <c r="J547" s="40"/>
      <c r="K547" s="40"/>
      <c r="L547" s="40"/>
      <c r="M547" s="40"/>
      <c r="N547" s="40"/>
      <c r="O547" s="40"/>
      <c r="P547" s="40"/>
      <c r="Q547" s="2"/>
    </row>
    <row r="548" spans="1:17" ht="5" customHeight="1" x14ac:dyDescent="0.2">
      <c r="A548" s="22"/>
      <c r="B548" s="22"/>
      <c r="C548" s="22"/>
      <c r="D548" s="22"/>
      <c r="E548" s="22"/>
      <c r="F548" s="40"/>
      <c r="G548" s="40"/>
      <c r="H548" s="40"/>
      <c r="I548" s="40"/>
      <c r="J548" s="40"/>
      <c r="K548" s="40"/>
      <c r="L548" s="40"/>
      <c r="M548" s="40"/>
      <c r="N548" s="40"/>
      <c r="O548" s="40"/>
      <c r="P548" s="40"/>
      <c r="Q548" s="2"/>
    </row>
    <row r="549" spans="1:17" ht="66" customHeight="1" x14ac:dyDescent="0.2">
      <c r="A549" s="22"/>
      <c r="B549" s="22"/>
      <c r="C549" s="22"/>
      <c r="D549" s="111" t="s">
        <v>964</v>
      </c>
      <c r="E549" s="22"/>
      <c r="F549" s="335" t="s">
        <v>971</v>
      </c>
      <c r="G549" s="212"/>
      <c r="H549" s="212"/>
      <c r="I549" s="212"/>
      <c r="J549" s="212"/>
      <c r="K549" s="212"/>
      <c r="L549" s="212"/>
      <c r="M549" s="212"/>
      <c r="N549" s="212"/>
      <c r="O549" s="135">
        <v>0.28000000000000003</v>
      </c>
      <c r="P549" s="40"/>
      <c r="Q549" s="2"/>
    </row>
    <row r="550" spans="1:17" ht="15" customHeight="1" x14ac:dyDescent="0.2">
      <c r="A550" s="432" t="s">
        <v>244</v>
      </c>
      <c r="B550" s="419"/>
      <c r="C550" s="419"/>
      <c r="D550" s="419"/>
      <c r="E550" s="419"/>
      <c r="F550" s="419"/>
      <c r="G550" s="419"/>
      <c r="H550" s="419"/>
      <c r="I550" s="419"/>
      <c r="J550" s="419"/>
      <c r="K550" s="419"/>
      <c r="L550" s="419"/>
      <c r="M550" s="419"/>
      <c r="N550" s="419"/>
      <c r="O550" s="419"/>
      <c r="P550" s="419"/>
      <c r="Q550" s="2"/>
    </row>
    <row r="551" spans="1:17" x14ac:dyDescent="0.2">
      <c r="Q551" s="2"/>
    </row>
    <row r="552" spans="1:17" ht="5" customHeight="1" x14ac:dyDescent="0.2">
      <c r="A552" s="48"/>
      <c r="B552" s="23"/>
      <c r="C552" s="23"/>
      <c r="D552" s="12"/>
      <c r="E552" s="23"/>
      <c r="F552" s="33"/>
      <c r="G552" s="33"/>
      <c r="H552" s="33"/>
      <c r="I552" s="33"/>
      <c r="J552" s="34"/>
      <c r="K552" s="33"/>
      <c r="L552" s="33"/>
      <c r="M552" s="33"/>
      <c r="N552" s="33"/>
      <c r="O552" s="33"/>
      <c r="P552" s="34"/>
      <c r="Q552" s="2"/>
    </row>
    <row r="553" spans="1:17" ht="15" customHeight="1" x14ac:dyDescent="0.25">
      <c r="A553" s="141"/>
      <c r="B553" s="20"/>
      <c r="C553" s="20"/>
      <c r="D553" s="7"/>
      <c r="E553" s="20"/>
      <c r="F553" s="316" t="s">
        <v>449</v>
      </c>
      <c r="G553" s="316"/>
      <c r="H553" s="316"/>
      <c r="I553" s="316"/>
      <c r="J553" s="26"/>
      <c r="K553" s="27"/>
      <c r="L553" s="216" t="s">
        <v>449</v>
      </c>
      <c r="M553" s="216"/>
      <c r="N553" s="216"/>
      <c r="O553" s="216"/>
      <c r="P553" s="26"/>
      <c r="Q553" s="2"/>
    </row>
    <row r="554" spans="1:17" ht="15.75" customHeight="1" x14ac:dyDescent="0.25">
      <c r="A554" s="224" t="s">
        <v>972</v>
      </c>
      <c r="B554" s="225"/>
      <c r="C554" s="283"/>
      <c r="D554" s="284"/>
      <c r="E554" s="20"/>
      <c r="F554" s="70" t="s">
        <v>245</v>
      </c>
      <c r="G554" s="66" t="s">
        <v>61</v>
      </c>
      <c r="H554" s="213"/>
      <c r="I554" s="214"/>
      <c r="J554" s="128"/>
      <c r="K554" s="27"/>
      <c r="L554" s="70" t="s">
        <v>454</v>
      </c>
      <c r="M554" s="66" t="s">
        <v>61</v>
      </c>
      <c r="N554" s="213"/>
      <c r="O554" s="214"/>
      <c r="P554" s="26"/>
      <c r="Q554" s="2"/>
    </row>
    <row r="555" spans="1:17" ht="5" customHeight="1" x14ac:dyDescent="0.2">
      <c r="A555" s="47"/>
      <c r="B555" s="21"/>
      <c r="C555" s="21"/>
      <c r="D555" s="9"/>
      <c r="E555" s="21"/>
      <c r="F555" s="10"/>
      <c r="G555" s="10"/>
      <c r="H555" s="10"/>
      <c r="I555" s="10"/>
      <c r="J555" s="28"/>
      <c r="K555" s="10"/>
      <c r="L555" s="10"/>
      <c r="M555" s="10"/>
      <c r="N555" s="10"/>
      <c r="O555" s="10"/>
      <c r="P555" s="28"/>
      <c r="Q555" s="2"/>
    </row>
    <row r="556" spans="1:17" ht="5" customHeight="1" x14ac:dyDescent="0.2">
      <c r="A556" s="49"/>
      <c r="B556" s="24"/>
      <c r="C556" s="24"/>
      <c r="D556" s="14"/>
      <c r="E556" s="24"/>
      <c r="F556" s="29"/>
      <c r="G556" s="29"/>
      <c r="H556" s="29"/>
      <c r="I556" s="29"/>
      <c r="J556" s="30"/>
      <c r="K556" s="29"/>
      <c r="L556" s="29"/>
      <c r="M556" s="29"/>
      <c r="N556" s="29"/>
      <c r="O556" s="29"/>
      <c r="P556" s="30"/>
      <c r="Q556" s="2"/>
    </row>
    <row r="557" spans="1:17" ht="15" customHeight="1" x14ac:dyDescent="0.2">
      <c r="A557" s="61"/>
      <c r="B557" s="22"/>
      <c r="C557" s="22"/>
      <c r="D557" s="150"/>
      <c r="E557" s="22"/>
      <c r="F557" s="303" t="s">
        <v>449</v>
      </c>
      <c r="G557" s="303"/>
      <c r="H557" s="303"/>
      <c r="I557" s="303"/>
      <c r="J557" s="41"/>
      <c r="K557" s="40"/>
      <c r="L557" s="335" t="s">
        <v>449</v>
      </c>
      <c r="M557" s="335"/>
      <c r="N557" s="335"/>
      <c r="O557" s="335"/>
      <c r="P557" s="41"/>
      <c r="Q557" s="2"/>
    </row>
    <row r="558" spans="1:17" ht="16.5" customHeight="1" x14ac:dyDescent="0.25">
      <c r="A558" s="265" t="s">
        <v>249</v>
      </c>
      <c r="B558" s="305"/>
      <c r="C558" s="306"/>
      <c r="D558" s="307"/>
      <c r="E558" s="22"/>
      <c r="F558" s="70" t="s">
        <v>246</v>
      </c>
      <c r="G558" s="67" t="s">
        <v>61</v>
      </c>
      <c r="H558" s="213"/>
      <c r="I558" s="214"/>
      <c r="J558" s="154"/>
      <c r="K558" s="142"/>
      <c r="L558" s="70" t="s">
        <v>455</v>
      </c>
      <c r="M558" s="67" t="s">
        <v>61</v>
      </c>
      <c r="N558" s="213"/>
      <c r="O558" s="214"/>
      <c r="P558" s="41"/>
      <c r="Q558" s="2"/>
    </row>
    <row r="559" spans="1:17" ht="5" customHeight="1" x14ac:dyDescent="0.2">
      <c r="A559" s="50"/>
      <c r="B559" s="25"/>
      <c r="C559" s="25"/>
      <c r="D559" s="16"/>
      <c r="E559" s="25"/>
      <c r="F559" s="31"/>
      <c r="G559" s="31"/>
      <c r="H559" s="31"/>
      <c r="I559" s="31"/>
      <c r="J559" s="32"/>
      <c r="K559" s="31"/>
      <c r="L559" s="31"/>
      <c r="M559" s="31"/>
      <c r="N559" s="31"/>
      <c r="O559" s="31"/>
      <c r="P559" s="32"/>
      <c r="Q559" s="2"/>
    </row>
    <row r="560" spans="1:17" ht="5" customHeight="1" x14ac:dyDescent="0.2">
      <c r="A560" s="48"/>
      <c r="B560" s="23"/>
      <c r="C560" s="23"/>
      <c r="D560" s="12"/>
      <c r="E560" s="23"/>
      <c r="F560" s="33"/>
      <c r="G560" s="33"/>
      <c r="H560" s="33"/>
      <c r="I560" s="33"/>
      <c r="J560" s="34"/>
      <c r="K560" s="33"/>
      <c r="L560" s="33"/>
      <c r="M560" s="33"/>
      <c r="N560" s="33"/>
      <c r="O560" s="33"/>
      <c r="P560" s="34"/>
      <c r="Q560" s="2"/>
    </row>
    <row r="561" spans="1:17" ht="15" customHeight="1" x14ac:dyDescent="0.25">
      <c r="A561" s="141"/>
      <c r="B561" s="20"/>
      <c r="C561" s="20"/>
      <c r="D561" s="7"/>
      <c r="E561" s="20"/>
      <c r="F561" s="316" t="s">
        <v>994</v>
      </c>
      <c r="G561" s="316"/>
      <c r="H561" s="316"/>
      <c r="I561" s="316"/>
      <c r="J561" s="26"/>
      <c r="K561" s="27"/>
      <c r="L561" s="316" t="s">
        <v>994</v>
      </c>
      <c r="M561" s="316"/>
      <c r="N561" s="316"/>
      <c r="O561" s="316"/>
      <c r="P561" s="26"/>
      <c r="Q561" s="2"/>
    </row>
    <row r="562" spans="1:17" ht="15" customHeight="1" x14ac:dyDescent="0.2">
      <c r="A562" s="224" t="s">
        <v>250</v>
      </c>
      <c r="B562" s="225"/>
      <c r="C562" s="283"/>
      <c r="D562" s="284"/>
      <c r="E562" s="20"/>
      <c r="F562" s="70" t="s">
        <v>247</v>
      </c>
      <c r="G562" s="66" t="s">
        <v>61</v>
      </c>
      <c r="H562" s="213">
        <f>H538-H545</f>
        <v>0</v>
      </c>
      <c r="I562" s="214"/>
      <c r="J562" s="26"/>
      <c r="K562" s="27"/>
      <c r="L562" s="70" t="s">
        <v>456</v>
      </c>
      <c r="M562" s="66" t="s">
        <v>61</v>
      </c>
      <c r="N562" s="213">
        <f>IF(H72&gt;0,N538-N545,"")</f>
        <v>0</v>
      </c>
      <c r="O562" s="214"/>
      <c r="P562" s="26"/>
      <c r="Q562" s="2"/>
    </row>
    <row r="563" spans="1:17" ht="5" customHeight="1" x14ac:dyDescent="0.2">
      <c r="A563" s="47"/>
      <c r="B563" s="21"/>
      <c r="C563" s="21"/>
      <c r="D563" s="9"/>
      <c r="E563" s="21"/>
      <c r="F563" s="10"/>
      <c r="G563" s="10"/>
      <c r="H563" s="10"/>
      <c r="I563" s="10"/>
      <c r="J563" s="28"/>
      <c r="K563" s="10"/>
      <c r="L563" s="10"/>
      <c r="M563" s="10"/>
      <c r="N563" s="10"/>
      <c r="O563" s="10"/>
      <c r="P563" s="28"/>
      <c r="Q563" s="2"/>
    </row>
    <row r="564" spans="1:17" ht="5" customHeight="1" x14ac:dyDescent="0.2">
      <c r="A564" s="49"/>
      <c r="B564" s="24"/>
      <c r="C564" s="24"/>
      <c r="D564" s="14"/>
      <c r="E564" s="24"/>
      <c r="F564" s="29"/>
      <c r="G564" s="29"/>
      <c r="H564" s="29"/>
      <c r="I564" s="29"/>
      <c r="J564" s="30"/>
      <c r="K564" s="29"/>
      <c r="L564" s="29"/>
      <c r="M564" s="29"/>
      <c r="N564" s="29"/>
      <c r="O564" s="29"/>
      <c r="P564" s="30"/>
      <c r="Q564" s="2"/>
    </row>
    <row r="565" spans="1:17" ht="5" customHeight="1" x14ac:dyDescent="0.2">
      <c r="A565" s="61"/>
      <c r="B565" s="22"/>
      <c r="C565" s="22"/>
      <c r="D565" s="150"/>
      <c r="E565" s="22"/>
      <c r="F565" s="40"/>
      <c r="G565" s="40"/>
      <c r="H565" s="40"/>
      <c r="I565" s="40"/>
      <c r="J565" s="41"/>
      <c r="K565" s="40"/>
      <c r="L565" s="40"/>
      <c r="M565" s="40"/>
      <c r="N565" s="40"/>
      <c r="O565" s="40"/>
      <c r="P565" s="41"/>
      <c r="Q565" s="2"/>
    </row>
    <row r="566" spans="1:17" ht="17" x14ac:dyDescent="0.25">
      <c r="A566" s="357" t="s">
        <v>251</v>
      </c>
      <c r="B566" s="358"/>
      <c r="C566" s="354"/>
      <c r="D566" s="359"/>
      <c r="E566" s="22"/>
      <c r="F566" s="70" t="s">
        <v>248</v>
      </c>
      <c r="G566" s="107" t="s">
        <v>61</v>
      </c>
      <c r="H566" s="240">
        <f>H545+H554-H558+H562</f>
        <v>0</v>
      </c>
      <c r="I566" s="241"/>
      <c r="J566" s="157"/>
      <c r="K566" s="142"/>
      <c r="L566" s="70" t="s">
        <v>457</v>
      </c>
      <c r="M566" s="107" t="s">
        <v>61</v>
      </c>
      <c r="N566" s="240">
        <f>IF(H72&gt;0,N545+N554-N558+N562,"")</f>
        <v>0</v>
      </c>
      <c r="O566" s="241"/>
      <c r="P566" s="41"/>
      <c r="Q566" s="2"/>
    </row>
    <row r="567" spans="1:17" ht="5" customHeight="1" x14ac:dyDescent="0.2">
      <c r="A567" s="50"/>
      <c r="B567" s="25"/>
      <c r="C567" s="25"/>
      <c r="D567" s="16"/>
      <c r="E567" s="25"/>
      <c r="F567" s="31"/>
      <c r="G567" s="31"/>
      <c r="H567" s="31"/>
      <c r="I567" s="31"/>
      <c r="J567" s="32"/>
      <c r="K567" s="31"/>
      <c r="L567" s="31"/>
      <c r="M567" s="31"/>
      <c r="N567" s="31"/>
      <c r="O567" s="31"/>
      <c r="P567" s="32"/>
      <c r="Q567" s="2"/>
    </row>
    <row r="568" spans="1:17" ht="15" customHeight="1" x14ac:dyDescent="0.2">
      <c r="A568" s="22"/>
      <c r="B568" s="22"/>
      <c r="C568" s="22"/>
      <c r="D568" s="22"/>
      <c r="E568" s="22"/>
      <c r="F568" s="40"/>
      <c r="G568" s="40"/>
      <c r="H568" s="40"/>
      <c r="I568" s="40"/>
      <c r="J568" s="40"/>
      <c r="K568" s="40"/>
      <c r="L568" s="40"/>
      <c r="M568" s="40"/>
      <c r="N568" s="40"/>
      <c r="O568" s="40"/>
      <c r="P568" s="40"/>
      <c r="Q568" s="2"/>
    </row>
    <row r="569" spans="1:17" ht="30.75" customHeight="1" x14ac:dyDescent="0.2">
      <c r="A569" s="212" t="s">
        <v>253</v>
      </c>
      <c r="B569" s="212"/>
      <c r="C569" s="212"/>
      <c r="D569" s="212"/>
      <c r="E569" s="212"/>
      <c r="F569" s="212"/>
      <c r="G569" s="212"/>
      <c r="H569" s="212"/>
      <c r="I569" s="212"/>
      <c r="J569" s="212"/>
      <c r="K569" s="212"/>
      <c r="L569" s="212"/>
      <c r="M569" s="212"/>
      <c r="N569" s="212"/>
      <c r="O569" s="212"/>
      <c r="P569" s="40"/>
      <c r="Q569" s="2"/>
    </row>
    <row r="570" spans="1:17" ht="15" customHeight="1" x14ac:dyDescent="0.2">
      <c r="A570" s="22"/>
      <c r="B570" s="22"/>
      <c r="C570" s="22"/>
      <c r="D570" s="22"/>
      <c r="E570" s="22"/>
      <c r="F570" s="40"/>
      <c r="G570" s="40"/>
      <c r="H570" s="40"/>
      <c r="I570" s="40"/>
      <c r="J570" s="40"/>
      <c r="K570" s="40"/>
      <c r="L570" s="40"/>
      <c r="M570" s="40"/>
      <c r="N570" s="40"/>
      <c r="O570" s="40"/>
      <c r="P570" s="40"/>
      <c r="Q570" s="2"/>
    </row>
    <row r="571" spans="1:17" ht="100" customHeight="1" x14ac:dyDescent="0.2">
      <c r="A571" s="363" t="s">
        <v>993</v>
      </c>
      <c r="B571" s="364"/>
      <c r="C571" s="365"/>
      <c r="D571" s="365"/>
      <c r="E571" s="365"/>
      <c r="F571" s="365"/>
      <c r="G571" s="365"/>
      <c r="H571" s="365"/>
      <c r="I571" s="365"/>
      <c r="J571" s="365"/>
      <c r="K571" s="365"/>
      <c r="L571" s="365"/>
      <c r="M571" s="365"/>
      <c r="N571" s="365"/>
      <c r="O571" s="365"/>
      <c r="P571" s="366"/>
      <c r="Q571" s="2"/>
    </row>
    <row r="572" spans="1:17" x14ac:dyDescent="0.2">
      <c r="Q572" s="2"/>
    </row>
    <row r="574" spans="1:17" ht="16" x14ac:dyDescent="0.2">
      <c r="A574" s="231" t="s">
        <v>145</v>
      </c>
      <c r="B574" s="232"/>
      <c r="C574" s="232"/>
      <c r="D574" s="232"/>
      <c r="F574" s="233"/>
      <c r="G574" s="233"/>
      <c r="H574" s="233"/>
      <c r="I574" s="233"/>
      <c r="J574" s="233"/>
      <c r="K574" s="233"/>
      <c r="L574" s="233"/>
      <c r="M574" s="233"/>
      <c r="N574" s="233"/>
      <c r="O574" s="233"/>
      <c r="P574" s="233"/>
      <c r="Q574" s="233"/>
    </row>
    <row r="575" spans="1:17" ht="5" customHeight="1" x14ac:dyDescent="0.2">
      <c r="A575" s="1"/>
      <c r="B575" s="1"/>
      <c r="C575" s="1"/>
      <c r="D575" s="1"/>
      <c r="E575" s="1"/>
      <c r="F575" s="1"/>
      <c r="G575" s="1"/>
      <c r="H575" s="1"/>
      <c r="I575" s="1"/>
      <c r="J575" s="1"/>
      <c r="K575" s="1"/>
      <c r="L575" s="1"/>
      <c r="M575" s="1"/>
      <c r="N575" s="1"/>
      <c r="O575" s="1"/>
      <c r="P575" s="1"/>
      <c r="Q575" s="1"/>
    </row>
    <row r="576" spans="1:17" x14ac:dyDescent="0.2">
      <c r="A576" s="234" t="s">
        <v>154</v>
      </c>
      <c r="B576" s="235"/>
      <c r="C576" s="235"/>
      <c r="D576" s="235"/>
      <c r="E576" s="236"/>
      <c r="F576" s="236"/>
      <c r="G576" s="236"/>
      <c r="H576" s="236"/>
      <c r="I576" s="236"/>
      <c r="J576" s="236"/>
      <c r="K576" s="236"/>
      <c r="L576" s="236"/>
      <c r="M576" s="236"/>
      <c r="N576" s="236"/>
      <c r="O576" s="236"/>
      <c r="P576" s="236"/>
      <c r="Q576" s="237"/>
    </row>
    <row r="577" spans="1:17" x14ac:dyDescent="0.2">
      <c r="A577" s="211" t="s">
        <v>254</v>
      </c>
      <c r="B577" s="212"/>
      <c r="C577" s="212"/>
      <c r="D577" s="212"/>
      <c r="E577" s="212"/>
      <c r="F577" s="212"/>
      <c r="G577" s="212"/>
      <c r="H577" s="212"/>
      <c r="I577" s="212"/>
      <c r="J577" s="212"/>
      <c r="K577" s="212"/>
      <c r="L577" s="212"/>
      <c r="M577" s="212"/>
      <c r="N577" s="212"/>
      <c r="O577" s="212"/>
      <c r="P577" s="212"/>
      <c r="Q577" s="38"/>
    </row>
    <row r="578" spans="1:17" x14ac:dyDescent="0.2">
      <c r="A578" s="62"/>
      <c r="B578" s="51"/>
      <c r="C578" s="51"/>
      <c r="D578" s="51"/>
      <c r="E578" s="51"/>
      <c r="F578" s="51"/>
      <c r="G578" s="51"/>
      <c r="H578" s="51"/>
      <c r="I578" s="51"/>
      <c r="J578" s="51"/>
      <c r="K578" s="51"/>
      <c r="L578" s="51"/>
      <c r="M578" s="51"/>
      <c r="N578" s="160"/>
      <c r="O578" s="51"/>
      <c r="P578" s="51"/>
      <c r="Q578" s="38"/>
    </row>
    <row r="579" spans="1:17" x14ac:dyDescent="0.2">
      <c r="A579" s="211" t="s">
        <v>970</v>
      </c>
      <c r="B579" s="212"/>
      <c r="C579" s="212"/>
      <c r="D579" s="212"/>
      <c r="E579" s="212"/>
      <c r="F579" s="212"/>
      <c r="G579" s="212"/>
      <c r="H579" s="212"/>
      <c r="I579" s="212"/>
      <c r="J579" s="212"/>
      <c r="K579" s="212"/>
      <c r="L579" s="212"/>
      <c r="M579" s="212"/>
      <c r="N579" s="212"/>
      <c r="O579" s="212"/>
      <c r="P579" s="212"/>
      <c r="Q579" s="38"/>
    </row>
    <row r="580" spans="1:17" x14ac:dyDescent="0.2">
      <c r="A580" s="62"/>
      <c r="B580" s="51"/>
      <c r="C580" s="51"/>
      <c r="D580" s="51"/>
      <c r="E580" s="51"/>
      <c r="F580" s="51"/>
      <c r="G580" s="51"/>
      <c r="H580" s="51"/>
      <c r="I580" s="51"/>
      <c r="J580" s="51"/>
      <c r="K580" s="51"/>
      <c r="L580" s="51"/>
      <c r="M580" s="51"/>
      <c r="N580" s="51"/>
      <c r="O580" s="51"/>
      <c r="P580" s="51"/>
      <c r="Q580" s="38"/>
    </row>
    <row r="581" spans="1:17" ht="15" customHeight="1" x14ac:dyDescent="0.2">
      <c r="A581" s="238" t="s">
        <v>208</v>
      </c>
      <c r="B581" s="239"/>
      <c r="C581" s="72"/>
      <c r="D581" s="72"/>
      <c r="E581" s="72"/>
      <c r="F581" s="238" t="str">
        <f>F156</f>
        <v>24 months to 31 Mar 2026.</v>
      </c>
      <c r="G581" s="238"/>
      <c r="H581" s="238"/>
      <c r="I581" s="238"/>
      <c r="J581" s="140"/>
      <c r="K581" s="140"/>
      <c r="L581" s="238" t="str">
        <f>IF(H72&gt;0,TEXT(H72,"yyyy"),"")</f>
        <v/>
      </c>
      <c r="M581" s="239"/>
      <c r="N581" s="239"/>
      <c r="O581" s="239"/>
      <c r="P581" s="140"/>
      <c r="Q581" s="38"/>
    </row>
    <row r="582" spans="1:17" x14ac:dyDescent="0.2">
      <c r="A582" s="36"/>
      <c r="Q582" s="2"/>
    </row>
    <row r="583" spans="1:17" ht="5" customHeight="1" x14ac:dyDescent="0.2">
      <c r="A583" s="48"/>
      <c r="B583" s="23"/>
      <c r="C583" s="23"/>
      <c r="D583" s="12"/>
      <c r="E583" s="23"/>
      <c r="F583" s="33"/>
      <c r="G583" s="33"/>
      <c r="H583" s="33"/>
      <c r="I583" s="33"/>
      <c r="J583" s="34"/>
      <c r="K583" s="33"/>
      <c r="L583" s="33"/>
      <c r="M583" s="33"/>
      <c r="N583" s="33"/>
      <c r="O583" s="33"/>
      <c r="P583" s="34"/>
      <c r="Q583" s="2"/>
    </row>
    <row r="584" spans="1:17" x14ac:dyDescent="0.2">
      <c r="A584" s="224" t="s">
        <v>255</v>
      </c>
      <c r="B584" s="225"/>
      <c r="C584" s="283"/>
      <c r="D584" s="284"/>
      <c r="E584" s="20"/>
      <c r="F584" s="70" t="s">
        <v>961</v>
      </c>
      <c r="G584" s="66" t="s">
        <v>61</v>
      </c>
      <c r="H584" s="213">
        <f>ROUND([1]TrialBalance!$EJ$48,D2)</f>
        <v>0</v>
      </c>
      <c r="I584" s="214"/>
      <c r="J584" s="26"/>
      <c r="K584" s="27"/>
      <c r="L584" s="70" t="s">
        <v>461</v>
      </c>
      <c r="M584" s="66" t="s">
        <v>61</v>
      </c>
      <c r="N584" s="213">
        <f>IF(H72&gt;0,ROUND([1]OpenAccounts!E84,D2),"")</f>
        <v>0</v>
      </c>
      <c r="O584" s="214"/>
      <c r="P584" s="26"/>
      <c r="Q584" s="2"/>
    </row>
    <row r="585" spans="1:17" ht="5" customHeight="1" x14ac:dyDescent="0.2">
      <c r="A585" s="47"/>
      <c r="B585" s="21"/>
      <c r="C585" s="21"/>
      <c r="D585" s="9"/>
      <c r="E585" s="21"/>
      <c r="F585" s="10"/>
      <c r="G585" s="10"/>
      <c r="H585" s="10"/>
      <c r="I585" s="10"/>
      <c r="J585" s="28"/>
      <c r="K585" s="10"/>
      <c r="L585" s="10"/>
      <c r="M585" s="10"/>
      <c r="N585" s="10"/>
      <c r="O585" s="10"/>
      <c r="P585" s="28"/>
      <c r="Q585" s="2"/>
    </row>
    <row r="586" spans="1:17" ht="5" customHeight="1" x14ac:dyDescent="0.2">
      <c r="A586" s="49"/>
      <c r="B586" s="24"/>
      <c r="C586" s="24"/>
      <c r="D586" s="14"/>
      <c r="E586" s="24"/>
      <c r="F586" s="29"/>
      <c r="G586" s="29"/>
      <c r="H586" s="29"/>
      <c r="I586" s="29"/>
      <c r="J586" s="30"/>
      <c r="K586" s="29"/>
      <c r="L586" s="29"/>
      <c r="M586" s="29"/>
      <c r="N586" s="29"/>
      <c r="O586" s="29"/>
      <c r="P586" s="30"/>
      <c r="Q586" s="2"/>
    </row>
    <row r="587" spans="1:17" ht="15" customHeight="1" x14ac:dyDescent="0.2">
      <c r="A587" s="61"/>
      <c r="B587" s="22"/>
      <c r="C587" s="22"/>
      <c r="D587" s="150"/>
      <c r="E587" s="22"/>
      <c r="F587" s="303" t="s">
        <v>448</v>
      </c>
      <c r="G587" s="303"/>
      <c r="H587" s="303"/>
      <c r="I587" s="303"/>
      <c r="J587" s="41"/>
      <c r="K587" s="40"/>
      <c r="L587" s="303" t="s">
        <v>448</v>
      </c>
      <c r="M587" s="303"/>
      <c r="N587" s="303"/>
      <c r="O587" s="303"/>
      <c r="P587" s="41"/>
      <c r="Q587" s="2"/>
    </row>
    <row r="588" spans="1:17" ht="16.5" customHeight="1" x14ac:dyDescent="0.25">
      <c r="A588" s="265" t="s">
        <v>256</v>
      </c>
      <c r="B588" s="305"/>
      <c r="C588" s="306"/>
      <c r="D588" s="307"/>
      <c r="E588" s="22"/>
      <c r="F588" s="70" t="s">
        <v>962</v>
      </c>
      <c r="G588" s="67" t="s">
        <v>61</v>
      </c>
      <c r="H588" s="213"/>
      <c r="I588" s="214"/>
      <c r="J588" s="154"/>
      <c r="K588" s="142"/>
      <c r="L588" s="70" t="s">
        <v>462</v>
      </c>
      <c r="M588" s="67" t="s">
        <v>61</v>
      </c>
      <c r="N588" s="213"/>
      <c r="O588" s="214"/>
      <c r="P588" s="41"/>
      <c r="Q588" s="2"/>
    </row>
    <row r="589" spans="1:17" ht="5" customHeight="1" x14ac:dyDescent="0.2">
      <c r="A589" s="50"/>
      <c r="B589" s="25"/>
      <c r="C589" s="25"/>
      <c r="D589" s="16"/>
      <c r="E589" s="25"/>
      <c r="F589" s="31"/>
      <c r="G589" s="31"/>
      <c r="H589" s="31"/>
      <c r="I589" s="31"/>
      <c r="J589" s="32"/>
      <c r="K589" s="31"/>
      <c r="L589" s="31"/>
      <c r="M589" s="31"/>
      <c r="N589" s="31"/>
      <c r="O589" s="31"/>
      <c r="P589" s="32"/>
      <c r="Q589" s="2"/>
    </row>
    <row r="590" spans="1:17" ht="5" customHeight="1" x14ac:dyDescent="0.2">
      <c r="A590" s="48"/>
      <c r="B590" s="23"/>
      <c r="C590" s="23"/>
      <c r="D590" s="12"/>
      <c r="E590" s="23"/>
      <c r="F590" s="33"/>
      <c r="G590" s="33"/>
      <c r="H590" s="33"/>
      <c r="I590" s="33"/>
      <c r="J590" s="34"/>
      <c r="K590" s="33"/>
      <c r="L590" s="33"/>
      <c r="M590" s="33"/>
      <c r="N590" s="33"/>
      <c r="O590" s="33"/>
      <c r="P590" s="34"/>
      <c r="Q590" s="2"/>
    </row>
    <row r="591" spans="1:17" x14ac:dyDescent="0.2">
      <c r="A591" s="244" t="s">
        <v>257</v>
      </c>
      <c r="B591" s="245"/>
      <c r="C591" s="285"/>
      <c r="D591" s="286"/>
      <c r="E591" s="20"/>
      <c r="F591" s="70" t="s">
        <v>963</v>
      </c>
      <c r="G591" s="27" t="s">
        <v>61</v>
      </c>
      <c r="H591" s="242">
        <f>H584+H588</f>
        <v>0</v>
      </c>
      <c r="I591" s="325"/>
      <c r="J591" s="26"/>
      <c r="K591" s="27"/>
      <c r="L591" s="70" t="s">
        <v>463</v>
      </c>
      <c r="M591" s="27" t="s">
        <v>61</v>
      </c>
      <c r="N591" s="242">
        <f>IF(H72&gt;0,N584+N588,"")</f>
        <v>0</v>
      </c>
      <c r="O591" s="325"/>
      <c r="P591" s="26"/>
      <c r="Q591" s="2"/>
    </row>
    <row r="592" spans="1:17" ht="5" customHeight="1" x14ac:dyDescent="0.2">
      <c r="A592" s="47"/>
      <c r="B592" s="21"/>
      <c r="C592" s="21"/>
      <c r="D592" s="9"/>
      <c r="E592" s="21"/>
      <c r="F592" s="10"/>
      <c r="G592" s="10"/>
      <c r="H592" s="10"/>
      <c r="I592" s="10"/>
      <c r="J592" s="28"/>
      <c r="K592" s="10"/>
      <c r="L592" s="10"/>
      <c r="M592" s="10"/>
      <c r="N592" s="10"/>
      <c r="O592" s="10"/>
      <c r="P592" s="28"/>
      <c r="Q592" s="2"/>
    </row>
    <row r="593" spans="1:17" x14ac:dyDescent="0.2">
      <c r="A593" s="22"/>
      <c r="B593" s="22"/>
      <c r="C593" s="22"/>
      <c r="D593" s="22"/>
      <c r="E593" s="22"/>
      <c r="F593" s="40"/>
      <c r="G593" s="40"/>
      <c r="H593" s="40"/>
      <c r="I593" s="40"/>
      <c r="J593" s="40"/>
      <c r="K593" s="40"/>
      <c r="L593" s="40"/>
      <c r="M593" s="40"/>
      <c r="N593" s="40"/>
      <c r="O593" s="40"/>
      <c r="P593" s="40"/>
      <c r="Q593" s="2"/>
    </row>
    <row r="594" spans="1:17" x14ac:dyDescent="0.2">
      <c r="A594" s="345" t="s">
        <v>209</v>
      </c>
      <c r="B594" s="345"/>
      <c r="C594" s="345"/>
      <c r="D594" s="345"/>
      <c r="E594" s="345"/>
      <c r="F594" s="345"/>
      <c r="G594" s="345"/>
      <c r="H594" s="345"/>
      <c r="I594" s="345"/>
      <c r="J594" s="345"/>
      <c r="K594" s="345"/>
      <c r="L594" s="345"/>
      <c r="M594" s="345"/>
      <c r="N594" s="345"/>
      <c r="O594" s="345"/>
      <c r="Q594" s="2"/>
    </row>
    <row r="595" spans="1:17" x14ac:dyDescent="0.2">
      <c r="Q595" s="2"/>
    </row>
    <row r="596" spans="1:17" ht="100" customHeight="1" x14ac:dyDescent="0.2">
      <c r="A596" s="213"/>
      <c r="B596" s="346"/>
      <c r="C596" s="347"/>
      <c r="D596" s="347"/>
      <c r="E596" s="347"/>
      <c r="F596" s="347"/>
      <c r="G596" s="347"/>
      <c r="H596" s="347"/>
      <c r="I596" s="347"/>
      <c r="J596" s="347"/>
      <c r="K596" s="347"/>
      <c r="L596" s="347"/>
      <c r="M596" s="347"/>
      <c r="N596" s="347"/>
      <c r="O596" s="347"/>
      <c r="P596" s="348"/>
      <c r="Q596" s="2"/>
    </row>
    <row r="597" spans="1:17" x14ac:dyDescent="0.2">
      <c r="Q597" s="2"/>
    </row>
    <row r="599" spans="1:17" ht="16" x14ac:dyDescent="0.2">
      <c r="A599" s="231" t="s">
        <v>145</v>
      </c>
      <c r="B599" s="232"/>
      <c r="C599" s="232"/>
      <c r="D599" s="232"/>
      <c r="F599" s="233"/>
      <c r="G599" s="233"/>
      <c r="H599" s="233"/>
      <c r="I599" s="233"/>
      <c r="J599" s="233"/>
      <c r="K599" s="233"/>
      <c r="L599" s="233"/>
      <c r="M599" s="233"/>
      <c r="N599" s="233"/>
      <c r="O599" s="233"/>
      <c r="P599" s="233"/>
      <c r="Q599" s="233"/>
    </row>
    <row r="600" spans="1:17" ht="5" customHeight="1" x14ac:dyDescent="0.2">
      <c r="A600" s="1"/>
      <c r="B600" s="1"/>
      <c r="C600" s="1"/>
      <c r="D600" s="1"/>
      <c r="E600" s="1"/>
      <c r="F600" s="1"/>
      <c r="G600" s="1"/>
      <c r="H600" s="1"/>
      <c r="I600" s="1"/>
      <c r="J600" s="1"/>
      <c r="K600" s="1"/>
      <c r="L600" s="1"/>
      <c r="M600" s="1"/>
      <c r="N600" s="1"/>
      <c r="O600" s="1"/>
      <c r="P600" s="1"/>
      <c r="Q600" s="1"/>
    </row>
    <row r="601" spans="1:17" x14ac:dyDescent="0.2">
      <c r="A601" s="234" t="s">
        <v>258</v>
      </c>
      <c r="B601" s="235"/>
      <c r="C601" s="235"/>
      <c r="D601" s="235"/>
      <c r="E601" s="236"/>
      <c r="F601" s="236"/>
      <c r="G601" s="236"/>
      <c r="H601" s="236"/>
      <c r="I601" s="236"/>
      <c r="J601" s="236"/>
      <c r="K601" s="236"/>
      <c r="L601" s="236"/>
      <c r="M601" s="236"/>
      <c r="N601" s="236"/>
      <c r="O601" s="236"/>
      <c r="P601" s="236"/>
      <c r="Q601" s="237"/>
    </row>
    <row r="602" spans="1:17" x14ac:dyDescent="0.2">
      <c r="A602" s="211" t="s">
        <v>283</v>
      </c>
      <c r="B602" s="212"/>
      <c r="C602" s="212"/>
      <c r="D602" s="212"/>
      <c r="E602" s="212"/>
      <c r="F602" s="212"/>
      <c r="G602" s="212"/>
      <c r="H602" s="212"/>
      <c r="I602" s="212"/>
      <c r="J602" s="212"/>
      <c r="K602" s="212"/>
      <c r="L602" s="212"/>
      <c r="M602" s="212"/>
      <c r="N602" s="212"/>
      <c r="O602" s="212"/>
      <c r="P602" s="212"/>
      <c r="Q602" s="38"/>
    </row>
    <row r="603" spans="1:17" x14ac:dyDescent="0.2">
      <c r="A603" s="62"/>
      <c r="B603" s="51"/>
      <c r="C603" s="51"/>
      <c r="D603" s="51"/>
      <c r="E603" s="51"/>
      <c r="F603" s="51"/>
      <c r="G603" s="51"/>
      <c r="H603" s="51"/>
      <c r="I603" s="51"/>
      <c r="J603" s="51"/>
      <c r="K603" s="51"/>
      <c r="L603" s="51"/>
      <c r="M603" s="51"/>
      <c r="N603" s="51"/>
      <c r="O603" s="51"/>
      <c r="P603" s="51"/>
      <c r="Q603" s="38"/>
    </row>
    <row r="604" spans="1:17" x14ac:dyDescent="0.2">
      <c r="A604" s="211" t="s">
        <v>970</v>
      </c>
      <c r="B604" s="212"/>
      <c r="C604" s="212"/>
      <c r="D604" s="212"/>
      <c r="E604" s="212"/>
      <c r="F604" s="212"/>
      <c r="G604" s="212"/>
      <c r="H604" s="212"/>
      <c r="I604" s="212"/>
      <c r="J604" s="212"/>
      <c r="K604" s="212"/>
      <c r="L604" s="212"/>
      <c r="M604" s="212"/>
      <c r="N604" s="212"/>
      <c r="O604" s="212"/>
      <c r="P604" s="212"/>
      <c r="Q604" s="38"/>
    </row>
    <row r="605" spans="1:17" x14ac:dyDescent="0.2">
      <c r="A605" s="62"/>
      <c r="B605" s="51"/>
      <c r="C605" s="51"/>
      <c r="D605" s="51"/>
      <c r="E605" s="51"/>
      <c r="F605" s="51"/>
      <c r="G605" s="51"/>
      <c r="H605" s="51"/>
      <c r="I605" s="51"/>
      <c r="J605" s="51"/>
      <c r="K605" s="51"/>
      <c r="L605" s="51"/>
      <c r="M605" s="51"/>
      <c r="N605" s="51"/>
      <c r="O605" s="51"/>
      <c r="P605" s="51"/>
      <c r="Q605" s="38"/>
    </row>
    <row r="606" spans="1:17" x14ac:dyDescent="0.2">
      <c r="A606" s="238" t="s">
        <v>259</v>
      </c>
      <c r="B606" s="239"/>
      <c r="C606" s="72"/>
      <c r="D606" s="72"/>
      <c r="E606" s="72"/>
      <c r="F606" s="238"/>
      <c r="G606" s="238"/>
      <c r="H606" s="238"/>
      <c r="I606" s="238"/>
      <c r="J606" s="238"/>
      <c r="K606" s="238"/>
      <c r="L606" s="238"/>
      <c r="M606" s="238"/>
      <c r="N606" s="238"/>
      <c r="O606" s="238"/>
      <c r="P606" s="238"/>
      <c r="Q606" s="38"/>
    </row>
    <row r="607" spans="1:17" x14ac:dyDescent="0.2">
      <c r="A607" s="36"/>
      <c r="Q607" s="2"/>
    </row>
    <row r="608" spans="1:17" ht="5" customHeight="1" x14ac:dyDescent="0.2">
      <c r="A608" s="48"/>
      <c r="B608" s="23"/>
      <c r="C608" s="23"/>
      <c r="D608" s="12"/>
      <c r="E608" s="23"/>
      <c r="F608" s="33"/>
      <c r="G608" s="33"/>
      <c r="H608" s="33"/>
      <c r="I608" s="33"/>
      <c r="J608" s="33"/>
      <c r="K608" s="33"/>
      <c r="L608" s="33"/>
      <c r="M608" s="33"/>
      <c r="N608" s="33"/>
      <c r="O608" s="33"/>
      <c r="P608" s="34"/>
      <c r="Q608" s="2"/>
    </row>
    <row r="609" spans="1:17" x14ac:dyDescent="0.2">
      <c r="A609" s="224" t="str">
        <f>"At "&amp;TEXT(J2,"dd Mmm yyyy")&amp;":"</f>
        <v>At 01 Apr 2024:</v>
      </c>
      <c r="B609" s="225"/>
      <c r="C609" s="283"/>
      <c r="D609" s="284"/>
      <c r="E609" s="20"/>
      <c r="F609" s="70" t="s">
        <v>260</v>
      </c>
      <c r="G609" s="66" t="s">
        <v>61</v>
      </c>
      <c r="H609" s="213">
        <f>ROUND([1]PubNotes!$D$8,D2)</f>
        <v>0</v>
      </c>
      <c r="I609" s="214"/>
      <c r="J609" s="27"/>
      <c r="K609" s="27"/>
      <c r="L609" s="27"/>
      <c r="M609" s="27"/>
      <c r="N609" s="27"/>
      <c r="O609" s="27"/>
      <c r="P609" s="26"/>
      <c r="Q609" s="2"/>
    </row>
    <row r="610" spans="1:17" ht="5" customHeight="1" x14ac:dyDescent="0.2">
      <c r="A610" s="47"/>
      <c r="B610" s="21"/>
      <c r="C610" s="21"/>
      <c r="D610" s="9"/>
      <c r="E610" s="21"/>
      <c r="F610" s="10"/>
      <c r="G610" s="10"/>
      <c r="H610" s="10"/>
      <c r="I610" s="10"/>
      <c r="J610" s="10"/>
      <c r="K610" s="10"/>
      <c r="L610" s="10"/>
      <c r="M610" s="10"/>
      <c r="N610" s="10"/>
      <c r="O610" s="10"/>
      <c r="P610" s="28"/>
      <c r="Q610" s="2"/>
    </row>
    <row r="611" spans="1:17" ht="5" customHeight="1" x14ac:dyDescent="0.2">
      <c r="A611" s="49"/>
      <c r="B611" s="24"/>
      <c r="C611" s="24"/>
      <c r="D611" s="14"/>
      <c r="E611" s="24"/>
      <c r="F611" s="29"/>
      <c r="G611" s="29"/>
      <c r="H611" s="29"/>
      <c r="I611" s="29"/>
      <c r="J611" s="29"/>
      <c r="K611" s="29"/>
      <c r="L611" s="29"/>
      <c r="M611" s="29"/>
      <c r="N611" s="29"/>
      <c r="O611" s="29"/>
      <c r="P611" s="30"/>
      <c r="Q611" s="2"/>
    </row>
    <row r="612" spans="1:17" ht="17" x14ac:dyDescent="0.25">
      <c r="A612" s="265" t="s">
        <v>263</v>
      </c>
      <c r="B612" s="305"/>
      <c r="C612" s="306"/>
      <c r="D612" s="307"/>
      <c r="E612" s="22"/>
      <c r="F612" s="70" t="s">
        <v>261</v>
      </c>
      <c r="G612" s="67" t="s">
        <v>61</v>
      </c>
      <c r="H612" s="213">
        <f>ROUND([1]PubNotes!$D$9,D2)</f>
        <v>0</v>
      </c>
      <c r="I612" s="214"/>
      <c r="J612" s="343"/>
      <c r="K612" s="344"/>
      <c r="L612" s="344"/>
      <c r="M612" s="344"/>
      <c r="N612" s="344"/>
      <c r="O612" s="344"/>
      <c r="P612" s="41"/>
      <c r="Q612" s="2"/>
    </row>
    <row r="613" spans="1:17" ht="5" customHeight="1" x14ac:dyDescent="0.2">
      <c r="A613" s="50"/>
      <c r="B613" s="25"/>
      <c r="C613" s="25"/>
      <c r="D613" s="16"/>
      <c r="E613" s="25"/>
      <c r="F613" s="31"/>
      <c r="G613" s="31"/>
      <c r="H613" s="31"/>
      <c r="I613" s="31"/>
      <c r="J613" s="31"/>
      <c r="K613" s="31"/>
      <c r="L613" s="31"/>
      <c r="M613" s="31"/>
      <c r="N613" s="31"/>
      <c r="O613" s="31"/>
      <c r="P613" s="32"/>
      <c r="Q613" s="2"/>
    </row>
    <row r="614" spans="1:17" ht="5" customHeight="1" x14ac:dyDescent="0.2">
      <c r="A614" s="48"/>
      <c r="B614" s="23"/>
      <c r="C614" s="23"/>
      <c r="D614" s="12"/>
      <c r="E614" s="23"/>
      <c r="F614" s="33"/>
      <c r="G614" s="33"/>
      <c r="H614" s="33"/>
      <c r="I614" s="33"/>
      <c r="J614" s="33"/>
      <c r="K614" s="33"/>
      <c r="L614" s="33"/>
      <c r="M614" s="33"/>
      <c r="N614" s="33"/>
      <c r="O614" s="33"/>
      <c r="P614" s="34"/>
      <c r="Q614" s="2"/>
    </row>
    <row r="615" spans="1:17" x14ac:dyDescent="0.2">
      <c r="A615" s="224" t="s">
        <v>262</v>
      </c>
      <c r="B615" s="225"/>
      <c r="C615" s="283"/>
      <c r="D615" s="284"/>
      <c r="E615" s="20"/>
      <c r="F615" s="70" t="s">
        <v>266</v>
      </c>
      <c r="G615" s="66" t="s">
        <v>61</v>
      </c>
      <c r="H615" s="213">
        <f>ROUND([1]PubNotes!$D$10,D2)</f>
        <v>0</v>
      </c>
      <c r="I615" s="214"/>
      <c r="J615" s="27"/>
      <c r="K615" s="27"/>
      <c r="L615" s="27"/>
      <c r="M615" s="27"/>
      <c r="N615" s="27"/>
      <c r="O615" s="27"/>
      <c r="P615" s="26"/>
      <c r="Q615" s="2"/>
    </row>
    <row r="616" spans="1:17" ht="5" customHeight="1" x14ac:dyDescent="0.2">
      <c r="A616" s="47"/>
      <c r="B616" s="21"/>
      <c r="C616" s="21"/>
      <c r="D616" s="9"/>
      <c r="E616" s="21"/>
      <c r="F616" s="10"/>
      <c r="G616" s="10"/>
      <c r="H616" s="10"/>
      <c r="I616" s="10"/>
      <c r="J616" s="10"/>
      <c r="K616" s="10"/>
      <c r="L616" s="10"/>
      <c r="M616" s="10"/>
      <c r="N616" s="10"/>
      <c r="O616" s="10"/>
      <c r="P616" s="28"/>
      <c r="Q616" s="2"/>
    </row>
    <row r="617" spans="1:17" ht="5" customHeight="1" x14ac:dyDescent="0.2">
      <c r="A617" s="49"/>
      <c r="B617" s="24"/>
      <c r="C617" s="24"/>
      <c r="D617" s="14"/>
      <c r="E617" s="24"/>
      <c r="F617" s="29"/>
      <c r="G617" s="29"/>
      <c r="H617" s="29"/>
      <c r="I617" s="29"/>
      <c r="J617" s="29"/>
      <c r="K617" s="29"/>
      <c r="L617" s="29"/>
      <c r="M617" s="29"/>
      <c r="N617" s="29"/>
      <c r="O617" s="29"/>
      <c r="P617" s="30"/>
      <c r="Q617" s="2"/>
    </row>
    <row r="618" spans="1:17" ht="15" customHeight="1" x14ac:dyDescent="0.2">
      <c r="A618" s="61"/>
      <c r="B618" s="22"/>
      <c r="C618" s="22"/>
      <c r="D618" s="150"/>
      <c r="E618" s="22"/>
      <c r="F618" s="303" t="s">
        <v>448</v>
      </c>
      <c r="G618" s="303"/>
      <c r="H618" s="303"/>
      <c r="I618" s="303"/>
      <c r="J618" s="40"/>
      <c r="K618" s="40"/>
      <c r="L618" s="40"/>
      <c r="M618" s="40"/>
      <c r="N618" s="40"/>
      <c r="O618" s="40"/>
      <c r="P618" s="41"/>
      <c r="Q618" s="2"/>
    </row>
    <row r="619" spans="1:17" ht="17" x14ac:dyDescent="0.25">
      <c r="A619" s="265" t="s">
        <v>264</v>
      </c>
      <c r="B619" s="305"/>
      <c r="C619" s="306"/>
      <c r="D619" s="307"/>
      <c r="E619" s="22"/>
      <c r="F619" s="70" t="s">
        <v>267</v>
      </c>
      <c r="G619" s="67" t="s">
        <v>61</v>
      </c>
      <c r="H619" s="213"/>
      <c r="I619" s="214"/>
      <c r="J619" s="343"/>
      <c r="K619" s="344"/>
      <c r="L619" s="344"/>
      <c r="M619" s="344"/>
      <c r="N619" s="344"/>
      <c r="O619" s="344"/>
      <c r="P619" s="41"/>
      <c r="Q619" s="2"/>
    </row>
    <row r="620" spans="1:17" ht="5" customHeight="1" x14ac:dyDescent="0.2">
      <c r="A620" s="50"/>
      <c r="B620" s="25"/>
      <c r="C620" s="25"/>
      <c r="D620" s="16"/>
      <c r="E620" s="25"/>
      <c r="F620" s="31"/>
      <c r="G620" s="31"/>
      <c r="H620" s="31"/>
      <c r="I620" s="31"/>
      <c r="J620" s="31"/>
      <c r="K620" s="31"/>
      <c r="L620" s="31"/>
      <c r="M620" s="31"/>
      <c r="N620" s="31"/>
      <c r="O620" s="31"/>
      <c r="P620" s="32"/>
      <c r="Q620" s="2"/>
    </row>
    <row r="621" spans="1:17" ht="5" customHeight="1" x14ac:dyDescent="0.2">
      <c r="A621" s="48"/>
      <c r="B621" s="23"/>
      <c r="C621" s="23"/>
      <c r="D621" s="12"/>
      <c r="E621" s="23"/>
      <c r="F621" s="33"/>
      <c r="G621" s="33"/>
      <c r="H621" s="33"/>
      <c r="I621" s="33"/>
      <c r="J621" s="33"/>
      <c r="K621" s="33"/>
      <c r="L621" s="33"/>
      <c r="M621" s="33"/>
      <c r="N621" s="33"/>
      <c r="O621" s="33"/>
      <c r="P621" s="34"/>
      <c r="Q621" s="2"/>
    </row>
    <row r="622" spans="1:17" ht="15" customHeight="1" x14ac:dyDescent="0.2">
      <c r="A622" s="141"/>
      <c r="B622" s="20"/>
      <c r="C622" s="20"/>
      <c r="D622" s="7"/>
      <c r="E622" s="20"/>
      <c r="F622" s="304" t="s">
        <v>448</v>
      </c>
      <c r="G622" s="304"/>
      <c r="H622" s="304"/>
      <c r="I622" s="304"/>
      <c r="J622" s="27"/>
      <c r="K622" s="27"/>
      <c r="L622" s="27"/>
      <c r="M622" s="27"/>
      <c r="N622" s="27"/>
      <c r="O622" s="27"/>
      <c r="P622" s="26"/>
      <c r="Q622" s="2"/>
    </row>
    <row r="623" spans="1:17" ht="17" x14ac:dyDescent="0.25">
      <c r="A623" s="224" t="s">
        <v>265</v>
      </c>
      <c r="B623" s="225"/>
      <c r="C623" s="283"/>
      <c r="D623" s="284"/>
      <c r="E623" s="20"/>
      <c r="F623" s="70" t="s">
        <v>268</v>
      </c>
      <c r="G623" s="66" t="s">
        <v>61</v>
      </c>
      <c r="H623" s="213"/>
      <c r="I623" s="214"/>
      <c r="J623" s="431"/>
      <c r="K623" s="290"/>
      <c r="L623" s="290"/>
      <c r="M623" s="290"/>
      <c r="N623" s="290"/>
      <c r="O623" s="290"/>
      <c r="P623" s="26"/>
      <c r="Q623" s="2"/>
    </row>
    <row r="624" spans="1:17" ht="5" customHeight="1" x14ac:dyDescent="0.2">
      <c r="A624" s="47"/>
      <c r="B624" s="21"/>
      <c r="C624" s="21"/>
      <c r="D624" s="9"/>
      <c r="E624" s="21"/>
      <c r="F624" s="10"/>
      <c r="G624" s="10"/>
      <c r="H624" s="10"/>
      <c r="I624" s="10"/>
      <c r="J624" s="10"/>
      <c r="K624" s="10"/>
      <c r="L624" s="10"/>
      <c r="M624" s="10"/>
      <c r="N624" s="10"/>
      <c r="O624" s="10"/>
      <c r="P624" s="28"/>
      <c r="Q624" s="2"/>
    </row>
    <row r="625" spans="1:17" ht="5" customHeight="1" x14ac:dyDescent="0.2">
      <c r="A625" s="49"/>
      <c r="B625" s="24"/>
      <c r="C625" s="24"/>
      <c r="D625" s="14"/>
      <c r="E625" s="24"/>
      <c r="F625" s="29"/>
      <c r="G625" s="29"/>
      <c r="H625" s="29"/>
      <c r="I625" s="29"/>
      <c r="J625" s="29"/>
      <c r="K625" s="29"/>
      <c r="L625" s="29"/>
      <c r="M625" s="29"/>
      <c r="N625" s="29"/>
      <c r="O625" s="29"/>
      <c r="P625" s="30"/>
      <c r="Q625" s="2"/>
    </row>
    <row r="626" spans="1:17" ht="17" x14ac:dyDescent="0.25">
      <c r="A626" s="265" t="str">
        <f>"At "&amp;TEXT(N2,"dd Mmm yyyy")&amp;":"</f>
        <v>At 31 Mar 2026:</v>
      </c>
      <c r="B626" s="305"/>
      <c r="C626" s="306"/>
      <c r="D626" s="307"/>
      <c r="E626" s="22"/>
      <c r="F626" s="70" t="s">
        <v>269</v>
      </c>
      <c r="G626" s="107" t="s">
        <v>61</v>
      </c>
      <c r="H626" s="240">
        <f>H609+H612-H615+H619+H623</f>
        <v>0</v>
      </c>
      <c r="I626" s="241"/>
      <c r="J626" s="335"/>
      <c r="K626" s="344"/>
      <c r="L626" s="344"/>
      <c r="M626" s="344"/>
      <c r="N626" s="344"/>
      <c r="O626" s="344"/>
      <c r="P626" s="41"/>
      <c r="Q626" s="2"/>
    </row>
    <row r="627" spans="1:17" ht="5" customHeight="1" x14ac:dyDescent="0.2">
      <c r="A627" s="50"/>
      <c r="B627" s="25"/>
      <c r="C627" s="25"/>
      <c r="D627" s="16"/>
      <c r="E627" s="25"/>
      <c r="F627" s="31"/>
      <c r="G627" s="31"/>
      <c r="H627" s="31"/>
      <c r="I627" s="31"/>
      <c r="J627" s="31"/>
      <c r="K627" s="31"/>
      <c r="L627" s="31"/>
      <c r="M627" s="31"/>
      <c r="N627" s="31"/>
      <c r="O627" s="31"/>
      <c r="P627" s="32"/>
      <c r="Q627" s="2"/>
    </row>
    <row r="628" spans="1:17" x14ac:dyDescent="0.2">
      <c r="A628" s="62"/>
      <c r="B628" s="51"/>
      <c r="C628" s="51"/>
      <c r="D628" s="51"/>
      <c r="E628" s="51"/>
      <c r="F628" s="51"/>
      <c r="G628" s="51"/>
      <c r="H628" s="51"/>
      <c r="I628" s="51"/>
      <c r="J628" s="51"/>
      <c r="K628" s="51"/>
      <c r="L628" s="51"/>
      <c r="M628" s="51"/>
      <c r="N628" s="51"/>
      <c r="O628" s="51"/>
      <c r="P628" s="51"/>
      <c r="Q628" s="38"/>
    </row>
    <row r="629" spans="1:17" x14ac:dyDescent="0.2">
      <c r="A629" s="238" t="s">
        <v>270</v>
      </c>
      <c r="B629" s="239"/>
      <c r="C629" s="72"/>
      <c r="D629" s="72"/>
      <c r="E629" s="72"/>
      <c r="F629" s="238"/>
      <c r="G629" s="238"/>
      <c r="H629" s="238"/>
      <c r="I629" s="238"/>
      <c r="J629" s="238"/>
      <c r="K629" s="238"/>
      <c r="L629" s="238"/>
      <c r="M629" s="238"/>
      <c r="N629" s="238"/>
      <c r="O629" s="238"/>
      <c r="P629" s="238"/>
      <c r="Q629" s="38"/>
    </row>
    <row r="630" spans="1:17" x14ac:dyDescent="0.2">
      <c r="A630" s="36"/>
      <c r="Q630" s="2"/>
    </row>
    <row r="631" spans="1:17" ht="5" customHeight="1" x14ac:dyDescent="0.2">
      <c r="A631" s="48"/>
      <c r="B631" s="23"/>
      <c r="C631" s="23"/>
      <c r="D631" s="12"/>
      <c r="E631" s="23"/>
      <c r="F631" s="33"/>
      <c r="G631" s="33"/>
      <c r="H631" s="33"/>
      <c r="I631" s="33"/>
      <c r="J631" s="33"/>
      <c r="K631" s="33"/>
      <c r="L631" s="33"/>
      <c r="M631" s="33"/>
      <c r="N631" s="33"/>
      <c r="O631" s="33"/>
      <c r="P631" s="34"/>
      <c r="Q631" s="2"/>
    </row>
    <row r="632" spans="1:17" x14ac:dyDescent="0.2">
      <c r="A632" s="224" t="str">
        <f>"At "&amp;TEXT(J2,"dd Mmm yyyy")&amp;":"</f>
        <v>At 01 Apr 2024:</v>
      </c>
      <c r="B632" s="225"/>
      <c r="C632" s="283"/>
      <c r="D632" s="284"/>
      <c r="E632" s="20"/>
      <c r="F632" s="70" t="s">
        <v>271</v>
      </c>
      <c r="G632" s="66" t="s">
        <v>61</v>
      </c>
      <c r="H632" s="213">
        <f>ROUND([1]PubNotes!$D$14,D2)</f>
        <v>0</v>
      </c>
      <c r="I632" s="214"/>
      <c r="J632" s="27"/>
      <c r="K632" s="27"/>
      <c r="L632" s="27"/>
      <c r="M632" s="27"/>
      <c r="N632" s="27"/>
      <c r="O632" s="27"/>
      <c r="P632" s="26"/>
      <c r="Q632" s="2"/>
    </row>
    <row r="633" spans="1:17" ht="5" customHeight="1" x14ac:dyDescent="0.2">
      <c r="A633" s="47"/>
      <c r="B633" s="21"/>
      <c r="C633" s="21"/>
      <c r="D633" s="9"/>
      <c r="E633" s="21"/>
      <c r="F633" s="10"/>
      <c r="G633" s="10"/>
      <c r="H633" s="10"/>
      <c r="I633" s="10"/>
      <c r="J633" s="10"/>
      <c r="K633" s="10"/>
      <c r="L633" s="10"/>
      <c r="M633" s="10"/>
      <c r="N633" s="10"/>
      <c r="O633" s="10"/>
      <c r="P633" s="28"/>
      <c r="Q633" s="2"/>
    </row>
    <row r="634" spans="1:17" ht="5" customHeight="1" x14ac:dyDescent="0.2">
      <c r="A634" s="49"/>
      <c r="B634" s="24"/>
      <c r="C634" s="24"/>
      <c r="D634" s="14"/>
      <c r="E634" s="24"/>
      <c r="F634" s="29"/>
      <c r="G634" s="29"/>
      <c r="H634" s="29"/>
      <c r="I634" s="29"/>
      <c r="J634" s="29"/>
      <c r="K634" s="29"/>
      <c r="L634" s="29"/>
      <c r="M634" s="29"/>
      <c r="N634" s="29"/>
      <c r="O634" s="29"/>
      <c r="P634" s="30"/>
      <c r="Q634" s="2"/>
    </row>
    <row r="635" spans="1:17" ht="17" x14ac:dyDescent="0.25">
      <c r="A635" s="265" t="s">
        <v>276</v>
      </c>
      <c r="B635" s="305"/>
      <c r="C635" s="306"/>
      <c r="D635" s="307"/>
      <c r="E635" s="22"/>
      <c r="F635" s="70" t="s">
        <v>272</v>
      </c>
      <c r="G635" s="67" t="s">
        <v>61</v>
      </c>
      <c r="H635" s="213">
        <f>ROUND([1]PubNotes!$D$15,D2)</f>
        <v>0</v>
      </c>
      <c r="I635" s="214"/>
      <c r="J635" s="343"/>
      <c r="K635" s="344"/>
      <c r="L635" s="344"/>
      <c r="M635" s="344"/>
      <c r="N635" s="344"/>
      <c r="O635" s="344"/>
      <c r="P635" s="41"/>
      <c r="Q635" s="2"/>
    </row>
    <row r="636" spans="1:17" ht="5" customHeight="1" x14ac:dyDescent="0.2">
      <c r="A636" s="50"/>
      <c r="B636" s="25"/>
      <c r="C636" s="25"/>
      <c r="D636" s="16"/>
      <c r="E636" s="25"/>
      <c r="F636" s="31"/>
      <c r="G636" s="31"/>
      <c r="H636" s="31"/>
      <c r="I636" s="31"/>
      <c r="J636" s="31"/>
      <c r="K636" s="31"/>
      <c r="L636" s="31"/>
      <c r="M636" s="31"/>
      <c r="N636" s="31"/>
      <c r="O636" s="31"/>
      <c r="P636" s="32"/>
      <c r="Q636" s="2"/>
    </row>
    <row r="637" spans="1:17" ht="5" customHeight="1" x14ac:dyDescent="0.2">
      <c r="A637" s="48"/>
      <c r="B637" s="23"/>
      <c r="C637" s="23"/>
      <c r="D637" s="12"/>
      <c r="E637" s="23"/>
      <c r="F637" s="33"/>
      <c r="G637" s="33"/>
      <c r="H637" s="33"/>
      <c r="I637" s="33"/>
      <c r="J637" s="33"/>
      <c r="K637" s="33"/>
      <c r="L637" s="33"/>
      <c r="M637" s="33"/>
      <c r="N637" s="33"/>
      <c r="O637" s="33"/>
      <c r="P637" s="34"/>
      <c r="Q637" s="2"/>
    </row>
    <row r="638" spans="1:17" x14ac:dyDescent="0.2">
      <c r="A638" s="224" t="s">
        <v>277</v>
      </c>
      <c r="B638" s="225"/>
      <c r="C638" s="283"/>
      <c r="D638" s="284"/>
      <c r="E638" s="20"/>
      <c r="F638" s="70" t="s">
        <v>273</v>
      </c>
      <c r="G638" s="66" t="s">
        <v>61</v>
      </c>
      <c r="H638" s="213">
        <f>ROUND([1]PubNotes!$D$16,D2)</f>
        <v>0</v>
      </c>
      <c r="I638" s="214"/>
      <c r="J638" s="27"/>
      <c r="K638" s="27"/>
      <c r="L638" s="27"/>
      <c r="M638" s="27"/>
      <c r="N638" s="27"/>
      <c r="O638" s="27"/>
      <c r="P638" s="26"/>
      <c r="Q638" s="2"/>
    </row>
    <row r="639" spans="1:17" ht="5" customHeight="1" x14ac:dyDescent="0.2">
      <c r="A639" s="47"/>
      <c r="B639" s="21"/>
      <c r="C639" s="21"/>
      <c r="D639" s="9"/>
      <c r="E639" s="21"/>
      <c r="F639" s="10"/>
      <c r="G639" s="10"/>
      <c r="H639" s="10"/>
      <c r="I639" s="10"/>
      <c r="J639" s="10"/>
      <c r="K639" s="10"/>
      <c r="L639" s="10"/>
      <c r="M639" s="10"/>
      <c r="N639" s="10"/>
      <c r="O639" s="10"/>
      <c r="P639" s="28"/>
      <c r="Q639" s="2"/>
    </row>
    <row r="640" spans="1:17" ht="5" customHeight="1" x14ac:dyDescent="0.2">
      <c r="A640" s="49"/>
      <c r="B640" s="24"/>
      <c r="C640" s="24"/>
      <c r="D640" s="14"/>
      <c r="E640" s="24"/>
      <c r="F640" s="29"/>
      <c r="G640" s="29"/>
      <c r="H640" s="29"/>
      <c r="I640" s="29"/>
      <c r="J640" s="29"/>
      <c r="K640" s="29"/>
      <c r="L640" s="29"/>
      <c r="M640" s="29"/>
      <c r="N640" s="29"/>
      <c r="O640" s="29"/>
      <c r="P640" s="30"/>
      <c r="Q640" s="2"/>
    </row>
    <row r="641" spans="1:17" ht="15" customHeight="1" x14ac:dyDescent="0.2">
      <c r="A641" s="61"/>
      <c r="B641" s="22"/>
      <c r="C641" s="22"/>
      <c r="D641" s="150"/>
      <c r="E641" s="22"/>
      <c r="F641" s="303" t="s">
        <v>448</v>
      </c>
      <c r="G641" s="303"/>
      <c r="H641" s="303"/>
      <c r="I641" s="303"/>
      <c r="J641" s="40"/>
      <c r="K641" s="40"/>
      <c r="L641" s="40"/>
      <c r="M641" s="40"/>
      <c r="N641" s="40"/>
      <c r="O641" s="40"/>
      <c r="P641" s="41"/>
      <c r="Q641" s="2"/>
    </row>
    <row r="642" spans="1:17" ht="17" x14ac:dyDescent="0.25">
      <c r="A642" s="265" t="s">
        <v>278</v>
      </c>
      <c r="B642" s="305"/>
      <c r="C642" s="306"/>
      <c r="D642" s="307"/>
      <c r="E642" s="22"/>
      <c r="F642" s="70" t="s">
        <v>274</v>
      </c>
      <c r="G642" s="67" t="s">
        <v>61</v>
      </c>
      <c r="H642" s="213"/>
      <c r="I642" s="214"/>
      <c r="J642" s="343"/>
      <c r="K642" s="344"/>
      <c r="L642" s="344"/>
      <c r="M642" s="344"/>
      <c r="N642" s="344"/>
      <c r="O642" s="344"/>
      <c r="P642" s="41"/>
      <c r="Q642" s="2"/>
    </row>
    <row r="643" spans="1:17" ht="5" customHeight="1" x14ac:dyDescent="0.2">
      <c r="A643" s="50"/>
      <c r="B643" s="25"/>
      <c r="C643" s="25"/>
      <c r="D643" s="16"/>
      <c r="E643" s="25"/>
      <c r="F643" s="31"/>
      <c r="G643" s="31"/>
      <c r="H643" s="31"/>
      <c r="I643" s="31"/>
      <c r="J643" s="31"/>
      <c r="K643" s="31"/>
      <c r="L643" s="31"/>
      <c r="M643" s="31"/>
      <c r="N643" s="31"/>
      <c r="O643" s="31"/>
      <c r="P643" s="32"/>
      <c r="Q643" s="2"/>
    </row>
    <row r="644" spans="1:17" ht="5" customHeight="1" x14ac:dyDescent="0.2">
      <c r="A644" s="48"/>
      <c r="B644" s="23"/>
      <c r="C644" s="23"/>
      <c r="D644" s="12"/>
      <c r="E644" s="23"/>
      <c r="F644" s="33"/>
      <c r="G644" s="33"/>
      <c r="H644" s="33"/>
      <c r="I644" s="33"/>
      <c r="J644" s="33"/>
      <c r="K644" s="33"/>
      <c r="L644" s="33"/>
      <c r="M644" s="33"/>
      <c r="N644" s="33"/>
      <c r="O644" s="33"/>
      <c r="P644" s="34"/>
      <c r="Q644" s="2"/>
    </row>
    <row r="645" spans="1:17" ht="17" x14ac:dyDescent="0.25">
      <c r="A645" s="224" t="str">
        <f>"At "&amp;TEXT(N2,"dd Mmm yyyy")&amp;":"</f>
        <v>At 31 Mar 2026:</v>
      </c>
      <c r="B645" s="225"/>
      <c r="C645" s="283"/>
      <c r="D645" s="284"/>
      <c r="E645" s="20"/>
      <c r="F645" s="70" t="s">
        <v>275</v>
      </c>
      <c r="G645" s="115" t="s">
        <v>61</v>
      </c>
      <c r="H645" s="242">
        <f>H632+H635-H638+H642</f>
        <v>0</v>
      </c>
      <c r="I645" s="325"/>
      <c r="J645" s="289"/>
      <c r="K645" s="290"/>
      <c r="L645" s="290"/>
      <c r="M645" s="290"/>
      <c r="N645" s="290"/>
      <c r="O645" s="290"/>
      <c r="P645" s="26"/>
      <c r="Q645" s="2"/>
    </row>
    <row r="646" spans="1:17" ht="5" customHeight="1" x14ac:dyDescent="0.2">
      <c r="A646" s="47"/>
      <c r="B646" s="21"/>
      <c r="C646" s="21"/>
      <c r="D646" s="9"/>
      <c r="E646" s="21"/>
      <c r="F646" s="10"/>
      <c r="G646" s="10"/>
      <c r="H646" s="10"/>
      <c r="I646" s="10"/>
      <c r="J646" s="10"/>
      <c r="K646" s="10"/>
      <c r="L646" s="10"/>
      <c r="M646" s="10"/>
      <c r="N646" s="10"/>
      <c r="O646" s="10"/>
      <c r="P646" s="28"/>
      <c r="Q646" s="2"/>
    </row>
    <row r="647" spans="1:17" x14ac:dyDescent="0.2">
      <c r="A647" s="22"/>
      <c r="B647" s="22"/>
      <c r="C647" s="22"/>
      <c r="D647" s="22"/>
      <c r="E647" s="22"/>
      <c r="F647" s="40"/>
      <c r="G647" s="40"/>
      <c r="H647" s="40"/>
      <c r="I647" s="40"/>
      <c r="J647" s="40"/>
      <c r="K647" s="40"/>
      <c r="L647" s="40"/>
      <c r="M647" s="40"/>
      <c r="N647" s="40"/>
      <c r="O647" s="40"/>
      <c r="P647" s="40"/>
      <c r="Q647" s="2"/>
    </row>
    <row r="648" spans="1:17" x14ac:dyDescent="0.2">
      <c r="A648" s="96" t="s">
        <v>279</v>
      </c>
      <c r="B648" s="22"/>
      <c r="C648" s="22"/>
      <c r="D648" s="22"/>
      <c r="E648" s="22"/>
      <c r="F648" s="40"/>
      <c r="G648" s="40"/>
      <c r="H648" s="40"/>
      <c r="I648" s="40"/>
      <c r="J648" s="40"/>
      <c r="K648" s="40"/>
      <c r="L648" s="40"/>
      <c r="M648" s="40"/>
      <c r="N648" s="40"/>
      <c r="O648" s="40"/>
      <c r="P648" s="40"/>
      <c r="Q648" s="2"/>
    </row>
    <row r="649" spans="1:17" x14ac:dyDescent="0.2">
      <c r="A649" s="22"/>
      <c r="B649" s="22"/>
      <c r="C649" s="22"/>
      <c r="D649" s="22"/>
      <c r="E649" s="22"/>
      <c r="F649" s="40"/>
      <c r="G649" s="40"/>
      <c r="H649" s="40"/>
      <c r="I649" s="40"/>
      <c r="J649" s="40"/>
      <c r="K649" s="40"/>
      <c r="L649" s="40"/>
      <c r="M649" s="40"/>
      <c r="N649" s="40"/>
      <c r="O649" s="40"/>
      <c r="P649" s="40"/>
      <c r="Q649" s="2"/>
    </row>
    <row r="650" spans="1:17" ht="5" customHeight="1" x14ac:dyDescent="0.2">
      <c r="A650" s="48"/>
      <c r="B650" s="23"/>
      <c r="C650" s="23"/>
      <c r="D650" s="12"/>
      <c r="E650" s="23"/>
      <c r="F650" s="33"/>
      <c r="G650" s="33"/>
      <c r="H650" s="33"/>
      <c r="I650" s="33"/>
      <c r="J650" s="33"/>
      <c r="K650" s="33"/>
      <c r="L650" s="33"/>
      <c r="M650" s="33"/>
      <c r="N650" s="33"/>
      <c r="O650" s="33"/>
      <c r="P650" s="34"/>
      <c r="Q650" s="2"/>
    </row>
    <row r="651" spans="1:17" ht="17" x14ac:dyDescent="0.25">
      <c r="A651" s="224" t="str">
        <f>"At "&amp;TEXT(N2,"dd Mmm yyyy")&amp;":"</f>
        <v>At 31 Mar 2026:</v>
      </c>
      <c r="B651" s="225"/>
      <c r="C651" s="283"/>
      <c r="D651" s="284"/>
      <c r="E651" s="20"/>
      <c r="F651" s="70" t="s">
        <v>280</v>
      </c>
      <c r="G651" s="115" t="s">
        <v>61</v>
      </c>
      <c r="H651" s="242">
        <f>H626-H645</f>
        <v>0</v>
      </c>
      <c r="I651" s="325"/>
      <c r="J651" s="289"/>
      <c r="K651" s="290"/>
      <c r="L651" s="290"/>
      <c r="M651" s="290"/>
      <c r="N651" s="290"/>
      <c r="O651" s="290"/>
      <c r="P651" s="26"/>
      <c r="Q651" s="2"/>
    </row>
    <row r="652" spans="1:17" ht="4.5" customHeight="1" x14ac:dyDescent="0.2">
      <c r="A652" s="47"/>
      <c r="B652" s="21"/>
      <c r="C652" s="21"/>
      <c r="D652" s="9"/>
      <c r="E652" s="21"/>
      <c r="F652" s="10"/>
      <c r="G652" s="10"/>
      <c r="H652" s="10"/>
      <c r="I652" s="10"/>
      <c r="J652" s="10"/>
      <c r="K652" s="10"/>
      <c r="L652" s="10"/>
      <c r="M652" s="10"/>
      <c r="N652" s="10"/>
      <c r="O652" s="10"/>
      <c r="P652" s="28"/>
      <c r="Q652" s="2"/>
    </row>
    <row r="653" spans="1:17" ht="5" customHeight="1" x14ac:dyDescent="0.2">
      <c r="A653" s="49"/>
      <c r="B653" s="24"/>
      <c r="C653" s="24"/>
      <c r="D653" s="14"/>
      <c r="E653" s="24"/>
      <c r="F653" s="29"/>
      <c r="G653" s="29"/>
      <c r="H653" s="29"/>
      <c r="I653" s="29"/>
      <c r="J653" s="29"/>
      <c r="K653" s="29"/>
      <c r="L653" s="29"/>
      <c r="M653" s="29"/>
      <c r="N653" s="29"/>
      <c r="O653" s="29"/>
      <c r="P653" s="30"/>
      <c r="Q653" s="2"/>
    </row>
    <row r="654" spans="1:17" ht="17" x14ac:dyDescent="0.25">
      <c r="A654" s="265" t="str">
        <f>IF(H72&gt;0,"At "&amp;TEXT(H72,"dd Mmm yyyy")&amp;":","")</f>
        <v>At :</v>
      </c>
      <c r="B654" s="305"/>
      <c r="C654" s="306"/>
      <c r="D654" s="307"/>
      <c r="E654" s="22"/>
      <c r="F654" s="70" t="s">
        <v>464</v>
      </c>
      <c r="G654" s="107" t="s">
        <v>61</v>
      </c>
      <c r="H654" s="240">
        <f>IF(H72&gt;0,ROUND([1]OpenAccounts!$I$13,D2)-ROUND([1]OpenAccounts!$O$13,D2),"")</f>
        <v>0</v>
      </c>
      <c r="I654" s="241"/>
      <c r="J654" s="335"/>
      <c r="K654" s="344"/>
      <c r="L654" s="344"/>
      <c r="M654" s="344"/>
      <c r="N654" s="344"/>
      <c r="O654" s="344"/>
      <c r="P654" s="41"/>
      <c r="Q654" s="2"/>
    </row>
    <row r="655" spans="1:17" ht="5" customHeight="1" x14ac:dyDescent="0.2">
      <c r="A655" s="50"/>
      <c r="B655" s="25"/>
      <c r="C655" s="25"/>
      <c r="D655" s="16"/>
      <c r="E655" s="25"/>
      <c r="F655" s="31"/>
      <c r="G655" s="31"/>
      <c r="H655" s="31"/>
      <c r="I655" s="31"/>
      <c r="J655" s="31"/>
      <c r="K655" s="31"/>
      <c r="L655" s="31"/>
      <c r="M655" s="31"/>
      <c r="N655" s="31"/>
      <c r="O655" s="31"/>
      <c r="P655" s="32"/>
      <c r="Q655" s="2"/>
    </row>
    <row r="656" spans="1:17" x14ac:dyDescent="0.2">
      <c r="A656" s="22"/>
      <c r="B656" s="22"/>
      <c r="C656" s="22"/>
      <c r="D656" s="22"/>
      <c r="E656" s="22"/>
      <c r="F656" s="40"/>
      <c r="G656" s="40"/>
      <c r="H656" s="40"/>
      <c r="I656" s="40"/>
      <c r="J656" s="40"/>
      <c r="K656" s="40"/>
      <c r="L656" s="40"/>
      <c r="M656" s="40"/>
      <c r="N656" s="40"/>
      <c r="O656" s="40"/>
      <c r="P656" s="40"/>
      <c r="Q656" s="2"/>
    </row>
    <row r="658" spans="1:17" ht="16" x14ac:dyDescent="0.2">
      <c r="A658" s="231" t="s">
        <v>145</v>
      </c>
      <c r="B658" s="232"/>
      <c r="C658" s="232"/>
      <c r="D658" s="232"/>
      <c r="F658" s="233"/>
      <c r="G658" s="233"/>
      <c r="H658" s="233"/>
      <c r="I658" s="233"/>
      <c r="J658" s="233"/>
      <c r="K658" s="233"/>
      <c r="L658" s="233"/>
      <c r="M658" s="233"/>
      <c r="N658" s="233"/>
      <c r="O658" s="233"/>
      <c r="P658" s="233"/>
      <c r="Q658" s="233"/>
    </row>
    <row r="659" spans="1:17" ht="5" customHeight="1" x14ac:dyDescent="0.2">
      <c r="A659" s="1"/>
      <c r="B659" s="1"/>
      <c r="C659" s="1"/>
      <c r="D659" s="1"/>
      <c r="E659" s="1"/>
      <c r="F659" s="1"/>
      <c r="G659" s="1"/>
      <c r="H659" s="1"/>
      <c r="I659" s="1"/>
      <c r="J659" s="1"/>
      <c r="K659" s="1"/>
      <c r="L659" s="1"/>
      <c r="M659" s="1"/>
      <c r="N659" s="1"/>
      <c r="O659" s="1"/>
      <c r="P659" s="1"/>
      <c r="Q659" s="1"/>
    </row>
    <row r="660" spans="1:17" x14ac:dyDescent="0.2">
      <c r="A660" s="234" t="s">
        <v>281</v>
      </c>
      <c r="B660" s="235"/>
      <c r="C660" s="235"/>
      <c r="D660" s="235"/>
      <c r="E660" s="236"/>
      <c r="F660" s="236"/>
      <c r="G660" s="236"/>
      <c r="H660" s="236"/>
      <c r="I660" s="236"/>
      <c r="J660" s="236"/>
      <c r="K660" s="236"/>
      <c r="L660" s="236"/>
      <c r="M660" s="236"/>
      <c r="N660" s="236"/>
      <c r="O660" s="236"/>
      <c r="P660" s="236"/>
      <c r="Q660" s="237"/>
    </row>
    <row r="661" spans="1:17" x14ac:dyDescent="0.2">
      <c r="A661" s="211" t="s">
        <v>282</v>
      </c>
      <c r="B661" s="212"/>
      <c r="C661" s="212"/>
      <c r="D661" s="212"/>
      <c r="E661" s="212"/>
      <c r="F661" s="212"/>
      <c r="G661" s="212"/>
      <c r="H661" s="212"/>
      <c r="I661" s="212"/>
      <c r="J661" s="212"/>
      <c r="K661" s="212"/>
      <c r="L661" s="212"/>
      <c r="M661" s="212"/>
      <c r="N661" s="212"/>
      <c r="O661" s="212"/>
      <c r="P661" s="212"/>
      <c r="Q661" s="38"/>
    </row>
    <row r="662" spans="1:17" x14ac:dyDescent="0.2">
      <c r="A662" s="62"/>
      <c r="B662" s="51"/>
      <c r="C662" s="51"/>
      <c r="D662" s="51"/>
      <c r="E662" s="51"/>
      <c r="F662" s="51"/>
      <c r="G662" s="51"/>
      <c r="H662" s="51"/>
      <c r="I662" s="51"/>
      <c r="J662" s="51"/>
      <c r="K662" s="51"/>
      <c r="L662" s="51"/>
      <c r="M662" s="51"/>
      <c r="N662" s="51"/>
      <c r="O662" s="51"/>
      <c r="P662" s="51"/>
      <c r="Q662" s="38"/>
    </row>
    <row r="663" spans="1:17" x14ac:dyDescent="0.2">
      <c r="A663" s="211" t="s">
        <v>970</v>
      </c>
      <c r="B663" s="212"/>
      <c r="C663" s="212"/>
      <c r="D663" s="212"/>
      <c r="E663" s="212"/>
      <c r="F663" s="212"/>
      <c r="G663" s="212"/>
      <c r="H663" s="212"/>
      <c r="I663" s="212"/>
      <c r="J663" s="212"/>
      <c r="K663" s="212"/>
      <c r="L663" s="212"/>
      <c r="M663" s="212"/>
      <c r="N663" s="212"/>
      <c r="O663" s="212"/>
      <c r="P663" s="212"/>
      <c r="Q663" s="38"/>
    </row>
    <row r="664" spans="1:17" x14ac:dyDescent="0.2">
      <c r="A664" s="62"/>
      <c r="B664" s="51"/>
      <c r="C664" s="51"/>
      <c r="D664" s="51"/>
      <c r="E664" s="51"/>
      <c r="F664" s="51"/>
      <c r="G664" s="51"/>
      <c r="H664" s="51"/>
      <c r="I664" s="51"/>
      <c r="J664" s="51"/>
      <c r="K664" s="51"/>
      <c r="L664" s="51"/>
      <c r="M664" s="51"/>
      <c r="N664" s="51"/>
      <c r="O664" s="51"/>
      <c r="P664" s="51"/>
      <c r="Q664" s="38"/>
    </row>
    <row r="665" spans="1:17" x14ac:dyDescent="0.2">
      <c r="A665" s="238" t="s">
        <v>259</v>
      </c>
      <c r="B665" s="239"/>
      <c r="C665" s="72"/>
      <c r="D665" s="72"/>
      <c r="E665" s="72"/>
      <c r="F665" s="238"/>
      <c r="G665" s="238"/>
      <c r="H665" s="238"/>
      <c r="I665" s="238"/>
      <c r="J665" s="238"/>
      <c r="K665" s="238"/>
      <c r="L665" s="238"/>
      <c r="M665" s="238"/>
      <c r="N665" s="238"/>
      <c r="O665" s="238"/>
      <c r="P665" s="238"/>
      <c r="Q665" s="38"/>
    </row>
    <row r="666" spans="1:17" x14ac:dyDescent="0.2">
      <c r="A666" s="36"/>
      <c r="Q666" s="2"/>
    </row>
    <row r="667" spans="1:17" ht="5" customHeight="1" x14ac:dyDescent="0.2">
      <c r="A667" s="48"/>
      <c r="B667" s="23"/>
      <c r="C667" s="23"/>
      <c r="D667" s="12"/>
      <c r="E667" s="23"/>
      <c r="F667" s="33"/>
      <c r="G667" s="33"/>
      <c r="H667" s="33"/>
      <c r="I667" s="33"/>
      <c r="J667" s="33"/>
      <c r="K667" s="33"/>
      <c r="L667" s="33"/>
      <c r="M667" s="33"/>
      <c r="N667" s="33"/>
      <c r="O667" s="33"/>
      <c r="P667" s="34"/>
      <c r="Q667" s="2"/>
    </row>
    <row r="668" spans="1:17" x14ac:dyDescent="0.2">
      <c r="A668" s="224" t="str">
        <f>"At "&amp;TEXT(J2,"dd Mmm yyyy")&amp;":"</f>
        <v>At 01 Apr 2024:</v>
      </c>
      <c r="B668" s="225"/>
      <c r="C668" s="283"/>
      <c r="D668" s="284"/>
      <c r="E668" s="20"/>
      <c r="F668" s="70" t="s">
        <v>284</v>
      </c>
      <c r="G668" s="66" t="s">
        <v>61</v>
      </c>
      <c r="H668" s="213">
        <f>ROUND([1]PubNotes!$B$8,D2)</f>
        <v>0</v>
      </c>
      <c r="I668" s="214"/>
      <c r="J668" s="27"/>
      <c r="K668" s="27"/>
      <c r="L668" s="27"/>
      <c r="M668" s="27"/>
      <c r="N668" s="27"/>
      <c r="O668" s="27"/>
      <c r="P668" s="26"/>
      <c r="Q668" s="2"/>
    </row>
    <row r="669" spans="1:17" ht="5" customHeight="1" x14ac:dyDescent="0.2">
      <c r="A669" s="47"/>
      <c r="B669" s="21"/>
      <c r="C669" s="21"/>
      <c r="D669" s="9"/>
      <c r="E669" s="21"/>
      <c r="F669" s="10"/>
      <c r="G669" s="10"/>
      <c r="H669" s="10"/>
      <c r="I669" s="10"/>
      <c r="J669" s="10"/>
      <c r="K669" s="10"/>
      <c r="L669" s="10"/>
      <c r="M669" s="10"/>
      <c r="N669" s="10"/>
      <c r="O669" s="10"/>
      <c r="P669" s="28"/>
      <c r="Q669" s="2"/>
    </row>
    <row r="670" spans="1:17" ht="5" customHeight="1" x14ac:dyDescent="0.2">
      <c r="A670" s="49"/>
      <c r="B670" s="24"/>
      <c r="C670" s="24"/>
      <c r="D670" s="14"/>
      <c r="E670" s="24"/>
      <c r="F670" s="29"/>
      <c r="G670" s="29"/>
      <c r="H670" s="29"/>
      <c r="I670" s="29"/>
      <c r="J670" s="29"/>
      <c r="K670" s="29"/>
      <c r="L670" s="29"/>
      <c r="M670" s="29"/>
      <c r="N670" s="29"/>
      <c r="O670" s="29"/>
      <c r="P670" s="30"/>
      <c r="Q670" s="2"/>
    </row>
    <row r="671" spans="1:17" ht="17" x14ac:dyDescent="0.25">
      <c r="A671" s="265" t="s">
        <v>263</v>
      </c>
      <c r="B671" s="305"/>
      <c r="C671" s="306"/>
      <c r="D671" s="307"/>
      <c r="E671" s="22"/>
      <c r="F671" s="70" t="s">
        <v>285</v>
      </c>
      <c r="G671" s="67" t="s">
        <v>61</v>
      </c>
      <c r="H671" s="213">
        <f>ROUND([1]PubNotes!$B$9,D2)</f>
        <v>0</v>
      </c>
      <c r="I671" s="214"/>
      <c r="J671" s="343"/>
      <c r="K671" s="344"/>
      <c r="L671" s="344"/>
      <c r="M671" s="344"/>
      <c r="N671" s="344"/>
      <c r="O671" s="344"/>
      <c r="P671" s="41"/>
      <c r="Q671" s="2"/>
    </row>
    <row r="672" spans="1:17" ht="5" customHeight="1" x14ac:dyDescent="0.2">
      <c r="A672" s="50"/>
      <c r="B672" s="25"/>
      <c r="C672" s="25"/>
      <c r="D672" s="16"/>
      <c r="E672" s="25"/>
      <c r="F672" s="31"/>
      <c r="G672" s="31"/>
      <c r="H672" s="31"/>
      <c r="I672" s="31"/>
      <c r="J672" s="31"/>
      <c r="K672" s="31"/>
      <c r="L672" s="31"/>
      <c r="M672" s="31"/>
      <c r="N672" s="31"/>
      <c r="O672" s="31"/>
      <c r="P672" s="32"/>
      <c r="Q672" s="2"/>
    </row>
    <row r="673" spans="1:17" ht="5" customHeight="1" x14ac:dyDescent="0.2">
      <c r="A673" s="48"/>
      <c r="B673" s="23"/>
      <c r="C673" s="23"/>
      <c r="D673" s="12"/>
      <c r="E673" s="23"/>
      <c r="F673" s="33"/>
      <c r="G673" s="33"/>
      <c r="H673" s="33"/>
      <c r="I673" s="33"/>
      <c r="J673" s="33"/>
      <c r="K673" s="33"/>
      <c r="L673" s="33"/>
      <c r="M673" s="33"/>
      <c r="N673" s="33"/>
      <c r="O673" s="33"/>
      <c r="P673" s="34"/>
      <c r="Q673" s="2"/>
    </row>
    <row r="674" spans="1:17" x14ac:dyDescent="0.2">
      <c r="A674" s="224" t="s">
        <v>262</v>
      </c>
      <c r="B674" s="225"/>
      <c r="C674" s="283"/>
      <c r="D674" s="284"/>
      <c r="E674" s="20"/>
      <c r="F674" s="70" t="s">
        <v>286</v>
      </c>
      <c r="G674" s="66" t="s">
        <v>61</v>
      </c>
      <c r="H674" s="213">
        <f>ROUND([1]PubNotes!$B$10,D2)</f>
        <v>0</v>
      </c>
      <c r="I674" s="214"/>
      <c r="J674" s="27"/>
      <c r="K674" s="27"/>
      <c r="L674" s="27"/>
      <c r="M674" s="27"/>
      <c r="N674" s="27"/>
      <c r="O674" s="27"/>
      <c r="P674" s="26"/>
      <c r="Q674" s="2"/>
    </row>
    <row r="675" spans="1:17" ht="5" customHeight="1" x14ac:dyDescent="0.2">
      <c r="A675" s="47"/>
      <c r="B675" s="21"/>
      <c r="C675" s="21"/>
      <c r="D675" s="9"/>
      <c r="E675" s="21"/>
      <c r="F675" s="10"/>
      <c r="G675" s="10"/>
      <c r="H675" s="10"/>
      <c r="I675" s="10"/>
      <c r="J675" s="10"/>
      <c r="K675" s="10"/>
      <c r="L675" s="10"/>
      <c r="M675" s="10"/>
      <c r="N675" s="10"/>
      <c r="O675" s="10"/>
      <c r="P675" s="28"/>
      <c r="Q675" s="2"/>
    </row>
    <row r="676" spans="1:17" ht="5" customHeight="1" x14ac:dyDescent="0.2">
      <c r="A676" s="49"/>
      <c r="B676" s="24"/>
      <c r="C676" s="24"/>
      <c r="D676" s="14"/>
      <c r="E676" s="24"/>
      <c r="F676" s="29"/>
      <c r="G676" s="29"/>
      <c r="H676" s="29"/>
      <c r="I676" s="29"/>
      <c r="J676" s="29"/>
      <c r="K676" s="29"/>
      <c r="L676" s="29"/>
      <c r="M676" s="29"/>
      <c r="N676" s="29"/>
      <c r="O676" s="29"/>
      <c r="P676" s="30"/>
      <c r="Q676" s="2"/>
    </row>
    <row r="677" spans="1:17" ht="15" customHeight="1" x14ac:dyDescent="0.2">
      <c r="A677" s="61"/>
      <c r="B677" s="22"/>
      <c r="C677" s="22"/>
      <c r="D677" s="150"/>
      <c r="E677" s="22"/>
      <c r="F677" s="303" t="s">
        <v>448</v>
      </c>
      <c r="G677" s="303"/>
      <c r="H677" s="303"/>
      <c r="I677" s="303"/>
      <c r="J677" s="40"/>
      <c r="K677" s="40"/>
      <c r="L677" s="40"/>
      <c r="M677" s="40"/>
      <c r="N677" s="40"/>
      <c r="O677" s="40"/>
      <c r="P677" s="41"/>
      <c r="Q677" s="2"/>
    </row>
    <row r="678" spans="1:17" ht="17" x14ac:dyDescent="0.25">
      <c r="A678" s="265" t="s">
        <v>264</v>
      </c>
      <c r="B678" s="305"/>
      <c r="C678" s="306"/>
      <c r="D678" s="307"/>
      <c r="E678" s="22"/>
      <c r="F678" s="70" t="s">
        <v>287</v>
      </c>
      <c r="G678" s="67" t="s">
        <v>61</v>
      </c>
      <c r="H678" s="213"/>
      <c r="I678" s="214"/>
      <c r="J678" s="143"/>
      <c r="K678" s="40"/>
      <c r="L678" s="40"/>
      <c r="M678" s="40"/>
      <c r="N678" s="40"/>
      <c r="O678" s="142"/>
      <c r="P678" s="41"/>
      <c r="Q678" s="2"/>
    </row>
    <row r="679" spans="1:17" ht="5" customHeight="1" x14ac:dyDescent="0.2">
      <c r="A679" s="50"/>
      <c r="B679" s="25"/>
      <c r="C679" s="25"/>
      <c r="D679" s="16"/>
      <c r="E679" s="25"/>
      <c r="F679" s="31"/>
      <c r="G679" s="31"/>
      <c r="H679" s="31"/>
      <c r="I679" s="31"/>
      <c r="J679" s="31"/>
      <c r="K679" s="31"/>
      <c r="L679" s="31"/>
      <c r="M679" s="31"/>
      <c r="N679" s="31"/>
      <c r="O679" s="31"/>
      <c r="P679" s="32"/>
      <c r="Q679" s="2"/>
    </row>
    <row r="680" spans="1:17" ht="5" customHeight="1" x14ac:dyDescent="0.2">
      <c r="A680" s="48"/>
      <c r="B680" s="23"/>
      <c r="C680" s="23"/>
      <c r="D680" s="12"/>
      <c r="E680" s="23"/>
      <c r="F680" s="33"/>
      <c r="G680" s="33"/>
      <c r="H680" s="33"/>
      <c r="I680" s="33"/>
      <c r="J680" s="33"/>
      <c r="K680" s="33"/>
      <c r="L680" s="33"/>
      <c r="M680" s="33"/>
      <c r="N680" s="33"/>
      <c r="O680" s="33"/>
      <c r="P680" s="34"/>
      <c r="Q680" s="2"/>
    </row>
    <row r="681" spans="1:17" ht="15" customHeight="1" x14ac:dyDescent="0.2">
      <c r="A681" s="141"/>
      <c r="B681" s="20"/>
      <c r="C681" s="20"/>
      <c r="D681" s="7"/>
      <c r="E681" s="20"/>
      <c r="F681" s="304" t="s">
        <v>448</v>
      </c>
      <c r="G681" s="304"/>
      <c r="H681" s="304"/>
      <c r="I681" s="304"/>
      <c r="J681" s="27"/>
      <c r="K681" s="27"/>
      <c r="L681" s="27"/>
      <c r="M681" s="27"/>
      <c r="N681" s="27"/>
      <c r="O681" s="27"/>
      <c r="P681" s="26"/>
      <c r="Q681" s="2"/>
    </row>
    <row r="682" spans="1:17" ht="17" x14ac:dyDescent="0.25">
      <c r="A682" s="224" t="s">
        <v>265</v>
      </c>
      <c r="B682" s="225"/>
      <c r="C682" s="283"/>
      <c r="D682" s="284"/>
      <c r="E682" s="20"/>
      <c r="F682" s="70" t="s">
        <v>288</v>
      </c>
      <c r="G682" s="66" t="s">
        <v>61</v>
      </c>
      <c r="H682" s="213"/>
      <c r="I682" s="214"/>
      <c r="J682" s="149"/>
      <c r="K682" s="148"/>
      <c r="L682" s="148"/>
      <c r="M682" s="148"/>
      <c r="N682" s="148"/>
      <c r="O682" s="148"/>
      <c r="P682" s="26"/>
      <c r="Q682" s="2"/>
    </row>
    <row r="683" spans="1:17" ht="5" customHeight="1" x14ac:dyDescent="0.2">
      <c r="A683" s="47"/>
      <c r="B683" s="21"/>
      <c r="C683" s="21"/>
      <c r="D683" s="9"/>
      <c r="E683" s="21"/>
      <c r="F683" s="10"/>
      <c r="G683" s="10"/>
      <c r="H683" s="10"/>
      <c r="I683" s="10"/>
      <c r="J683" s="10"/>
      <c r="K683" s="10"/>
      <c r="L683" s="10"/>
      <c r="M683" s="10"/>
      <c r="N683" s="10"/>
      <c r="O683" s="10"/>
      <c r="P683" s="28"/>
      <c r="Q683" s="2"/>
    </row>
    <row r="684" spans="1:17" ht="5" customHeight="1" x14ac:dyDescent="0.2">
      <c r="A684" s="49"/>
      <c r="B684" s="24"/>
      <c r="C684" s="24"/>
      <c r="D684" s="14"/>
      <c r="E684" s="24"/>
      <c r="F684" s="29"/>
      <c r="G684" s="29"/>
      <c r="H684" s="29"/>
      <c r="I684" s="29"/>
      <c r="J684" s="29"/>
      <c r="K684" s="29"/>
      <c r="L684" s="29"/>
      <c r="M684" s="29"/>
      <c r="N684" s="29"/>
      <c r="O684" s="29"/>
      <c r="P684" s="30"/>
      <c r="Q684" s="2"/>
    </row>
    <row r="685" spans="1:17" ht="17" x14ac:dyDescent="0.25">
      <c r="A685" s="265" t="str">
        <f>"At "&amp;TEXT(N2,"dd Mmm yyyy")&amp;":"</f>
        <v>At 31 Mar 2026:</v>
      </c>
      <c r="B685" s="305"/>
      <c r="C685" s="306"/>
      <c r="D685" s="307"/>
      <c r="E685" s="22"/>
      <c r="F685" s="70" t="s">
        <v>289</v>
      </c>
      <c r="G685" s="107" t="s">
        <v>61</v>
      </c>
      <c r="H685" s="240">
        <f>H668+H671-H674+H678+H682</f>
        <v>0</v>
      </c>
      <c r="I685" s="241"/>
      <c r="J685" s="335"/>
      <c r="K685" s="344"/>
      <c r="L685" s="344"/>
      <c r="M685" s="344"/>
      <c r="N685" s="344"/>
      <c r="O685" s="344"/>
      <c r="P685" s="41"/>
      <c r="Q685" s="2"/>
    </row>
    <row r="686" spans="1:17" ht="5" customHeight="1" x14ac:dyDescent="0.2">
      <c r="A686" s="50"/>
      <c r="B686" s="25"/>
      <c r="C686" s="25"/>
      <c r="D686" s="16"/>
      <c r="E686" s="25"/>
      <c r="F686" s="31"/>
      <c r="G686" s="31"/>
      <c r="H686" s="31"/>
      <c r="I686" s="31"/>
      <c r="J686" s="31"/>
      <c r="K686" s="31"/>
      <c r="L686" s="31"/>
      <c r="M686" s="31"/>
      <c r="N686" s="31"/>
      <c r="O686" s="31"/>
      <c r="P686" s="32"/>
      <c r="Q686" s="2"/>
    </row>
    <row r="687" spans="1:17" x14ac:dyDescent="0.2">
      <c r="A687" s="62"/>
      <c r="B687" s="51"/>
      <c r="C687" s="51"/>
      <c r="D687" s="51"/>
      <c r="E687" s="51"/>
      <c r="F687" s="51"/>
      <c r="G687" s="51"/>
      <c r="H687" s="51"/>
      <c r="I687" s="51"/>
      <c r="J687" s="51"/>
      <c r="K687" s="51"/>
      <c r="L687" s="51"/>
      <c r="M687" s="51"/>
      <c r="N687" s="51"/>
      <c r="O687" s="51"/>
      <c r="P687" s="51"/>
      <c r="Q687" s="38"/>
    </row>
    <row r="688" spans="1:17" x14ac:dyDescent="0.2">
      <c r="A688" s="238" t="s">
        <v>270</v>
      </c>
      <c r="B688" s="239"/>
      <c r="C688" s="72"/>
      <c r="D688" s="72"/>
      <c r="E688" s="72"/>
      <c r="F688" s="238"/>
      <c r="G688" s="238"/>
      <c r="H688" s="238"/>
      <c r="I688" s="238"/>
      <c r="J688" s="238"/>
      <c r="K688" s="238"/>
      <c r="L688" s="238"/>
      <c r="M688" s="238"/>
      <c r="N688" s="238"/>
      <c r="O688" s="238"/>
      <c r="P688" s="238"/>
      <c r="Q688" s="38"/>
    </row>
    <row r="689" spans="1:17" x14ac:dyDescent="0.2">
      <c r="A689" s="36"/>
      <c r="Q689" s="2"/>
    </row>
    <row r="690" spans="1:17" ht="5" customHeight="1" x14ac:dyDescent="0.2">
      <c r="A690" s="48"/>
      <c r="B690" s="23"/>
      <c r="C690" s="23"/>
      <c r="D690" s="12"/>
      <c r="E690" s="23"/>
      <c r="F690" s="33"/>
      <c r="G690" s="33"/>
      <c r="H690" s="33"/>
      <c r="I690" s="33"/>
      <c r="J690" s="33"/>
      <c r="K690" s="33"/>
      <c r="L690" s="33"/>
      <c r="M690" s="33"/>
      <c r="N690" s="33"/>
      <c r="O690" s="33"/>
      <c r="P690" s="34"/>
      <c r="Q690" s="2"/>
    </row>
    <row r="691" spans="1:17" x14ac:dyDescent="0.2">
      <c r="A691" s="224" t="str">
        <f>"At "&amp;TEXT(J2,"dd Mmm yyyy")&amp;":"</f>
        <v>At 01 Apr 2024:</v>
      </c>
      <c r="B691" s="225"/>
      <c r="C691" s="283"/>
      <c r="D691" s="284"/>
      <c r="E691" s="20"/>
      <c r="F691" s="70" t="s">
        <v>290</v>
      </c>
      <c r="G691" s="66" t="s">
        <v>61</v>
      </c>
      <c r="H691" s="213">
        <f>ROUND([1]PubNotes!$B$14,D2)</f>
        <v>0</v>
      </c>
      <c r="I691" s="214"/>
      <c r="J691" s="27"/>
      <c r="K691" s="27"/>
      <c r="L691" s="27"/>
      <c r="M691" s="27"/>
      <c r="N691" s="27"/>
      <c r="O691" s="27"/>
      <c r="P691" s="26"/>
      <c r="Q691" s="2"/>
    </row>
    <row r="692" spans="1:17" ht="5" customHeight="1" x14ac:dyDescent="0.2">
      <c r="A692" s="47"/>
      <c r="B692" s="21"/>
      <c r="C692" s="21"/>
      <c r="D692" s="9"/>
      <c r="E692" s="21"/>
      <c r="F692" s="10"/>
      <c r="G692" s="10"/>
      <c r="H692" s="10"/>
      <c r="I692" s="10"/>
      <c r="J692" s="10"/>
      <c r="K692" s="10"/>
      <c r="L692" s="10"/>
      <c r="M692" s="10"/>
      <c r="N692" s="10"/>
      <c r="O692" s="10"/>
      <c r="P692" s="28"/>
      <c r="Q692" s="2"/>
    </row>
    <row r="693" spans="1:17" ht="5" customHeight="1" x14ac:dyDescent="0.2">
      <c r="A693" s="49"/>
      <c r="B693" s="24"/>
      <c r="C693" s="24"/>
      <c r="D693" s="14"/>
      <c r="E693" s="24"/>
      <c r="F693" s="29"/>
      <c r="G693" s="29"/>
      <c r="H693" s="29"/>
      <c r="I693" s="29"/>
      <c r="J693" s="29"/>
      <c r="K693" s="29"/>
      <c r="L693" s="29"/>
      <c r="M693" s="29"/>
      <c r="N693" s="29"/>
      <c r="O693" s="29"/>
      <c r="P693" s="30"/>
      <c r="Q693" s="2"/>
    </row>
    <row r="694" spans="1:17" ht="17" x14ac:dyDescent="0.25">
      <c r="A694" s="265" t="s">
        <v>276</v>
      </c>
      <c r="B694" s="305"/>
      <c r="C694" s="306"/>
      <c r="D694" s="307"/>
      <c r="E694" s="22"/>
      <c r="F694" s="70" t="s">
        <v>291</v>
      </c>
      <c r="G694" s="67" t="s">
        <v>61</v>
      </c>
      <c r="H694" s="213">
        <f>ROUND([1]PubNotes!$B$15,D2)</f>
        <v>0</v>
      </c>
      <c r="I694" s="214"/>
      <c r="J694" s="343"/>
      <c r="K694" s="344"/>
      <c r="L694" s="344"/>
      <c r="M694" s="344"/>
      <c r="N694" s="344"/>
      <c r="O694" s="344"/>
      <c r="P694" s="41"/>
      <c r="Q694" s="2"/>
    </row>
    <row r="695" spans="1:17" ht="5" customHeight="1" x14ac:dyDescent="0.2">
      <c r="A695" s="50"/>
      <c r="B695" s="25"/>
      <c r="C695" s="25"/>
      <c r="D695" s="16"/>
      <c r="E695" s="25"/>
      <c r="F695" s="31"/>
      <c r="G695" s="31"/>
      <c r="H695" s="31"/>
      <c r="I695" s="31"/>
      <c r="J695" s="31"/>
      <c r="K695" s="31"/>
      <c r="L695" s="31"/>
      <c r="M695" s="31"/>
      <c r="N695" s="31"/>
      <c r="O695" s="31"/>
      <c r="P695" s="32"/>
      <c r="Q695" s="2"/>
    </row>
    <row r="696" spans="1:17" ht="5" customHeight="1" x14ac:dyDescent="0.2">
      <c r="A696" s="48"/>
      <c r="B696" s="23"/>
      <c r="C696" s="23"/>
      <c r="D696" s="12"/>
      <c r="E696" s="23"/>
      <c r="F696" s="33"/>
      <c r="G696" s="33"/>
      <c r="H696" s="33"/>
      <c r="I696" s="33"/>
      <c r="J696" s="33"/>
      <c r="K696" s="33"/>
      <c r="L696" s="33"/>
      <c r="M696" s="33"/>
      <c r="N696" s="33"/>
      <c r="O696" s="33"/>
      <c r="P696" s="34"/>
      <c r="Q696" s="2"/>
    </row>
    <row r="697" spans="1:17" x14ac:dyDescent="0.2">
      <c r="A697" s="224" t="s">
        <v>277</v>
      </c>
      <c r="B697" s="225"/>
      <c r="C697" s="283"/>
      <c r="D697" s="284"/>
      <c r="E697" s="20"/>
      <c r="F697" s="70" t="s">
        <v>292</v>
      </c>
      <c r="G697" s="66" t="s">
        <v>61</v>
      </c>
      <c r="H697" s="213">
        <f>ROUND([1]PubNotes!$B$16,D2)</f>
        <v>0</v>
      </c>
      <c r="I697" s="214"/>
      <c r="J697" s="27"/>
      <c r="K697" s="27"/>
      <c r="L697" s="27"/>
      <c r="M697" s="27"/>
      <c r="N697" s="27"/>
      <c r="O697" s="27"/>
      <c r="P697" s="26"/>
      <c r="Q697" s="2"/>
    </row>
    <row r="698" spans="1:17" ht="5" customHeight="1" x14ac:dyDescent="0.2">
      <c r="A698" s="47"/>
      <c r="B698" s="21"/>
      <c r="C698" s="21"/>
      <c r="D698" s="9"/>
      <c r="E698" s="21"/>
      <c r="F698" s="10"/>
      <c r="G698" s="10"/>
      <c r="H698" s="10"/>
      <c r="I698" s="10"/>
      <c r="J698" s="10"/>
      <c r="K698" s="10"/>
      <c r="L698" s="10"/>
      <c r="M698" s="10"/>
      <c r="N698" s="10"/>
      <c r="O698" s="10"/>
      <c r="P698" s="28"/>
      <c r="Q698" s="2"/>
    </row>
    <row r="699" spans="1:17" ht="5" customHeight="1" x14ac:dyDescent="0.2">
      <c r="A699" s="49"/>
      <c r="B699" s="24"/>
      <c r="C699" s="24"/>
      <c r="D699" s="14"/>
      <c r="E699" s="24"/>
      <c r="F699" s="29"/>
      <c r="G699" s="29"/>
      <c r="H699" s="29"/>
      <c r="I699" s="29"/>
      <c r="J699" s="29"/>
      <c r="K699" s="29"/>
      <c r="L699" s="29"/>
      <c r="M699" s="29"/>
      <c r="N699" s="29"/>
      <c r="O699" s="29"/>
      <c r="P699" s="30"/>
      <c r="Q699" s="2"/>
    </row>
    <row r="700" spans="1:17" ht="15" customHeight="1" x14ac:dyDescent="0.2">
      <c r="A700" s="61"/>
      <c r="B700" s="22"/>
      <c r="C700" s="22"/>
      <c r="D700" s="150"/>
      <c r="E700" s="22"/>
      <c r="F700" s="303" t="s">
        <v>448</v>
      </c>
      <c r="G700" s="303"/>
      <c r="H700" s="303"/>
      <c r="I700" s="303"/>
      <c r="J700" s="40"/>
      <c r="K700" s="40"/>
      <c r="L700" s="40"/>
      <c r="M700" s="40"/>
      <c r="N700" s="40"/>
      <c r="O700" s="40"/>
      <c r="P700" s="41"/>
      <c r="Q700" s="2"/>
    </row>
    <row r="701" spans="1:17" ht="17" x14ac:dyDescent="0.25">
      <c r="A701" s="265" t="s">
        <v>278</v>
      </c>
      <c r="B701" s="305"/>
      <c r="C701" s="306"/>
      <c r="D701" s="307"/>
      <c r="E701" s="22"/>
      <c r="F701" s="70" t="s">
        <v>293</v>
      </c>
      <c r="G701" s="67" t="s">
        <v>61</v>
      </c>
      <c r="H701" s="213"/>
      <c r="I701" s="214"/>
      <c r="J701" s="143"/>
      <c r="K701" s="142"/>
      <c r="L701" s="40"/>
      <c r="M701" s="40"/>
      <c r="N701" s="40"/>
      <c r="O701" s="142"/>
      <c r="P701" s="41"/>
      <c r="Q701" s="2"/>
    </row>
    <row r="702" spans="1:17" ht="5" customHeight="1" x14ac:dyDescent="0.2">
      <c r="A702" s="50"/>
      <c r="B702" s="25"/>
      <c r="C702" s="25"/>
      <c r="D702" s="16"/>
      <c r="E702" s="25"/>
      <c r="F702" s="31"/>
      <c r="G702" s="31"/>
      <c r="H702" s="31"/>
      <c r="I702" s="31"/>
      <c r="J702" s="31"/>
      <c r="K702" s="31"/>
      <c r="L702" s="31"/>
      <c r="M702" s="31"/>
      <c r="N702" s="31"/>
      <c r="O702" s="31"/>
      <c r="P702" s="32"/>
      <c r="Q702" s="2"/>
    </row>
    <row r="703" spans="1:17" ht="5" customHeight="1" x14ac:dyDescent="0.2">
      <c r="A703" s="48"/>
      <c r="B703" s="23"/>
      <c r="C703" s="23"/>
      <c r="D703" s="12"/>
      <c r="E703" s="23"/>
      <c r="F703" s="33"/>
      <c r="G703" s="33"/>
      <c r="H703" s="33"/>
      <c r="I703" s="33"/>
      <c r="J703" s="33"/>
      <c r="K703" s="33"/>
      <c r="L703" s="33"/>
      <c r="M703" s="33"/>
      <c r="N703" s="33"/>
      <c r="O703" s="33"/>
      <c r="P703" s="34"/>
      <c r="Q703" s="2"/>
    </row>
    <row r="704" spans="1:17" ht="17" x14ac:dyDescent="0.25">
      <c r="A704" s="224" t="str">
        <f>"At "&amp;TEXT(N2,"dd Mmm yyyy")&amp;":"</f>
        <v>At 31 Mar 2026:</v>
      </c>
      <c r="B704" s="225"/>
      <c r="C704" s="283"/>
      <c r="D704" s="284"/>
      <c r="E704" s="20"/>
      <c r="F704" s="70" t="s">
        <v>294</v>
      </c>
      <c r="G704" s="115" t="s">
        <v>61</v>
      </c>
      <c r="H704" s="242">
        <f>H691+H694-H697+H701</f>
        <v>0</v>
      </c>
      <c r="I704" s="325"/>
      <c r="J704" s="289"/>
      <c r="K704" s="290"/>
      <c r="L704" s="290"/>
      <c r="M704" s="290"/>
      <c r="N704" s="290"/>
      <c r="O704" s="290"/>
      <c r="P704" s="26"/>
      <c r="Q704" s="2"/>
    </row>
    <row r="705" spans="1:17" ht="5" customHeight="1" x14ac:dyDescent="0.2">
      <c r="A705" s="47"/>
      <c r="B705" s="21"/>
      <c r="C705" s="21"/>
      <c r="D705" s="9"/>
      <c r="E705" s="21"/>
      <c r="F705" s="10"/>
      <c r="G705" s="10"/>
      <c r="H705" s="10"/>
      <c r="I705" s="10"/>
      <c r="J705" s="10"/>
      <c r="K705" s="10"/>
      <c r="L705" s="10"/>
      <c r="M705" s="10"/>
      <c r="N705" s="10"/>
      <c r="O705" s="10"/>
      <c r="P705" s="28"/>
      <c r="Q705" s="2"/>
    </row>
    <row r="706" spans="1:17" x14ac:dyDescent="0.2">
      <c r="A706" s="22"/>
      <c r="B706" s="22"/>
      <c r="C706" s="22"/>
      <c r="D706" s="22"/>
      <c r="E706" s="22"/>
      <c r="F706" s="40"/>
      <c r="G706" s="40"/>
      <c r="H706" s="40"/>
      <c r="I706" s="40"/>
      <c r="J706" s="40"/>
      <c r="K706" s="40"/>
      <c r="L706" s="40"/>
      <c r="M706" s="40"/>
      <c r="N706" s="40"/>
      <c r="O706" s="40"/>
      <c r="P706" s="40"/>
      <c r="Q706" s="2"/>
    </row>
    <row r="707" spans="1:17" x14ac:dyDescent="0.2">
      <c r="A707" s="96" t="s">
        <v>279</v>
      </c>
      <c r="B707" s="22"/>
      <c r="C707" s="22"/>
      <c r="D707" s="22"/>
      <c r="E707" s="22"/>
      <c r="F707" s="40"/>
      <c r="G707" s="40"/>
      <c r="H707" s="40"/>
      <c r="I707" s="40"/>
      <c r="J707" s="40"/>
      <c r="K707" s="40"/>
      <c r="L707" s="40"/>
      <c r="M707" s="40"/>
      <c r="N707" s="40"/>
      <c r="O707" s="40"/>
      <c r="P707" s="40"/>
      <c r="Q707" s="2"/>
    </row>
    <row r="708" spans="1:17" x14ac:dyDescent="0.2">
      <c r="A708" s="22"/>
      <c r="B708" s="22"/>
      <c r="C708" s="22"/>
      <c r="D708" s="22"/>
      <c r="E708" s="22"/>
      <c r="F708" s="40"/>
      <c r="G708" s="40"/>
      <c r="H708" s="40"/>
      <c r="I708" s="40"/>
      <c r="J708" s="40"/>
      <c r="K708" s="40"/>
      <c r="L708" s="40"/>
      <c r="M708" s="40"/>
      <c r="N708" s="40"/>
      <c r="O708" s="40"/>
      <c r="P708" s="40"/>
      <c r="Q708" s="2"/>
    </row>
    <row r="709" spans="1:17" ht="5" customHeight="1" x14ac:dyDescent="0.2">
      <c r="A709" s="48"/>
      <c r="B709" s="23"/>
      <c r="C709" s="23"/>
      <c r="D709" s="12"/>
      <c r="E709" s="23"/>
      <c r="F709" s="33"/>
      <c r="G709" s="33"/>
      <c r="H709" s="33"/>
      <c r="I709" s="33"/>
      <c r="J709" s="33"/>
      <c r="K709" s="33"/>
      <c r="L709" s="33"/>
      <c r="M709" s="33"/>
      <c r="N709" s="33"/>
      <c r="O709" s="33"/>
      <c r="P709" s="34"/>
      <c r="Q709" s="2"/>
    </row>
    <row r="710" spans="1:17" ht="17" x14ac:dyDescent="0.25">
      <c r="A710" s="224" t="str">
        <f>"At "&amp;TEXT(N2,"dd Mmm yyyy")&amp;":"</f>
        <v>At 31 Mar 2026:</v>
      </c>
      <c r="B710" s="225"/>
      <c r="C710" s="283"/>
      <c r="D710" s="284"/>
      <c r="E710" s="20"/>
      <c r="F710" s="70" t="s">
        <v>295</v>
      </c>
      <c r="G710" s="115" t="s">
        <v>61</v>
      </c>
      <c r="H710" s="242">
        <f>H685-H704</f>
        <v>0</v>
      </c>
      <c r="I710" s="325"/>
      <c r="J710" s="289"/>
      <c r="K710" s="290"/>
      <c r="L710" s="290"/>
      <c r="M710" s="290"/>
      <c r="N710" s="290"/>
      <c r="O710" s="290"/>
      <c r="P710" s="26"/>
      <c r="Q710" s="2"/>
    </row>
    <row r="711" spans="1:17" ht="4.5" customHeight="1" x14ac:dyDescent="0.2">
      <c r="A711" s="47"/>
      <c r="B711" s="21"/>
      <c r="C711" s="21"/>
      <c r="D711" s="9"/>
      <c r="E711" s="21"/>
      <c r="F711" s="10"/>
      <c r="G711" s="10"/>
      <c r="H711" s="10"/>
      <c r="I711" s="10"/>
      <c r="J711" s="10"/>
      <c r="K711" s="10"/>
      <c r="L711" s="10"/>
      <c r="M711" s="10"/>
      <c r="N711" s="10"/>
      <c r="O711" s="10"/>
      <c r="P711" s="28"/>
      <c r="Q711" s="2"/>
    </row>
    <row r="712" spans="1:17" ht="5" customHeight="1" x14ac:dyDescent="0.2">
      <c r="A712" s="49"/>
      <c r="B712" s="24"/>
      <c r="C712" s="24"/>
      <c r="D712" s="14"/>
      <c r="E712" s="24"/>
      <c r="F712" s="29"/>
      <c r="G712" s="29"/>
      <c r="H712" s="29"/>
      <c r="I712" s="29"/>
      <c r="J712" s="29"/>
      <c r="K712" s="29"/>
      <c r="L712" s="29"/>
      <c r="M712" s="29"/>
      <c r="N712" s="29"/>
      <c r="O712" s="29"/>
      <c r="P712" s="30"/>
      <c r="Q712" s="2"/>
    </row>
    <row r="713" spans="1:17" ht="17" x14ac:dyDescent="0.25">
      <c r="A713" s="265" t="str">
        <f>IF(H72&gt;0,"At "&amp;TEXT(H72,"dd Mmm yyyy")&amp;":","")</f>
        <v>At :</v>
      </c>
      <c r="B713" s="305"/>
      <c r="C713" s="306"/>
      <c r="D713" s="307"/>
      <c r="E713" s="22"/>
      <c r="F713" s="70" t="s">
        <v>465</v>
      </c>
      <c r="G713" s="107" t="s">
        <v>61</v>
      </c>
      <c r="H713" s="240">
        <f>IF(H72&gt;0,ROUND([1]OpenAccounts!$G$13,D2)-ROUND([1]OpenAccounts!$M$13,D2),"")</f>
        <v>0</v>
      </c>
      <c r="I713" s="241"/>
      <c r="J713" s="335"/>
      <c r="K713" s="344"/>
      <c r="L713" s="344"/>
      <c r="M713" s="344"/>
      <c r="N713" s="344"/>
      <c r="O713" s="344"/>
      <c r="P713" s="41"/>
      <c r="Q713" s="2"/>
    </row>
    <row r="714" spans="1:17" ht="5" customHeight="1" x14ac:dyDescent="0.2">
      <c r="A714" s="50"/>
      <c r="B714" s="25"/>
      <c r="C714" s="25"/>
      <c r="D714" s="16"/>
      <c r="E714" s="25"/>
      <c r="F714" s="31"/>
      <c r="G714" s="31"/>
      <c r="H714" s="31"/>
      <c r="I714" s="31"/>
      <c r="J714" s="31"/>
      <c r="K714" s="31"/>
      <c r="L714" s="31"/>
      <c r="M714" s="31"/>
      <c r="N714" s="31"/>
      <c r="O714" s="31"/>
      <c r="P714" s="32"/>
      <c r="Q714" s="2"/>
    </row>
    <row r="715" spans="1:17" x14ac:dyDescent="0.2">
      <c r="A715" s="22"/>
      <c r="B715" s="22"/>
      <c r="C715" s="22"/>
      <c r="D715" s="22"/>
      <c r="E715" s="22"/>
      <c r="F715" s="40"/>
      <c r="G715" s="40"/>
      <c r="H715" s="40"/>
      <c r="I715" s="40"/>
      <c r="J715" s="40"/>
      <c r="K715" s="40"/>
      <c r="L715" s="40"/>
      <c r="M715" s="40"/>
      <c r="N715" s="40"/>
      <c r="O715" s="40"/>
      <c r="P715" s="40"/>
      <c r="Q715" s="2"/>
    </row>
    <row r="717" spans="1:17" ht="16" x14ac:dyDescent="0.2">
      <c r="A717" s="231" t="s">
        <v>145</v>
      </c>
      <c r="B717" s="232"/>
      <c r="C717" s="232"/>
      <c r="D717" s="232"/>
      <c r="F717" s="233"/>
      <c r="G717" s="233"/>
      <c r="H717" s="233"/>
      <c r="I717" s="233"/>
      <c r="J717" s="233"/>
      <c r="K717" s="233"/>
      <c r="L717" s="233"/>
      <c r="M717" s="233"/>
      <c r="N717" s="233"/>
      <c r="O717" s="233"/>
      <c r="P717" s="233"/>
      <c r="Q717" s="233"/>
    </row>
    <row r="718" spans="1:17" ht="5" customHeight="1" x14ac:dyDescent="0.2">
      <c r="A718" s="1"/>
      <c r="B718" s="1"/>
      <c r="C718" s="1"/>
      <c r="D718" s="1"/>
      <c r="E718" s="1"/>
      <c r="F718" s="1"/>
      <c r="G718" s="1"/>
      <c r="H718" s="1"/>
      <c r="I718" s="1"/>
      <c r="J718" s="1"/>
      <c r="K718" s="1"/>
      <c r="L718" s="1"/>
      <c r="M718" s="1"/>
      <c r="N718" s="1"/>
      <c r="O718" s="1"/>
      <c r="P718" s="1"/>
      <c r="Q718" s="1"/>
    </row>
    <row r="719" spans="1:17" x14ac:dyDescent="0.2">
      <c r="A719" s="234" t="s">
        <v>296</v>
      </c>
      <c r="B719" s="235"/>
      <c r="C719" s="235"/>
      <c r="D719" s="235"/>
      <c r="E719" s="236"/>
      <c r="F719" s="236"/>
      <c r="G719" s="236"/>
      <c r="H719" s="236"/>
      <c r="I719" s="236"/>
      <c r="J719" s="236"/>
      <c r="K719" s="236"/>
      <c r="L719" s="236"/>
      <c r="M719" s="236"/>
      <c r="N719" s="236"/>
      <c r="O719" s="236"/>
      <c r="P719" s="236"/>
      <c r="Q719" s="237"/>
    </row>
    <row r="720" spans="1:17" x14ac:dyDescent="0.2">
      <c r="A720" s="211" t="s">
        <v>297</v>
      </c>
      <c r="B720" s="212"/>
      <c r="C720" s="212"/>
      <c r="D720" s="212"/>
      <c r="E720" s="212"/>
      <c r="F720" s="212"/>
      <c r="G720" s="212"/>
      <c r="H720" s="212"/>
      <c r="I720" s="212"/>
      <c r="J720" s="212"/>
      <c r="K720" s="212"/>
      <c r="L720" s="212"/>
      <c r="M720" s="212"/>
      <c r="N720" s="212"/>
      <c r="O720" s="212"/>
      <c r="P720" s="212"/>
      <c r="Q720" s="38"/>
    </row>
    <row r="721" spans="1:17" x14ac:dyDescent="0.2">
      <c r="A721" s="62"/>
      <c r="B721" s="51"/>
      <c r="C721" s="51"/>
      <c r="D721" s="51"/>
      <c r="E721" s="51"/>
      <c r="F721" s="51"/>
      <c r="G721" s="51"/>
      <c r="H721" s="51"/>
      <c r="I721" s="51"/>
      <c r="J721" s="51"/>
      <c r="K721" s="51"/>
      <c r="L721" s="51"/>
      <c r="M721" s="51"/>
      <c r="N721" s="51"/>
      <c r="O721" s="51"/>
      <c r="P721" s="51"/>
      <c r="Q721" s="38"/>
    </row>
    <row r="722" spans="1:17" x14ac:dyDescent="0.2">
      <c r="A722" s="211" t="s">
        <v>970</v>
      </c>
      <c r="B722" s="212"/>
      <c r="C722" s="212"/>
      <c r="D722" s="212"/>
      <c r="E722" s="212"/>
      <c r="F722" s="212"/>
      <c r="G722" s="212"/>
      <c r="H722" s="212"/>
      <c r="I722" s="212"/>
      <c r="J722" s="212"/>
      <c r="K722" s="212"/>
      <c r="L722" s="212"/>
      <c r="M722" s="212"/>
      <c r="N722" s="212"/>
      <c r="O722" s="212"/>
      <c r="P722" s="212"/>
      <c r="Q722" s="38"/>
    </row>
    <row r="723" spans="1:17" x14ac:dyDescent="0.2">
      <c r="A723" s="62"/>
      <c r="B723" s="51"/>
      <c r="C723" s="51"/>
      <c r="D723" s="51"/>
      <c r="E723" s="51"/>
      <c r="F723" s="51"/>
      <c r="G723" s="51"/>
      <c r="H723" s="51"/>
      <c r="I723" s="51"/>
      <c r="J723" s="51"/>
      <c r="K723" s="51"/>
      <c r="L723" s="51"/>
      <c r="M723" s="51"/>
      <c r="N723" s="51"/>
      <c r="O723" s="51"/>
      <c r="P723" s="51"/>
      <c r="Q723" s="38"/>
    </row>
    <row r="724" spans="1:17" x14ac:dyDescent="0.2">
      <c r="A724" s="238" t="s">
        <v>259</v>
      </c>
      <c r="B724" s="239"/>
      <c r="C724" s="72"/>
      <c r="D724" s="72"/>
      <c r="E724" s="72"/>
      <c r="F724" s="238"/>
      <c r="G724" s="238"/>
      <c r="H724" s="238"/>
      <c r="I724" s="238"/>
      <c r="J724" s="238"/>
      <c r="K724" s="238"/>
      <c r="L724" s="238"/>
      <c r="M724" s="238"/>
      <c r="N724" s="238"/>
      <c r="O724" s="238"/>
      <c r="P724" s="238"/>
      <c r="Q724" s="38"/>
    </row>
    <row r="725" spans="1:17" x14ac:dyDescent="0.2">
      <c r="A725" s="36"/>
      <c r="Q725" s="2"/>
    </row>
    <row r="726" spans="1:17" ht="5" customHeight="1" x14ac:dyDescent="0.2">
      <c r="A726" s="48"/>
      <c r="B726" s="23"/>
      <c r="C726" s="23"/>
      <c r="D726" s="12"/>
      <c r="E726" s="23"/>
      <c r="F726" s="33"/>
      <c r="G726" s="33"/>
      <c r="H726" s="33"/>
      <c r="I726" s="33"/>
      <c r="J726" s="33"/>
      <c r="K726" s="33"/>
      <c r="L726" s="33"/>
      <c r="M726" s="33"/>
      <c r="N726" s="33"/>
      <c r="O726" s="33"/>
      <c r="P726" s="34"/>
      <c r="Q726" s="2"/>
    </row>
    <row r="727" spans="1:17" x14ac:dyDescent="0.2">
      <c r="A727" s="224" t="str">
        <f>"At "&amp;TEXT(J2,"dd Mmm yyyy")&amp;":"</f>
        <v>At 01 Apr 2024:</v>
      </c>
      <c r="B727" s="225"/>
      <c r="C727" s="283"/>
      <c r="D727" s="284"/>
      <c r="E727" s="20"/>
      <c r="F727" s="70" t="s">
        <v>298</v>
      </c>
      <c r="G727" s="66" t="s">
        <v>61</v>
      </c>
      <c r="H727" s="213">
        <f>ROUND([1]PubNotes!$F$8,D2)</f>
        <v>0</v>
      </c>
      <c r="I727" s="214"/>
      <c r="J727" s="27"/>
      <c r="K727" s="27"/>
      <c r="L727" s="27"/>
      <c r="M727" s="27"/>
      <c r="N727" s="27"/>
      <c r="O727" s="27"/>
      <c r="P727" s="26"/>
      <c r="Q727" s="2"/>
    </row>
    <row r="728" spans="1:17" ht="5" customHeight="1" x14ac:dyDescent="0.2">
      <c r="A728" s="47"/>
      <c r="B728" s="21"/>
      <c r="C728" s="21"/>
      <c r="D728" s="9"/>
      <c r="E728" s="21"/>
      <c r="F728" s="10"/>
      <c r="G728" s="10"/>
      <c r="H728" s="10"/>
      <c r="I728" s="10"/>
      <c r="J728" s="10"/>
      <c r="K728" s="10"/>
      <c r="L728" s="10"/>
      <c r="M728" s="10"/>
      <c r="N728" s="10"/>
      <c r="O728" s="10"/>
      <c r="P728" s="28"/>
      <c r="Q728" s="2"/>
    </row>
    <row r="729" spans="1:17" ht="5" customHeight="1" x14ac:dyDescent="0.2">
      <c r="A729" s="49"/>
      <c r="B729" s="24"/>
      <c r="C729" s="24"/>
      <c r="D729" s="14"/>
      <c r="E729" s="24"/>
      <c r="F729" s="29"/>
      <c r="G729" s="29"/>
      <c r="H729" s="29"/>
      <c r="I729" s="29"/>
      <c r="J729" s="29"/>
      <c r="K729" s="29"/>
      <c r="L729" s="29"/>
      <c r="M729" s="29"/>
      <c r="N729" s="29"/>
      <c r="O729" s="29"/>
      <c r="P729" s="30"/>
      <c r="Q729" s="2"/>
    </row>
    <row r="730" spans="1:17" ht="17" x14ac:dyDescent="0.25">
      <c r="A730" s="265" t="s">
        <v>263</v>
      </c>
      <c r="B730" s="305"/>
      <c r="C730" s="306"/>
      <c r="D730" s="307"/>
      <c r="E730" s="22"/>
      <c r="F730" s="70" t="s">
        <v>299</v>
      </c>
      <c r="G730" s="67" t="s">
        <v>61</v>
      </c>
      <c r="H730" s="213">
        <f>ROUND([1]PubNotes!$F$9,D2)</f>
        <v>0</v>
      </c>
      <c r="I730" s="214"/>
      <c r="J730" s="343"/>
      <c r="K730" s="344"/>
      <c r="L730" s="344"/>
      <c r="M730" s="344"/>
      <c r="N730" s="344"/>
      <c r="O730" s="344"/>
      <c r="P730" s="41"/>
      <c r="Q730" s="2"/>
    </row>
    <row r="731" spans="1:17" ht="5" customHeight="1" x14ac:dyDescent="0.2">
      <c r="A731" s="50"/>
      <c r="B731" s="25"/>
      <c r="C731" s="25"/>
      <c r="D731" s="16"/>
      <c r="E731" s="25"/>
      <c r="F731" s="31"/>
      <c r="G731" s="31"/>
      <c r="H731" s="31"/>
      <c r="I731" s="31"/>
      <c r="J731" s="31"/>
      <c r="K731" s="31"/>
      <c r="L731" s="31"/>
      <c r="M731" s="31"/>
      <c r="N731" s="31"/>
      <c r="O731" s="31"/>
      <c r="P731" s="32"/>
      <c r="Q731" s="2"/>
    </row>
    <row r="732" spans="1:17" ht="5" customHeight="1" x14ac:dyDescent="0.2">
      <c r="A732" s="48"/>
      <c r="B732" s="23"/>
      <c r="C732" s="23"/>
      <c r="D732" s="12"/>
      <c r="E732" s="23"/>
      <c r="F732" s="33"/>
      <c r="G732" s="33"/>
      <c r="H732" s="33"/>
      <c r="I732" s="33"/>
      <c r="J732" s="33"/>
      <c r="K732" s="33"/>
      <c r="L732" s="33"/>
      <c r="M732" s="33"/>
      <c r="N732" s="33"/>
      <c r="O732" s="33"/>
      <c r="P732" s="34"/>
      <c r="Q732" s="2"/>
    </row>
    <row r="733" spans="1:17" x14ac:dyDescent="0.2">
      <c r="A733" s="224" t="s">
        <v>262</v>
      </c>
      <c r="B733" s="225"/>
      <c r="C733" s="283"/>
      <c r="D733" s="284"/>
      <c r="E733" s="20"/>
      <c r="F733" s="70" t="s">
        <v>300</v>
      </c>
      <c r="G733" s="66" t="s">
        <v>61</v>
      </c>
      <c r="H733" s="213">
        <f>ROUND([1]PubNotes!$F$10,D2)</f>
        <v>0</v>
      </c>
      <c r="I733" s="214"/>
      <c r="J733" s="27"/>
      <c r="K733" s="27"/>
      <c r="L733" s="27"/>
      <c r="M733" s="27"/>
      <c r="N733" s="27"/>
      <c r="O733" s="27"/>
      <c r="P733" s="26"/>
      <c r="Q733" s="2"/>
    </row>
    <row r="734" spans="1:17" ht="5" customHeight="1" x14ac:dyDescent="0.2">
      <c r="A734" s="47"/>
      <c r="B734" s="21"/>
      <c r="C734" s="21"/>
      <c r="D734" s="9"/>
      <c r="E734" s="21"/>
      <c r="F734" s="10"/>
      <c r="G734" s="10"/>
      <c r="H734" s="10"/>
      <c r="I734" s="10"/>
      <c r="J734" s="10"/>
      <c r="K734" s="10"/>
      <c r="L734" s="10"/>
      <c r="M734" s="10"/>
      <c r="N734" s="10"/>
      <c r="O734" s="10"/>
      <c r="P734" s="28"/>
      <c r="Q734" s="2"/>
    </row>
    <row r="735" spans="1:17" ht="5" customHeight="1" x14ac:dyDescent="0.2">
      <c r="A735" s="49"/>
      <c r="B735" s="24"/>
      <c r="C735" s="24"/>
      <c r="D735" s="14"/>
      <c r="E735" s="24"/>
      <c r="F735" s="29"/>
      <c r="G735" s="29"/>
      <c r="H735" s="29"/>
      <c r="I735" s="29"/>
      <c r="J735" s="29"/>
      <c r="K735" s="29"/>
      <c r="L735" s="29"/>
      <c r="M735" s="29"/>
      <c r="N735" s="29"/>
      <c r="O735" s="29"/>
      <c r="P735" s="30"/>
      <c r="Q735" s="2"/>
    </row>
    <row r="736" spans="1:17" ht="15" customHeight="1" x14ac:dyDescent="0.2">
      <c r="A736" s="61"/>
      <c r="B736" s="22"/>
      <c r="C736" s="22"/>
      <c r="D736" s="150"/>
      <c r="E736" s="22"/>
      <c r="F736" s="303" t="s">
        <v>448</v>
      </c>
      <c r="G736" s="303"/>
      <c r="H736" s="303"/>
      <c r="I736" s="303"/>
      <c r="J736" s="40"/>
      <c r="K736" s="40"/>
      <c r="L736" s="40"/>
      <c r="M736" s="40"/>
      <c r="N736" s="40"/>
      <c r="O736" s="40"/>
      <c r="P736" s="41"/>
      <c r="Q736" s="2"/>
    </row>
    <row r="737" spans="1:17" ht="17" x14ac:dyDescent="0.25">
      <c r="A737" s="265" t="s">
        <v>264</v>
      </c>
      <c r="B737" s="305"/>
      <c r="C737" s="306"/>
      <c r="D737" s="307"/>
      <c r="E737" s="22"/>
      <c r="F737" s="70" t="s">
        <v>301</v>
      </c>
      <c r="G737" s="67" t="s">
        <v>61</v>
      </c>
      <c r="H737" s="213"/>
      <c r="I737" s="214"/>
      <c r="J737" s="143"/>
      <c r="K737" s="142"/>
      <c r="L737" s="40"/>
      <c r="M737" s="40"/>
      <c r="N737" s="40"/>
      <c r="O737" s="142"/>
      <c r="P737" s="41"/>
      <c r="Q737" s="2"/>
    </row>
    <row r="738" spans="1:17" ht="5" customHeight="1" x14ac:dyDescent="0.2">
      <c r="A738" s="50"/>
      <c r="B738" s="25"/>
      <c r="C738" s="25"/>
      <c r="D738" s="16"/>
      <c r="E738" s="25"/>
      <c r="F738" s="31"/>
      <c r="G738" s="31"/>
      <c r="H738" s="31"/>
      <c r="I738" s="31"/>
      <c r="J738" s="31"/>
      <c r="K738" s="31"/>
      <c r="L738" s="31"/>
      <c r="M738" s="31"/>
      <c r="N738" s="31"/>
      <c r="O738" s="31"/>
      <c r="P738" s="32"/>
      <c r="Q738" s="2"/>
    </row>
    <row r="739" spans="1:17" ht="5.25" customHeight="1" x14ac:dyDescent="0.2">
      <c r="A739" s="48"/>
      <c r="B739" s="23"/>
      <c r="C739" s="23"/>
      <c r="D739" s="12"/>
      <c r="E739" s="23"/>
      <c r="F739" s="33"/>
      <c r="G739" s="33"/>
      <c r="H739" s="33"/>
      <c r="I739" s="33"/>
      <c r="J739" s="33"/>
      <c r="K739" s="33"/>
      <c r="L739" s="33"/>
      <c r="M739" s="33"/>
      <c r="N739" s="33"/>
      <c r="O739" s="33"/>
      <c r="P739" s="34"/>
      <c r="Q739" s="2"/>
    </row>
    <row r="740" spans="1:17" ht="15" customHeight="1" x14ac:dyDescent="0.2">
      <c r="A740" s="141"/>
      <c r="B740" s="20"/>
      <c r="C740" s="20"/>
      <c r="D740" s="7"/>
      <c r="E740" s="20"/>
      <c r="F740" s="304" t="s">
        <v>448</v>
      </c>
      <c r="G740" s="304"/>
      <c r="H740" s="304"/>
      <c r="I740" s="304"/>
      <c r="J740" s="27"/>
      <c r="K740" s="27"/>
      <c r="L740" s="27"/>
      <c r="M740" s="27"/>
      <c r="N740" s="27"/>
      <c r="O740" s="27"/>
      <c r="P740" s="26"/>
      <c r="Q740" s="2"/>
    </row>
    <row r="741" spans="1:17" ht="17" x14ac:dyDescent="0.25">
      <c r="A741" s="224" t="s">
        <v>265</v>
      </c>
      <c r="B741" s="225"/>
      <c r="C741" s="283"/>
      <c r="D741" s="284"/>
      <c r="E741" s="20"/>
      <c r="F741" s="70" t="s">
        <v>302</v>
      </c>
      <c r="G741" s="66" t="s">
        <v>61</v>
      </c>
      <c r="H741" s="213"/>
      <c r="I741" s="214"/>
      <c r="J741" s="149"/>
      <c r="K741" s="148"/>
      <c r="L741" s="148"/>
      <c r="M741" s="148"/>
      <c r="N741" s="148"/>
      <c r="O741" s="148"/>
      <c r="P741" s="26"/>
      <c r="Q741" s="2"/>
    </row>
    <row r="742" spans="1:17" ht="5" customHeight="1" x14ac:dyDescent="0.2">
      <c r="A742" s="47"/>
      <c r="B742" s="21"/>
      <c r="C742" s="21"/>
      <c r="D742" s="9"/>
      <c r="E742" s="21"/>
      <c r="F742" s="10"/>
      <c r="G742" s="10"/>
      <c r="H742" s="10"/>
      <c r="I742" s="10"/>
      <c r="J742" s="10"/>
      <c r="K742" s="10"/>
      <c r="L742" s="10"/>
      <c r="M742" s="10"/>
      <c r="N742" s="10"/>
      <c r="O742" s="10"/>
      <c r="P742" s="28"/>
      <c r="Q742" s="2"/>
    </row>
    <row r="743" spans="1:17" ht="5" customHeight="1" x14ac:dyDescent="0.2">
      <c r="A743" s="49"/>
      <c r="B743" s="24"/>
      <c r="C743" s="24"/>
      <c r="D743" s="14"/>
      <c r="E743" s="24"/>
      <c r="F743" s="29"/>
      <c r="G743" s="29"/>
      <c r="H743" s="29"/>
      <c r="I743" s="29"/>
      <c r="J743" s="29"/>
      <c r="K743" s="29"/>
      <c r="L743" s="29"/>
      <c r="M743" s="29"/>
      <c r="N743" s="29"/>
      <c r="O743" s="29"/>
      <c r="P743" s="30"/>
      <c r="Q743" s="2"/>
    </row>
    <row r="744" spans="1:17" ht="17" x14ac:dyDescent="0.25">
      <c r="A744" s="265" t="str">
        <f>"At "&amp;TEXT(N2,"dd Mmm yyyy")&amp;":"</f>
        <v>At 31 Mar 2026:</v>
      </c>
      <c r="B744" s="305"/>
      <c r="C744" s="306"/>
      <c r="D744" s="307"/>
      <c r="E744" s="22"/>
      <c r="F744" s="70" t="s">
        <v>303</v>
      </c>
      <c r="G744" s="107" t="s">
        <v>61</v>
      </c>
      <c r="H744" s="240">
        <f>H727+H730-H733+H737+H741</f>
        <v>0</v>
      </c>
      <c r="I744" s="241"/>
      <c r="J744" s="335"/>
      <c r="K744" s="344"/>
      <c r="L744" s="344"/>
      <c r="M744" s="344"/>
      <c r="N744" s="344"/>
      <c r="O744" s="344"/>
      <c r="P744" s="41"/>
      <c r="Q744" s="2"/>
    </row>
    <row r="745" spans="1:17" ht="5" customHeight="1" x14ac:dyDescent="0.2">
      <c r="A745" s="50"/>
      <c r="B745" s="25"/>
      <c r="C745" s="25"/>
      <c r="D745" s="16"/>
      <c r="E745" s="25"/>
      <c r="F745" s="31"/>
      <c r="G745" s="31"/>
      <c r="H745" s="31"/>
      <c r="I745" s="31"/>
      <c r="J745" s="31"/>
      <c r="K745" s="31"/>
      <c r="L745" s="31"/>
      <c r="M745" s="31"/>
      <c r="N745" s="31"/>
      <c r="O745" s="31"/>
      <c r="P745" s="32"/>
      <c r="Q745" s="2"/>
    </row>
    <row r="746" spans="1:17" x14ac:dyDescent="0.2">
      <c r="A746" s="62"/>
      <c r="B746" s="51"/>
      <c r="C746" s="51"/>
      <c r="D746" s="51"/>
      <c r="E746" s="51"/>
      <c r="F746" s="51"/>
      <c r="G746" s="51"/>
      <c r="H746" s="51"/>
      <c r="I746" s="51"/>
      <c r="J746" s="51"/>
      <c r="K746" s="51"/>
      <c r="L746" s="51"/>
      <c r="M746" s="51"/>
      <c r="N746" s="51"/>
      <c r="O746" s="51"/>
      <c r="P746" s="51"/>
      <c r="Q746" s="38"/>
    </row>
    <row r="747" spans="1:17" x14ac:dyDescent="0.2">
      <c r="A747" s="238" t="s">
        <v>270</v>
      </c>
      <c r="B747" s="239"/>
      <c r="C747" s="72"/>
      <c r="D747" s="72"/>
      <c r="E747" s="72"/>
      <c r="F747" s="238"/>
      <c r="G747" s="238"/>
      <c r="H747" s="238"/>
      <c r="I747" s="238"/>
      <c r="J747" s="238"/>
      <c r="K747" s="238"/>
      <c r="L747" s="238"/>
      <c r="M747" s="238"/>
      <c r="N747" s="238"/>
      <c r="O747" s="238"/>
      <c r="P747" s="238"/>
      <c r="Q747" s="38"/>
    </row>
    <row r="748" spans="1:17" x14ac:dyDescent="0.2">
      <c r="A748" s="36"/>
      <c r="Q748" s="2"/>
    </row>
    <row r="749" spans="1:17" ht="5" customHeight="1" x14ac:dyDescent="0.2">
      <c r="A749" s="48"/>
      <c r="B749" s="23"/>
      <c r="C749" s="23"/>
      <c r="D749" s="12"/>
      <c r="E749" s="23"/>
      <c r="F749" s="33"/>
      <c r="G749" s="33"/>
      <c r="H749" s="33"/>
      <c r="I749" s="33"/>
      <c r="J749" s="33"/>
      <c r="K749" s="33"/>
      <c r="L749" s="33"/>
      <c r="M749" s="33"/>
      <c r="N749" s="33"/>
      <c r="O749" s="33"/>
      <c r="P749" s="34"/>
      <c r="Q749" s="2"/>
    </row>
    <row r="750" spans="1:17" x14ac:dyDescent="0.2">
      <c r="A750" s="224" t="str">
        <f>"At "&amp;TEXT(J2,"dd Mmm yyyy")&amp;":"</f>
        <v>At 01 Apr 2024:</v>
      </c>
      <c r="B750" s="225"/>
      <c r="C750" s="283"/>
      <c r="D750" s="284"/>
      <c r="E750" s="20"/>
      <c r="F750" s="70" t="s">
        <v>304</v>
      </c>
      <c r="G750" s="66" t="s">
        <v>61</v>
      </c>
      <c r="H750" s="213">
        <f>ROUND([1]PubNotes!$F$14,D2)</f>
        <v>0</v>
      </c>
      <c r="I750" s="214"/>
      <c r="J750" s="27"/>
      <c r="K750" s="27"/>
      <c r="L750" s="27"/>
      <c r="M750" s="27"/>
      <c r="N750" s="27"/>
      <c r="O750" s="27"/>
      <c r="P750" s="26"/>
      <c r="Q750" s="2"/>
    </row>
    <row r="751" spans="1:17" ht="5" customHeight="1" x14ac:dyDescent="0.2">
      <c r="A751" s="47"/>
      <c r="B751" s="21"/>
      <c r="C751" s="21"/>
      <c r="D751" s="9"/>
      <c r="E751" s="21"/>
      <c r="F751" s="10"/>
      <c r="G751" s="10"/>
      <c r="H751" s="10"/>
      <c r="I751" s="10"/>
      <c r="J751" s="10"/>
      <c r="K751" s="10"/>
      <c r="L751" s="10"/>
      <c r="M751" s="10"/>
      <c r="N751" s="10"/>
      <c r="O751" s="10"/>
      <c r="P751" s="28"/>
      <c r="Q751" s="2"/>
    </row>
    <row r="752" spans="1:17" ht="5" customHeight="1" x14ac:dyDescent="0.2">
      <c r="A752" s="49"/>
      <c r="B752" s="24"/>
      <c r="C752" s="24"/>
      <c r="D752" s="14"/>
      <c r="E752" s="24"/>
      <c r="F752" s="29"/>
      <c r="G752" s="29"/>
      <c r="H752" s="29"/>
      <c r="I752" s="29"/>
      <c r="J752" s="29"/>
      <c r="K752" s="29"/>
      <c r="L752" s="29"/>
      <c r="M752" s="29"/>
      <c r="N752" s="29"/>
      <c r="O752" s="29"/>
      <c r="P752" s="30"/>
      <c r="Q752" s="2"/>
    </row>
    <row r="753" spans="1:17" ht="17" x14ac:dyDescent="0.25">
      <c r="A753" s="265" t="s">
        <v>276</v>
      </c>
      <c r="B753" s="305"/>
      <c r="C753" s="306"/>
      <c r="D753" s="307"/>
      <c r="E753" s="22"/>
      <c r="F753" s="70" t="s">
        <v>305</v>
      </c>
      <c r="G753" s="67" t="s">
        <v>61</v>
      </c>
      <c r="H753" s="213">
        <f>ROUND([1]PubNotes!$F$15,D2)</f>
        <v>0</v>
      </c>
      <c r="I753" s="214"/>
      <c r="J753" s="343"/>
      <c r="K753" s="344"/>
      <c r="L753" s="344"/>
      <c r="M753" s="344"/>
      <c r="N753" s="344"/>
      <c r="O753" s="344"/>
      <c r="P753" s="41"/>
      <c r="Q753" s="2"/>
    </row>
    <row r="754" spans="1:17" ht="5" customHeight="1" x14ac:dyDescent="0.2">
      <c r="A754" s="50"/>
      <c r="B754" s="25"/>
      <c r="C754" s="25"/>
      <c r="D754" s="16"/>
      <c r="E754" s="25"/>
      <c r="F754" s="31"/>
      <c r="G754" s="31"/>
      <c r="H754" s="31"/>
      <c r="I754" s="31"/>
      <c r="J754" s="31"/>
      <c r="K754" s="31"/>
      <c r="L754" s="31"/>
      <c r="M754" s="31"/>
      <c r="N754" s="31"/>
      <c r="O754" s="31"/>
      <c r="P754" s="32"/>
      <c r="Q754" s="2"/>
    </row>
    <row r="755" spans="1:17" ht="5" customHeight="1" x14ac:dyDescent="0.2">
      <c r="A755" s="48"/>
      <c r="B755" s="23"/>
      <c r="C755" s="23"/>
      <c r="D755" s="12"/>
      <c r="E755" s="23"/>
      <c r="F755" s="33"/>
      <c r="G755" s="33"/>
      <c r="H755" s="33"/>
      <c r="I755" s="33"/>
      <c r="J755" s="33"/>
      <c r="K755" s="33"/>
      <c r="L755" s="33"/>
      <c r="M755" s="33"/>
      <c r="N755" s="33"/>
      <c r="O755" s="33"/>
      <c r="P755" s="34"/>
      <c r="Q755" s="2"/>
    </row>
    <row r="756" spans="1:17" x14ac:dyDescent="0.2">
      <c r="A756" s="224" t="s">
        <v>277</v>
      </c>
      <c r="B756" s="225"/>
      <c r="C756" s="283"/>
      <c r="D756" s="284"/>
      <c r="E756" s="20"/>
      <c r="F756" s="70" t="s">
        <v>306</v>
      </c>
      <c r="G756" s="66" t="s">
        <v>61</v>
      </c>
      <c r="H756" s="213">
        <f>ROUND([1]PubNotes!$F$16,D2)</f>
        <v>0</v>
      </c>
      <c r="I756" s="214"/>
      <c r="J756" s="27"/>
      <c r="K756" s="27"/>
      <c r="L756" s="27"/>
      <c r="M756" s="27"/>
      <c r="N756" s="27"/>
      <c r="O756" s="27"/>
      <c r="P756" s="26"/>
      <c r="Q756" s="2"/>
    </row>
    <row r="757" spans="1:17" ht="5" customHeight="1" x14ac:dyDescent="0.2">
      <c r="A757" s="47"/>
      <c r="B757" s="21"/>
      <c r="C757" s="21"/>
      <c r="D757" s="9"/>
      <c r="E757" s="21"/>
      <c r="F757" s="10"/>
      <c r="G757" s="10"/>
      <c r="H757" s="10"/>
      <c r="I757" s="10"/>
      <c r="J757" s="10"/>
      <c r="K757" s="10"/>
      <c r="L757" s="10"/>
      <c r="M757" s="10"/>
      <c r="N757" s="10"/>
      <c r="O757" s="10"/>
      <c r="P757" s="28"/>
      <c r="Q757" s="2"/>
    </row>
    <row r="758" spans="1:17" ht="5" customHeight="1" x14ac:dyDescent="0.2">
      <c r="A758" s="49"/>
      <c r="B758" s="24"/>
      <c r="C758" s="24"/>
      <c r="D758" s="14"/>
      <c r="E758" s="24"/>
      <c r="F758" s="29"/>
      <c r="G758" s="29"/>
      <c r="H758" s="29"/>
      <c r="I758" s="29"/>
      <c r="J758" s="29"/>
      <c r="K758" s="29"/>
      <c r="L758" s="29"/>
      <c r="M758" s="29"/>
      <c r="N758" s="29"/>
      <c r="O758" s="29"/>
      <c r="P758" s="30"/>
      <c r="Q758" s="2"/>
    </row>
    <row r="759" spans="1:17" ht="15" customHeight="1" x14ac:dyDescent="0.2">
      <c r="A759" s="61"/>
      <c r="B759" s="22"/>
      <c r="C759" s="22"/>
      <c r="D759" s="150"/>
      <c r="E759" s="22"/>
      <c r="F759" s="303" t="s">
        <v>448</v>
      </c>
      <c r="G759" s="303"/>
      <c r="H759" s="303"/>
      <c r="I759" s="303"/>
      <c r="J759" s="40"/>
      <c r="K759" s="40"/>
      <c r="L759" s="40"/>
      <c r="M759" s="40"/>
      <c r="N759" s="40"/>
      <c r="O759" s="40"/>
      <c r="P759" s="41"/>
      <c r="Q759" s="2"/>
    </row>
    <row r="760" spans="1:17" ht="17" x14ac:dyDescent="0.25">
      <c r="A760" s="265" t="s">
        <v>278</v>
      </c>
      <c r="B760" s="305"/>
      <c r="C760" s="306"/>
      <c r="D760" s="307"/>
      <c r="E760" s="22"/>
      <c r="F760" s="70" t="s">
        <v>307</v>
      </c>
      <c r="G760" s="67" t="s">
        <v>61</v>
      </c>
      <c r="H760" s="213"/>
      <c r="I760" s="214"/>
      <c r="J760" s="143"/>
      <c r="K760" s="142"/>
      <c r="L760" s="40"/>
      <c r="M760" s="40"/>
      <c r="N760" s="40"/>
      <c r="O760" s="142"/>
      <c r="P760" s="41"/>
      <c r="Q760" s="2"/>
    </row>
    <row r="761" spans="1:17" ht="5" customHeight="1" x14ac:dyDescent="0.2">
      <c r="A761" s="50"/>
      <c r="B761" s="25"/>
      <c r="C761" s="25"/>
      <c r="D761" s="16"/>
      <c r="E761" s="25"/>
      <c r="F761" s="31"/>
      <c r="G761" s="31"/>
      <c r="H761" s="31"/>
      <c r="I761" s="31"/>
      <c r="J761" s="31"/>
      <c r="K761" s="31"/>
      <c r="L761" s="31"/>
      <c r="M761" s="31"/>
      <c r="N761" s="31"/>
      <c r="O761" s="31"/>
      <c r="P761" s="32"/>
      <c r="Q761" s="2"/>
    </row>
    <row r="762" spans="1:17" ht="5" customHeight="1" x14ac:dyDescent="0.2">
      <c r="A762" s="48"/>
      <c r="B762" s="23"/>
      <c r="C762" s="23"/>
      <c r="D762" s="12"/>
      <c r="E762" s="23"/>
      <c r="F762" s="33"/>
      <c r="G762" s="33"/>
      <c r="H762" s="33"/>
      <c r="I762" s="33"/>
      <c r="J762" s="33"/>
      <c r="K762" s="33"/>
      <c r="L762" s="33"/>
      <c r="M762" s="33"/>
      <c r="N762" s="33"/>
      <c r="O762" s="33"/>
      <c r="P762" s="34"/>
      <c r="Q762" s="2"/>
    </row>
    <row r="763" spans="1:17" ht="17" x14ac:dyDescent="0.25">
      <c r="A763" s="224" t="str">
        <f>"At "&amp;TEXT(N2,"dd Mmm yyyy")&amp;":"</f>
        <v>At 31 Mar 2026:</v>
      </c>
      <c r="B763" s="225"/>
      <c r="C763" s="283"/>
      <c r="D763" s="284"/>
      <c r="E763" s="20"/>
      <c r="F763" s="70" t="s">
        <v>308</v>
      </c>
      <c r="G763" s="115" t="s">
        <v>61</v>
      </c>
      <c r="H763" s="242">
        <f>H750+H753-H756+H760</f>
        <v>0</v>
      </c>
      <c r="I763" s="325"/>
      <c r="J763" s="289"/>
      <c r="K763" s="290"/>
      <c r="L763" s="290"/>
      <c r="M763" s="290"/>
      <c r="N763" s="290"/>
      <c r="O763" s="290"/>
      <c r="P763" s="26"/>
      <c r="Q763" s="2"/>
    </row>
    <row r="764" spans="1:17" ht="5" customHeight="1" x14ac:dyDescent="0.2">
      <c r="A764" s="47"/>
      <c r="B764" s="21"/>
      <c r="C764" s="21"/>
      <c r="D764" s="9"/>
      <c r="E764" s="21"/>
      <c r="F764" s="10"/>
      <c r="G764" s="10"/>
      <c r="H764" s="10"/>
      <c r="I764" s="10"/>
      <c r="J764" s="10"/>
      <c r="K764" s="10"/>
      <c r="L764" s="10"/>
      <c r="M764" s="10"/>
      <c r="N764" s="10"/>
      <c r="O764" s="10"/>
      <c r="P764" s="28"/>
      <c r="Q764" s="2"/>
    </row>
    <row r="765" spans="1:17" x14ac:dyDescent="0.2">
      <c r="A765" s="22"/>
      <c r="B765" s="22"/>
      <c r="C765" s="22"/>
      <c r="D765" s="22"/>
      <c r="E765" s="22"/>
      <c r="F765" s="40"/>
      <c r="G765" s="40"/>
      <c r="H765" s="40"/>
      <c r="I765" s="40"/>
      <c r="J765" s="40"/>
      <c r="K765" s="40"/>
      <c r="L765" s="40"/>
      <c r="M765" s="40"/>
      <c r="N765" s="40"/>
      <c r="O765" s="40"/>
      <c r="P765" s="40"/>
      <c r="Q765" s="2"/>
    </row>
    <row r="766" spans="1:17" x14ac:dyDescent="0.2">
      <c r="A766" s="96" t="s">
        <v>279</v>
      </c>
      <c r="B766" s="22"/>
      <c r="C766" s="22"/>
      <c r="D766" s="22"/>
      <c r="E766" s="22"/>
      <c r="F766" s="40"/>
      <c r="G766" s="40"/>
      <c r="H766" s="40"/>
      <c r="I766" s="40"/>
      <c r="J766" s="40"/>
      <c r="K766" s="40"/>
      <c r="L766" s="40"/>
      <c r="M766" s="40"/>
      <c r="N766" s="40"/>
      <c r="O766" s="40"/>
      <c r="P766" s="40"/>
      <c r="Q766" s="2"/>
    </row>
    <row r="767" spans="1:17" x14ac:dyDescent="0.2">
      <c r="A767" s="22"/>
      <c r="B767" s="22"/>
      <c r="C767" s="22"/>
      <c r="D767" s="22"/>
      <c r="E767" s="22"/>
      <c r="F767" s="40"/>
      <c r="G767" s="40"/>
      <c r="H767" s="40"/>
      <c r="I767" s="40"/>
      <c r="J767" s="40"/>
      <c r="K767" s="40"/>
      <c r="L767" s="40"/>
      <c r="M767" s="40"/>
      <c r="N767" s="40"/>
      <c r="O767" s="40"/>
      <c r="P767" s="40"/>
      <c r="Q767" s="2"/>
    </row>
    <row r="768" spans="1:17" ht="5" customHeight="1" x14ac:dyDescent="0.2">
      <c r="A768" s="48"/>
      <c r="B768" s="23"/>
      <c r="C768" s="23"/>
      <c r="D768" s="12"/>
      <c r="E768" s="23"/>
      <c r="F768" s="33"/>
      <c r="G768" s="33"/>
      <c r="H768" s="33"/>
      <c r="I768" s="33"/>
      <c r="J768" s="33"/>
      <c r="K768" s="33"/>
      <c r="L768" s="33"/>
      <c r="M768" s="33"/>
      <c r="N768" s="33"/>
      <c r="O768" s="33"/>
      <c r="P768" s="34"/>
      <c r="Q768" s="2"/>
    </row>
    <row r="769" spans="1:17" ht="17" x14ac:dyDescent="0.25">
      <c r="A769" s="224" t="str">
        <f>"At "&amp;TEXT(N2,"dd Mmm yyyy")&amp;":"</f>
        <v>At 31 Mar 2026:</v>
      </c>
      <c r="B769" s="225"/>
      <c r="C769" s="283"/>
      <c r="D769" s="284"/>
      <c r="E769" s="20"/>
      <c r="F769" s="70" t="s">
        <v>309</v>
      </c>
      <c r="G769" s="115" t="s">
        <v>61</v>
      </c>
      <c r="H769" s="242">
        <f>H744-H763</f>
        <v>0</v>
      </c>
      <c r="I769" s="325"/>
      <c r="J769" s="289"/>
      <c r="K769" s="290"/>
      <c r="L769" s="290"/>
      <c r="M769" s="290"/>
      <c r="N769" s="290"/>
      <c r="O769" s="290"/>
      <c r="P769" s="26"/>
      <c r="Q769" s="2"/>
    </row>
    <row r="770" spans="1:17" ht="5" customHeight="1" x14ac:dyDescent="0.2">
      <c r="A770" s="47"/>
      <c r="B770" s="21"/>
      <c r="C770" s="21"/>
      <c r="D770" s="9"/>
      <c r="E770" s="21"/>
      <c r="F770" s="10"/>
      <c r="G770" s="10"/>
      <c r="H770" s="10"/>
      <c r="I770" s="10"/>
      <c r="J770" s="10"/>
      <c r="K770" s="10"/>
      <c r="L770" s="10"/>
      <c r="M770" s="10"/>
      <c r="N770" s="10"/>
      <c r="O770" s="10"/>
      <c r="P770" s="28"/>
      <c r="Q770" s="2"/>
    </row>
    <row r="771" spans="1:17" ht="5" customHeight="1" x14ac:dyDescent="0.2">
      <c r="A771" s="49"/>
      <c r="B771" s="24"/>
      <c r="C771" s="24"/>
      <c r="D771" s="14"/>
      <c r="E771" s="24"/>
      <c r="F771" s="29"/>
      <c r="G771" s="29"/>
      <c r="H771" s="29"/>
      <c r="I771" s="29"/>
      <c r="J771" s="29"/>
      <c r="K771" s="29"/>
      <c r="L771" s="29"/>
      <c r="M771" s="29"/>
      <c r="N771" s="29"/>
      <c r="O771" s="29"/>
      <c r="P771" s="30"/>
      <c r="Q771" s="2"/>
    </row>
    <row r="772" spans="1:17" ht="17" x14ac:dyDescent="0.25">
      <c r="A772" s="265" t="str">
        <f>IF(H72&gt;0,"At "&amp;TEXT(H72,"dd Mmm yyyy")&amp;":","")</f>
        <v>At :</v>
      </c>
      <c r="B772" s="305"/>
      <c r="C772" s="306"/>
      <c r="D772" s="307"/>
      <c r="E772" s="22"/>
      <c r="F772" s="70" t="s">
        <v>467</v>
      </c>
      <c r="G772" s="107" t="s">
        <v>61</v>
      </c>
      <c r="H772" s="240">
        <f>IF(H72&gt;0,ROUND([1]OpenAccounts!$K$13,D2)-ROUND([1]OpenAccounts!$Q$13,D2),"")</f>
        <v>0</v>
      </c>
      <c r="I772" s="241"/>
      <c r="J772" s="335"/>
      <c r="K772" s="344"/>
      <c r="L772" s="344"/>
      <c r="M772" s="344"/>
      <c r="N772" s="344"/>
      <c r="O772" s="344"/>
      <c r="P772" s="41"/>
      <c r="Q772" s="2"/>
    </row>
    <row r="773" spans="1:17" ht="5" customHeight="1" x14ac:dyDescent="0.2">
      <c r="A773" s="50"/>
      <c r="B773" s="25"/>
      <c r="C773" s="25"/>
      <c r="D773" s="16"/>
      <c r="E773" s="25"/>
      <c r="F773" s="31"/>
      <c r="G773" s="31"/>
      <c r="H773" s="31"/>
      <c r="I773" s="31"/>
      <c r="J773" s="31"/>
      <c r="K773" s="31"/>
      <c r="L773" s="31"/>
      <c r="M773" s="31"/>
      <c r="N773" s="31"/>
      <c r="O773" s="31"/>
      <c r="P773" s="32"/>
      <c r="Q773" s="2"/>
    </row>
    <row r="774" spans="1:17" x14ac:dyDescent="0.2">
      <c r="A774" s="22"/>
      <c r="B774" s="22"/>
      <c r="C774" s="22"/>
      <c r="D774" s="22"/>
      <c r="E774" s="22"/>
      <c r="F774" s="40"/>
      <c r="G774" s="40"/>
      <c r="H774" s="40"/>
      <c r="I774" s="40"/>
      <c r="J774" s="40"/>
      <c r="K774" s="40"/>
      <c r="L774" s="40"/>
      <c r="M774" s="40"/>
      <c r="N774" s="40"/>
      <c r="O774" s="40"/>
      <c r="P774" s="40"/>
      <c r="Q774" s="2"/>
    </row>
    <row r="776" spans="1:17" ht="16" x14ac:dyDescent="0.2">
      <c r="A776" s="231" t="s">
        <v>145</v>
      </c>
      <c r="B776" s="232"/>
      <c r="C776" s="232"/>
      <c r="D776" s="232"/>
      <c r="F776" s="233"/>
      <c r="G776" s="233"/>
      <c r="H776" s="233"/>
      <c r="I776" s="233"/>
      <c r="J776" s="233"/>
      <c r="K776" s="233"/>
      <c r="L776" s="233"/>
      <c r="M776" s="233"/>
      <c r="N776" s="233"/>
      <c r="O776" s="233"/>
      <c r="P776" s="233"/>
      <c r="Q776" s="233"/>
    </row>
    <row r="777" spans="1:17" ht="5" customHeight="1" x14ac:dyDescent="0.2">
      <c r="A777" s="1"/>
      <c r="B777" s="1"/>
      <c r="C777" s="1"/>
      <c r="D777" s="1"/>
      <c r="E777" s="1"/>
      <c r="F777" s="1"/>
      <c r="G777" s="1"/>
      <c r="H777" s="1"/>
      <c r="I777" s="1"/>
      <c r="J777" s="1"/>
      <c r="K777" s="1"/>
      <c r="L777" s="1"/>
      <c r="M777" s="1"/>
      <c r="N777" s="1"/>
      <c r="O777" s="1"/>
      <c r="P777" s="1"/>
      <c r="Q777" s="1"/>
    </row>
    <row r="778" spans="1:17" x14ac:dyDescent="0.2">
      <c r="A778" s="234" t="s">
        <v>310</v>
      </c>
      <c r="B778" s="235"/>
      <c r="C778" s="235"/>
      <c r="D778" s="235"/>
      <c r="E778" s="236"/>
      <c r="F778" s="236"/>
      <c r="G778" s="236"/>
      <c r="H778" s="236"/>
      <c r="I778" s="236"/>
      <c r="J778" s="236"/>
      <c r="K778" s="236"/>
      <c r="L778" s="236"/>
      <c r="M778" s="236"/>
      <c r="N778" s="236"/>
      <c r="O778" s="236"/>
      <c r="P778" s="236"/>
      <c r="Q778" s="237"/>
    </row>
    <row r="779" spans="1:17" x14ac:dyDescent="0.2">
      <c r="A779" s="211" t="s">
        <v>311</v>
      </c>
      <c r="B779" s="212"/>
      <c r="C779" s="212"/>
      <c r="D779" s="212"/>
      <c r="E779" s="212"/>
      <c r="F779" s="212"/>
      <c r="G779" s="212"/>
      <c r="H779" s="212"/>
      <c r="I779" s="212"/>
      <c r="J779" s="212"/>
      <c r="K779" s="212"/>
      <c r="L779" s="212"/>
      <c r="M779" s="212"/>
      <c r="N779" s="212"/>
      <c r="O779" s="212"/>
      <c r="P779" s="212"/>
      <c r="Q779" s="38"/>
    </row>
    <row r="780" spans="1:17" x14ac:dyDescent="0.2">
      <c r="A780" s="62"/>
      <c r="B780" s="51"/>
      <c r="C780" s="51"/>
      <c r="D780" s="51"/>
      <c r="E780" s="51"/>
      <c r="F780" s="51"/>
      <c r="G780" s="51"/>
      <c r="H780" s="51"/>
      <c r="I780" s="51"/>
      <c r="J780" s="51"/>
      <c r="K780" s="51"/>
      <c r="L780" s="51"/>
      <c r="M780" s="51"/>
      <c r="N780" s="51"/>
      <c r="O780" s="51"/>
      <c r="P780" s="51"/>
      <c r="Q780" s="38"/>
    </row>
    <row r="781" spans="1:17" x14ac:dyDescent="0.2">
      <c r="A781" s="211" t="s">
        <v>970</v>
      </c>
      <c r="B781" s="212"/>
      <c r="C781" s="212"/>
      <c r="D781" s="212"/>
      <c r="E781" s="212"/>
      <c r="F781" s="212"/>
      <c r="G781" s="212"/>
      <c r="H781" s="212"/>
      <c r="I781" s="212"/>
      <c r="J781" s="212"/>
      <c r="K781" s="212"/>
      <c r="L781" s="212"/>
      <c r="M781" s="212"/>
      <c r="N781" s="212"/>
      <c r="O781" s="212"/>
      <c r="P781" s="212"/>
      <c r="Q781" s="38"/>
    </row>
    <row r="782" spans="1:17" x14ac:dyDescent="0.2">
      <c r="A782" s="62"/>
      <c r="B782" s="51"/>
      <c r="C782" s="51"/>
      <c r="D782" s="51"/>
      <c r="E782" s="51"/>
      <c r="F782" s="51"/>
      <c r="G782" s="51"/>
      <c r="H782" s="51"/>
      <c r="I782" s="51"/>
      <c r="J782" s="51"/>
      <c r="K782" s="51"/>
      <c r="L782" s="51"/>
      <c r="M782" s="51"/>
      <c r="N782" s="51"/>
      <c r="O782" s="51"/>
      <c r="P782" s="51"/>
      <c r="Q782" s="38"/>
    </row>
    <row r="783" spans="1:17" x14ac:dyDescent="0.2">
      <c r="A783" s="238" t="s">
        <v>259</v>
      </c>
      <c r="B783" s="239"/>
      <c r="C783" s="72"/>
      <c r="D783" s="72"/>
      <c r="E783" s="72"/>
      <c r="F783" s="238"/>
      <c r="G783" s="238"/>
      <c r="H783" s="238"/>
      <c r="I783" s="238"/>
      <c r="J783" s="238"/>
      <c r="K783" s="238"/>
      <c r="L783" s="238"/>
      <c r="M783" s="238"/>
      <c r="N783" s="238"/>
      <c r="O783" s="238"/>
      <c r="P783" s="238"/>
      <c r="Q783" s="38"/>
    </row>
    <row r="784" spans="1:17" x14ac:dyDescent="0.2">
      <c r="A784" s="36"/>
      <c r="Q784" s="2"/>
    </row>
    <row r="785" spans="1:17" ht="5" customHeight="1" x14ac:dyDescent="0.2">
      <c r="A785" s="48"/>
      <c r="B785" s="23"/>
      <c r="C785" s="23"/>
      <c r="D785" s="12"/>
      <c r="E785" s="23"/>
      <c r="F785" s="33"/>
      <c r="G785" s="33"/>
      <c r="H785" s="33"/>
      <c r="I785" s="33"/>
      <c r="J785" s="33"/>
      <c r="K785" s="33"/>
      <c r="L785" s="33"/>
      <c r="M785" s="33"/>
      <c r="N785" s="33"/>
      <c r="O785" s="33"/>
      <c r="P785" s="34"/>
      <c r="Q785" s="2"/>
    </row>
    <row r="786" spans="1:17" x14ac:dyDescent="0.2">
      <c r="A786" s="224" t="str">
        <f>"At "&amp;TEXT(J2,"dd Mmm yyyy")&amp;":"</f>
        <v>At 01 Apr 2024:</v>
      </c>
      <c r="B786" s="225"/>
      <c r="C786" s="283"/>
      <c r="D786" s="284"/>
      <c r="E786" s="20"/>
      <c r="F786" s="70" t="s">
        <v>317</v>
      </c>
      <c r="G786" s="66" t="s">
        <v>61</v>
      </c>
      <c r="H786" s="213">
        <f>ROUND([1]PubNotes!$E$8,D2)</f>
        <v>0</v>
      </c>
      <c r="I786" s="214"/>
      <c r="J786" s="27"/>
      <c r="K786" s="27"/>
      <c r="L786" s="27"/>
      <c r="M786" s="27"/>
      <c r="N786" s="27"/>
      <c r="O786" s="27"/>
      <c r="P786" s="26"/>
      <c r="Q786" s="2"/>
    </row>
    <row r="787" spans="1:17" ht="5" customHeight="1" x14ac:dyDescent="0.2">
      <c r="A787" s="47"/>
      <c r="B787" s="21"/>
      <c r="C787" s="21"/>
      <c r="D787" s="9"/>
      <c r="E787" s="21"/>
      <c r="F787" s="10"/>
      <c r="G787" s="10"/>
      <c r="H787" s="10"/>
      <c r="I787" s="10"/>
      <c r="J787" s="10"/>
      <c r="K787" s="10"/>
      <c r="L787" s="10"/>
      <c r="M787" s="10"/>
      <c r="N787" s="10"/>
      <c r="O787" s="10"/>
      <c r="P787" s="28"/>
      <c r="Q787" s="2"/>
    </row>
    <row r="788" spans="1:17" ht="5" customHeight="1" x14ac:dyDescent="0.2">
      <c r="A788" s="49"/>
      <c r="B788" s="24"/>
      <c r="C788" s="24"/>
      <c r="D788" s="14"/>
      <c r="E788" s="24"/>
      <c r="F788" s="29"/>
      <c r="G788" s="29"/>
      <c r="H788" s="29"/>
      <c r="I788" s="29"/>
      <c r="J788" s="29"/>
      <c r="K788" s="29"/>
      <c r="L788" s="29"/>
      <c r="M788" s="29"/>
      <c r="N788" s="29"/>
      <c r="O788" s="29"/>
      <c r="P788" s="30"/>
      <c r="Q788" s="2"/>
    </row>
    <row r="789" spans="1:17" ht="17" x14ac:dyDescent="0.25">
      <c r="A789" s="265" t="s">
        <v>263</v>
      </c>
      <c r="B789" s="305"/>
      <c r="C789" s="306"/>
      <c r="D789" s="307"/>
      <c r="E789" s="22"/>
      <c r="F789" s="70" t="s">
        <v>312</v>
      </c>
      <c r="G789" s="67" t="s">
        <v>61</v>
      </c>
      <c r="H789" s="213">
        <f>ROUND([1]PubNotes!$E$9,D2)</f>
        <v>0</v>
      </c>
      <c r="I789" s="214"/>
      <c r="J789" s="343"/>
      <c r="K789" s="344"/>
      <c r="L789" s="344"/>
      <c r="M789" s="344"/>
      <c r="N789" s="344"/>
      <c r="O789" s="344"/>
      <c r="P789" s="41"/>
      <c r="Q789" s="2"/>
    </row>
    <row r="790" spans="1:17" ht="5" customHeight="1" x14ac:dyDescent="0.2">
      <c r="A790" s="50"/>
      <c r="B790" s="25"/>
      <c r="C790" s="25"/>
      <c r="D790" s="16"/>
      <c r="E790" s="25"/>
      <c r="F790" s="31"/>
      <c r="G790" s="31"/>
      <c r="H790" s="31"/>
      <c r="I790" s="31"/>
      <c r="J790" s="31"/>
      <c r="K790" s="31"/>
      <c r="L790" s="31"/>
      <c r="M790" s="31"/>
      <c r="N790" s="31"/>
      <c r="O790" s="31"/>
      <c r="P790" s="32"/>
      <c r="Q790" s="2"/>
    </row>
    <row r="791" spans="1:17" ht="5" customHeight="1" x14ac:dyDescent="0.2">
      <c r="A791" s="48"/>
      <c r="B791" s="23"/>
      <c r="C791" s="23"/>
      <c r="D791" s="12"/>
      <c r="E791" s="23"/>
      <c r="F791" s="33"/>
      <c r="G791" s="33"/>
      <c r="H791" s="33"/>
      <c r="I791" s="33"/>
      <c r="J791" s="33"/>
      <c r="K791" s="33"/>
      <c r="L791" s="33"/>
      <c r="M791" s="33"/>
      <c r="N791" s="33"/>
      <c r="O791" s="33"/>
      <c r="P791" s="34"/>
      <c r="Q791" s="2"/>
    </row>
    <row r="792" spans="1:17" x14ac:dyDescent="0.2">
      <c r="A792" s="224" t="s">
        <v>262</v>
      </c>
      <c r="B792" s="225"/>
      <c r="C792" s="283"/>
      <c r="D792" s="284"/>
      <c r="E792" s="20"/>
      <c r="F792" s="70" t="s">
        <v>313</v>
      </c>
      <c r="G792" s="66" t="s">
        <v>61</v>
      </c>
      <c r="H792" s="213">
        <f>ROUND([1]PubNotes!$E$10,D2)</f>
        <v>0</v>
      </c>
      <c r="I792" s="214"/>
      <c r="J792" s="27"/>
      <c r="K792" s="27"/>
      <c r="L792" s="27"/>
      <c r="M792" s="27"/>
      <c r="N792" s="27"/>
      <c r="O792" s="27"/>
      <c r="P792" s="26"/>
      <c r="Q792" s="2"/>
    </row>
    <row r="793" spans="1:17" ht="5" customHeight="1" x14ac:dyDescent="0.2">
      <c r="A793" s="47"/>
      <c r="B793" s="21"/>
      <c r="C793" s="21"/>
      <c r="D793" s="9"/>
      <c r="E793" s="21"/>
      <c r="F793" s="10"/>
      <c r="G793" s="10"/>
      <c r="H793" s="10"/>
      <c r="I793" s="10"/>
      <c r="J793" s="10"/>
      <c r="K793" s="10"/>
      <c r="L793" s="10"/>
      <c r="M793" s="10"/>
      <c r="N793" s="10"/>
      <c r="O793" s="10"/>
      <c r="P793" s="28"/>
      <c r="Q793" s="2"/>
    </row>
    <row r="794" spans="1:17" ht="5" customHeight="1" x14ac:dyDescent="0.2">
      <c r="A794" s="49"/>
      <c r="B794" s="24"/>
      <c r="C794" s="24"/>
      <c r="D794" s="14"/>
      <c r="E794" s="24"/>
      <c r="F794" s="29"/>
      <c r="G794" s="29"/>
      <c r="H794" s="29"/>
      <c r="I794" s="29"/>
      <c r="J794" s="29"/>
      <c r="K794" s="29"/>
      <c r="L794" s="29"/>
      <c r="M794" s="29"/>
      <c r="N794" s="29"/>
      <c r="O794" s="29"/>
      <c r="P794" s="30"/>
      <c r="Q794" s="2"/>
    </row>
    <row r="795" spans="1:17" ht="15" customHeight="1" x14ac:dyDescent="0.2">
      <c r="A795" s="61"/>
      <c r="B795" s="22"/>
      <c r="C795" s="22"/>
      <c r="D795" s="150"/>
      <c r="E795" s="22"/>
      <c r="F795" s="303" t="s">
        <v>448</v>
      </c>
      <c r="G795" s="303"/>
      <c r="H795" s="303"/>
      <c r="I795" s="303"/>
      <c r="J795" s="40"/>
      <c r="K795" s="40"/>
      <c r="L795" s="40"/>
      <c r="M795" s="40"/>
      <c r="N795" s="40"/>
      <c r="O795" s="40"/>
      <c r="P795" s="41"/>
      <c r="Q795" s="2"/>
    </row>
    <row r="796" spans="1:17" ht="17" x14ac:dyDescent="0.25">
      <c r="A796" s="265" t="s">
        <v>264</v>
      </c>
      <c r="B796" s="305"/>
      <c r="C796" s="306"/>
      <c r="D796" s="307"/>
      <c r="E796" s="22"/>
      <c r="F796" s="70" t="s">
        <v>314</v>
      </c>
      <c r="G796" s="67" t="s">
        <v>61</v>
      </c>
      <c r="H796" s="213"/>
      <c r="I796" s="214"/>
      <c r="J796" s="143"/>
      <c r="K796" s="142"/>
      <c r="L796" s="40"/>
      <c r="M796" s="40"/>
      <c r="N796" s="40"/>
      <c r="O796" s="142"/>
      <c r="P796" s="41"/>
      <c r="Q796" s="2"/>
    </row>
    <row r="797" spans="1:17" ht="5" customHeight="1" x14ac:dyDescent="0.2">
      <c r="A797" s="50"/>
      <c r="B797" s="25"/>
      <c r="C797" s="25"/>
      <c r="D797" s="16"/>
      <c r="E797" s="25"/>
      <c r="F797" s="31"/>
      <c r="G797" s="31"/>
      <c r="H797" s="31"/>
      <c r="I797" s="31"/>
      <c r="J797" s="31"/>
      <c r="K797" s="31"/>
      <c r="L797" s="31"/>
      <c r="M797" s="31"/>
      <c r="N797" s="31"/>
      <c r="O797" s="31"/>
      <c r="P797" s="32"/>
      <c r="Q797" s="2"/>
    </row>
    <row r="798" spans="1:17" ht="5" customHeight="1" x14ac:dyDescent="0.2">
      <c r="A798" s="48"/>
      <c r="B798" s="23"/>
      <c r="C798" s="23"/>
      <c r="D798" s="12"/>
      <c r="E798" s="23"/>
      <c r="F798" s="33"/>
      <c r="G798" s="33"/>
      <c r="H798" s="33"/>
      <c r="I798" s="33"/>
      <c r="J798" s="33"/>
      <c r="K798" s="33"/>
      <c r="L798" s="33"/>
      <c r="M798" s="33"/>
      <c r="N798" s="33"/>
      <c r="O798" s="33"/>
      <c r="P798" s="34"/>
      <c r="Q798" s="2"/>
    </row>
    <row r="799" spans="1:17" ht="15" customHeight="1" x14ac:dyDescent="0.2">
      <c r="A799" s="141"/>
      <c r="B799" s="20"/>
      <c r="C799" s="20"/>
      <c r="D799" s="7"/>
      <c r="E799" s="20"/>
      <c r="F799" s="304" t="s">
        <v>448</v>
      </c>
      <c r="G799" s="304"/>
      <c r="H799" s="304"/>
      <c r="I799" s="304"/>
      <c r="J799" s="27"/>
      <c r="K799" s="27"/>
      <c r="L799" s="27"/>
      <c r="M799" s="27"/>
      <c r="N799" s="27"/>
      <c r="O799" s="27"/>
      <c r="P799" s="26"/>
      <c r="Q799" s="2"/>
    </row>
    <row r="800" spans="1:17" ht="17" x14ac:dyDescent="0.25">
      <c r="A800" s="224" t="s">
        <v>265</v>
      </c>
      <c r="B800" s="225"/>
      <c r="C800" s="283"/>
      <c r="D800" s="284"/>
      <c r="E800" s="20"/>
      <c r="F800" s="70" t="s">
        <v>315</v>
      </c>
      <c r="G800" s="66" t="s">
        <v>61</v>
      </c>
      <c r="H800" s="213"/>
      <c r="I800" s="214"/>
      <c r="J800" s="149"/>
      <c r="K800" s="148"/>
      <c r="L800" s="148"/>
      <c r="M800" s="148"/>
      <c r="N800" s="148"/>
      <c r="O800" s="148"/>
      <c r="P800" s="26"/>
      <c r="Q800" s="2"/>
    </row>
    <row r="801" spans="1:17" ht="5" customHeight="1" x14ac:dyDescent="0.2">
      <c r="A801" s="47"/>
      <c r="B801" s="21"/>
      <c r="C801" s="21"/>
      <c r="D801" s="9"/>
      <c r="E801" s="21"/>
      <c r="F801" s="10"/>
      <c r="G801" s="10"/>
      <c r="H801" s="10"/>
      <c r="I801" s="10"/>
      <c r="J801" s="10"/>
      <c r="K801" s="10"/>
      <c r="L801" s="10"/>
      <c r="M801" s="10"/>
      <c r="N801" s="10"/>
      <c r="O801" s="10"/>
      <c r="P801" s="28"/>
      <c r="Q801" s="2"/>
    </row>
    <row r="802" spans="1:17" ht="5" customHeight="1" x14ac:dyDescent="0.2">
      <c r="A802" s="49"/>
      <c r="B802" s="24"/>
      <c r="C802" s="24"/>
      <c r="D802" s="14"/>
      <c r="E802" s="24"/>
      <c r="F802" s="29"/>
      <c r="G802" s="29"/>
      <c r="H802" s="29"/>
      <c r="I802" s="29"/>
      <c r="J802" s="29"/>
      <c r="K802" s="29"/>
      <c r="L802" s="29"/>
      <c r="M802" s="29"/>
      <c r="N802" s="29"/>
      <c r="O802" s="29"/>
      <c r="P802" s="30"/>
      <c r="Q802" s="2"/>
    </row>
    <row r="803" spans="1:17" ht="17" x14ac:dyDescent="0.25">
      <c r="A803" s="265" t="str">
        <f>"At "&amp;TEXT(N2,"dd Mmm yyyy")&amp;":"</f>
        <v>At 31 Mar 2026:</v>
      </c>
      <c r="B803" s="305"/>
      <c r="C803" s="306"/>
      <c r="D803" s="307"/>
      <c r="E803" s="22"/>
      <c r="F803" s="70" t="s">
        <v>316</v>
      </c>
      <c r="G803" s="107" t="s">
        <v>61</v>
      </c>
      <c r="H803" s="240">
        <f>H786+H789-H792+H796+H800</f>
        <v>0</v>
      </c>
      <c r="I803" s="241"/>
      <c r="J803" s="335"/>
      <c r="K803" s="344"/>
      <c r="L803" s="344"/>
      <c r="M803" s="344"/>
      <c r="N803" s="344"/>
      <c r="O803" s="344"/>
      <c r="P803" s="41"/>
      <c r="Q803" s="2"/>
    </row>
    <row r="804" spans="1:17" ht="5" customHeight="1" x14ac:dyDescent="0.2">
      <c r="A804" s="50"/>
      <c r="B804" s="25"/>
      <c r="C804" s="25"/>
      <c r="D804" s="16"/>
      <c r="E804" s="25"/>
      <c r="F804" s="31"/>
      <c r="G804" s="31"/>
      <c r="H804" s="31"/>
      <c r="I804" s="31"/>
      <c r="J804" s="31"/>
      <c r="K804" s="31"/>
      <c r="L804" s="31"/>
      <c r="M804" s="31"/>
      <c r="N804" s="31"/>
      <c r="O804" s="31"/>
      <c r="P804" s="32"/>
      <c r="Q804" s="2"/>
    </row>
    <row r="805" spans="1:17" x14ac:dyDescent="0.2">
      <c r="A805" s="62"/>
      <c r="B805" s="51"/>
      <c r="C805" s="51"/>
      <c r="D805" s="51"/>
      <c r="E805" s="51"/>
      <c r="F805" s="51"/>
      <c r="G805" s="51"/>
      <c r="H805" s="51"/>
      <c r="I805" s="51"/>
      <c r="J805" s="51"/>
      <c r="K805" s="51"/>
      <c r="L805" s="51"/>
      <c r="M805" s="51"/>
      <c r="N805" s="51"/>
      <c r="O805" s="51"/>
      <c r="P805" s="51"/>
      <c r="Q805" s="38"/>
    </row>
    <row r="806" spans="1:17" x14ac:dyDescent="0.2">
      <c r="A806" s="238" t="s">
        <v>270</v>
      </c>
      <c r="B806" s="239"/>
      <c r="C806" s="72"/>
      <c r="D806" s="72"/>
      <c r="E806" s="72"/>
      <c r="F806" s="238"/>
      <c r="G806" s="238"/>
      <c r="H806" s="238"/>
      <c r="I806" s="238"/>
      <c r="J806" s="238"/>
      <c r="K806" s="238"/>
      <c r="L806" s="238"/>
      <c r="M806" s="238"/>
      <c r="N806" s="238"/>
      <c r="O806" s="238"/>
      <c r="P806" s="238"/>
      <c r="Q806" s="38"/>
    </row>
    <row r="807" spans="1:17" x14ac:dyDescent="0.2">
      <c r="A807" s="36"/>
      <c r="Q807" s="2"/>
    </row>
    <row r="808" spans="1:17" ht="5" customHeight="1" x14ac:dyDescent="0.2">
      <c r="A808" s="48"/>
      <c r="B808" s="23"/>
      <c r="C808" s="23"/>
      <c r="D808" s="12"/>
      <c r="E808" s="23"/>
      <c r="F808" s="33"/>
      <c r="G808" s="33"/>
      <c r="H808" s="33"/>
      <c r="I808" s="33"/>
      <c r="J808" s="33"/>
      <c r="K808" s="33"/>
      <c r="L808" s="33"/>
      <c r="M808" s="33"/>
      <c r="N808" s="33"/>
      <c r="O808" s="33"/>
      <c r="P808" s="34"/>
      <c r="Q808" s="2"/>
    </row>
    <row r="809" spans="1:17" x14ac:dyDescent="0.2">
      <c r="A809" s="224" t="str">
        <f>"At "&amp;TEXT(J2,"dd Mmm yyyy")&amp;":"</f>
        <v>At 01 Apr 2024:</v>
      </c>
      <c r="B809" s="225"/>
      <c r="C809" s="283"/>
      <c r="D809" s="284"/>
      <c r="E809" s="20"/>
      <c r="F809" s="70" t="s">
        <v>318</v>
      </c>
      <c r="G809" s="66" t="s">
        <v>61</v>
      </c>
      <c r="H809" s="213">
        <f>ROUND([1]PubNotes!$E$14,D2)</f>
        <v>0</v>
      </c>
      <c r="I809" s="214"/>
      <c r="J809" s="27"/>
      <c r="K809" s="27"/>
      <c r="L809" s="27"/>
      <c r="M809" s="27"/>
      <c r="N809" s="27"/>
      <c r="O809" s="27"/>
      <c r="P809" s="26"/>
      <c r="Q809" s="2"/>
    </row>
    <row r="810" spans="1:17" ht="5" customHeight="1" x14ac:dyDescent="0.2">
      <c r="A810" s="47"/>
      <c r="B810" s="21"/>
      <c r="C810" s="21"/>
      <c r="D810" s="9"/>
      <c r="E810" s="21"/>
      <c r="F810" s="10"/>
      <c r="G810" s="10"/>
      <c r="H810" s="10"/>
      <c r="I810" s="10"/>
      <c r="J810" s="10"/>
      <c r="K810" s="10"/>
      <c r="L810" s="10"/>
      <c r="M810" s="10"/>
      <c r="N810" s="10"/>
      <c r="O810" s="10"/>
      <c r="P810" s="28"/>
      <c r="Q810" s="2"/>
    </row>
    <row r="811" spans="1:17" ht="5" customHeight="1" x14ac:dyDescent="0.2">
      <c r="A811" s="49"/>
      <c r="B811" s="24"/>
      <c r="C811" s="24"/>
      <c r="D811" s="14"/>
      <c r="E811" s="24"/>
      <c r="F811" s="29"/>
      <c r="G811" s="29"/>
      <c r="H811" s="29"/>
      <c r="I811" s="29"/>
      <c r="J811" s="29"/>
      <c r="K811" s="29"/>
      <c r="L811" s="29"/>
      <c r="M811" s="29"/>
      <c r="N811" s="29"/>
      <c r="O811" s="29"/>
      <c r="P811" s="30"/>
      <c r="Q811" s="2"/>
    </row>
    <row r="812" spans="1:17" ht="17" x14ac:dyDescent="0.25">
      <c r="A812" s="265" t="s">
        <v>276</v>
      </c>
      <c r="B812" s="305"/>
      <c r="C812" s="306"/>
      <c r="D812" s="307"/>
      <c r="E812" s="22"/>
      <c r="F812" s="70" t="s">
        <v>319</v>
      </c>
      <c r="G812" s="67" t="s">
        <v>61</v>
      </c>
      <c r="H812" s="213">
        <f>ROUND([1]PubNotes!$E$15,D2)</f>
        <v>0</v>
      </c>
      <c r="I812" s="214"/>
      <c r="J812" s="343"/>
      <c r="K812" s="344"/>
      <c r="L812" s="344"/>
      <c r="M812" s="344"/>
      <c r="N812" s="344"/>
      <c r="O812" s="344"/>
      <c r="P812" s="41"/>
      <c r="Q812" s="2"/>
    </row>
    <row r="813" spans="1:17" ht="5" customHeight="1" x14ac:dyDescent="0.2">
      <c r="A813" s="50"/>
      <c r="B813" s="25"/>
      <c r="C813" s="25"/>
      <c r="D813" s="16"/>
      <c r="E813" s="25"/>
      <c r="F813" s="31"/>
      <c r="G813" s="31"/>
      <c r="H813" s="31"/>
      <c r="I813" s="31"/>
      <c r="J813" s="31"/>
      <c r="K813" s="31"/>
      <c r="L813" s="31"/>
      <c r="M813" s="31"/>
      <c r="N813" s="31"/>
      <c r="O813" s="31"/>
      <c r="P813" s="32"/>
      <c r="Q813" s="2"/>
    </row>
    <row r="814" spans="1:17" ht="5" customHeight="1" x14ac:dyDescent="0.2">
      <c r="A814" s="48"/>
      <c r="B814" s="23"/>
      <c r="C814" s="23"/>
      <c r="D814" s="12"/>
      <c r="E814" s="23"/>
      <c r="F814" s="33"/>
      <c r="G814" s="33"/>
      <c r="H814" s="33"/>
      <c r="I814" s="33"/>
      <c r="J814" s="33"/>
      <c r="K814" s="33"/>
      <c r="L814" s="33"/>
      <c r="M814" s="33"/>
      <c r="N814" s="33"/>
      <c r="O814" s="33"/>
      <c r="P814" s="34"/>
      <c r="Q814" s="2"/>
    </row>
    <row r="815" spans="1:17" x14ac:dyDescent="0.2">
      <c r="A815" s="224" t="s">
        <v>277</v>
      </c>
      <c r="B815" s="225"/>
      <c r="C815" s="283"/>
      <c r="D815" s="284"/>
      <c r="E815" s="20"/>
      <c r="F815" s="70" t="s">
        <v>320</v>
      </c>
      <c r="G815" s="66" t="s">
        <v>61</v>
      </c>
      <c r="H815" s="213">
        <f>ROUND([1]PubNotes!$E$16,D2)</f>
        <v>0</v>
      </c>
      <c r="I815" s="214"/>
      <c r="J815" s="27"/>
      <c r="K815" s="27"/>
      <c r="L815" s="27"/>
      <c r="M815" s="27"/>
      <c r="N815" s="27"/>
      <c r="O815" s="27"/>
      <c r="P815" s="26"/>
      <c r="Q815" s="2"/>
    </row>
    <row r="816" spans="1:17" ht="5" customHeight="1" x14ac:dyDescent="0.2">
      <c r="A816" s="47"/>
      <c r="B816" s="21"/>
      <c r="C816" s="21"/>
      <c r="D816" s="9"/>
      <c r="E816" s="21"/>
      <c r="F816" s="10"/>
      <c r="G816" s="10"/>
      <c r="H816" s="10"/>
      <c r="I816" s="10"/>
      <c r="J816" s="10"/>
      <c r="K816" s="10"/>
      <c r="L816" s="10"/>
      <c r="M816" s="10"/>
      <c r="N816" s="10"/>
      <c r="O816" s="10"/>
      <c r="P816" s="28"/>
      <c r="Q816" s="2"/>
    </row>
    <row r="817" spans="1:17" ht="5" customHeight="1" x14ac:dyDescent="0.2">
      <c r="A817" s="49"/>
      <c r="B817" s="24"/>
      <c r="C817" s="24"/>
      <c r="D817" s="14"/>
      <c r="E817" s="24"/>
      <c r="F817" s="29"/>
      <c r="G817" s="29"/>
      <c r="H817" s="29"/>
      <c r="I817" s="29"/>
      <c r="J817" s="29"/>
      <c r="K817" s="29"/>
      <c r="L817" s="29"/>
      <c r="M817" s="29"/>
      <c r="N817" s="29"/>
      <c r="O817" s="29"/>
      <c r="P817" s="30"/>
      <c r="Q817" s="2"/>
    </row>
    <row r="818" spans="1:17" ht="15" customHeight="1" x14ac:dyDescent="0.2">
      <c r="A818" s="61"/>
      <c r="B818" s="22"/>
      <c r="C818" s="22"/>
      <c r="D818" s="150"/>
      <c r="E818" s="22"/>
      <c r="F818" s="303" t="s">
        <v>448</v>
      </c>
      <c r="G818" s="303"/>
      <c r="H818" s="303"/>
      <c r="I818" s="303"/>
      <c r="J818" s="40"/>
      <c r="K818" s="40"/>
      <c r="L818" s="40"/>
      <c r="M818" s="40"/>
      <c r="N818" s="40"/>
      <c r="O818" s="40"/>
      <c r="P818" s="41"/>
      <c r="Q818" s="2"/>
    </row>
    <row r="819" spans="1:17" ht="17" x14ac:dyDescent="0.25">
      <c r="A819" s="265" t="s">
        <v>278</v>
      </c>
      <c r="B819" s="305"/>
      <c r="C819" s="306"/>
      <c r="D819" s="307"/>
      <c r="E819" s="22"/>
      <c r="F819" s="70" t="s">
        <v>321</v>
      </c>
      <c r="G819" s="67" t="s">
        <v>61</v>
      </c>
      <c r="H819" s="213"/>
      <c r="I819" s="214"/>
      <c r="J819" s="143"/>
      <c r="K819" s="142"/>
      <c r="L819" s="40"/>
      <c r="M819" s="40"/>
      <c r="N819" s="40"/>
      <c r="O819" s="142"/>
      <c r="P819" s="41"/>
      <c r="Q819" s="2"/>
    </row>
    <row r="820" spans="1:17" ht="5" customHeight="1" x14ac:dyDescent="0.2">
      <c r="A820" s="50"/>
      <c r="B820" s="25"/>
      <c r="C820" s="25"/>
      <c r="D820" s="16"/>
      <c r="E820" s="25"/>
      <c r="F820" s="31"/>
      <c r="G820" s="31"/>
      <c r="H820" s="31"/>
      <c r="I820" s="31"/>
      <c r="J820" s="31"/>
      <c r="K820" s="31"/>
      <c r="L820" s="31"/>
      <c r="M820" s="31"/>
      <c r="N820" s="31"/>
      <c r="O820" s="31"/>
      <c r="P820" s="32"/>
      <c r="Q820" s="2"/>
    </row>
    <row r="821" spans="1:17" ht="5" customHeight="1" x14ac:dyDescent="0.2">
      <c r="A821" s="48"/>
      <c r="B821" s="23"/>
      <c r="C821" s="23"/>
      <c r="D821" s="12"/>
      <c r="E821" s="23"/>
      <c r="F821" s="33"/>
      <c r="G821" s="33"/>
      <c r="H821" s="33"/>
      <c r="I821" s="33"/>
      <c r="J821" s="33"/>
      <c r="K821" s="33"/>
      <c r="L821" s="33"/>
      <c r="M821" s="33"/>
      <c r="N821" s="33"/>
      <c r="O821" s="33"/>
      <c r="P821" s="34"/>
      <c r="Q821" s="2"/>
    </row>
    <row r="822" spans="1:17" ht="17" x14ac:dyDescent="0.25">
      <c r="A822" s="224" t="str">
        <f>"At "&amp;TEXT(N2,"dd Mmm yyyy")&amp;":"</f>
        <v>At 31 Mar 2026:</v>
      </c>
      <c r="B822" s="225"/>
      <c r="C822" s="283"/>
      <c r="D822" s="284"/>
      <c r="E822" s="20"/>
      <c r="F822" s="70" t="s">
        <v>322</v>
      </c>
      <c r="G822" s="115" t="s">
        <v>61</v>
      </c>
      <c r="H822" s="242">
        <f>H809+H812-H815+H819</f>
        <v>0</v>
      </c>
      <c r="I822" s="325"/>
      <c r="J822" s="289"/>
      <c r="K822" s="290"/>
      <c r="L822" s="290"/>
      <c r="M822" s="290"/>
      <c r="N822" s="290"/>
      <c r="O822" s="290"/>
      <c r="P822" s="26"/>
      <c r="Q822" s="2"/>
    </row>
    <row r="823" spans="1:17" ht="5" customHeight="1" x14ac:dyDescent="0.2">
      <c r="A823" s="47"/>
      <c r="B823" s="21"/>
      <c r="C823" s="21"/>
      <c r="D823" s="9"/>
      <c r="E823" s="21"/>
      <c r="F823" s="10"/>
      <c r="G823" s="10"/>
      <c r="H823" s="10"/>
      <c r="I823" s="10"/>
      <c r="J823" s="10"/>
      <c r="K823" s="10"/>
      <c r="L823" s="10"/>
      <c r="M823" s="10"/>
      <c r="N823" s="10"/>
      <c r="O823" s="10"/>
      <c r="P823" s="28"/>
      <c r="Q823" s="2"/>
    </row>
    <row r="824" spans="1:17" x14ac:dyDescent="0.2">
      <c r="A824" s="22"/>
      <c r="B824" s="22"/>
      <c r="C824" s="22"/>
      <c r="D824" s="22"/>
      <c r="E824" s="22"/>
      <c r="F824" s="40"/>
      <c r="G824" s="40"/>
      <c r="H824" s="40"/>
      <c r="I824" s="40"/>
      <c r="J824" s="40"/>
      <c r="K824" s="40"/>
      <c r="L824" s="40"/>
      <c r="M824" s="40"/>
      <c r="N824" s="40"/>
      <c r="O824" s="40"/>
      <c r="P824" s="40"/>
      <c r="Q824" s="2"/>
    </row>
    <row r="825" spans="1:17" x14ac:dyDescent="0.2">
      <c r="A825" s="96" t="s">
        <v>279</v>
      </c>
      <c r="B825" s="22"/>
      <c r="C825" s="22"/>
      <c r="D825" s="22"/>
      <c r="E825" s="22"/>
      <c r="F825" s="40"/>
      <c r="G825" s="40"/>
      <c r="H825" s="40"/>
      <c r="I825" s="40"/>
      <c r="J825" s="40"/>
      <c r="K825" s="40"/>
      <c r="L825" s="40"/>
      <c r="M825" s="40"/>
      <c r="N825" s="40"/>
      <c r="O825" s="40"/>
      <c r="P825" s="40"/>
      <c r="Q825" s="2"/>
    </row>
    <row r="826" spans="1:17" x14ac:dyDescent="0.2">
      <c r="A826" s="22"/>
      <c r="B826" s="22"/>
      <c r="C826" s="22"/>
      <c r="D826" s="22"/>
      <c r="E826" s="22"/>
      <c r="F826" s="40"/>
      <c r="G826" s="40"/>
      <c r="H826" s="40"/>
      <c r="I826" s="40"/>
      <c r="J826" s="40"/>
      <c r="K826" s="40"/>
      <c r="L826" s="40"/>
      <c r="M826" s="40"/>
      <c r="N826" s="40"/>
      <c r="O826" s="40"/>
      <c r="P826" s="40"/>
      <c r="Q826" s="2"/>
    </row>
    <row r="827" spans="1:17" ht="5" customHeight="1" x14ac:dyDescent="0.2">
      <c r="A827" s="48"/>
      <c r="B827" s="23"/>
      <c r="C827" s="23"/>
      <c r="D827" s="12"/>
      <c r="E827" s="23"/>
      <c r="F827" s="33"/>
      <c r="G827" s="33"/>
      <c r="H827" s="33"/>
      <c r="I827" s="33"/>
      <c r="J827" s="33"/>
      <c r="K827" s="33"/>
      <c r="L827" s="33"/>
      <c r="M827" s="33"/>
      <c r="N827" s="33"/>
      <c r="O827" s="33"/>
      <c r="P827" s="34"/>
      <c r="Q827" s="2"/>
    </row>
    <row r="828" spans="1:17" ht="17" x14ac:dyDescent="0.25">
      <c r="A828" s="224" t="str">
        <f>"At "&amp;TEXT(N2,"dd Mmm yyyy")&amp;":"</f>
        <v>At 31 Mar 2026:</v>
      </c>
      <c r="B828" s="225"/>
      <c r="C828" s="283"/>
      <c r="D828" s="284"/>
      <c r="E828" s="20"/>
      <c r="F828" s="70" t="s">
        <v>323</v>
      </c>
      <c r="G828" s="115" t="s">
        <v>61</v>
      </c>
      <c r="H828" s="242">
        <f>H803-H822</f>
        <v>0</v>
      </c>
      <c r="I828" s="325"/>
      <c r="J828" s="289"/>
      <c r="K828" s="290"/>
      <c r="L828" s="290"/>
      <c r="M828" s="290"/>
      <c r="N828" s="290"/>
      <c r="O828" s="290"/>
      <c r="P828" s="26"/>
      <c r="Q828" s="2"/>
    </row>
    <row r="829" spans="1:17" ht="5" customHeight="1" x14ac:dyDescent="0.2">
      <c r="A829" s="47"/>
      <c r="B829" s="21"/>
      <c r="C829" s="21"/>
      <c r="D829" s="9"/>
      <c r="E829" s="21"/>
      <c r="F829" s="10"/>
      <c r="G829" s="10"/>
      <c r="H829" s="10"/>
      <c r="I829" s="10"/>
      <c r="J829" s="10"/>
      <c r="K829" s="10"/>
      <c r="L829" s="10"/>
      <c r="M829" s="10"/>
      <c r="N829" s="10"/>
      <c r="O829" s="10"/>
      <c r="P829" s="28"/>
      <c r="Q829" s="2"/>
    </row>
    <row r="830" spans="1:17" ht="5" customHeight="1" x14ac:dyDescent="0.2">
      <c r="A830" s="49"/>
      <c r="B830" s="24"/>
      <c r="C830" s="24"/>
      <c r="D830" s="14"/>
      <c r="E830" s="24"/>
      <c r="F830" s="29"/>
      <c r="G830" s="29"/>
      <c r="H830" s="29"/>
      <c r="I830" s="29"/>
      <c r="J830" s="29"/>
      <c r="K830" s="29"/>
      <c r="L830" s="29"/>
      <c r="M830" s="29"/>
      <c r="N830" s="29"/>
      <c r="O830" s="29"/>
      <c r="P830" s="30"/>
      <c r="Q830" s="2"/>
    </row>
    <row r="831" spans="1:17" ht="17" x14ac:dyDescent="0.25">
      <c r="A831" s="265" t="str">
        <f>IF(H72&gt;0,"At "&amp;TEXT(H72,"dd Mmm yyyy")&amp;":","")</f>
        <v>At :</v>
      </c>
      <c r="B831" s="305"/>
      <c r="C831" s="306"/>
      <c r="D831" s="307"/>
      <c r="E831" s="22"/>
      <c r="F831" s="70" t="s">
        <v>466</v>
      </c>
      <c r="G831" s="107" t="s">
        <v>61</v>
      </c>
      <c r="H831" s="240">
        <f>IF(H72&gt;0,ROUND([1]OpenAccounts!$J$13,D2)-ROUND([1]OpenAccounts!$P$13,D2),"")</f>
        <v>0</v>
      </c>
      <c r="I831" s="241"/>
      <c r="J831" s="335"/>
      <c r="K831" s="344"/>
      <c r="L831" s="344"/>
      <c r="M831" s="344"/>
      <c r="N831" s="344"/>
      <c r="O831" s="344"/>
      <c r="P831" s="41"/>
      <c r="Q831" s="2"/>
    </row>
    <row r="832" spans="1:17" ht="5" customHeight="1" x14ac:dyDescent="0.2">
      <c r="A832" s="50"/>
      <c r="B832" s="25"/>
      <c r="C832" s="25"/>
      <c r="D832" s="16"/>
      <c r="E832" s="25"/>
      <c r="F832" s="31"/>
      <c r="G832" s="31"/>
      <c r="H832" s="31"/>
      <c r="I832" s="31"/>
      <c r="J832" s="31"/>
      <c r="K832" s="31"/>
      <c r="L832" s="31"/>
      <c r="M832" s="31"/>
      <c r="N832" s="31"/>
      <c r="O832" s="31"/>
      <c r="P832" s="32"/>
      <c r="Q832" s="2"/>
    </row>
    <row r="833" spans="1:17" x14ac:dyDescent="0.2">
      <c r="A833" s="22"/>
      <c r="B833" s="22"/>
      <c r="C833" s="22"/>
      <c r="D833" s="22"/>
      <c r="E833" s="22"/>
      <c r="F833" s="40"/>
      <c r="G833" s="40"/>
      <c r="H833" s="40"/>
      <c r="I833" s="40"/>
      <c r="J833" s="40"/>
      <c r="K833" s="40"/>
      <c r="L833" s="40"/>
      <c r="M833" s="40"/>
      <c r="N833" s="40"/>
      <c r="O833" s="40"/>
      <c r="P833" s="40"/>
      <c r="Q833" s="2"/>
    </row>
    <row r="835" spans="1:17" ht="16" x14ac:dyDescent="0.2">
      <c r="A835" s="231" t="s">
        <v>145</v>
      </c>
      <c r="B835" s="232"/>
      <c r="C835" s="232"/>
      <c r="D835" s="232"/>
      <c r="F835" s="233"/>
      <c r="G835" s="233"/>
      <c r="H835" s="233"/>
      <c r="I835" s="233"/>
      <c r="J835" s="233"/>
      <c r="K835" s="233"/>
      <c r="L835" s="233"/>
      <c r="M835" s="233"/>
      <c r="N835" s="233"/>
      <c r="O835" s="233"/>
      <c r="P835" s="233"/>
      <c r="Q835" s="233"/>
    </row>
    <row r="836" spans="1:17" ht="5" customHeight="1" x14ac:dyDescent="0.2">
      <c r="A836" s="1"/>
      <c r="B836" s="1"/>
      <c r="C836" s="1"/>
      <c r="D836" s="1"/>
      <c r="E836" s="1"/>
      <c r="F836" s="1"/>
      <c r="G836" s="1"/>
      <c r="H836" s="1"/>
      <c r="I836" s="1"/>
      <c r="J836" s="1"/>
      <c r="K836" s="1"/>
      <c r="L836" s="1"/>
      <c r="M836" s="1"/>
      <c r="N836" s="1"/>
      <c r="O836" s="1"/>
      <c r="P836" s="1"/>
      <c r="Q836" s="1"/>
    </row>
    <row r="837" spans="1:17" x14ac:dyDescent="0.2">
      <c r="A837" s="234" t="s">
        <v>325</v>
      </c>
      <c r="B837" s="235"/>
      <c r="C837" s="235"/>
      <c r="D837" s="235"/>
      <c r="E837" s="236"/>
      <c r="F837" s="236"/>
      <c r="G837" s="236"/>
      <c r="H837" s="236"/>
      <c r="I837" s="236"/>
      <c r="J837" s="236"/>
      <c r="K837" s="236"/>
      <c r="L837" s="236"/>
      <c r="M837" s="236"/>
      <c r="N837" s="236"/>
      <c r="O837" s="236"/>
      <c r="P837" s="236"/>
      <c r="Q837" s="237"/>
    </row>
    <row r="838" spans="1:17" x14ac:dyDescent="0.2">
      <c r="A838" s="211" t="s">
        <v>324</v>
      </c>
      <c r="B838" s="212"/>
      <c r="C838" s="212"/>
      <c r="D838" s="212"/>
      <c r="E838" s="212"/>
      <c r="F838" s="212"/>
      <c r="G838" s="212"/>
      <c r="H838" s="212"/>
      <c r="I838" s="212"/>
      <c r="J838" s="212"/>
      <c r="K838" s="212"/>
      <c r="L838" s="212"/>
      <c r="M838" s="212"/>
      <c r="N838" s="212"/>
      <c r="O838" s="212"/>
      <c r="P838" s="212"/>
      <c r="Q838" s="38"/>
    </row>
    <row r="839" spans="1:17" x14ac:dyDescent="0.2">
      <c r="A839" s="62"/>
      <c r="B839" s="51"/>
      <c r="C839" s="51"/>
      <c r="D839" s="51"/>
      <c r="E839" s="51"/>
      <c r="F839" s="51"/>
      <c r="G839" s="51"/>
      <c r="H839" s="51"/>
      <c r="I839" s="51"/>
      <c r="J839" s="51"/>
      <c r="K839" s="51"/>
      <c r="L839" s="51"/>
      <c r="M839" s="51"/>
      <c r="N839" s="51"/>
      <c r="O839" s="51"/>
      <c r="P839" s="51"/>
      <c r="Q839" s="38"/>
    </row>
    <row r="840" spans="1:17" x14ac:dyDescent="0.2">
      <c r="A840" s="211" t="s">
        <v>970</v>
      </c>
      <c r="B840" s="212"/>
      <c r="C840" s="212"/>
      <c r="D840" s="212"/>
      <c r="E840" s="212"/>
      <c r="F840" s="212"/>
      <c r="G840" s="212"/>
      <c r="H840" s="212"/>
      <c r="I840" s="212"/>
      <c r="J840" s="212"/>
      <c r="K840" s="212"/>
      <c r="L840" s="212"/>
      <c r="M840" s="212"/>
      <c r="N840" s="212"/>
      <c r="O840" s="212"/>
      <c r="P840" s="212"/>
      <c r="Q840" s="38"/>
    </row>
    <row r="841" spans="1:17" x14ac:dyDescent="0.2">
      <c r="A841" s="62"/>
      <c r="B841" s="51"/>
      <c r="C841" s="51"/>
      <c r="D841" s="51"/>
      <c r="E841" s="51"/>
      <c r="F841" s="51"/>
      <c r="G841" s="51"/>
      <c r="H841" s="51"/>
      <c r="I841" s="51"/>
      <c r="J841" s="51"/>
      <c r="K841" s="51"/>
      <c r="L841" s="51"/>
      <c r="M841" s="51"/>
      <c r="N841" s="51"/>
      <c r="O841" s="51"/>
      <c r="P841" s="51"/>
      <c r="Q841" s="38"/>
    </row>
    <row r="842" spans="1:17" x14ac:dyDescent="0.2">
      <c r="A842" s="238" t="s">
        <v>259</v>
      </c>
      <c r="B842" s="239"/>
      <c r="C842" s="72"/>
      <c r="D842" s="72"/>
      <c r="E842" s="72"/>
      <c r="F842" s="238"/>
      <c r="G842" s="238"/>
      <c r="H842" s="238"/>
      <c r="I842" s="238"/>
      <c r="J842" s="238"/>
      <c r="K842" s="238"/>
      <c r="L842" s="238"/>
      <c r="M842" s="238"/>
      <c r="N842" s="238"/>
      <c r="O842" s="238"/>
      <c r="P842" s="238"/>
      <c r="Q842" s="38"/>
    </row>
    <row r="843" spans="1:17" x14ac:dyDescent="0.2">
      <c r="A843" s="36"/>
      <c r="Q843" s="2"/>
    </row>
    <row r="844" spans="1:17" ht="5" customHeight="1" x14ac:dyDescent="0.2">
      <c r="A844" s="48"/>
      <c r="B844" s="23"/>
      <c r="C844" s="23"/>
      <c r="D844" s="12"/>
      <c r="E844" s="23"/>
      <c r="F844" s="33"/>
      <c r="G844" s="33"/>
      <c r="H844" s="33"/>
      <c r="I844" s="33"/>
      <c r="J844" s="33"/>
      <c r="K844" s="33"/>
      <c r="L844" s="33"/>
      <c r="M844" s="33"/>
      <c r="N844" s="33"/>
      <c r="O844" s="33"/>
      <c r="P844" s="34"/>
      <c r="Q844" s="2"/>
    </row>
    <row r="845" spans="1:17" x14ac:dyDescent="0.2">
      <c r="A845" s="224" t="str">
        <f>"At "&amp;TEXT(J2,"dd Mmm yyyy")&amp;":"</f>
        <v>At 01 Apr 2024:</v>
      </c>
      <c r="B845" s="225"/>
      <c r="C845" s="283"/>
      <c r="D845" s="284"/>
      <c r="E845" s="20"/>
      <c r="F845" s="70" t="s">
        <v>326</v>
      </c>
      <c r="G845" s="66" t="s">
        <v>61</v>
      </c>
      <c r="H845" s="213">
        <f>ROUND([1]PubNotes!$C$8,D2)</f>
        <v>0</v>
      </c>
      <c r="I845" s="214"/>
      <c r="J845" s="27"/>
      <c r="K845" s="27"/>
      <c r="L845" s="27"/>
      <c r="M845" s="27"/>
      <c r="N845" s="27"/>
      <c r="O845" s="27"/>
      <c r="P845" s="26"/>
      <c r="Q845" s="2"/>
    </row>
    <row r="846" spans="1:17" ht="5" customHeight="1" x14ac:dyDescent="0.2">
      <c r="A846" s="47"/>
      <c r="B846" s="21"/>
      <c r="C846" s="21"/>
      <c r="D846" s="9"/>
      <c r="E846" s="21"/>
      <c r="F846" s="10"/>
      <c r="G846" s="10"/>
      <c r="H846" s="10"/>
      <c r="I846" s="10"/>
      <c r="J846" s="10"/>
      <c r="K846" s="10"/>
      <c r="L846" s="10"/>
      <c r="M846" s="10"/>
      <c r="N846" s="10"/>
      <c r="O846" s="10"/>
      <c r="P846" s="28"/>
      <c r="Q846" s="2"/>
    </row>
    <row r="847" spans="1:17" ht="5" customHeight="1" x14ac:dyDescent="0.2">
      <c r="A847" s="49"/>
      <c r="B847" s="24"/>
      <c r="C847" s="24"/>
      <c r="D847" s="14"/>
      <c r="E847" s="24"/>
      <c r="F847" s="29"/>
      <c r="G847" s="29"/>
      <c r="H847" s="29"/>
      <c r="I847" s="29"/>
      <c r="J847" s="29"/>
      <c r="K847" s="29"/>
      <c r="L847" s="29"/>
      <c r="M847" s="29"/>
      <c r="N847" s="29"/>
      <c r="O847" s="29"/>
      <c r="P847" s="30"/>
      <c r="Q847" s="2"/>
    </row>
    <row r="848" spans="1:17" ht="17" x14ac:dyDescent="0.25">
      <c r="A848" s="265" t="s">
        <v>263</v>
      </c>
      <c r="B848" s="305"/>
      <c r="C848" s="306"/>
      <c r="D848" s="307"/>
      <c r="E848" s="22"/>
      <c r="F848" s="70" t="s">
        <v>327</v>
      </c>
      <c r="G848" s="67" t="s">
        <v>61</v>
      </c>
      <c r="H848" s="213">
        <f>ROUND([1]PubNotes!$C$9,D2)</f>
        <v>0</v>
      </c>
      <c r="I848" s="214"/>
      <c r="J848" s="343"/>
      <c r="K848" s="344"/>
      <c r="L848" s="344"/>
      <c r="M848" s="344"/>
      <c r="N848" s="344"/>
      <c r="O848" s="344"/>
      <c r="P848" s="41"/>
      <c r="Q848" s="2"/>
    </row>
    <row r="849" spans="1:17" ht="5" customHeight="1" x14ac:dyDescent="0.2">
      <c r="A849" s="50"/>
      <c r="B849" s="25"/>
      <c r="C849" s="25"/>
      <c r="D849" s="16"/>
      <c r="E849" s="25"/>
      <c r="F849" s="31"/>
      <c r="G849" s="31"/>
      <c r="H849" s="31"/>
      <c r="I849" s="31"/>
      <c r="J849" s="31"/>
      <c r="K849" s="31"/>
      <c r="L849" s="31"/>
      <c r="M849" s="31"/>
      <c r="N849" s="31"/>
      <c r="O849" s="31"/>
      <c r="P849" s="32"/>
      <c r="Q849" s="2"/>
    </row>
    <row r="850" spans="1:17" ht="5" customHeight="1" x14ac:dyDescent="0.2">
      <c r="A850" s="48"/>
      <c r="B850" s="23"/>
      <c r="C850" s="23"/>
      <c r="D850" s="12"/>
      <c r="E850" s="23"/>
      <c r="F850" s="33"/>
      <c r="G850" s="33"/>
      <c r="H850" s="33"/>
      <c r="I850" s="33"/>
      <c r="J850" s="33"/>
      <c r="K850" s="33"/>
      <c r="L850" s="33"/>
      <c r="M850" s="33"/>
      <c r="N850" s="33"/>
      <c r="O850" s="33"/>
      <c r="P850" s="34"/>
      <c r="Q850" s="2"/>
    </row>
    <row r="851" spans="1:17" x14ac:dyDescent="0.2">
      <c r="A851" s="224" t="s">
        <v>262</v>
      </c>
      <c r="B851" s="225"/>
      <c r="C851" s="283"/>
      <c r="D851" s="284"/>
      <c r="E851" s="20"/>
      <c r="F851" s="70" t="s">
        <v>328</v>
      </c>
      <c r="G851" s="66" t="s">
        <v>61</v>
      </c>
      <c r="H851" s="213">
        <f>ROUND([1]PubNotes!$C$10,D2)</f>
        <v>0</v>
      </c>
      <c r="I851" s="214"/>
      <c r="J851" s="27"/>
      <c r="K851" s="27"/>
      <c r="L851" s="27"/>
      <c r="M851" s="27"/>
      <c r="N851" s="27"/>
      <c r="O851" s="27"/>
      <c r="P851" s="26"/>
      <c r="Q851" s="2"/>
    </row>
    <row r="852" spans="1:17" ht="5" customHeight="1" x14ac:dyDescent="0.2">
      <c r="A852" s="47"/>
      <c r="B852" s="21"/>
      <c r="C852" s="21"/>
      <c r="D852" s="9"/>
      <c r="E852" s="21"/>
      <c r="F852" s="10"/>
      <c r="G852" s="10"/>
      <c r="H852" s="10"/>
      <c r="I852" s="10"/>
      <c r="J852" s="10"/>
      <c r="K852" s="10"/>
      <c r="L852" s="10"/>
      <c r="M852" s="10"/>
      <c r="N852" s="10"/>
      <c r="O852" s="10"/>
      <c r="P852" s="28"/>
      <c r="Q852" s="2"/>
    </row>
    <row r="853" spans="1:17" ht="5" customHeight="1" x14ac:dyDescent="0.2">
      <c r="A853" s="49"/>
      <c r="B853" s="24"/>
      <c r="C853" s="24"/>
      <c r="D853" s="14"/>
      <c r="E853" s="24"/>
      <c r="F853" s="29"/>
      <c r="G853" s="29"/>
      <c r="H853" s="29"/>
      <c r="I853" s="29"/>
      <c r="J853" s="29"/>
      <c r="K853" s="29"/>
      <c r="L853" s="29"/>
      <c r="M853" s="29"/>
      <c r="N853" s="29"/>
      <c r="O853" s="29"/>
      <c r="P853" s="30"/>
      <c r="Q853" s="2"/>
    </row>
    <row r="854" spans="1:17" ht="15" customHeight="1" x14ac:dyDescent="0.2">
      <c r="A854" s="61"/>
      <c r="B854" s="22"/>
      <c r="C854" s="22"/>
      <c r="D854" s="150"/>
      <c r="E854" s="22"/>
      <c r="F854" s="303" t="s">
        <v>448</v>
      </c>
      <c r="G854" s="303"/>
      <c r="H854" s="303"/>
      <c r="I854" s="303"/>
      <c r="J854" s="40"/>
      <c r="K854" s="40"/>
      <c r="L854" s="40"/>
      <c r="M854" s="40"/>
      <c r="N854" s="40"/>
      <c r="O854" s="40"/>
      <c r="P854" s="41"/>
      <c r="Q854" s="2"/>
    </row>
    <row r="855" spans="1:17" ht="15.75" customHeight="1" x14ac:dyDescent="0.25">
      <c r="A855" s="265" t="s">
        <v>264</v>
      </c>
      <c r="B855" s="305"/>
      <c r="C855" s="306"/>
      <c r="D855" s="307"/>
      <c r="E855" s="22"/>
      <c r="F855" s="70" t="s">
        <v>329</v>
      </c>
      <c r="G855" s="67" t="s">
        <v>61</v>
      </c>
      <c r="H855" s="213"/>
      <c r="I855" s="214"/>
      <c r="J855" s="143"/>
      <c r="K855" s="142"/>
      <c r="L855" s="40"/>
      <c r="M855" s="40"/>
      <c r="N855" s="40"/>
      <c r="O855" s="142"/>
      <c r="P855" s="41"/>
      <c r="Q855" s="2"/>
    </row>
    <row r="856" spans="1:17" ht="5" customHeight="1" x14ac:dyDescent="0.2">
      <c r="A856" s="50"/>
      <c r="B856" s="25"/>
      <c r="C856" s="25"/>
      <c r="D856" s="16"/>
      <c r="E856" s="25"/>
      <c r="F856" s="31"/>
      <c r="G856" s="31"/>
      <c r="H856" s="31"/>
      <c r="I856" s="31"/>
      <c r="J856" s="31"/>
      <c r="K856" s="31"/>
      <c r="L856" s="31"/>
      <c r="M856" s="31"/>
      <c r="N856" s="31"/>
      <c r="O856" s="31"/>
      <c r="P856" s="32"/>
      <c r="Q856" s="2"/>
    </row>
    <row r="857" spans="1:17" ht="5" customHeight="1" x14ac:dyDescent="0.2">
      <c r="A857" s="48"/>
      <c r="B857" s="23"/>
      <c r="C857" s="23"/>
      <c r="D857" s="12"/>
      <c r="E857" s="23"/>
      <c r="F857" s="33"/>
      <c r="G857" s="33"/>
      <c r="H857" s="33"/>
      <c r="I857" s="33"/>
      <c r="J857" s="33"/>
      <c r="K857" s="33"/>
      <c r="L857" s="33"/>
      <c r="M857" s="33"/>
      <c r="N857" s="33"/>
      <c r="O857" s="33"/>
      <c r="P857" s="34"/>
      <c r="Q857" s="2"/>
    </row>
    <row r="858" spans="1:17" ht="15" customHeight="1" x14ac:dyDescent="0.2">
      <c r="A858" s="141"/>
      <c r="B858" s="20"/>
      <c r="C858" s="20"/>
      <c r="D858" s="7"/>
      <c r="E858" s="20"/>
      <c r="F858" s="304" t="s">
        <v>448</v>
      </c>
      <c r="G858" s="304"/>
      <c r="H858" s="304"/>
      <c r="I858" s="304"/>
      <c r="J858" s="27"/>
      <c r="K858" s="27"/>
      <c r="L858" s="27"/>
      <c r="M858" s="27"/>
      <c r="N858" s="27"/>
      <c r="O858" s="27"/>
      <c r="P858" s="26"/>
      <c r="Q858" s="2"/>
    </row>
    <row r="859" spans="1:17" ht="17" x14ac:dyDescent="0.25">
      <c r="A859" s="224" t="s">
        <v>265</v>
      </c>
      <c r="B859" s="225"/>
      <c r="C859" s="283"/>
      <c r="D859" s="284"/>
      <c r="E859" s="20"/>
      <c r="F859" s="70" t="s">
        <v>330</v>
      </c>
      <c r="G859" s="66" t="s">
        <v>61</v>
      </c>
      <c r="H859" s="213"/>
      <c r="I859" s="214"/>
      <c r="J859" s="149"/>
      <c r="K859" s="148"/>
      <c r="L859" s="148"/>
      <c r="M859" s="148"/>
      <c r="N859" s="148"/>
      <c r="O859" s="148"/>
      <c r="P859" s="26"/>
      <c r="Q859" s="2"/>
    </row>
    <row r="860" spans="1:17" ht="5" customHeight="1" x14ac:dyDescent="0.2">
      <c r="A860" s="47"/>
      <c r="B860" s="21"/>
      <c r="C860" s="21"/>
      <c r="D860" s="9"/>
      <c r="E860" s="21"/>
      <c r="F860" s="10"/>
      <c r="G860" s="10"/>
      <c r="H860" s="10"/>
      <c r="I860" s="10"/>
      <c r="J860" s="10"/>
      <c r="K860" s="10"/>
      <c r="L860" s="10"/>
      <c r="M860" s="10"/>
      <c r="N860" s="10"/>
      <c r="O860" s="10"/>
      <c r="P860" s="28"/>
      <c r="Q860" s="2"/>
    </row>
    <row r="861" spans="1:17" ht="5" customHeight="1" x14ac:dyDescent="0.2">
      <c r="A861" s="49"/>
      <c r="B861" s="24"/>
      <c r="C861" s="24"/>
      <c r="D861" s="14"/>
      <c r="E861" s="24"/>
      <c r="F861" s="29"/>
      <c r="G861" s="29"/>
      <c r="H861" s="29"/>
      <c r="I861" s="29"/>
      <c r="J861" s="29"/>
      <c r="K861" s="29"/>
      <c r="L861" s="29"/>
      <c r="M861" s="29"/>
      <c r="N861" s="29"/>
      <c r="O861" s="29"/>
      <c r="P861" s="30"/>
      <c r="Q861" s="2"/>
    </row>
    <row r="862" spans="1:17" ht="17" x14ac:dyDescent="0.25">
      <c r="A862" s="265" t="str">
        <f>"At "&amp;TEXT(N2,"dd Mmm yyyy")&amp;":"</f>
        <v>At 31 Mar 2026:</v>
      </c>
      <c r="B862" s="305"/>
      <c r="C862" s="306"/>
      <c r="D862" s="307"/>
      <c r="E862" s="22"/>
      <c r="F862" s="70" t="s">
        <v>331</v>
      </c>
      <c r="G862" s="107" t="s">
        <v>61</v>
      </c>
      <c r="H862" s="240">
        <f>H845+H848-H851+H855+H859</f>
        <v>0</v>
      </c>
      <c r="I862" s="241"/>
      <c r="J862" s="335"/>
      <c r="K862" s="344"/>
      <c r="L862" s="344"/>
      <c r="M862" s="344"/>
      <c r="N862" s="344"/>
      <c r="O862" s="344"/>
      <c r="P862" s="41"/>
      <c r="Q862" s="2"/>
    </row>
    <row r="863" spans="1:17" ht="5" customHeight="1" x14ac:dyDescent="0.2">
      <c r="A863" s="50"/>
      <c r="B863" s="25"/>
      <c r="C863" s="25"/>
      <c r="D863" s="16"/>
      <c r="E863" s="25"/>
      <c r="F863" s="31"/>
      <c r="G863" s="31"/>
      <c r="H863" s="31"/>
      <c r="I863" s="31"/>
      <c r="J863" s="31"/>
      <c r="K863" s="31"/>
      <c r="L863" s="31"/>
      <c r="M863" s="31"/>
      <c r="N863" s="31"/>
      <c r="O863" s="31"/>
      <c r="P863" s="32"/>
      <c r="Q863" s="2"/>
    </row>
    <row r="864" spans="1:17" x14ac:dyDescent="0.2">
      <c r="A864" s="62"/>
      <c r="B864" s="51"/>
      <c r="C864" s="51"/>
      <c r="D864" s="51"/>
      <c r="E864" s="51"/>
      <c r="F864" s="51"/>
      <c r="G864" s="51"/>
      <c r="H864" s="51"/>
      <c r="I864" s="51"/>
      <c r="J864" s="51"/>
      <c r="K864" s="51"/>
      <c r="L864" s="51"/>
      <c r="M864" s="51"/>
      <c r="N864" s="51"/>
      <c r="O864" s="51"/>
      <c r="P864" s="51"/>
      <c r="Q864" s="38"/>
    </row>
    <row r="865" spans="1:17" x14ac:dyDescent="0.2">
      <c r="A865" s="238" t="s">
        <v>270</v>
      </c>
      <c r="B865" s="239"/>
      <c r="C865" s="72"/>
      <c r="D865" s="72"/>
      <c r="E865" s="72"/>
      <c r="F865" s="238"/>
      <c r="G865" s="238"/>
      <c r="H865" s="238"/>
      <c r="I865" s="238"/>
      <c r="J865" s="238"/>
      <c r="K865" s="238"/>
      <c r="L865" s="238"/>
      <c r="M865" s="238"/>
      <c r="N865" s="238"/>
      <c r="O865" s="238"/>
      <c r="P865" s="238"/>
      <c r="Q865" s="38"/>
    </row>
    <row r="866" spans="1:17" x14ac:dyDescent="0.2">
      <c r="A866" s="36"/>
      <c r="Q866" s="2"/>
    </row>
    <row r="867" spans="1:17" ht="5" customHeight="1" x14ac:dyDescent="0.2">
      <c r="A867" s="48"/>
      <c r="B867" s="23"/>
      <c r="C867" s="23"/>
      <c r="D867" s="12"/>
      <c r="E867" s="23"/>
      <c r="F867" s="33"/>
      <c r="G867" s="33"/>
      <c r="H867" s="33"/>
      <c r="I867" s="33"/>
      <c r="J867" s="33"/>
      <c r="K867" s="33"/>
      <c r="L867" s="33"/>
      <c r="M867" s="33"/>
      <c r="N867" s="33"/>
      <c r="O867" s="33"/>
      <c r="P867" s="34"/>
      <c r="Q867" s="2"/>
    </row>
    <row r="868" spans="1:17" x14ac:dyDescent="0.2">
      <c r="A868" s="224" t="str">
        <f>"At "&amp;TEXT(J2,"dd Mmm yyyy")&amp;":"</f>
        <v>At 01 Apr 2024:</v>
      </c>
      <c r="B868" s="225"/>
      <c r="C868" s="283"/>
      <c r="D868" s="284"/>
      <c r="E868" s="20"/>
      <c r="F868" s="70" t="s">
        <v>332</v>
      </c>
      <c r="G868" s="66" t="s">
        <v>61</v>
      </c>
      <c r="H868" s="213">
        <f>ROUND([1]PubNotes!$C$14,D2)</f>
        <v>0</v>
      </c>
      <c r="I868" s="214"/>
      <c r="J868" s="27"/>
      <c r="K868" s="27"/>
      <c r="L868" s="27"/>
      <c r="M868" s="27"/>
      <c r="N868" s="27"/>
      <c r="O868" s="27"/>
      <c r="P868" s="26"/>
      <c r="Q868" s="2"/>
    </row>
    <row r="869" spans="1:17" ht="5" customHeight="1" x14ac:dyDescent="0.2">
      <c r="A869" s="47"/>
      <c r="B869" s="21"/>
      <c r="C869" s="21"/>
      <c r="D869" s="9"/>
      <c r="E869" s="21"/>
      <c r="F869" s="10"/>
      <c r="G869" s="10"/>
      <c r="H869" s="10"/>
      <c r="I869" s="10"/>
      <c r="J869" s="10"/>
      <c r="K869" s="10"/>
      <c r="L869" s="10"/>
      <c r="M869" s="10"/>
      <c r="N869" s="10"/>
      <c r="O869" s="10"/>
      <c r="P869" s="28"/>
      <c r="Q869" s="2"/>
    </row>
    <row r="870" spans="1:17" ht="5" customHeight="1" x14ac:dyDescent="0.2">
      <c r="A870" s="49"/>
      <c r="B870" s="24"/>
      <c r="C870" s="24"/>
      <c r="D870" s="14"/>
      <c r="E870" s="24"/>
      <c r="F870" s="29"/>
      <c r="G870" s="29"/>
      <c r="H870" s="29"/>
      <c r="I870" s="29"/>
      <c r="J870" s="29"/>
      <c r="K870" s="29"/>
      <c r="L870" s="29"/>
      <c r="M870" s="29"/>
      <c r="N870" s="29"/>
      <c r="O870" s="29"/>
      <c r="P870" s="30"/>
      <c r="Q870" s="2"/>
    </row>
    <row r="871" spans="1:17" ht="17" x14ac:dyDescent="0.25">
      <c r="A871" s="265" t="s">
        <v>276</v>
      </c>
      <c r="B871" s="305"/>
      <c r="C871" s="306"/>
      <c r="D871" s="307"/>
      <c r="E871" s="22"/>
      <c r="F871" s="70" t="s">
        <v>333</v>
      </c>
      <c r="G871" s="67" t="s">
        <v>61</v>
      </c>
      <c r="H871" s="213">
        <f>ROUND([1]PubNotes!$C$15,D2)</f>
        <v>0</v>
      </c>
      <c r="I871" s="214"/>
      <c r="J871" s="343"/>
      <c r="K871" s="344"/>
      <c r="L871" s="344"/>
      <c r="M871" s="344"/>
      <c r="N871" s="344"/>
      <c r="O871" s="344"/>
      <c r="P871" s="41"/>
      <c r="Q871" s="2"/>
    </row>
    <row r="872" spans="1:17" ht="5" customHeight="1" x14ac:dyDescent="0.2">
      <c r="A872" s="50"/>
      <c r="B872" s="25"/>
      <c r="C872" s="25"/>
      <c r="D872" s="16"/>
      <c r="E872" s="25"/>
      <c r="F872" s="31"/>
      <c r="G872" s="31"/>
      <c r="H872" s="31"/>
      <c r="I872" s="31"/>
      <c r="J872" s="31"/>
      <c r="K872" s="31"/>
      <c r="L872" s="31"/>
      <c r="M872" s="31"/>
      <c r="N872" s="31"/>
      <c r="O872" s="31"/>
      <c r="P872" s="32"/>
      <c r="Q872" s="2"/>
    </row>
    <row r="873" spans="1:17" ht="5" customHeight="1" x14ac:dyDescent="0.2">
      <c r="A873" s="48"/>
      <c r="B873" s="23"/>
      <c r="C873" s="23"/>
      <c r="D873" s="12"/>
      <c r="E873" s="23"/>
      <c r="F873" s="33"/>
      <c r="G873" s="33"/>
      <c r="H873" s="33"/>
      <c r="I873" s="33"/>
      <c r="J873" s="33"/>
      <c r="K873" s="33"/>
      <c r="L873" s="33"/>
      <c r="M873" s="33"/>
      <c r="N873" s="33"/>
      <c r="O873" s="33"/>
      <c r="P873" s="34"/>
      <c r="Q873" s="2"/>
    </row>
    <row r="874" spans="1:17" x14ac:dyDescent="0.2">
      <c r="A874" s="224" t="s">
        <v>277</v>
      </c>
      <c r="B874" s="225"/>
      <c r="C874" s="283"/>
      <c r="D874" s="284"/>
      <c r="E874" s="20"/>
      <c r="F874" s="70" t="s">
        <v>334</v>
      </c>
      <c r="G874" s="66" t="s">
        <v>61</v>
      </c>
      <c r="H874" s="213">
        <f>ROUND([1]PubNotes!$C$16,D2)</f>
        <v>0</v>
      </c>
      <c r="I874" s="214"/>
      <c r="J874" s="27"/>
      <c r="K874" s="27"/>
      <c r="L874" s="27"/>
      <c r="M874" s="27"/>
      <c r="N874" s="27"/>
      <c r="O874" s="27"/>
      <c r="P874" s="26"/>
      <c r="Q874" s="2"/>
    </row>
    <row r="875" spans="1:17" ht="5" customHeight="1" x14ac:dyDescent="0.2">
      <c r="A875" s="47"/>
      <c r="B875" s="21"/>
      <c r="C875" s="21"/>
      <c r="D875" s="9"/>
      <c r="E875" s="21"/>
      <c r="F875" s="10"/>
      <c r="G875" s="10"/>
      <c r="H875" s="10"/>
      <c r="I875" s="10"/>
      <c r="J875" s="10"/>
      <c r="K875" s="10"/>
      <c r="L875" s="10"/>
      <c r="M875" s="10"/>
      <c r="N875" s="10"/>
      <c r="O875" s="10"/>
      <c r="P875" s="28"/>
      <c r="Q875" s="2"/>
    </row>
    <row r="876" spans="1:17" ht="5" customHeight="1" x14ac:dyDescent="0.2">
      <c r="A876" s="49"/>
      <c r="B876" s="24"/>
      <c r="C876" s="24"/>
      <c r="D876" s="14"/>
      <c r="E876" s="24"/>
      <c r="F876" s="29"/>
      <c r="G876" s="29"/>
      <c r="H876" s="29"/>
      <c r="I876" s="29"/>
      <c r="J876" s="29"/>
      <c r="K876" s="29"/>
      <c r="L876" s="29"/>
      <c r="M876" s="29"/>
      <c r="N876" s="29"/>
      <c r="O876" s="29"/>
      <c r="P876" s="30"/>
      <c r="Q876" s="2"/>
    </row>
    <row r="877" spans="1:17" ht="15" customHeight="1" x14ac:dyDescent="0.2">
      <c r="A877" s="61"/>
      <c r="B877" s="22"/>
      <c r="C877" s="22"/>
      <c r="D877" s="150"/>
      <c r="E877" s="22"/>
      <c r="F877" s="303" t="s">
        <v>448</v>
      </c>
      <c r="G877" s="303"/>
      <c r="H877" s="303"/>
      <c r="I877" s="303"/>
      <c r="J877" s="40"/>
      <c r="K877" s="40"/>
      <c r="L877" s="40"/>
      <c r="M877" s="40"/>
      <c r="N877" s="40"/>
      <c r="O877" s="40"/>
      <c r="P877" s="41"/>
      <c r="Q877" s="2"/>
    </row>
    <row r="878" spans="1:17" ht="17" x14ac:dyDescent="0.25">
      <c r="A878" s="265" t="s">
        <v>278</v>
      </c>
      <c r="B878" s="305"/>
      <c r="C878" s="306"/>
      <c r="D878" s="307"/>
      <c r="E878" s="22"/>
      <c r="F878" s="70" t="s">
        <v>335</v>
      </c>
      <c r="G878" s="67" t="s">
        <v>61</v>
      </c>
      <c r="H878" s="213"/>
      <c r="I878" s="214"/>
      <c r="J878" s="143"/>
      <c r="K878" s="142"/>
      <c r="L878" s="40"/>
      <c r="M878" s="40"/>
      <c r="N878" s="40"/>
      <c r="O878" s="142"/>
      <c r="P878" s="41"/>
      <c r="Q878" s="2"/>
    </row>
    <row r="879" spans="1:17" ht="5" customHeight="1" x14ac:dyDescent="0.2">
      <c r="A879" s="50"/>
      <c r="B879" s="25"/>
      <c r="C879" s="25"/>
      <c r="D879" s="16"/>
      <c r="E879" s="25"/>
      <c r="F879" s="31"/>
      <c r="G879" s="31"/>
      <c r="H879" s="31"/>
      <c r="I879" s="31"/>
      <c r="J879" s="31"/>
      <c r="K879" s="31"/>
      <c r="L879" s="31"/>
      <c r="M879" s="31"/>
      <c r="N879" s="31"/>
      <c r="O879" s="31"/>
      <c r="P879" s="32"/>
      <c r="Q879" s="2"/>
    </row>
    <row r="880" spans="1:17" ht="5" customHeight="1" x14ac:dyDescent="0.2">
      <c r="A880" s="48"/>
      <c r="B880" s="23"/>
      <c r="C880" s="23"/>
      <c r="D880" s="12"/>
      <c r="E880" s="23"/>
      <c r="F880" s="33"/>
      <c r="G880" s="33"/>
      <c r="H880" s="33"/>
      <c r="I880" s="33"/>
      <c r="J880" s="33"/>
      <c r="K880" s="33"/>
      <c r="L880" s="33"/>
      <c r="M880" s="33"/>
      <c r="N880" s="33"/>
      <c r="O880" s="33"/>
      <c r="P880" s="34"/>
      <c r="Q880" s="2"/>
    </row>
    <row r="881" spans="1:17" ht="17" x14ac:dyDescent="0.25">
      <c r="A881" s="224" t="str">
        <f>"At "&amp;TEXT(N2,"dd Mmm yyyy")&amp;":"</f>
        <v>At 31 Mar 2026:</v>
      </c>
      <c r="B881" s="225"/>
      <c r="C881" s="283"/>
      <c r="D881" s="284"/>
      <c r="E881" s="20"/>
      <c r="F881" s="70" t="s">
        <v>336</v>
      </c>
      <c r="G881" s="115" t="s">
        <v>61</v>
      </c>
      <c r="H881" s="242">
        <f>H868+H871-H874+H878</f>
        <v>0</v>
      </c>
      <c r="I881" s="325"/>
      <c r="J881" s="289"/>
      <c r="K881" s="290"/>
      <c r="L881" s="290"/>
      <c r="M881" s="290"/>
      <c r="N881" s="290"/>
      <c r="O881" s="290"/>
      <c r="P881" s="26"/>
      <c r="Q881" s="2"/>
    </row>
    <row r="882" spans="1:17" ht="5" customHeight="1" x14ac:dyDescent="0.2">
      <c r="A882" s="47"/>
      <c r="B882" s="21"/>
      <c r="C882" s="21"/>
      <c r="D882" s="9"/>
      <c r="E882" s="21"/>
      <c r="F882" s="10"/>
      <c r="G882" s="10"/>
      <c r="H882" s="10"/>
      <c r="I882" s="10"/>
      <c r="J882" s="10"/>
      <c r="K882" s="10"/>
      <c r="L882" s="10"/>
      <c r="M882" s="10"/>
      <c r="N882" s="10"/>
      <c r="O882" s="10"/>
      <c r="P882" s="28"/>
      <c r="Q882" s="2"/>
    </row>
    <row r="883" spans="1:17" x14ac:dyDescent="0.2">
      <c r="A883" s="22"/>
      <c r="B883" s="22"/>
      <c r="C883" s="22"/>
      <c r="D883" s="22"/>
      <c r="E883" s="22"/>
      <c r="F883" s="40"/>
      <c r="G883" s="40"/>
      <c r="H883" s="40"/>
      <c r="I883" s="40"/>
      <c r="J883" s="40"/>
      <c r="K883" s="40"/>
      <c r="L883" s="40"/>
      <c r="M883" s="40"/>
      <c r="N883" s="40"/>
      <c r="O883" s="40"/>
      <c r="P883" s="40"/>
      <c r="Q883" s="2"/>
    </row>
    <row r="884" spans="1:17" x14ac:dyDescent="0.2">
      <c r="A884" s="96" t="s">
        <v>279</v>
      </c>
      <c r="B884" s="22"/>
      <c r="C884" s="22"/>
      <c r="D884" s="22"/>
      <c r="E884" s="22"/>
      <c r="F884" s="40"/>
      <c r="G884" s="40"/>
      <c r="H884" s="40"/>
      <c r="I884" s="40"/>
      <c r="J884" s="40"/>
      <c r="K884" s="40"/>
      <c r="L884" s="40"/>
      <c r="M884" s="40"/>
      <c r="N884" s="40"/>
      <c r="O884" s="40"/>
      <c r="P884" s="40"/>
      <c r="Q884" s="2"/>
    </row>
    <row r="885" spans="1:17" x14ac:dyDescent="0.2">
      <c r="A885" s="22"/>
      <c r="B885" s="22"/>
      <c r="C885" s="22"/>
      <c r="D885" s="22"/>
      <c r="E885" s="22"/>
      <c r="F885" s="40"/>
      <c r="G885" s="40"/>
      <c r="H885" s="40"/>
      <c r="I885" s="40"/>
      <c r="J885" s="40"/>
      <c r="K885" s="40"/>
      <c r="L885" s="40"/>
      <c r="M885" s="40"/>
      <c r="N885" s="40"/>
      <c r="O885" s="40"/>
      <c r="P885" s="40"/>
      <c r="Q885" s="2"/>
    </row>
    <row r="886" spans="1:17" ht="5" customHeight="1" x14ac:dyDescent="0.2">
      <c r="A886" s="48"/>
      <c r="B886" s="23"/>
      <c r="C886" s="23"/>
      <c r="D886" s="12"/>
      <c r="E886" s="23"/>
      <c r="F886" s="33"/>
      <c r="G886" s="33"/>
      <c r="H886" s="33"/>
      <c r="I886" s="33"/>
      <c r="J886" s="33"/>
      <c r="K886" s="33"/>
      <c r="L886" s="33"/>
      <c r="M886" s="33"/>
      <c r="N886" s="33"/>
      <c r="O886" s="33"/>
      <c r="P886" s="34"/>
      <c r="Q886" s="2"/>
    </row>
    <row r="887" spans="1:17" ht="17" x14ac:dyDescent="0.25">
      <c r="A887" s="224" t="str">
        <f>"At "&amp;TEXT(N2,"dd Mmm yyyy")&amp;":"</f>
        <v>At 31 Mar 2026:</v>
      </c>
      <c r="B887" s="225"/>
      <c r="C887" s="283"/>
      <c r="D887" s="284"/>
      <c r="E887" s="20"/>
      <c r="F887" s="70" t="s">
        <v>337</v>
      </c>
      <c r="G887" s="115" t="s">
        <v>61</v>
      </c>
      <c r="H887" s="242">
        <f>H862-H881</f>
        <v>0</v>
      </c>
      <c r="I887" s="325"/>
      <c r="J887" s="289"/>
      <c r="K887" s="290"/>
      <c r="L887" s="290"/>
      <c r="M887" s="290"/>
      <c r="N887" s="290"/>
      <c r="O887" s="290"/>
      <c r="P887" s="26"/>
      <c r="Q887" s="2"/>
    </row>
    <row r="888" spans="1:17" ht="5" customHeight="1" x14ac:dyDescent="0.2">
      <c r="A888" s="47"/>
      <c r="B888" s="21"/>
      <c r="C888" s="21"/>
      <c r="D888" s="9"/>
      <c r="E888" s="21"/>
      <c r="F888" s="10"/>
      <c r="G888" s="10"/>
      <c r="H888" s="10"/>
      <c r="I888" s="10"/>
      <c r="J888" s="10"/>
      <c r="K888" s="10"/>
      <c r="L888" s="10"/>
      <c r="M888" s="10"/>
      <c r="N888" s="10"/>
      <c r="O888" s="10"/>
      <c r="P888" s="28"/>
      <c r="Q888" s="2"/>
    </row>
    <row r="889" spans="1:17" ht="5" customHeight="1" x14ac:dyDescent="0.2">
      <c r="A889" s="49"/>
      <c r="B889" s="24"/>
      <c r="C889" s="24"/>
      <c r="D889" s="14"/>
      <c r="E889" s="24"/>
      <c r="F889" s="29"/>
      <c r="G889" s="29"/>
      <c r="H889" s="29"/>
      <c r="I889" s="29"/>
      <c r="J889" s="29"/>
      <c r="K889" s="29"/>
      <c r="L889" s="29"/>
      <c r="M889" s="29"/>
      <c r="N889" s="29"/>
      <c r="O889" s="29"/>
      <c r="P889" s="30"/>
      <c r="Q889" s="2"/>
    </row>
    <row r="890" spans="1:17" ht="17" x14ac:dyDescent="0.25">
      <c r="A890" s="265" t="str">
        <f>IF(H72&gt;0,"At "&amp;TEXT(H72,"dd Mmm yyyy")&amp;":","")</f>
        <v>At :</v>
      </c>
      <c r="B890" s="305"/>
      <c r="C890" s="306"/>
      <c r="D890" s="307"/>
      <c r="E890" s="22"/>
      <c r="F890" s="70" t="s">
        <v>468</v>
      </c>
      <c r="G890" s="107" t="s">
        <v>61</v>
      </c>
      <c r="H890" s="240">
        <f>IF(H72&gt;0,ROUND([1]OpenAccounts!$H$13,D2)-ROUND([1]OpenAccounts!$N$13,D2),"")</f>
        <v>0</v>
      </c>
      <c r="I890" s="241"/>
      <c r="J890" s="335"/>
      <c r="K890" s="344"/>
      <c r="L890" s="344"/>
      <c r="M890" s="344"/>
      <c r="N890" s="344"/>
      <c r="O890" s="344"/>
      <c r="P890" s="41"/>
      <c r="Q890" s="2"/>
    </row>
    <row r="891" spans="1:17" ht="5" customHeight="1" x14ac:dyDescent="0.2">
      <c r="A891" s="50"/>
      <c r="B891" s="25"/>
      <c r="C891" s="25"/>
      <c r="D891" s="16"/>
      <c r="E891" s="25"/>
      <c r="F891" s="31"/>
      <c r="G891" s="31"/>
      <c r="H891" s="31"/>
      <c r="I891" s="31"/>
      <c r="J891" s="31"/>
      <c r="K891" s="31"/>
      <c r="L891" s="31"/>
      <c r="M891" s="31"/>
      <c r="N891" s="31"/>
      <c r="O891" s="31"/>
      <c r="P891" s="32"/>
      <c r="Q891" s="2"/>
    </row>
    <row r="892" spans="1:17" x14ac:dyDescent="0.2">
      <c r="A892" s="22"/>
      <c r="B892" s="22"/>
      <c r="C892" s="22"/>
      <c r="D892" s="22"/>
      <c r="E892" s="22"/>
      <c r="F892" s="40"/>
      <c r="G892" s="40"/>
      <c r="H892" s="40"/>
      <c r="I892" s="40"/>
      <c r="J892" s="40"/>
      <c r="K892" s="40"/>
      <c r="L892" s="40"/>
      <c r="M892" s="40"/>
      <c r="N892" s="40"/>
      <c r="O892" s="40"/>
      <c r="P892" s="40"/>
      <c r="Q892" s="2"/>
    </row>
    <row r="894" spans="1:17" ht="16" x14ac:dyDescent="0.2">
      <c r="A894" s="231" t="s">
        <v>145</v>
      </c>
      <c r="B894" s="232"/>
      <c r="C894" s="232"/>
      <c r="D894" s="232"/>
      <c r="F894" s="233"/>
      <c r="G894" s="233"/>
      <c r="H894" s="233"/>
      <c r="I894" s="233"/>
      <c r="J894" s="233"/>
      <c r="K894" s="233"/>
      <c r="L894" s="233"/>
      <c r="M894" s="233"/>
      <c r="N894" s="233"/>
      <c r="O894" s="233"/>
      <c r="P894" s="233"/>
      <c r="Q894" s="233"/>
    </row>
    <row r="895" spans="1:17" ht="5" customHeight="1" x14ac:dyDescent="0.2">
      <c r="A895" s="1"/>
      <c r="B895" s="1"/>
      <c r="C895" s="1"/>
      <c r="D895" s="1"/>
      <c r="E895" s="1"/>
      <c r="F895" s="1"/>
      <c r="G895" s="1"/>
      <c r="H895" s="1"/>
      <c r="I895" s="1"/>
      <c r="J895" s="1"/>
      <c r="K895" s="1"/>
      <c r="L895" s="1"/>
      <c r="M895" s="1"/>
      <c r="N895" s="1"/>
      <c r="O895" s="1"/>
      <c r="P895" s="1"/>
      <c r="Q895" s="1"/>
    </row>
    <row r="896" spans="1:17" x14ac:dyDescent="0.2">
      <c r="A896" s="234" t="s">
        <v>338</v>
      </c>
      <c r="B896" s="235"/>
      <c r="C896" s="235"/>
      <c r="D896" s="235"/>
      <c r="E896" s="236"/>
      <c r="F896" s="236"/>
      <c r="G896" s="236"/>
      <c r="H896" s="236"/>
      <c r="I896" s="236"/>
      <c r="J896" s="236"/>
      <c r="K896" s="236"/>
      <c r="L896" s="236"/>
      <c r="M896" s="236"/>
      <c r="N896" s="236"/>
      <c r="O896" s="236"/>
      <c r="P896" s="236"/>
      <c r="Q896" s="237"/>
    </row>
    <row r="897" spans="1:17" ht="24.75" customHeight="1" x14ac:dyDescent="0.2">
      <c r="A897" s="211" t="s">
        <v>339</v>
      </c>
      <c r="B897" s="212"/>
      <c r="C897" s="212"/>
      <c r="D897" s="212"/>
      <c r="E897" s="212"/>
      <c r="F897" s="212"/>
      <c r="G897" s="212"/>
      <c r="H897" s="212"/>
      <c r="I897" s="212"/>
      <c r="J897" s="212"/>
      <c r="K897" s="212"/>
      <c r="L897" s="212"/>
      <c r="M897" s="212"/>
      <c r="N897" s="212"/>
      <c r="O897" s="212"/>
      <c r="P897" s="212"/>
      <c r="Q897" s="38"/>
    </row>
    <row r="898" spans="1:17" x14ac:dyDescent="0.2">
      <c r="A898" s="62"/>
      <c r="B898" s="51"/>
      <c r="C898" s="51"/>
      <c r="D898" s="51"/>
      <c r="E898" s="51"/>
      <c r="F898" s="51"/>
      <c r="G898" s="51"/>
      <c r="H898" s="51"/>
      <c r="I898" s="51"/>
      <c r="J898" s="51"/>
      <c r="K898" s="51"/>
      <c r="L898" s="51"/>
      <c r="M898" s="51"/>
      <c r="N898" s="51"/>
      <c r="O898" s="51"/>
      <c r="P898" s="51"/>
      <c r="Q898" s="38"/>
    </row>
    <row r="899" spans="1:17" x14ac:dyDescent="0.2">
      <c r="A899" s="238" t="s">
        <v>259</v>
      </c>
      <c r="B899" s="239"/>
      <c r="C899" s="72"/>
      <c r="D899" s="72"/>
      <c r="E899" s="72"/>
      <c r="F899" s="238"/>
      <c r="G899" s="238"/>
      <c r="H899" s="238"/>
      <c r="I899" s="238"/>
      <c r="J899" s="238"/>
      <c r="K899" s="238"/>
      <c r="L899" s="238"/>
      <c r="M899" s="238"/>
      <c r="N899" s="238"/>
      <c r="O899" s="238"/>
      <c r="P899" s="238"/>
      <c r="Q899" s="38"/>
    </row>
    <row r="900" spans="1:17" x14ac:dyDescent="0.2">
      <c r="A900" s="36"/>
      <c r="Q900" s="2"/>
    </row>
    <row r="901" spans="1:17" ht="5" customHeight="1" x14ac:dyDescent="0.2">
      <c r="A901" s="48"/>
      <c r="B901" s="23"/>
      <c r="C901" s="23"/>
      <c r="D901" s="12"/>
      <c r="E901" s="23"/>
      <c r="F901" s="33"/>
      <c r="G901" s="33"/>
      <c r="H901" s="33"/>
      <c r="I901" s="33"/>
      <c r="J901" s="33"/>
      <c r="K901" s="33"/>
      <c r="L901" s="33"/>
      <c r="M901" s="33"/>
      <c r="N901" s="33"/>
      <c r="O901" s="33"/>
      <c r="P901" s="34"/>
      <c r="Q901" s="2"/>
    </row>
    <row r="902" spans="1:17" x14ac:dyDescent="0.2">
      <c r="A902" s="224" t="str">
        <f>"At "&amp;TEXT(J2,"dd Mmm yyyy")&amp;":"</f>
        <v>At 01 Apr 2024:</v>
      </c>
      <c r="B902" s="225"/>
      <c r="C902" s="283"/>
      <c r="D902" s="284"/>
      <c r="E902" s="20"/>
      <c r="F902" s="70" t="s">
        <v>469</v>
      </c>
      <c r="G902" s="115" t="s">
        <v>61</v>
      </c>
      <c r="H902" s="242">
        <f>H609+H668+H727+H786+H845</f>
        <v>0</v>
      </c>
      <c r="I902" s="243"/>
      <c r="J902" s="27"/>
      <c r="K902" s="27"/>
      <c r="L902" s="27"/>
      <c r="M902" s="27"/>
      <c r="N902" s="27"/>
      <c r="O902" s="27"/>
      <c r="P902" s="26"/>
      <c r="Q902" s="2"/>
    </row>
    <row r="903" spans="1:17" ht="5" customHeight="1" x14ac:dyDescent="0.2">
      <c r="A903" s="47"/>
      <c r="B903" s="21"/>
      <c r="C903" s="21"/>
      <c r="D903" s="9"/>
      <c r="E903" s="21"/>
      <c r="F903" s="10"/>
      <c r="G903" s="10"/>
      <c r="H903" s="10"/>
      <c r="I903" s="10"/>
      <c r="J903" s="10"/>
      <c r="K903" s="10"/>
      <c r="L903" s="10"/>
      <c r="M903" s="10"/>
      <c r="N903" s="10"/>
      <c r="O903" s="10"/>
      <c r="P903" s="28"/>
      <c r="Q903" s="2"/>
    </row>
    <row r="904" spans="1:17" ht="5" customHeight="1" x14ac:dyDescent="0.2">
      <c r="A904" s="49"/>
      <c r="B904" s="24"/>
      <c r="C904" s="24"/>
      <c r="D904" s="14"/>
      <c r="E904" s="24"/>
      <c r="F904" s="29"/>
      <c r="G904" s="29"/>
      <c r="H904" s="29"/>
      <c r="I904" s="29"/>
      <c r="J904" s="29"/>
      <c r="K904" s="29"/>
      <c r="L904" s="29"/>
      <c r="M904" s="29"/>
      <c r="N904" s="29"/>
      <c r="O904" s="29"/>
      <c r="P904" s="30"/>
      <c r="Q904" s="2"/>
    </row>
    <row r="905" spans="1:17" ht="17" x14ac:dyDescent="0.25">
      <c r="A905" s="265" t="s">
        <v>263</v>
      </c>
      <c r="B905" s="305"/>
      <c r="C905" s="306"/>
      <c r="D905" s="307"/>
      <c r="E905" s="22"/>
      <c r="F905" s="70" t="s">
        <v>470</v>
      </c>
      <c r="G905" s="107" t="s">
        <v>61</v>
      </c>
      <c r="H905" s="240">
        <f>H612+H671+H730+H789+H848</f>
        <v>0</v>
      </c>
      <c r="I905" s="241"/>
      <c r="J905" s="335"/>
      <c r="K905" s="344"/>
      <c r="L905" s="344"/>
      <c r="M905" s="344"/>
      <c r="N905" s="344"/>
      <c r="O905" s="344"/>
      <c r="P905" s="41"/>
      <c r="Q905" s="2"/>
    </row>
    <row r="906" spans="1:17" ht="5" customHeight="1" x14ac:dyDescent="0.2">
      <c r="A906" s="50"/>
      <c r="B906" s="25"/>
      <c r="C906" s="25"/>
      <c r="D906" s="16"/>
      <c r="E906" s="25"/>
      <c r="F906" s="31"/>
      <c r="G906" s="31"/>
      <c r="H906" s="31"/>
      <c r="I906" s="31"/>
      <c r="J906" s="31"/>
      <c r="K906" s="31"/>
      <c r="L906" s="31"/>
      <c r="M906" s="31"/>
      <c r="N906" s="31"/>
      <c r="O906" s="31"/>
      <c r="P906" s="32"/>
      <c r="Q906" s="2"/>
    </row>
    <row r="907" spans="1:17" ht="5" customHeight="1" x14ac:dyDescent="0.2">
      <c r="A907" s="48"/>
      <c r="B907" s="23"/>
      <c r="C907" s="23"/>
      <c r="D907" s="12"/>
      <c r="E907" s="23"/>
      <c r="F907" s="33"/>
      <c r="G907" s="33"/>
      <c r="H907" s="33"/>
      <c r="I907" s="33"/>
      <c r="J907" s="33"/>
      <c r="K907" s="33"/>
      <c r="L907" s="33"/>
      <c r="M907" s="33"/>
      <c r="N907" s="33"/>
      <c r="O907" s="33"/>
      <c r="P907" s="34"/>
      <c r="Q907" s="2"/>
    </row>
    <row r="908" spans="1:17" x14ac:dyDescent="0.2">
      <c r="A908" s="224" t="s">
        <v>262</v>
      </c>
      <c r="B908" s="225"/>
      <c r="C908" s="283"/>
      <c r="D908" s="284"/>
      <c r="E908" s="20"/>
      <c r="F908" s="70" t="s">
        <v>471</v>
      </c>
      <c r="G908" s="115" t="s">
        <v>61</v>
      </c>
      <c r="H908" s="242">
        <f>H615+H674+H733+H792+H851</f>
        <v>0</v>
      </c>
      <c r="I908" s="243"/>
      <c r="J908" s="27"/>
      <c r="K908" s="27"/>
      <c r="L908" s="27"/>
      <c r="M908" s="27"/>
      <c r="N908" s="27"/>
      <c r="O908" s="27"/>
      <c r="P908" s="26"/>
      <c r="Q908" s="2"/>
    </row>
    <row r="909" spans="1:17" ht="5" customHeight="1" x14ac:dyDescent="0.2">
      <c r="A909" s="47"/>
      <c r="B909" s="21"/>
      <c r="C909" s="21"/>
      <c r="D909" s="9"/>
      <c r="E909" s="21"/>
      <c r="F909" s="10"/>
      <c r="G909" s="10"/>
      <c r="H909" s="10"/>
      <c r="I909" s="10"/>
      <c r="J909" s="10"/>
      <c r="K909" s="10"/>
      <c r="L909" s="10"/>
      <c r="M909" s="10"/>
      <c r="N909" s="10"/>
      <c r="O909" s="10"/>
      <c r="P909" s="28"/>
      <c r="Q909" s="2"/>
    </row>
    <row r="910" spans="1:17" ht="5" customHeight="1" x14ac:dyDescent="0.2">
      <c r="A910" s="49"/>
      <c r="B910" s="24"/>
      <c r="C910" s="24"/>
      <c r="D910" s="14"/>
      <c r="E910" s="24"/>
      <c r="F910" s="29"/>
      <c r="G910" s="29"/>
      <c r="H910" s="29"/>
      <c r="I910" s="29"/>
      <c r="J910" s="29"/>
      <c r="K910" s="29"/>
      <c r="L910" s="29"/>
      <c r="M910" s="29"/>
      <c r="N910" s="29"/>
      <c r="O910" s="29"/>
      <c r="P910" s="30"/>
      <c r="Q910" s="2"/>
    </row>
    <row r="911" spans="1:17" ht="17" x14ac:dyDescent="0.25">
      <c r="A911" s="265" t="s">
        <v>264</v>
      </c>
      <c r="B911" s="305"/>
      <c r="C911" s="306"/>
      <c r="D911" s="307"/>
      <c r="E911" s="22"/>
      <c r="F911" s="70" t="s">
        <v>472</v>
      </c>
      <c r="G911" s="107" t="s">
        <v>61</v>
      </c>
      <c r="H911" s="240">
        <f>H619+H678+H737+H796+H855</f>
        <v>0</v>
      </c>
      <c r="I911" s="241"/>
      <c r="J911" s="335"/>
      <c r="K911" s="344"/>
      <c r="L911" s="344"/>
      <c r="M911" s="344"/>
      <c r="N911" s="344"/>
      <c r="O911" s="344"/>
      <c r="P911" s="41"/>
      <c r="Q911" s="2"/>
    </row>
    <row r="912" spans="1:17" ht="5" customHeight="1" x14ac:dyDescent="0.2">
      <c r="A912" s="50"/>
      <c r="B912" s="25"/>
      <c r="C912" s="25"/>
      <c r="D912" s="16"/>
      <c r="E912" s="25"/>
      <c r="F912" s="31"/>
      <c r="G912" s="31"/>
      <c r="H912" s="31"/>
      <c r="I912" s="31"/>
      <c r="J912" s="31"/>
      <c r="K912" s="31"/>
      <c r="L912" s="31"/>
      <c r="M912" s="31"/>
      <c r="N912" s="31"/>
      <c r="O912" s="31"/>
      <c r="P912" s="32"/>
      <c r="Q912" s="2"/>
    </row>
    <row r="913" spans="1:17" ht="5" customHeight="1" x14ac:dyDescent="0.2">
      <c r="A913" s="48"/>
      <c r="B913" s="23"/>
      <c r="C913" s="23"/>
      <c r="D913" s="12"/>
      <c r="E913" s="23"/>
      <c r="F913" s="33"/>
      <c r="G913" s="33"/>
      <c r="H913" s="33"/>
      <c r="I913" s="33"/>
      <c r="J913" s="33"/>
      <c r="K913" s="33"/>
      <c r="L913" s="33"/>
      <c r="M913" s="33"/>
      <c r="N913" s="33"/>
      <c r="O913" s="33"/>
      <c r="P913" s="34"/>
      <c r="Q913" s="2"/>
    </row>
    <row r="914" spans="1:17" ht="17" x14ac:dyDescent="0.25">
      <c r="A914" s="224" t="s">
        <v>265</v>
      </c>
      <c r="B914" s="225"/>
      <c r="C914" s="283"/>
      <c r="D914" s="284"/>
      <c r="E914" s="20"/>
      <c r="F914" s="70" t="s">
        <v>473</v>
      </c>
      <c r="G914" s="115" t="s">
        <v>61</v>
      </c>
      <c r="H914" s="242">
        <f>H623+H682+H741+H800+H859</f>
        <v>0</v>
      </c>
      <c r="I914" s="243"/>
      <c r="J914" s="289"/>
      <c r="K914" s="290"/>
      <c r="L914" s="290"/>
      <c r="M914" s="290"/>
      <c r="N914" s="290"/>
      <c r="O914" s="290"/>
      <c r="P914" s="26"/>
      <c r="Q914" s="2"/>
    </row>
    <row r="915" spans="1:17" ht="5" customHeight="1" x14ac:dyDescent="0.2">
      <c r="A915" s="47"/>
      <c r="B915" s="21"/>
      <c r="C915" s="21"/>
      <c r="D915" s="9"/>
      <c r="E915" s="21"/>
      <c r="F915" s="10"/>
      <c r="G915" s="10"/>
      <c r="H915" s="10"/>
      <c r="I915" s="10"/>
      <c r="J915" s="10"/>
      <c r="K915" s="10"/>
      <c r="L915" s="10"/>
      <c r="M915" s="10"/>
      <c r="N915" s="10"/>
      <c r="O915" s="10"/>
      <c r="P915" s="28"/>
      <c r="Q915" s="2"/>
    </row>
    <row r="916" spans="1:17" ht="5" customHeight="1" x14ac:dyDescent="0.2">
      <c r="A916" s="49"/>
      <c r="B916" s="24"/>
      <c r="C916" s="24"/>
      <c r="D916" s="14"/>
      <c r="E916" s="24"/>
      <c r="F916" s="29"/>
      <c r="G916" s="29"/>
      <c r="H916" s="29"/>
      <c r="I916" s="29"/>
      <c r="J916" s="29"/>
      <c r="K916" s="29"/>
      <c r="L916" s="29"/>
      <c r="M916" s="29"/>
      <c r="N916" s="29"/>
      <c r="O916" s="29"/>
      <c r="P916" s="30"/>
      <c r="Q916" s="2"/>
    </row>
    <row r="917" spans="1:17" ht="17" x14ac:dyDescent="0.25">
      <c r="A917" s="265" t="str">
        <f>"At "&amp;TEXT(N2,"dd Mmm yyyy")&amp;":"</f>
        <v>At 31 Mar 2026:</v>
      </c>
      <c r="B917" s="305"/>
      <c r="C917" s="306"/>
      <c r="D917" s="307"/>
      <c r="E917" s="22"/>
      <c r="F917" s="70" t="s">
        <v>474</v>
      </c>
      <c r="G917" s="107" t="s">
        <v>61</v>
      </c>
      <c r="H917" s="240">
        <f>H626+H685+H744+H803+H862</f>
        <v>0</v>
      </c>
      <c r="I917" s="241"/>
      <c r="J917" s="335"/>
      <c r="K917" s="344"/>
      <c r="L917" s="344"/>
      <c r="M917" s="344"/>
      <c r="N917" s="344"/>
      <c r="O917" s="344"/>
      <c r="P917" s="41"/>
      <c r="Q917" s="2"/>
    </row>
    <row r="918" spans="1:17" ht="5" customHeight="1" x14ac:dyDescent="0.2">
      <c r="A918" s="50"/>
      <c r="B918" s="25"/>
      <c r="C918" s="25"/>
      <c r="D918" s="16"/>
      <c r="E918" s="25"/>
      <c r="F918" s="31"/>
      <c r="G918" s="31"/>
      <c r="H918" s="31"/>
      <c r="I918" s="31"/>
      <c r="J918" s="31"/>
      <c r="K918" s="31"/>
      <c r="L918" s="31"/>
      <c r="M918" s="31"/>
      <c r="N918" s="31"/>
      <c r="O918" s="31"/>
      <c r="P918" s="32"/>
      <c r="Q918" s="2"/>
    </row>
    <row r="919" spans="1:17" x14ac:dyDescent="0.2">
      <c r="A919" s="62"/>
      <c r="B919" s="51"/>
      <c r="C919" s="51"/>
      <c r="D919" s="51"/>
      <c r="E919" s="51"/>
      <c r="F919" s="51"/>
      <c r="G919" s="51"/>
      <c r="H919" s="51"/>
      <c r="I919" s="51"/>
      <c r="J919" s="51"/>
      <c r="K919" s="51"/>
      <c r="L919" s="51"/>
      <c r="M919" s="51"/>
      <c r="N919" s="51"/>
      <c r="O919" s="51"/>
      <c r="P919" s="51"/>
      <c r="Q919" s="38"/>
    </row>
    <row r="920" spans="1:17" x14ac:dyDescent="0.2">
      <c r="A920" s="238" t="s">
        <v>270</v>
      </c>
      <c r="B920" s="239"/>
      <c r="C920" s="72"/>
      <c r="D920" s="72"/>
      <c r="E920" s="72"/>
      <c r="F920" s="238"/>
      <c r="G920" s="238"/>
      <c r="H920" s="238"/>
      <c r="I920" s="238"/>
      <c r="J920" s="238"/>
      <c r="K920" s="238"/>
      <c r="L920" s="238"/>
      <c r="M920" s="238"/>
      <c r="N920" s="238"/>
      <c r="O920" s="238"/>
      <c r="P920" s="238"/>
      <c r="Q920" s="38"/>
    </row>
    <row r="921" spans="1:17" x14ac:dyDescent="0.2">
      <c r="A921" s="36"/>
      <c r="Q921" s="2"/>
    </row>
    <row r="922" spans="1:17" ht="5" customHeight="1" x14ac:dyDescent="0.2">
      <c r="A922" s="48"/>
      <c r="B922" s="23"/>
      <c r="C922" s="23"/>
      <c r="D922" s="12"/>
      <c r="E922" s="23"/>
      <c r="F922" s="33"/>
      <c r="G922" s="33"/>
      <c r="H922" s="33"/>
      <c r="I922" s="33"/>
      <c r="J922" s="33"/>
      <c r="K922" s="33"/>
      <c r="L922" s="33"/>
      <c r="M922" s="33"/>
      <c r="N922" s="33"/>
      <c r="O922" s="33"/>
      <c r="P922" s="34"/>
      <c r="Q922" s="2"/>
    </row>
    <row r="923" spans="1:17" x14ac:dyDescent="0.2">
      <c r="A923" s="224" t="str">
        <f>"At "&amp;TEXT(J2,"dd Mmm yyyy")&amp;":"</f>
        <v>At 01 Apr 2024:</v>
      </c>
      <c r="B923" s="225"/>
      <c r="C923" s="283"/>
      <c r="D923" s="284"/>
      <c r="E923" s="20"/>
      <c r="F923" s="70" t="s">
        <v>475</v>
      </c>
      <c r="G923" s="115" t="s">
        <v>61</v>
      </c>
      <c r="H923" s="242">
        <f>H632+H691+H750+H809+H868</f>
        <v>0</v>
      </c>
      <c r="I923" s="243"/>
      <c r="J923" s="27"/>
      <c r="K923" s="27"/>
      <c r="L923" s="27"/>
      <c r="M923" s="27"/>
      <c r="N923" s="27"/>
      <c r="O923" s="27"/>
      <c r="P923" s="26"/>
      <c r="Q923" s="2"/>
    </row>
    <row r="924" spans="1:17" ht="5" customHeight="1" x14ac:dyDescent="0.2">
      <c r="A924" s="47"/>
      <c r="B924" s="21"/>
      <c r="C924" s="21"/>
      <c r="D924" s="9"/>
      <c r="E924" s="21"/>
      <c r="F924" s="10"/>
      <c r="G924" s="10"/>
      <c r="H924" s="10"/>
      <c r="I924" s="10"/>
      <c r="J924" s="10"/>
      <c r="K924" s="10"/>
      <c r="L924" s="10"/>
      <c r="M924" s="10"/>
      <c r="N924" s="10"/>
      <c r="O924" s="10"/>
      <c r="P924" s="28"/>
      <c r="Q924" s="2"/>
    </row>
    <row r="925" spans="1:17" ht="5" customHeight="1" x14ac:dyDescent="0.2">
      <c r="A925" s="49"/>
      <c r="B925" s="24"/>
      <c r="C925" s="24"/>
      <c r="D925" s="14"/>
      <c r="E925" s="24"/>
      <c r="F925" s="29"/>
      <c r="G925" s="29"/>
      <c r="H925" s="29"/>
      <c r="I925" s="29"/>
      <c r="J925" s="29"/>
      <c r="K925" s="29"/>
      <c r="L925" s="29"/>
      <c r="M925" s="29"/>
      <c r="N925" s="29"/>
      <c r="O925" s="29"/>
      <c r="P925" s="30"/>
      <c r="Q925" s="2"/>
    </row>
    <row r="926" spans="1:17" ht="17" x14ac:dyDescent="0.25">
      <c r="A926" s="265" t="s">
        <v>276</v>
      </c>
      <c r="B926" s="305"/>
      <c r="C926" s="306"/>
      <c r="D926" s="307"/>
      <c r="E926" s="22"/>
      <c r="F926" s="70" t="s">
        <v>476</v>
      </c>
      <c r="G926" s="107" t="s">
        <v>61</v>
      </c>
      <c r="H926" s="240">
        <f>H635+H694+H753+H812+H871</f>
        <v>0</v>
      </c>
      <c r="I926" s="241"/>
      <c r="J926" s="335"/>
      <c r="K926" s="344"/>
      <c r="L926" s="344"/>
      <c r="M926" s="344"/>
      <c r="N926" s="344"/>
      <c r="O926" s="344"/>
      <c r="P926" s="41"/>
      <c r="Q926" s="2"/>
    </row>
    <row r="927" spans="1:17" ht="5" customHeight="1" x14ac:dyDescent="0.2">
      <c r="A927" s="50"/>
      <c r="B927" s="25"/>
      <c r="C927" s="25"/>
      <c r="D927" s="16"/>
      <c r="E927" s="25"/>
      <c r="F927" s="31"/>
      <c r="G927" s="31"/>
      <c r="H927" s="31"/>
      <c r="I927" s="31"/>
      <c r="J927" s="31"/>
      <c r="K927" s="31"/>
      <c r="L927" s="31"/>
      <c r="M927" s="31"/>
      <c r="N927" s="31"/>
      <c r="O927" s="31"/>
      <c r="P927" s="32"/>
      <c r="Q927" s="2"/>
    </row>
    <row r="928" spans="1:17" ht="5" customHeight="1" x14ac:dyDescent="0.2">
      <c r="A928" s="48"/>
      <c r="B928" s="23"/>
      <c r="C928" s="23"/>
      <c r="D928" s="12"/>
      <c r="E928" s="23"/>
      <c r="F928" s="33"/>
      <c r="G928" s="33"/>
      <c r="H928" s="33"/>
      <c r="I928" s="33"/>
      <c r="J928" s="33"/>
      <c r="K928" s="33"/>
      <c r="L928" s="33"/>
      <c r="M928" s="33"/>
      <c r="N928" s="33"/>
      <c r="O928" s="33"/>
      <c r="P928" s="34"/>
      <c r="Q928" s="2"/>
    </row>
    <row r="929" spans="1:17" x14ac:dyDescent="0.2">
      <c r="A929" s="224" t="s">
        <v>277</v>
      </c>
      <c r="B929" s="225"/>
      <c r="C929" s="283"/>
      <c r="D929" s="284"/>
      <c r="E929" s="20"/>
      <c r="F929" s="70" t="s">
        <v>477</v>
      </c>
      <c r="G929" s="115" t="s">
        <v>61</v>
      </c>
      <c r="H929" s="242">
        <f>H638+H697+H756+H815+H874</f>
        <v>0</v>
      </c>
      <c r="I929" s="243"/>
      <c r="J929" s="27"/>
      <c r="K929" s="27"/>
      <c r="L929" s="27"/>
      <c r="M929" s="27"/>
      <c r="N929" s="27"/>
      <c r="O929" s="27"/>
      <c r="P929" s="26"/>
      <c r="Q929" s="2"/>
    </row>
    <row r="930" spans="1:17" ht="5" customHeight="1" x14ac:dyDescent="0.2">
      <c r="A930" s="47"/>
      <c r="B930" s="21"/>
      <c r="C930" s="21"/>
      <c r="D930" s="9"/>
      <c r="E930" s="21"/>
      <c r="F930" s="10"/>
      <c r="G930" s="10"/>
      <c r="H930" s="10"/>
      <c r="I930" s="10"/>
      <c r="J930" s="10"/>
      <c r="K930" s="10"/>
      <c r="L930" s="10"/>
      <c r="M930" s="10"/>
      <c r="N930" s="10"/>
      <c r="O930" s="10"/>
      <c r="P930" s="28"/>
      <c r="Q930" s="2"/>
    </row>
    <row r="931" spans="1:17" ht="5" customHeight="1" x14ac:dyDescent="0.2">
      <c r="A931" s="49"/>
      <c r="B931" s="24"/>
      <c r="C931" s="24"/>
      <c r="D931" s="14"/>
      <c r="E931" s="24"/>
      <c r="F931" s="29"/>
      <c r="G931" s="29"/>
      <c r="H931" s="29"/>
      <c r="I931" s="29"/>
      <c r="J931" s="29"/>
      <c r="K931" s="29"/>
      <c r="L931" s="29"/>
      <c r="M931" s="29"/>
      <c r="N931" s="29"/>
      <c r="O931" s="29"/>
      <c r="P931" s="30"/>
      <c r="Q931" s="2"/>
    </row>
    <row r="932" spans="1:17" ht="17" x14ac:dyDescent="0.25">
      <c r="A932" s="265" t="s">
        <v>278</v>
      </c>
      <c r="B932" s="305"/>
      <c r="C932" s="306"/>
      <c r="D932" s="307"/>
      <c r="E932" s="22"/>
      <c r="F932" s="70" t="s">
        <v>478</v>
      </c>
      <c r="G932" s="107" t="s">
        <v>61</v>
      </c>
      <c r="H932" s="240">
        <f>H642+H701+H760+H819+H878</f>
        <v>0</v>
      </c>
      <c r="I932" s="241"/>
      <c r="J932" s="335"/>
      <c r="K932" s="344"/>
      <c r="L932" s="344"/>
      <c r="M932" s="344"/>
      <c r="N932" s="344"/>
      <c r="O932" s="344"/>
      <c r="P932" s="41"/>
      <c r="Q932" s="2"/>
    </row>
    <row r="933" spans="1:17" ht="5" customHeight="1" x14ac:dyDescent="0.2">
      <c r="A933" s="50"/>
      <c r="B933" s="25"/>
      <c r="C933" s="25"/>
      <c r="D933" s="16"/>
      <c r="E933" s="25"/>
      <c r="F933" s="31"/>
      <c r="G933" s="31"/>
      <c r="H933" s="31"/>
      <c r="I933" s="31"/>
      <c r="J933" s="31"/>
      <c r="K933" s="31"/>
      <c r="L933" s="31"/>
      <c r="M933" s="31"/>
      <c r="N933" s="31"/>
      <c r="O933" s="31"/>
      <c r="P933" s="32"/>
      <c r="Q933" s="2"/>
    </row>
    <row r="934" spans="1:17" ht="5" customHeight="1" x14ac:dyDescent="0.2">
      <c r="A934" s="48"/>
      <c r="B934" s="23"/>
      <c r="C934" s="23"/>
      <c r="D934" s="12"/>
      <c r="E934" s="23"/>
      <c r="F934" s="33"/>
      <c r="G934" s="33"/>
      <c r="H934" s="33"/>
      <c r="I934" s="33"/>
      <c r="J934" s="33"/>
      <c r="K934" s="33"/>
      <c r="L934" s="33"/>
      <c r="M934" s="33"/>
      <c r="N934" s="33"/>
      <c r="O934" s="33"/>
      <c r="P934" s="34"/>
      <c r="Q934" s="2"/>
    </row>
    <row r="935" spans="1:17" ht="17" x14ac:dyDescent="0.25">
      <c r="A935" s="224" t="str">
        <f>"At "&amp;TEXT(N2,"dd Mmm yyyy")&amp;":"</f>
        <v>At 31 Mar 2026:</v>
      </c>
      <c r="B935" s="225"/>
      <c r="C935" s="283"/>
      <c r="D935" s="284"/>
      <c r="E935" s="20"/>
      <c r="F935" s="70" t="s">
        <v>479</v>
      </c>
      <c r="G935" s="115" t="s">
        <v>61</v>
      </c>
      <c r="H935" s="242">
        <f>H645+H704+H763+H822+H881</f>
        <v>0</v>
      </c>
      <c r="I935" s="243"/>
      <c r="J935" s="289"/>
      <c r="K935" s="290"/>
      <c r="L935" s="290"/>
      <c r="M935" s="290"/>
      <c r="N935" s="290"/>
      <c r="O935" s="290"/>
      <c r="P935" s="26"/>
      <c r="Q935" s="2"/>
    </row>
    <row r="936" spans="1:17" ht="5" customHeight="1" x14ac:dyDescent="0.2">
      <c r="A936" s="47"/>
      <c r="B936" s="21"/>
      <c r="C936" s="21"/>
      <c r="D936" s="9"/>
      <c r="E936" s="21"/>
      <c r="F936" s="10"/>
      <c r="G936" s="10"/>
      <c r="H936" s="10"/>
      <c r="I936" s="10"/>
      <c r="J936" s="10"/>
      <c r="K936" s="10"/>
      <c r="L936" s="10"/>
      <c r="M936" s="10"/>
      <c r="N936" s="10"/>
      <c r="O936" s="10"/>
      <c r="P936" s="28"/>
      <c r="Q936" s="2"/>
    </row>
    <row r="937" spans="1:17" x14ac:dyDescent="0.2">
      <c r="A937" s="22"/>
      <c r="B937" s="22"/>
      <c r="C937" s="22"/>
      <c r="D937" s="22"/>
      <c r="E937" s="22"/>
      <c r="F937" s="40"/>
      <c r="G937" s="40"/>
      <c r="H937" s="40"/>
      <c r="I937" s="40"/>
      <c r="J937" s="40"/>
      <c r="K937" s="40"/>
      <c r="L937" s="40"/>
      <c r="M937" s="40"/>
      <c r="N937" s="40"/>
      <c r="O937" s="40"/>
      <c r="P937" s="40"/>
      <c r="Q937" s="2"/>
    </row>
    <row r="938" spans="1:17" x14ac:dyDescent="0.2">
      <c r="A938" s="96" t="s">
        <v>279</v>
      </c>
      <c r="B938" s="22"/>
      <c r="C938" s="22"/>
      <c r="D938" s="22"/>
      <c r="E938" s="22"/>
      <c r="F938" s="40"/>
      <c r="G938" s="40"/>
      <c r="H938" s="40"/>
      <c r="I938" s="40"/>
      <c r="J938" s="40"/>
      <c r="K938" s="40"/>
      <c r="L938" s="40"/>
      <c r="M938" s="40"/>
      <c r="N938" s="40"/>
      <c r="O938" s="40"/>
      <c r="P938" s="40"/>
      <c r="Q938" s="2"/>
    </row>
    <row r="939" spans="1:17" x14ac:dyDescent="0.2">
      <c r="A939" s="22"/>
      <c r="B939" s="22"/>
      <c r="C939" s="22"/>
      <c r="D939" s="22"/>
      <c r="E939" s="22"/>
      <c r="F939" s="40"/>
      <c r="G939" s="40"/>
      <c r="H939" s="40"/>
      <c r="I939" s="40"/>
      <c r="J939" s="40"/>
      <c r="K939" s="40"/>
      <c r="L939" s="40"/>
      <c r="M939" s="40"/>
      <c r="N939" s="40"/>
      <c r="O939" s="40"/>
      <c r="P939" s="40"/>
      <c r="Q939" s="2"/>
    </row>
    <row r="940" spans="1:17" ht="5" customHeight="1" x14ac:dyDescent="0.2">
      <c r="A940" s="48"/>
      <c r="B940" s="23"/>
      <c r="C940" s="23"/>
      <c r="D940" s="12"/>
      <c r="E940" s="23"/>
      <c r="F940" s="33"/>
      <c r="G940" s="33"/>
      <c r="H940" s="33"/>
      <c r="I940" s="33"/>
      <c r="J940" s="33"/>
      <c r="K940" s="33"/>
      <c r="L940" s="33"/>
      <c r="M940" s="33"/>
      <c r="N940" s="33"/>
      <c r="O940" s="33"/>
      <c r="P940" s="34"/>
      <c r="Q940" s="2"/>
    </row>
    <row r="941" spans="1:17" ht="17" x14ac:dyDescent="0.25">
      <c r="A941" s="224" t="str">
        <f>"At "&amp;TEXT(N2,"dd Mmm yyyy")&amp;":"</f>
        <v>At 31 Mar 2026:</v>
      </c>
      <c r="B941" s="225"/>
      <c r="C941" s="283"/>
      <c r="D941" s="284"/>
      <c r="E941" s="20"/>
      <c r="F941" s="70" t="s">
        <v>480</v>
      </c>
      <c r="G941" s="115" t="s">
        <v>61</v>
      </c>
      <c r="H941" s="242">
        <f>H651+H710+H769+H828+H887</f>
        <v>0</v>
      </c>
      <c r="I941" s="243"/>
      <c r="J941" s="289"/>
      <c r="K941" s="290"/>
      <c r="L941" s="290"/>
      <c r="M941" s="290"/>
      <c r="N941" s="290"/>
      <c r="O941" s="290"/>
      <c r="P941" s="26"/>
      <c r="Q941" s="2"/>
    </row>
    <row r="942" spans="1:17" ht="5" customHeight="1" x14ac:dyDescent="0.2">
      <c r="A942" s="47"/>
      <c r="B942" s="21"/>
      <c r="C942" s="21"/>
      <c r="D942" s="9"/>
      <c r="E942" s="21"/>
      <c r="F942" s="10"/>
      <c r="G942" s="10"/>
      <c r="H942" s="10"/>
      <c r="I942" s="10"/>
      <c r="J942" s="10"/>
      <c r="K942" s="10"/>
      <c r="L942" s="10"/>
      <c r="M942" s="10"/>
      <c r="N942" s="10"/>
      <c r="O942" s="10"/>
      <c r="P942" s="28"/>
      <c r="Q942" s="2"/>
    </row>
    <row r="943" spans="1:17" ht="5" customHeight="1" x14ac:dyDescent="0.2">
      <c r="A943" s="49"/>
      <c r="B943" s="24"/>
      <c r="C943" s="24"/>
      <c r="D943" s="14"/>
      <c r="E943" s="24"/>
      <c r="F943" s="29"/>
      <c r="G943" s="29"/>
      <c r="H943" s="29"/>
      <c r="I943" s="29"/>
      <c r="J943" s="29"/>
      <c r="K943" s="29"/>
      <c r="L943" s="29"/>
      <c r="M943" s="29"/>
      <c r="N943" s="29"/>
      <c r="O943" s="29"/>
      <c r="P943" s="30"/>
      <c r="Q943" s="2"/>
    </row>
    <row r="944" spans="1:17" ht="17" x14ac:dyDescent="0.25">
      <c r="A944" s="265" t="str">
        <f>IF(H72&gt;0,"At "&amp;TEXT(H72,"dd Mmm yyyy")&amp;":","")</f>
        <v>At :</v>
      </c>
      <c r="B944" s="305"/>
      <c r="C944" s="306"/>
      <c r="D944" s="307"/>
      <c r="E944" s="22"/>
      <c r="F944" s="70" t="s">
        <v>481</v>
      </c>
      <c r="G944" s="107" t="s">
        <v>61</v>
      </c>
      <c r="H944" s="240">
        <f>IF(H72&gt;0,H654+H713+H772+H831+H890,"")</f>
        <v>0</v>
      </c>
      <c r="I944" s="241"/>
      <c r="J944" s="335"/>
      <c r="K944" s="344"/>
      <c r="L944" s="344"/>
      <c r="M944" s="344"/>
      <c r="N944" s="344"/>
      <c r="O944" s="344"/>
      <c r="P944" s="41"/>
      <c r="Q944" s="2"/>
    </row>
    <row r="945" spans="1:17" ht="5" customHeight="1" x14ac:dyDescent="0.2">
      <c r="A945" s="50"/>
      <c r="B945" s="25"/>
      <c r="C945" s="25"/>
      <c r="D945" s="16"/>
      <c r="E945" s="25"/>
      <c r="F945" s="31"/>
      <c r="G945" s="31"/>
      <c r="H945" s="31"/>
      <c r="I945" s="31"/>
      <c r="J945" s="31"/>
      <c r="K945" s="31"/>
      <c r="L945" s="31"/>
      <c r="M945" s="31"/>
      <c r="N945" s="31"/>
      <c r="O945" s="31"/>
      <c r="P945" s="32"/>
      <c r="Q945" s="2"/>
    </row>
    <row r="946" spans="1:17" x14ac:dyDescent="0.2">
      <c r="A946" s="22"/>
      <c r="B946" s="22"/>
      <c r="C946" s="22"/>
      <c r="D946" s="22"/>
      <c r="E946" s="22"/>
      <c r="F946" s="40"/>
      <c r="G946" s="40"/>
      <c r="H946" s="40"/>
      <c r="I946" s="40"/>
      <c r="J946" s="40"/>
      <c r="K946" s="40"/>
      <c r="L946" s="40"/>
      <c r="M946" s="40"/>
      <c r="N946" s="40"/>
      <c r="O946" s="40"/>
      <c r="P946" s="40"/>
      <c r="Q946" s="2"/>
    </row>
    <row r="947" spans="1:17" x14ac:dyDescent="0.2">
      <c r="A947" s="345" t="s">
        <v>209</v>
      </c>
      <c r="B947" s="345"/>
      <c r="C947" s="345"/>
      <c r="D947" s="345"/>
      <c r="E947" s="345"/>
      <c r="F947" s="345"/>
      <c r="G947" s="345"/>
      <c r="H947" s="345"/>
      <c r="I947" s="345"/>
      <c r="J947" s="345"/>
      <c r="K947" s="345"/>
      <c r="L947" s="345"/>
      <c r="M947" s="345"/>
      <c r="N947" s="345"/>
      <c r="O947" s="345"/>
      <c r="Q947" s="2"/>
    </row>
    <row r="948" spans="1:17" x14ac:dyDescent="0.2">
      <c r="Q948" s="2"/>
    </row>
    <row r="949" spans="1:17" ht="100" customHeight="1" x14ac:dyDescent="0.2">
      <c r="A949" s="213"/>
      <c r="B949" s="346"/>
      <c r="C949" s="347"/>
      <c r="D949" s="347"/>
      <c r="E949" s="347"/>
      <c r="F949" s="347"/>
      <c r="G949" s="347"/>
      <c r="H949" s="347"/>
      <c r="I949" s="347"/>
      <c r="J949" s="347"/>
      <c r="K949" s="347"/>
      <c r="L949" s="347"/>
      <c r="M949" s="347"/>
      <c r="N949" s="347"/>
      <c r="O949" s="347"/>
      <c r="P949" s="348"/>
      <c r="Q949" s="2"/>
    </row>
    <row r="950" spans="1:17" x14ac:dyDescent="0.2">
      <c r="Q950" s="2"/>
    </row>
    <row r="952" spans="1:17" ht="16" x14ac:dyDescent="0.2">
      <c r="A952" s="231" t="s">
        <v>145</v>
      </c>
      <c r="B952" s="232"/>
      <c r="C952" s="232"/>
      <c r="D952" s="232"/>
      <c r="F952" s="233"/>
      <c r="G952" s="233"/>
      <c r="H952" s="233"/>
      <c r="I952" s="233"/>
      <c r="J952" s="233"/>
      <c r="K952" s="233"/>
      <c r="L952" s="233"/>
      <c r="M952" s="233"/>
      <c r="N952" s="233"/>
      <c r="O952" s="233"/>
      <c r="P952" s="233"/>
      <c r="Q952" s="233"/>
    </row>
    <row r="953" spans="1:17" ht="5" customHeight="1" x14ac:dyDescent="0.2">
      <c r="A953" s="1"/>
      <c r="B953" s="1"/>
      <c r="C953" s="1"/>
      <c r="D953" s="1"/>
      <c r="E953" s="1"/>
      <c r="F953" s="1"/>
      <c r="G953" s="1"/>
      <c r="H953" s="1"/>
      <c r="I953" s="1"/>
      <c r="J953" s="1"/>
      <c r="K953" s="1"/>
      <c r="L953" s="1"/>
      <c r="M953" s="1"/>
      <c r="N953" s="1"/>
      <c r="O953" s="1"/>
      <c r="P953" s="1"/>
      <c r="Q953" s="1"/>
    </row>
    <row r="954" spans="1:17" x14ac:dyDescent="0.2">
      <c r="A954" s="234" t="s">
        <v>157</v>
      </c>
      <c r="B954" s="235"/>
      <c r="C954" s="235"/>
      <c r="D954" s="235"/>
      <c r="E954" s="236"/>
      <c r="F954" s="236"/>
      <c r="G954" s="236"/>
      <c r="H954" s="236"/>
      <c r="I954" s="236"/>
      <c r="J954" s="236"/>
      <c r="K954" s="236"/>
      <c r="L954" s="236"/>
      <c r="M954" s="236"/>
      <c r="N954" s="236"/>
      <c r="O954" s="236"/>
      <c r="P954" s="236"/>
      <c r="Q954" s="237"/>
    </row>
    <row r="955" spans="1:17" x14ac:dyDescent="0.2">
      <c r="A955" s="211" t="s">
        <v>340</v>
      </c>
      <c r="B955" s="212"/>
      <c r="C955" s="212"/>
      <c r="D955" s="212"/>
      <c r="E955" s="212"/>
      <c r="F955" s="212"/>
      <c r="G955" s="212"/>
      <c r="H955" s="212"/>
      <c r="I955" s="212"/>
      <c r="J955" s="212"/>
      <c r="K955" s="212"/>
      <c r="L955" s="212"/>
      <c r="M955" s="212"/>
      <c r="N955" s="212"/>
      <c r="O955" s="212"/>
      <c r="P955" s="212"/>
      <c r="Q955" s="38"/>
    </row>
    <row r="956" spans="1:17" x14ac:dyDescent="0.2">
      <c r="A956" s="62"/>
      <c r="B956" s="51"/>
      <c r="C956" s="51"/>
      <c r="D956" s="51"/>
      <c r="E956" s="51"/>
      <c r="F956" s="51"/>
      <c r="G956" s="51"/>
      <c r="H956" s="51"/>
      <c r="I956" s="51"/>
      <c r="J956" s="51"/>
      <c r="K956" s="51"/>
      <c r="L956" s="51"/>
      <c r="M956" s="51"/>
      <c r="N956" s="51"/>
      <c r="O956" s="51"/>
      <c r="P956" s="51"/>
      <c r="Q956" s="38"/>
    </row>
    <row r="957" spans="1:17" x14ac:dyDescent="0.2">
      <c r="A957" s="211" t="s">
        <v>970</v>
      </c>
      <c r="B957" s="212"/>
      <c r="C957" s="212"/>
      <c r="D957" s="212"/>
      <c r="E957" s="212"/>
      <c r="F957" s="212"/>
      <c r="G957" s="212"/>
      <c r="H957" s="212"/>
      <c r="I957" s="212"/>
      <c r="J957" s="212"/>
      <c r="K957" s="212"/>
      <c r="L957" s="212"/>
      <c r="M957" s="212"/>
      <c r="N957" s="212"/>
      <c r="O957" s="212"/>
      <c r="P957" s="212"/>
      <c r="Q957" s="38"/>
    </row>
    <row r="958" spans="1:17" x14ac:dyDescent="0.2">
      <c r="A958" s="95"/>
      <c r="B958" s="51"/>
      <c r="C958" s="51"/>
      <c r="D958" s="51"/>
      <c r="E958" s="51"/>
      <c r="F958" s="51"/>
      <c r="G958" s="51"/>
      <c r="H958" s="51"/>
      <c r="I958" s="51"/>
      <c r="J958" s="51"/>
      <c r="K958" s="51"/>
      <c r="L958" s="51"/>
      <c r="M958" s="51"/>
      <c r="N958" s="51"/>
      <c r="O958" s="51"/>
      <c r="P958" s="51"/>
      <c r="Q958" s="38"/>
    </row>
    <row r="959" spans="1:17" x14ac:dyDescent="0.2">
      <c r="A959" s="238"/>
      <c r="B959" s="239"/>
      <c r="C959" s="72"/>
      <c r="D959" s="72"/>
      <c r="E959" s="72"/>
      <c r="F959" s="140" t="str">
        <f>TEXT(N2,"yyyy")</f>
        <v>2026</v>
      </c>
      <c r="G959" s="140"/>
      <c r="H959" s="140"/>
      <c r="I959" s="140"/>
      <c r="J959" s="140"/>
      <c r="K959" s="140"/>
      <c r="L959" s="238" t="str">
        <f>IF(H72&gt;0,TEXT(H72,"yyyy"),"")</f>
        <v/>
      </c>
      <c r="M959" s="239"/>
      <c r="N959" s="239"/>
      <c r="O959" s="239"/>
      <c r="P959" s="140"/>
      <c r="Q959" s="38"/>
    </row>
    <row r="960" spans="1:17" x14ac:dyDescent="0.2">
      <c r="Q960" s="2"/>
    </row>
    <row r="961" spans="1:17" ht="5" customHeight="1" x14ac:dyDescent="0.2">
      <c r="A961" s="48"/>
      <c r="B961" s="23"/>
      <c r="C961" s="23"/>
      <c r="D961" s="12"/>
      <c r="E961" s="23"/>
      <c r="F961" s="33"/>
      <c r="G961" s="33"/>
      <c r="H961" s="33"/>
      <c r="I961" s="33"/>
      <c r="J961" s="33"/>
      <c r="K961" s="33"/>
      <c r="L961" s="33"/>
      <c r="M961" s="33"/>
      <c r="N961" s="33"/>
      <c r="O961" s="33"/>
      <c r="P961" s="34"/>
      <c r="Q961" s="2"/>
    </row>
    <row r="962" spans="1:17" ht="16" x14ac:dyDescent="0.25">
      <c r="A962" s="224" t="s">
        <v>345</v>
      </c>
      <c r="B962" s="225"/>
      <c r="C962" s="283"/>
      <c r="D962" s="284"/>
      <c r="E962" s="20"/>
      <c r="F962" s="70" t="s">
        <v>341</v>
      </c>
      <c r="G962" s="66" t="s">
        <v>61</v>
      </c>
      <c r="H962" s="213">
        <f>ROUND([1]TrialBalance!$EJ$20,D2)</f>
        <v>0</v>
      </c>
      <c r="I962" s="214"/>
      <c r="J962" s="146"/>
      <c r="K962" s="109"/>
      <c r="L962" s="70" t="s">
        <v>482</v>
      </c>
      <c r="M962" s="66" t="s">
        <v>61</v>
      </c>
      <c r="N962" s="213">
        <f>IF(H72&gt;0,ROUND([1]TrialBalance!$D$20,D2),"")</f>
        <v>0</v>
      </c>
      <c r="O962" s="214"/>
      <c r="P962" s="26"/>
      <c r="Q962" s="2"/>
    </row>
    <row r="963" spans="1:17" ht="5" customHeight="1" x14ac:dyDescent="0.2">
      <c r="A963" s="47"/>
      <c r="B963" s="21"/>
      <c r="C963" s="21"/>
      <c r="D963" s="9"/>
      <c r="E963" s="21"/>
      <c r="F963" s="10"/>
      <c r="G963" s="10"/>
      <c r="H963" s="10"/>
      <c r="I963" s="10"/>
      <c r="J963" s="10"/>
      <c r="K963" s="10"/>
      <c r="L963" s="10"/>
      <c r="M963" s="10"/>
      <c r="N963" s="10"/>
      <c r="O963" s="10"/>
      <c r="P963" s="28"/>
      <c r="Q963" s="2"/>
    </row>
    <row r="964" spans="1:17" ht="5" customHeight="1" x14ac:dyDescent="0.2">
      <c r="A964" s="49"/>
      <c r="B964" s="24"/>
      <c r="C964" s="24"/>
      <c r="D964" s="14"/>
      <c r="E964" s="24"/>
      <c r="F964" s="29"/>
      <c r="G964" s="29"/>
      <c r="H964" s="29"/>
      <c r="I964" s="29"/>
      <c r="J964" s="29"/>
      <c r="K964" s="29"/>
      <c r="L964" s="29"/>
      <c r="M964" s="29"/>
      <c r="N964" s="29"/>
      <c r="O964" s="29"/>
      <c r="P964" s="30"/>
      <c r="Q964" s="2"/>
    </row>
    <row r="965" spans="1:17" ht="15" hidden="1" customHeight="1" x14ac:dyDescent="0.2">
      <c r="A965" s="61"/>
      <c r="B965" s="22"/>
      <c r="C965" s="22"/>
      <c r="D965" s="150"/>
      <c r="E965" s="22"/>
      <c r="F965" s="303"/>
      <c r="G965" s="303"/>
      <c r="H965" s="303"/>
      <c r="I965" s="303"/>
      <c r="J965" s="40"/>
      <c r="K965" s="40"/>
      <c r="L965" s="303"/>
      <c r="M965" s="303"/>
      <c r="N965" s="303"/>
      <c r="O965" s="303"/>
      <c r="P965" s="41"/>
      <c r="Q965" s="2"/>
    </row>
    <row r="966" spans="1:17" ht="16.5" customHeight="1" x14ac:dyDescent="0.25">
      <c r="A966" s="265" t="s">
        <v>346</v>
      </c>
      <c r="B966" s="305"/>
      <c r="C966" s="306"/>
      <c r="D966" s="307"/>
      <c r="E966" s="22"/>
      <c r="F966" s="70" t="s">
        <v>342</v>
      </c>
      <c r="G966" s="67" t="s">
        <v>61</v>
      </c>
      <c r="H966" s="213">
        <f>IF(ROUND([1]TrialBalance!$EJ$39,D2)&lt;0,0,ROUND([1]TrialBalance!$EJ$39,D2))+ROUND([1]TrialBalance!$EJ$37,D2)</f>
        <v>0</v>
      </c>
      <c r="I966" s="214"/>
      <c r="J966" s="143"/>
      <c r="K966" s="142"/>
      <c r="L966" s="70" t="s">
        <v>483</v>
      </c>
      <c r="M966" s="67" t="s">
        <v>61</v>
      </c>
      <c r="N966" s="213">
        <f>IF(H72&gt;0,IF(ROUND([1]TrialBalance!$D$39,D2)&lt;0,0,ROUND([1]TrialBalance!$D$39,D2))+ROUND([1]TrialBalance!$D$37,D2),"")</f>
        <v>0</v>
      </c>
      <c r="O966" s="214"/>
      <c r="P966" s="41"/>
      <c r="Q966" s="2"/>
    </row>
    <row r="967" spans="1:17" ht="5" customHeight="1" x14ac:dyDescent="0.2">
      <c r="A967" s="50"/>
      <c r="B967" s="25"/>
      <c r="C967" s="25"/>
      <c r="D967" s="16"/>
      <c r="E967" s="25"/>
      <c r="F967" s="31"/>
      <c r="G967" s="31"/>
      <c r="H967" s="31"/>
      <c r="I967" s="31"/>
      <c r="J967" s="31"/>
      <c r="K967" s="31"/>
      <c r="L967" s="31"/>
      <c r="M967" s="31"/>
      <c r="N967" s="31"/>
      <c r="O967" s="31"/>
      <c r="P967" s="32"/>
      <c r="Q967" s="2"/>
    </row>
    <row r="968" spans="1:17" ht="5" customHeight="1" x14ac:dyDescent="0.2">
      <c r="A968" s="48"/>
      <c r="B968" s="23"/>
      <c r="C968" s="23"/>
      <c r="D968" s="12"/>
      <c r="E968" s="23"/>
      <c r="F968" s="33"/>
      <c r="G968" s="33"/>
      <c r="H968" s="33"/>
      <c r="I968" s="33"/>
      <c r="J968" s="33"/>
      <c r="K968" s="33"/>
      <c r="L968" s="33"/>
      <c r="M968" s="33"/>
      <c r="N968" s="33"/>
      <c r="O968" s="33"/>
      <c r="P968" s="34"/>
      <c r="Q968" s="2"/>
    </row>
    <row r="969" spans="1:17" ht="15" customHeight="1" x14ac:dyDescent="0.2">
      <c r="A969" s="141"/>
      <c r="B969" s="20"/>
      <c r="C969" s="20"/>
      <c r="D969" s="7"/>
      <c r="E969" s="20"/>
      <c r="F969" s="304" t="s">
        <v>448</v>
      </c>
      <c r="G969" s="304"/>
      <c r="H969" s="304"/>
      <c r="I969" s="304"/>
      <c r="J969" s="27"/>
      <c r="K969" s="27"/>
      <c r="L969" s="304" t="s">
        <v>448</v>
      </c>
      <c r="M969" s="304"/>
      <c r="N969" s="304"/>
      <c r="O969" s="304"/>
      <c r="P969" s="26"/>
      <c r="Q969" s="2"/>
    </row>
    <row r="970" spans="1:17" ht="15" customHeight="1" x14ac:dyDescent="0.25">
      <c r="A970" s="224" t="s">
        <v>347</v>
      </c>
      <c r="B970" s="225"/>
      <c r="C970" s="283"/>
      <c r="D970" s="284"/>
      <c r="E970" s="20"/>
      <c r="F970" s="70" t="s">
        <v>343</v>
      </c>
      <c r="G970" s="66" t="s">
        <v>61</v>
      </c>
      <c r="H970" s="213"/>
      <c r="I970" s="214"/>
      <c r="J970" s="146"/>
      <c r="K970" s="109"/>
      <c r="L970" s="70" t="s">
        <v>484</v>
      </c>
      <c r="M970" s="66" t="s">
        <v>61</v>
      </c>
      <c r="N970" s="213"/>
      <c r="O970" s="214"/>
      <c r="P970" s="26"/>
      <c r="Q970" s="2"/>
    </row>
    <row r="971" spans="1:17" ht="5" customHeight="1" x14ac:dyDescent="0.2">
      <c r="A971" s="47"/>
      <c r="B971" s="21"/>
      <c r="C971" s="21"/>
      <c r="D971" s="9"/>
      <c r="E971" s="21"/>
      <c r="F971" s="10"/>
      <c r="G971" s="10"/>
      <c r="H971" s="10"/>
      <c r="I971" s="10"/>
      <c r="J971" s="10"/>
      <c r="K971" s="10"/>
      <c r="L971" s="10"/>
      <c r="M971" s="10"/>
      <c r="N971" s="10"/>
      <c r="O971" s="10"/>
      <c r="P971" s="28"/>
      <c r="Q971" s="2"/>
    </row>
    <row r="972" spans="1:17" ht="5" customHeight="1" x14ac:dyDescent="0.2">
      <c r="A972" s="49"/>
      <c r="B972" s="24"/>
      <c r="C972" s="24"/>
      <c r="D972" s="14"/>
      <c r="E972" s="24"/>
      <c r="F972" s="29"/>
      <c r="G972" s="29"/>
      <c r="H972" s="29"/>
      <c r="I972" s="29"/>
      <c r="J972" s="29"/>
      <c r="K972" s="29"/>
      <c r="L972" s="29"/>
      <c r="M972" s="29"/>
      <c r="N972" s="29"/>
      <c r="O972" s="29"/>
      <c r="P972" s="30"/>
      <c r="Q972" s="2"/>
    </row>
    <row r="973" spans="1:17" ht="17" x14ac:dyDescent="0.25">
      <c r="A973" s="357" t="s">
        <v>212</v>
      </c>
      <c r="B973" s="358"/>
      <c r="C973" s="354"/>
      <c r="D973" s="359"/>
      <c r="E973" s="22"/>
      <c r="F973" s="70" t="s">
        <v>344</v>
      </c>
      <c r="G973" s="107" t="s">
        <v>61</v>
      </c>
      <c r="H973" s="240">
        <f>H962+H966+H970</f>
        <v>0</v>
      </c>
      <c r="I973" s="241"/>
      <c r="J973" s="147"/>
      <c r="K973" s="142"/>
      <c r="L973" s="70" t="s">
        <v>485</v>
      </c>
      <c r="M973" s="107" t="s">
        <v>61</v>
      </c>
      <c r="N973" s="240">
        <f>IF(H72&gt;0,N962+N966+N970,"")</f>
        <v>0</v>
      </c>
      <c r="O973" s="241"/>
      <c r="P973" s="41"/>
      <c r="Q973" s="2"/>
    </row>
    <row r="974" spans="1:17" ht="5" customHeight="1" x14ac:dyDescent="0.2">
      <c r="A974" s="50"/>
      <c r="B974" s="25"/>
      <c r="C974" s="25"/>
      <c r="D974" s="16"/>
      <c r="E974" s="25"/>
      <c r="F974" s="31"/>
      <c r="G974" s="31"/>
      <c r="H974" s="31"/>
      <c r="I974" s="31"/>
      <c r="J974" s="31"/>
      <c r="K974" s="31"/>
      <c r="L974" s="31"/>
      <c r="M974" s="31"/>
      <c r="N974" s="31"/>
      <c r="O974" s="31"/>
      <c r="P974" s="32"/>
      <c r="Q974" s="2"/>
    </row>
    <row r="975" spans="1:17" ht="15" customHeight="1" x14ac:dyDescent="0.2">
      <c r="A975" s="22"/>
      <c r="B975" s="22"/>
      <c r="C975" s="22"/>
      <c r="D975" s="22"/>
      <c r="E975" s="22"/>
      <c r="F975" s="40"/>
      <c r="G975" s="40"/>
      <c r="H975" s="40"/>
      <c r="I975" s="40"/>
      <c r="J975" s="40"/>
      <c r="K975" s="40"/>
      <c r="L975" s="40"/>
      <c r="M975" s="40"/>
      <c r="N975" s="40"/>
      <c r="O975" s="40"/>
      <c r="P975" s="40"/>
      <c r="Q975" s="2"/>
    </row>
    <row r="976" spans="1:17" ht="30.75" customHeight="1" x14ac:dyDescent="0.2">
      <c r="A976" s="212" t="s">
        <v>209</v>
      </c>
      <c r="B976" s="212"/>
      <c r="C976" s="212"/>
      <c r="D976" s="212"/>
      <c r="E976" s="212"/>
      <c r="F976" s="212"/>
      <c r="G976" s="212"/>
      <c r="H976" s="212"/>
      <c r="I976" s="212"/>
      <c r="J976" s="212"/>
      <c r="K976" s="212"/>
      <c r="L976" s="212"/>
      <c r="M976" s="212"/>
      <c r="N976" s="212"/>
      <c r="O976" s="212"/>
      <c r="P976" s="40"/>
      <c r="Q976" s="2"/>
    </row>
    <row r="977" spans="1:17" ht="15" customHeight="1" x14ac:dyDescent="0.2">
      <c r="A977" s="22"/>
      <c r="B977" s="22"/>
      <c r="C977" s="22"/>
      <c r="D977" s="22"/>
      <c r="E977" s="22"/>
      <c r="F977" s="40"/>
      <c r="G977" s="40"/>
      <c r="H977" s="40"/>
      <c r="I977" s="40"/>
      <c r="J977" s="40"/>
      <c r="K977" s="40"/>
      <c r="L977" s="40"/>
      <c r="M977" s="40"/>
      <c r="N977" s="40"/>
      <c r="O977" s="40"/>
      <c r="P977" s="40"/>
      <c r="Q977" s="2"/>
    </row>
    <row r="978" spans="1:17" ht="100" customHeight="1" x14ac:dyDescent="0.2">
      <c r="A978" s="213" t="str">
        <f>IF(ROUND([1]TrialBalance!$EJ$37,0)&lt;&gt;0,"The total value of Long Term Debtors falling due in more than one year is " &amp; TEXT(ROUND([1]TrialBalance!$EJ$37,0),"0.00"),"")</f>
        <v/>
      </c>
      <c r="B978" s="346"/>
      <c r="C978" s="347"/>
      <c r="D978" s="347"/>
      <c r="E978" s="347"/>
      <c r="F978" s="347"/>
      <c r="G978" s="347"/>
      <c r="H978" s="347"/>
      <c r="I978" s="347"/>
      <c r="J978" s="347"/>
      <c r="K978" s="347"/>
      <c r="L978" s="347"/>
      <c r="M978" s="347"/>
      <c r="N978" s="347"/>
      <c r="O978" s="347"/>
      <c r="P978" s="348"/>
      <c r="Q978" s="2"/>
    </row>
    <row r="979" spans="1:17" x14ac:dyDescent="0.2">
      <c r="Q979" s="2"/>
    </row>
    <row r="980" spans="1:17" ht="35.25" customHeight="1" x14ac:dyDescent="0.2">
      <c r="A980" s="334" t="s">
        <v>353</v>
      </c>
      <c r="B980" s="334"/>
      <c r="C980" s="334"/>
      <c r="D980" s="334"/>
      <c r="E980" s="334"/>
      <c r="F980" s="334"/>
      <c r="G980" s="334"/>
      <c r="H980" s="334"/>
      <c r="I980" s="334"/>
      <c r="J980" s="334"/>
      <c r="K980" s="334"/>
      <c r="L980" s="334"/>
      <c r="M980" s="334"/>
      <c r="N980" s="334"/>
      <c r="O980" s="334"/>
      <c r="P980" s="334"/>
      <c r="Q980" s="2"/>
    </row>
    <row r="981" spans="1:17" x14ac:dyDescent="0.2">
      <c r="Q981" s="2"/>
    </row>
    <row r="982" spans="1:17" ht="29.25" customHeight="1" x14ac:dyDescent="0.2">
      <c r="A982" s="266" t="s">
        <v>348</v>
      </c>
      <c r="B982" s="266"/>
      <c r="C982" s="266"/>
      <c r="D982" s="266"/>
      <c r="E982" s="266"/>
      <c r="F982" s="266"/>
      <c r="G982" s="266"/>
      <c r="H982" s="266"/>
      <c r="I982" s="266"/>
      <c r="J982" s="58" t="s">
        <v>31</v>
      </c>
      <c r="K982" s="59"/>
      <c r="L982" s="60"/>
      <c r="M982" s="59" t="s">
        <v>29</v>
      </c>
      <c r="N982" s="117" t="s">
        <v>138</v>
      </c>
      <c r="O982" s="59" t="s">
        <v>30</v>
      </c>
      <c r="Q982" s="2"/>
    </row>
    <row r="983" spans="1:17" x14ac:dyDescent="0.2">
      <c r="Q983" s="2"/>
    </row>
    <row r="987" spans="1:17" ht="16" x14ac:dyDescent="0.2">
      <c r="A987" s="231" t="s">
        <v>145</v>
      </c>
      <c r="B987" s="232"/>
      <c r="C987" s="232"/>
      <c r="D987" s="232"/>
      <c r="F987" s="233"/>
      <c r="G987" s="233"/>
      <c r="H987" s="233"/>
      <c r="I987" s="233"/>
      <c r="J987" s="233"/>
      <c r="K987" s="233"/>
      <c r="L987" s="233"/>
      <c r="M987" s="233"/>
      <c r="N987" s="233"/>
      <c r="O987" s="233"/>
      <c r="P987" s="233"/>
      <c r="Q987" s="233"/>
    </row>
    <row r="988" spans="1:17" ht="5" customHeight="1" x14ac:dyDescent="0.2">
      <c r="A988" s="1"/>
      <c r="B988" s="1"/>
      <c r="C988" s="1"/>
      <c r="D988" s="1"/>
      <c r="E988" s="1"/>
      <c r="F988" s="1"/>
      <c r="G988" s="1"/>
      <c r="H988" s="1"/>
      <c r="I988" s="1"/>
      <c r="J988" s="1"/>
      <c r="K988" s="1"/>
      <c r="L988" s="1"/>
      <c r="M988" s="1"/>
      <c r="N988" s="1"/>
      <c r="O988" s="1"/>
      <c r="P988" s="1"/>
      <c r="Q988" s="1"/>
    </row>
    <row r="989" spans="1:17" x14ac:dyDescent="0.2">
      <c r="A989" s="234" t="s">
        <v>108</v>
      </c>
      <c r="B989" s="235"/>
      <c r="C989" s="235"/>
      <c r="D989" s="235"/>
      <c r="E989" s="236"/>
      <c r="F989" s="236"/>
      <c r="G989" s="236"/>
      <c r="H989" s="236"/>
      <c r="I989" s="236"/>
      <c r="J989" s="236"/>
      <c r="K989" s="236"/>
      <c r="L989" s="236"/>
      <c r="M989" s="236"/>
      <c r="N989" s="236"/>
      <c r="O989" s="236"/>
      <c r="P989" s="236"/>
      <c r="Q989" s="237"/>
    </row>
    <row r="990" spans="1:17" x14ac:dyDescent="0.2">
      <c r="A990" s="211" t="s">
        <v>349</v>
      </c>
      <c r="B990" s="212"/>
      <c r="C990" s="212"/>
      <c r="D990" s="212"/>
      <c r="E990" s="212"/>
      <c r="F990" s="212"/>
      <c r="G990" s="212"/>
      <c r="H990" s="212"/>
      <c r="I990" s="212"/>
      <c r="J990" s="212"/>
      <c r="K990" s="212"/>
      <c r="L990" s="212"/>
      <c r="M990" s="212"/>
      <c r="N990" s="212"/>
      <c r="O990" s="212"/>
      <c r="P990" s="212"/>
      <c r="Q990" s="38"/>
    </row>
    <row r="991" spans="1:17" x14ac:dyDescent="0.2">
      <c r="A991" s="62"/>
      <c r="B991" s="51"/>
      <c r="C991" s="51"/>
      <c r="D991" s="51"/>
      <c r="E991" s="51"/>
      <c r="F991" s="51"/>
      <c r="G991" s="51"/>
      <c r="H991" s="51"/>
      <c r="I991" s="51"/>
      <c r="J991" s="51"/>
      <c r="K991" s="51"/>
      <c r="L991" s="51"/>
      <c r="M991" s="51"/>
      <c r="N991" s="51"/>
      <c r="O991" s="51"/>
      <c r="P991" s="51"/>
      <c r="Q991" s="38"/>
    </row>
    <row r="992" spans="1:17" x14ac:dyDescent="0.2">
      <c r="A992" s="211" t="s">
        <v>970</v>
      </c>
      <c r="B992" s="212"/>
      <c r="C992" s="212"/>
      <c r="D992" s="212"/>
      <c r="E992" s="212"/>
      <c r="F992" s="212"/>
      <c r="G992" s="212"/>
      <c r="H992" s="212"/>
      <c r="I992" s="212"/>
      <c r="J992" s="212"/>
      <c r="K992" s="212"/>
      <c r="L992" s="212"/>
      <c r="M992" s="212"/>
      <c r="N992" s="212"/>
      <c r="O992" s="212"/>
      <c r="P992" s="212"/>
      <c r="Q992" s="38"/>
    </row>
    <row r="993" spans="1:17" x14ac:dyDescent="0.2">
      <c r="A993" s="95"/>
      <c r="B993" s="51"/>
      <c r="C993" s="51"/>
      <c r="D993" s="51"/>
      <c r="E993" s="51"/>
      <c r="F993" s="51"/>
      <c r="G993" s="51"/>
      <c r="H993" s="51"/>
      <c r="I993" s="51"/>
      <c r="J993" s="51"/>
      <c r="K993" s="51"/>
      <c r="L993" s="51"/>
      <c r="M993" s="51"/>
      <c r="N993" s="51"/>
      <c r="O993" s="51"/>
      <c r="P993" s="51"/>
      <c r="Q993" s="38"/>
    </row>
    <row r="994" spans="1:17" x14ac:dyDescent="0.2">
      <c r="A994" s="238"/>
      <c r="B994" s="239"/>
      <c r="C994" s="72"/>
      <c r="D994" s="72"/>
      <c r="E994" s="72"/>
      <c r="F994" s="140" t="str">
        <f>TEXT(N2,"yyyy")</f>
        <v>2026</v>
      </c>
      <c r="G994" s="140"/>
      <c r="H994" s="140"/>
      <c r="I994" s="140"/>
      <c r="J994" s="140"/>
      <c r="K994" s="140"/>
      <c r="L994" s="238" t="str">
        <f>IF(H72&gt;0,TEXT(H72,"yyyy"),"")</f>
        <v/>
      </c>
      <c r="M994" s="239"/>
      <c r="N994" s="239"/>
      <c r="O994" s="239"/>
      <c r="P994" s="140"/>
      <c r="Q994" s="38"/>
    </row>
    <row r="995" spans="1:17" x14ac:dyDescent="0.2">
      <c r="Q995" s="2"/>
    </row>
    <row r="996" spans="1:17" ht="5" customHeight="1" x14ac:dyDescent="0.2">
      <c r="A996" s="48"/>
      <c r="B996" s="23"/>
      <c r="C996" s="23"/>
      <c r="D996" s="12"/>
      <c r="E996" s="23"/>
      <c r="F996" s="33"/>
      <c r="G996" s="33"/>
      <c r="H996" s="33"/>
      <c r="I996" s="33"/>
      <c r="J996" s="34"/>
      <c r="K996" s="33"/>
      <c r="L996" s="33"/>
      <c r="M996" s="33"/>
      <c r="N996" s="33"/>
      <c r="O996" s="33"/>
      <c r="P996" s="34"/>
      <c r="Q996" s="2"/>
    </row>
    <row r="997" spans="1:17" ht="16" x14ac:dyDescent="0.25">
      <c r="A997" s="224" t="s">
        <v>354</v>
      </c>
      <c r="B997" s="225"/>
      <c r="C997" s="283"/>
      <c r="D997" s="284"/>
      <c r="E997" s="20"/>
      <c r="F997" s="70" t="s">
        <v>350</v>
      </c>
      <c r="G997" s="66" t="s">
        <v>61</v>
      </c>
      <c r="H997" s="213">
        <f>IF(ROUND(SUM([1]TrialBalance!EJ22:EJ24),D2)&lt;0,ROUND(-SUM([1]TrialBalance!EJ22:EJ24),D2),0)</f>
        <v>0</v>
      </c>
      <c r="I997" s="214"/>
      <c r="J997" s="128"/>
      <c r="K997" s="109"/>
      <c r="L997" s="70" t="s">
        <v>486</v>
      </c>
      <c r="M997" s="66" t="s">
        <v>61</v>
      </c>
      <c r="N997" s="213">
        <f>IF(H72&gt;0,IF(ROUND(SUM([1]TrialBalance!D22:D24),D2)&lt;0,ROUND(-SUM([1]TrialBalance!D22:D24),D2),0),"")</f>
        <v>0</v>
      </c>
      <c r="O997" s="214"/>
      <c r="P997" s="26"/>
      <c r="Q997" s="2"/>
    </row>
    <row r="998" spans="1:17" ht="5" customHeight="1" x14ac:dyDescent="0.2">
      <c r="A998" s="47"/>
      <c r="B998" s="21"/>
      <c r="C998" s="21"/>
      <c r="D998" s="9"/>
      <c r="E998" s="21"/>
      <c r="F998" s="10"/>
      <c r="G998" s="10"/>
      <c r="H998" s="10"/>
      <c r="I998" s="10"/>
      <c r="J998" s="28"/>
      <c r="K998" s="10"/>
      <c r="L998" s="10"/>
      <c r="M998" s="10"/>
      <c r="N998" s="10"/>
      <c r="O998" s="10"/>
      <c r="P998" s="28"/>
      <c r="Q998" s="2"/>
    </row>
    <row r="999" spans="1:17" ht="5" customHeight="1" x14ac:dyDescent="0.2">
      <c r="A999" s="49"/>
      <c r="B999" s="24"/>
      <c r="C999" s="24"/>
      <c r="D999" s="14"/>
      <c r="E999" s="24"/>
      <c r="F999" s="29"/>
      <c r="G999" s="29"/>
      <c r="H999" s="29"/>
      <c r="I999" s="29"/>
      <c r="J999" s="30"/>
      <c r="K999" s="29"/>
      <c r="L999" s="29"/>
      <c r="M999" s="29"/>
      <c r="N999" s="29"/>
      <c r="O999" s="29"/>
      <c r="P999" s="30"/>
      <c r="Q999" s="2"/>
    </row>
    <row r="1000" spans="1:17" ht="15" customHeight="1" x14ac:dyDescent="0.2">
      <c r="A1000" s="61"/>
      <c r="B1000" s="22"/>
      <c r="C1000" s="22"/>
      <c r="D1000" s="150"/>
      <c r="E1000" s="61"/>
      <c r="F1000" s="360" t="s">
        <v>252</v>
      </c>
      <c r="G1000" s="360"/>
      <c r="H1000" s="360"/>
      <c r="I1000" s="360"/>
      <c r="J1000" s="164"/>
      <c r="K1000" s="163"/>
      <c r="L1000" s="360" t="s">
        <v>252</v>
      </c>
      <c r="M1000" s="360"/>
      <c r="N1000" s="360"/>
      <c r="O1000" s="360"/>
      <c r="P1000" s="41"/>
      <c r="Q1000" s="2"/>
    </row>
    <row r="1001" spans="1:17" ht="29.25" customHeight="1" x14ac:dyDescent="0.2">
      <c r="A1001" s="265" t="s">
        <v>355</v>
      </c>
      <c r="B1001" s="305"/>
      <c r="C1001" s="306"/>
      <c r="D1001" s="307"/>
      <c r="E1001" s="22"/>
      <c r="F1001" s="70" t="s">
        <v>351</v>
      </c>
      <c r="G1001" s="120" t="s">
        <v>61</v>
      </c>
      <c r="H1001" s="258"/>
      <c r="I1001" s="259"/>
      <c r="J1001" s="129"/>
      <c r="K1001" s="156"/>
      <c r="L1001" s="70" t="s">
        <v>487</v>
      </c>
      <c r="M1001" s="120" t="s">
        <v>61</v>
      </c>
      <c r="N1001" s="258"/>
      <c r="O1001" s="259"/>
      <c r="P1001" s="41"/>
      <c r="Q1001" s="2"/>
    </row>
    <row r="1002" spans="1:17" ht="5" customHeight="1" x14ac:dyDescent="0.2">
      <c r="A1002" s="50"/>
      <c r="B1002" s="25"/>
      <c r="C1002" s="25"/>
      <c r="D1002" s="16"/>
      <c r="E1002" s="25"/>
      <c r="F1002" s="31"/>
      <c r="G1002" s="31"/>
      <c r="H1002" s="31"/>
      <c r="I1002" s="31"/>
      <c r="J1002" s="32"/>
      <c r="K1002" s="31"/>
      <c r="L1002" s="31"/>
      <c r="M1002" s="31"/>
      <c r="N1002" s="31"/>
      <c r="O1002" s="31"/>
      <c r="P1002" s="32"/>
      <c r="Q1002" s="2"/>
    </row>
    <row r="1003" spans="1:17" ht="5" customHeight="1" x14ac:dyDescent="0.2">
      <c r="A1003" s="48"/>
      <c r="B1003" s="23"/>
      <c r="C1003" s="23"/>
      <c r="D1003" s="12"/>
      <c r="E1003" s="23"/>
      <c r="F1003" s="33"/>
      <c r="G1003" s="33"/>
      <c r="H1003" s="33"/>
      <c r="I1003" s="33"/>
      <c r="J1003" s="34"/>
      <c r="K1003" s="33"/>
      <c r="L1003" s="33"/>
      <c r="M1003" s="33"/>
      <c r="N1003" s="33"/>
      <c r="O1003" s="33"/>
      <c r="P1003" s="34"/>
      <c r="Q1003" s="2"/>
    </row>
    <row r="1004" spans="1:17" ht="15" customHeight="1" x14ac:dyDescent="0.25">
      <c r="A1004" s="224" t="s">
        <v>356</v>
      </c>
      <c r="B1004" s="225"/>
      <c r="C1004" s="283"/>
      <c r="D1004" s="284"/>
      <c r="E1004" s="20"/>
      <c r="F1004" s="70" t="s">
        <v>352</v>
      </c>
      <c r="G1004" s="66" t="s">
        <v>61</v>
      </c>
      <c r="H1004" s="213">
        <f>-ROUND([1]TrialBalance!$EJ$28+[1]TrialBalance!$EJ$29+[1]TrialBalance!$EJ$30+[1]TrialBalance!$EJ$31,D2)</f>
        <v>0</v>
      </c>
      <c r="I1004" s="214"/>
      <c r="J1004" s="175"/>
      <c r="K1004" s="109"/>
      <c r="L1004" s="70" t="s">
        <v>488</v>
      </c>
      <c r="M1004" s="66" t="s">
        <v>61</v>
      </c>
      <c r="N1004" s="213">
        <f>IF(H72&gt;0,-ROUND([1]TrialBalance!$D$28+[1]TrialBalance!$D$29+[1]TrialBalance!$D$30+[1]TrialBalance!$D$31,D2),"")</f>
        <v>0</v>
      </c>
      <c r="O1004" s="214"/>
      <c r="P1004" s="26"/>
      <c r="Q1004" s="2"/>
    </row>
    <row r="1005" spans="1:17" ht="5" customHeight="1" x14ac:dyDescent="0.2">
      <c r="A1005" s="47"/>
      <c r="B1005" s="21"/>
      <c r="C1005" s="21"/>
      <c r="D1005" s="9"/>
      <c r="E1005" s="21"/>
      <c r="F1005" s="10"/>
      <c r="G1005" s="10"/>
      <c r="H1005" s="10"/>
      <c r="I1005" s="10"/>
      <c r="J1005" s="28"/>
      <c r="K1005" s="10"/>
      <c r="L1005" s="10"/>
      <c r="M1005" s="10"/>
      <c r="N1005" s="10"/>
      <c r="O1005" s="10"/>
      <c r="P1005" s="28"/>
      <c r="Q1005" s="2"/>
    </row>
    <row r="1006" spans="1:17" ht="5" customHeight="1" x14ac:dyDescent="0.2">
      <c r="A1006" s="49"/>
      <c r="B1006" s="24"/>
      <c r="C1006" s="24"/>
      <c r="D1006" s="14"/>
      <c r="E1006" s="24"/>
      <c r="F1006" s="29"/>
      <c r="G1006" s="29"/>
      <c r="H1006" s="29"/>
      <c r="I1006" s="29"/>
      <c r="J1006" s="30"/>
      <c r="K1006" s="29"/>
      <c r="L1006" s="29"/>
      <c r="M1006" s="29"/>
      <c r="N1006" s="29"/>
      <c r="O1006" s="29"/>
      <c r="P1006" s="30"/>
      <c r="Q1006" s="2"/>
    </row>
    <row r="1007" spans="1:17" ht="15" customHeight="1" x14ac:dyDescent="0.25">
      <c r="A1007" s="265" t="s">
        <v>357</v>
      </c>
      <c r="B1007" s="305"/>
      <c r="C1007" s="306"/>
      <c r="D1007" s="307"/>
      <c r="E1007" s="22"/>
      <c r="F1007" s="70" t="s">
        <v>362</v>
      </c>
      <c r="G1007" s="67" t="s">
        <v>61</v>
      </c>
      <c r="H1007" s="213">
        <f>-(ROUND([1]TrialBalance!$EJ$32+[1]TrialBalance!$EJ$33+[1]TrialBalance!$EJ$34+[1]TrialBalance!$EJ$35,D2))</f>
        <v>0</v>
      </c>
      <c r="I1007" s="214"/>
      <c r="J1007" s="154"/>
      <c r="K1007" s="142"/>
      <c r="L1007" s="70" t="s">
        <v>489</v>
      </c>
      <c r="M1007" s="67" t="s">
        <v>61</v>
      </c>
      <c r="N1007" s="213">
        <f>IF(H72&gt;0,-(ROUND([1]TrialBalance!$D$32+[1]TrialBalance!$D$33+[1]TrialBalance!$D$34+[1]TrialBalance!$D$35,D2)),"")</f>
        <v>0</v>
      </c>
      <c r="O1007" s="214"/>
      <c r="P1007" s="41"/>
      <c r="Q1007" s="2"/>
    </row>
    <row r="1008" spans="1:17" ht="5" customHeight="1" x14ac:dyDescent="0.2">
      <c r="A1008" s="50"/>
      <c r="B1008" s="25"/>
      <c r="C1008" s="25"/>
      <c r="D1008" s="16"/>
      <c r="E1008" s="25"/>
      <c r="F1008" s="31"/>
      <c r="G1008" s="31"/>
      <c r="H1008" s="31"/>
      <c r="I1008" s="31"/>
      <c r="J1008" s="32"/>
      <c r="K1008" s="31"/>
      <c r="L1008" s="31"/>
      <c r="M1008" s="31"/>
      <c r="N1008" s="31"/>
      <c r="O1008" s="31"/>
      <c r="P1008" s="32"/>
      <c r="Q1008" s="2"/>
    </row>
    <row r="1009" spans="1:17" ht="5" customHeight="1" x14ac:dyDescent="0.2">
      <c r="A1009" s="48"/>
      <c r="B1009" s="23"/>
      <c r="C1009" s="23"/>
      <c r="D1009" s="12"/>
      <c r="E1009" s="23"/>
      <c r="F1009" s="33"/>
      <c r="G1009" s="33"/>
      <c r="H1009" s="33"/>
      <c r="I1009" s="33"/>
      <c r="J1009" s="34"/>
      <c r="K1009" s="33"/>
      <c r="L1009" s="33"/>
      <c r="M1009" s="33"/>
      <c r="N1009" s="33"/>
      <c r="O1009" s="33"/>
      <c r="P1009" s="34"/>
      <c r="Q1009" s="2"/>
    </row>
    <row r="1010" spans="1:17" ht="15" customHeight="1" x14ac:dyDescent="0.25">
      <c r="A1010" s="141"/>
      <c r="B1010" s="20"/>
      <c r="C1010" s="20"/>
      <c r="D1010" s="7"/>
      <c r="E1010" s="141"/>
      <c r="F1010" s="316" t="s">
        <v>448</v>
      </c>
      <c r="G1010" s="316"/>
      <c r="H1010" s="316"/>
      <c r="I1010" s="316"/>
      <c r="J1010" s="127"/>
      <c r="K1010" s="109"/>
      <c r="L1010" s="316" t="s">
        <v>448</v>
      </c>
      <c r="M1010" s="316"/>
      <c r="N1010" s="316"/>
      <c r="O1010" s="316"/>
      <c r="P1010" s="26"/>
      <c r="Q1010" s="2"/>
    </row>
    <row r="1011" spans="1:17" ht="15" customHeight="1" x14ac:dyDescent="0.25">
      <c r="A1011" s="224" t="s">
        <v>358</v>
      </c>
      <c r="B1011" s="225"/>
      <c r="C1011" s="283"/>
      <c r="D1011" s="284"/>
      <c r="E1011" s="20"/>
      <c r="F1011" s="70" t="s">
        <v>363</v>
      </c>
      <c r="G1011" s="66" t="s">
        <v>61</v>
      </c>
      <c r="H1011" s="213"/>
      <c r="I1011" s="214"/>
      <c r="J1011" s="128"/>
      <c r="K1011" s="109"/>
      <c r="L1011" s="70" t="s">
        <v>490</v>
      </c>
      <c r="M1011" s="66" t="s">
        <v>61</v>
      </c>
      <c r="N1011" s="213"/>
      <c r="O1011" s="214"/>
      <c r="P1011" s="26"/>
      <c r="Q1011" s="2"/>
    </row>
    <row r="1012" spans="1:17" ht="5" customHeight="1" x14ac:dyDescent="0.2">
      <c r="A1012" s="47"/>
      <c r="B1012" s="21"/>
      <c r="C1012" s="21"/>
      <c r="D1012" s="9"/>
      <c r="E1012" s="21"/>
      <c r="F1012" s="10"/>
      <c r="G1012" s="10"/>
      <c r="H1012" s="10"/>
      <c r="I1012" s="10"/>
      <c r="J1012" s="28"/>
      <c r="K1012" s="10"/>
      <c r="L1012" s="10"/>
      <c r="M1012" s="10"/>
      <c r="N1012" s="10"/>
      <c r="O1012" s="10"/>
      <c r="P1012" s="28"/>
      <c r="Q1012" s="2"/>
    </row>
    <row r="1013" spans="1:17" ht="5" customHeight="1" x14ac:dyDescent="0.2">
      <c r="A1013" s="49"/>
      <c r="B1013" s="24"/>
      <c r="C1013" s="24"/>
      <c r="D1013" s="14"/>
      <c r="E1013" s="24"/>
      <c r="F1013" s="29"/>
      <c r="G1013" s="29"/>
      <c r="H1013" s="29"/>
      <c r="I1013" s="29"/>
      <c r="J1013" s="30"/>
      <c r="K1013" s="29"/>
      <c r="L1013" s="29"/>
      <c r="M1013" s="29"/>
      <c r="N1013" s="29"/>
      <c r="O1013" s="29"/>
      <c r="P1013" s="30"/>
      <c r="Q1013" s="2"/>
    </row>
    <row r="1014" spans="1:17" ht="15" customHeight="1" x14ac:dyDescent="0.25">
      <c r="A1014" s="265" t="s">
        <v>359</v>
      </c>
      <c r="B1014" s="305"/>
      <c r="C1014" s="306"/>
      <c r="D1014" s="307"/>
      <c r="E1014" s="22"/>
      <c r="F1014" s="70" t="s">
        <v>364</v>
      </c>
      <c r="G1014" s="67" t="s">
        <v>61</v>
      </c>
      <c r="H1014" s="213">
        <v>0</v>
      </c>
      <c r="I1014" s="214"/>
      <c r="J1014" s="154"/>
      <c r="K1014" s="142"/>
      <c r="L1014" s="70" t="s">
        <v>491</v>
      </c>
      <c r="M1014" s="67" t="s">
        <v>61</v>
      </c>
      <c r="N1014" s="213">
        <v>0</v>
      </c>
      <c r="O1014" s="214"/>
      <c r="P1014" s="41"/>
      <c r="Q1014" s="2"/>
    </row>
    <row r="1015" spans="1:17" ht="5" customHeight="1" x14ac:dyDescent="0.2">
      <c r="A1015" s="50"/>
      <c r="B1015" s="25"/>
      <c r="C1015" s="25"/>
      <c r="D1015" s="16"/>
      <c r="E1015" s="25"/>
      <c r="F1015" s="31"/>
      <c r="G1015" s="31"/>
      <c r="H1015" s="31"/>
      <c r="I1015" s="31"/>
      <c r="J1015" s="32"/>
      <c r="K1015" s="31"/>
      <c r="L1015" s="31"/>
      <c r="M1015" s="31"/>
      <c r="N1015" s="31"/>
      <c r="O1015" s="31"/>
      <c r="P1015" s="32"/>
      <c r="Q1015" s="2"/>
    </row>
    <row r="1016" spans="1:17" ht="5" customHeight="1" x14ac:dyDescent="0.2">
      <c r="A1016" s="48"/>
      <c r="B1016" s="23"/>
      <c r="C1016" s="23"/>
      <c r="D1016" s="12"/>
      <c r="E1016" s="23"/>
      <c r="F1016" s="33"/>
      <c r="G1016" s="33"/>
      <c r="H1016" s="33"/>
      <c r="I1016" s="33"/>
      <c r="J1016" s="34"/>
      <c r="K1016" s="33"/>
      <c r="L1016" s="33"/>
      <c r="M1016" s="33"/>
      <c r="N1016" s="33"/>
      <c r="O1016" s="33"/>
      <c r="P1016" s="34"/>
      <c r="Q1016" s="2"/>
    </row>
    <row r="1017" spans="1:17" ht="15" customHeight="1" x14ac:dyDescent="0.25">
      <c r="A1017" s="244" t="s">
        <v>212</v>
      </c>
      <c r="B1017" s="245"/>
      <c r="C1017" s="285"/>
      <c r="D1017" s="286"/>
      <c r="E1017" s="20"/>
      <c r="F1017" s="70" t="s">
        <v>365</v>
      </c>
      <c r="G1017" s="119" t="s">
        <v>61</v>
      </c>
      <c r="H1017" s="361">
        <f>SUM(H997,H1001,H1004,H1007,H1011,H1014)</f>
        <v>0</v>
      </c>
      <c r="I1017" s="362"/>
      <c r="J1017" s="127"/>
      <c r="K1017" s="109"/>
      <c r="L1017" s="70" t="s">
        <v>492</v>
      </c>
      <c r="M1017" s="119" t="s">
        <v>61</v>
      </c>
      <c r="N1017" s="361">
        <f>IF(H72&gt;0,SUM(N997,N1001,N1004,N1007,N1011,N1014),"")</f>
        <v>0</v>
      </c>
      <c r="O1017" s="362"/>
      <c r="P1017" s="26"/>
      <c r="Q1017" s="2"/>
    </row>
    <row r="1018" spans="1:17" ht="5" customHeight="1" x14ac:dyDescent="0.2">
      <c r="A1018" s="47"/>
      <c r="B1018" s="21"/>
      <c r="C1018" s="21"/>
      <c r="D1018" s="9"/>
      <c r="E1018" s="21"/>
      <c r="F1018" s="10"/>
      <c r="G1018" s="10"/>
      <c r="H1018" s="10"/>
      <c r="I1018" s="10"/>
      <c r="J1018" s="28"/>
      <c r="K1018" s="10"/>
      <c r="L1018" s="10"/>
      <c r="M1018" s="10"/>
      <c r="N1018" s="10"/>
      <c r="O1018" s="10"/>
      <c r="P1018" s="28"/>
      <c r="Q1018" s="2"/>
    </row>
    <row r="1019" spans="1:17" ht="15" customHeight="1" x14ac:dyDescent="0.2">
      <c r="A1019" s="22"/>
      <c r="B1019" s="22"/>
      <c r="C1019" s="22"/>
      <c r="D1019" s="22"/>
      <c r="E1019" s="22"/>
      <c r="F1019" s="40"/>
      <c r="G1019" s="40"/>
      <c r="H1019" s="40"/>
      <c r="I1019" s="40"/>
      <c r="J1019" s="40"/>
      <c r="K1019" s="40"/>
      <c r="L1019" s="40"/>
      <c r="M1019" s="40"/>
      <c r="N1019" s="40"/>
      <c r="O1019" s="40"/>
      <c r="P1019" s="40"/>
      <c r="Q1019" s="2"/>
    </row>
    <row r="1020" spans="1:17" ht="15" customHeight="1" x14ac:dyDescent="0.2">
      <c r="A1020" s="212" t="s">
        <v>209</v>
      </c>
      <c r="B1020" s="212"/>
      <c r="C1020" s="212"/>
      <c r="D1020" s="212"/>
      <c r="E1020" s="212"/>
      <c r="F1020" s="212"/>
      <c r="G1020" s="212"/>
      <c r="H1020" s="212"/>
      <c r="I1020" s="212"/>
      <c r="J1020" s="212"/>
      <c r="K1020" s="212"/>
      <c r="L1020" s="212"/>
      <c r="M1020" s="212"/>
      <c r="N1020" s="212"/>
      <c r="O1020" s="212"/>
      <c r="P1020" s="40"/>
      <c r="Q1020" s="2"/>
    </row>
    <row r="1021" spans="1:17" ht="15" customHeight="1" x14ac:dyDescent="0.2">
      <c r="A1021" s="22"/>
      <c r="B1021" s="22"/>
      <c r="C1021" s="22"/>
      <c r="D1021" s="22"/>
      <c r="E1021" s="22"/>
      <c r="F1021" s="40"/>
      <c r="G1021" s="40"/>
      <c r="H1021" s="40"/>
      <c r="I1021" s="40"/>
      <c r="J1021" s="40"/>
      <c r="K1021" s="40"/>
      <c r="L1021" s="40"/>
      <c r="M1021" s="40"/>
      <c r="N1021" s="40"/>
      <c r="O1021" s="40"/>
      <c r="P1021" s="40"/>
      <c r="Q1021" s="2"/>
    </row>
    <row r="1022" spans="1:17" ht="100" customHeight="1" x14ac:dyDescent="0.2">
      <c r="A1022" s="213" t="str">
        <f>IF(ROUND([1]TrialBalance!$EJ$37,0)&lt;&gt;0,"The total value of Long Term Debtors falling due in more than one year is " &amp; TEXT(ROUND([1]TrialBalance!$EJ$37,0),"0.00"),"")</f>
        <v/>
      </c>
      <c r="B1022" s="346"/>
      <c r="C1022" s="347"/>
      <c r="D1022" s="347"/>
      <c r="E1022" s="347"/>
      <c r="F1022" s="347"/>
      <c r="G1022" s="347"/>
      <c r="H1022" s="347"/>
      <c r="I1022" s="347"/>
      <c r="J1022" s="347"/>
      <c r="K1022" s="347"/>
      <c r="L1022" s="347"/>
      <c r="M1022" s="347"/>
      <c r="N1022" s="347"/>
      <c r="O1022" s="347"/>
      <c r="P1022" s="348"/>
      <c r="Q1022" s="2"/>
    </row>
    <row r="1023" spans="1:17" x14ac:dyDescent="0.2">
      <c r="Q1023" s="2"/>
    </row>
    <row r="1024" spans="1:17" ht="35.25" customHeight="1" x14ac:dyDescent="0.2">
      <c r="A1024" s="334" t="s">
        <v>353</v>
      </c>
      <c r="B1024" s="334"/>
      <c r="C1024" s="334"/>
      <c r="D1024" s="334"/>
      <c r="E1024" s="334"/>
      <c r="F1024" s="334"/>
      <c r="G1024" s="334"/>
      <c r="H1024" s="334"/>
      <c r="I1024" s="334"/>
      <c r="J1024" s="334"/>
      <c r="K1024" s="334"/>
      <c r="L1024" s="334"/>
      <c r="M1024" s="334"/>
      <c r="N1024" s="334"/>
      <c r="O1024" s="334"/>
      <c r="P1024" s="334"/>
      <c r="Q1024" s="2"/>
    </row>
    <row r="1025" spans="1:17" x14ac:dyDescent="0.2">
      <c r="Q1025" s="2"/>
    </row>
    <row r="1026" spans="1:17" ht="29.25" customHeight="1" x14ac:dyDescent="0.2">
      <c r="A1026" s="266" t="s">
        <v>348</v>
      </c>
      <c r="B1026" s="266"/>
      <c r="C1026" s="266"/>
      <c r="D1026" s="266"/>
      <c r="E1026" s="266"/>
      <c r="F1026" s="266"/>
      <c r="G1026" s="266"/>
      <c r="H1026" s="266"/>
      <c r="I1026" s="266"/>
      <c r="J1026" s="58" t="s">
        <v>31</v>
      </c>
      <c r="K1026" s="59"/>
      <c r="L1026" s="264" t="s">
        <v>29</v>
      </c>
      <c r="M1026" s="264"/>
      <c r="N1026" s="117" t="s">
        <v>138</v>
      </c>
      <c r="O1026" s="59" t="s">
        <v>30</v>
      </c>
      <c r="Q1026" s="2"/>
    </row>
    <row r="1027" spans="1:17" x14ac:dyDescent="0.2">
      <c r="Q1027" s="2"/>
    </row>
    <row r="1030" spans="1:17" ht="16" x14ac:dyDescent="0.2">
      <c r="A1030" s="231" t="s">
        <v>145</v>
      </c>
      <c r="B1030" s="232"/>
      <c r="C1030" s="232"/>
      <c r="D1030" s="232"/>
      <c r="F1030" s="233"/>
      <c r="G1030" s="233"/>
      <c r="H1030" s="233"/>
      <c r="I1030" s="233"/>
      <c r="J1030" s="233"/>
      <c r="K1030" s="233"/>
      <c r="L1030" s="233"/>
      <c r="M1030" s="233"/>
      <c r="N1030" s="233"/>
      <c r="O1030" s="233"/>
      <c r="P1030" s="233"/>
      <c r="Q1030" s="233"/>
    </row>
    <row r="1031" spans="1:17" ht="5" customHeight="1" x14ac:dyDescent="0.2">
      <c r="A1031" s="1"/>
      <c r="B1031" s="1"/>
      <c r="C1031" s="1"/>
      <c r="D1031" s="1"/>
      <c r="E1031" s="1"/>
      <c r="F1031" s="1"/>
      <c r="G1031" s="1"/>
      <c r="H1031" s="1"/>
      <c r="I1031" s="1"/>
      <c r="J1031" s="1"/>
      <c r="K1031" s="1"/>
      <c r="L1031" s="1"/>
      <c r="M1031" s="1"/>
      <c r="N1031" s="1"/>
      <c r="O1031" s="1"/>
      <c r="P1031" s="1"/>
      <c r="Q1031" s="1"/>
    </row>
    <row r="1032" spans="1:17" x14ac:dyDescent="0.2">
      <c r="A1032" s="234" t="s">
        <v>158</v>
      </c>
      <c r="B1032" s="235"/>
      <c r="C1032" s="235"/>
      <c r="D1032" s="235"/>
      <c r="E1032" s="236"/>
      <c r="F1032" s="236"/>
      <c r="G1032" s="236"/>
      <c r="H1032" s="236"/>
      <c r="I1032" s="236"/>
      <c r="J1032" s="236"/>
      <c r="K1032" s="236"/>
      <c r="L1032" s="236"/>
      <c r="M1032" s="236"/>
      <c r="N1032" s="236"/>
      <c r="O1032" s="236"/>
      <c r="P1032" s="236"/>
      <c r="Q1032" s="237"/>
    </row>
    <row r="1033" spans="1:17" x14ac:dyDescent="0.2">
      <c r="A1033" s="211" t="s">
        <v>360</v>
      </c>
      <c r="B1033" s="212"/>
      <c r="C1033" s="212"/>
      <c r="D1033" s="212"/>
      <c r="E1033" s="212"/>
      <c r="F1033" s="212"/>
      <c r="G1033" s="212"/>
      <c r="H1033" s="212"/>
      <c r="I1033" s="212"/>
      <c r="J1033" s="212"/>
      <c r="K1033" s="212"/>
      <c r="L1033" s="212"/>
      <c r="M1033" s="212"/>
      <c r="N1033" s="212"/>
      <c r="O1033" s="212"/>
      <c r="P1033" s="212"/>
      <c r="Q1033" s="38"/>
    </row>
    <row r="1034" spans="1:17" x14ac:dyDescent="0.2">
      <c r="A1034" s="62"/>
      <c r="B1034" s="51"/>
      <c r="C1034" s="51"/>
      <c r="D1034" s="51"/>
      <c r="E1034" s="51"/>
      <c r="F1034" s="51"/>
      <c r="G1034" s="51"/>
      <c r="H1034" s="51"/>
      <c r="I1034" s="51"/>
      <c r="J1034" s="51"/>
      <c r="K1034" s="51"/>
      <c r="L1034" s="51"/>
      <c r="M1034" s="51"/>
      <c r="N1034" s="51"/>
      <c r="O1034" s="51"/>
      <c r="P1034" s="51"/>
      <c r="Q1034" s="38"/>
    </row>
    <row r="1035" spans="1:17" x14ac:dyDescent="0.2">
      <c r="A1035" s="211" t="s">
        <v>970</v>
      </c>
      <c r="B1035" s="212"/>
      <c r="C1035" s="212"/>
      <c r="D1035" s="212"/>
      <c r="E1035" s="212"/>
      <c r="F1035" s="212"/>
      <c r="G1035" s="212"/>
      <c r="H1035" s="212"/>
      <c r="I1035" s="212"/>
      <c r="J1035" s="212"/>
      <c r="K1035" s="212"/>
      <c r="L1035" s="212"/>
      <c r="M1035" s="212"/>
      <c r="N1035" s="212"/>
      <c r="O1035" s="212"/>
      <c r="P1035" s="212"/>
      <c r="Q1035" s="38"/>
    </row>
    <row r="1036" spans="1:17" x14ac:dyDescent="0.2">
      <c r="A1036" s="95"/>
      <c r="B1036" s="51"/>
      <c r="C1036" s="51"/>
      <c r="D1036" s="51"/>
      <c r="E1036" s="51"/>
      <c r="F1036" s="51"/>
      <c r="G1036" s="51"/>
      <c r="H1036" s="51"/>
      <c r="I1036" s="51"/>
      <c r="J1036" s="51"/>
      <c r="K1036" s="51"/>
      <c r="L1036" s="51"/>
      <c r="M1036" s="51"/>
      <c r="N1036" s="51"/>
      <c r="O1036" s="51"/>
      <c r="P1036" s="51"/>
      <c r="Q1036" s="38"/>
    </row>
    <row r="1037" spans="1:17" x14ac:dyDescent="0.2">
      <c r="A1037" s="238"/>
      <c r="B1037" s="239"/>
      <c r="C1037" s="72"/>
      <c r="D1037" s="72"/>
      <c r="E1037" s="72"/>
      <c r="F1037" s="140" t="str">
        <f>TEXT(N2,"yyyy")</f>
        <v>2026</v>
      </c>
      <c r="G1037" s="140"/>
      <c r="H1037" s="140"/>
      <c r="I1037" s="140"/>
      <c r="J1037" s="140"/>
      <c r="K1037" s="140"/>
      <c r="L1037" s="238" t="str">
        <f>IF(H72&gt;0,TEXT(H72,"yyyy"),"")</f>
        <v/>
      </c>
      <c r="M1037" s="239"/>
      <c r="N1037" s="239"/>
      <c r="O1037" s="239"/>
      <c r="P1037" s="140"/>
      <c r="Q1037" s="38"/>
    </row>
    <row r="1038" spans="1:17" x14ac:dyDescent="0.2">
      <c r="Q1038" s="2"/>
    </row>
    <row r="1039" spans="1:17" ht="5" customHeight="1" x14ac:dyDescent="0.2">
      <c r="A1039" s="48"/>
      <c r="B1039" s="23"/>
      <c r="C1039" s="23"/>
      <c r="D1039" s="12"/>
      <c r="E1039" s="23"/>
      <c r="F1039" s="33"/>
      <c r="G1039" s="33"/>
      <c r="H1039" s="33"/>
      <c r="I1039" s="33"/>
      <c r="J1039" s="33"/>
      <c r="K1039" s="33"/>
      <c r="L1039" s="33"/>
      <c r="M1039" s="33"/>
      <c r="N1039" s="33"/>
      <c r="O1039" s="33"/>
      <c r="P1039" s="34"/>
      <c r="Q1039" s="2"/>
    </row>
    <row r="1040" spans="1:17" ht="15" customHeight="1" x14ac:dyDescent="0.25">
      <c r="A1040" s="141"/>
      <c r="B1040" s="20"/>
      <c r="C1040" s="20"/>
      <c r="D1040" s="7"/>
      <c r="E1040" s="20"/>
      <c r="F1040" s="316" t="s">
        <v>252</v>
      </c>
      <c r="G1040" s="316"/>
      <c r="H1040" s="316"/>
      <c r="I1040" s="316"/>
      <c r="J1040" s="27"/>
      <c r="K1040" s="27"/>
      <c r="L1040" s="216" t="s">
        <v>252</v>
      </c>
      <c r="M1040" s="216"/>
      <c r="N1040" s="216"/>
      <c r="O1040" s="216"/>
      <c r="P1040" s="26"/>
      <c r="Q1040" s="2"/>
    </row>
    <row r="1041" spans="1:17" ht="16" x14ac:dyDescent="0.25">
      <c r="A1041" s="224" t="s">
        <v>361</v>
      </c>
      <c r="B1041" s="225"/>
      <c r="C1041" s="283"/>
      <c r="D1041" s="284"/>
      <c r="E1041" s="20"/>
      <c r="F1041" s="70" t="s">
        <v>366</v>
      </c>
      <c r="G1041" s="66" t="s">
        <v>61</v>
      </c>
      <c r="H1041" s="213"/>
      <c r="I1041" s="214"/>
      <c r="J1041" s="146"/>
      <c r="K1041" s="109"/>
      <c r="L1041" s="70" t="s">
        <v>956</v>
      </c>
      <c r="M1041" s="66" t="s">
        <v>61</v>
      </c>
      <c r="N1041" s="213"/>
      <c r="O1041" s="214"/>
      <c r="P1041" s="26"/>
      <c r="Q1041" s="2"/>
    </row>
    <row r="1042" spans="1:17" ht="5" customHeight="1" x14ac:dyDescent="0.2">
      <c r="A1042" s="47"/>
      <c r="B1042" s="21"/>
      <c r="C1042" s="21"/>
      <c r="D1042" s="9"/>
      <c r="E1042" s="21"/>
      <c r="F1042" s="10"/>
      <c r="G1042" s="10"/>
      <c r="H1042" s="10"/>
      <c r="I1042" s="10"/>
      <c r="J1042" s="10"/>
      <c r="K1042" s="10"/>
      <c r="L1042" s="10"/>
      <c r="M1042" s="10"/>
      <c r="N1042" s="10"/>
      <c r="O1042" s="10"/>
      <c r="P1042" s="28"/>
      <c r="Q1042" s="2"/>
    </row>
    <row r="1043" spans="1:17" ht="5" customHeight="1" x14ac:dyDescent="0.2">
      <c r="A1043" s="49"/>
      <c r="B1043" s="24"/>
      <c r="C1043" s="24"/>
      <c r="D1043" s="14"/>
      <c r="E1043" s="24"/>
      <c r="F1043" s="29"/>
      <c r="G1043" s="29"/>
      <c r="H1043" s="29"/>
      <c r="I1043" s="29"/>
      <c r="J1043" s="29"/>
      <c r="K1043" s="29"/>
      <c r="L1043" s="29"/>
      <c r="M1043" s="29"/>
      <c r="N1043" s="29"/>
      <c r="O1043" s="29"/>
      <c r="P1043" s="30"/>
      <c r="Q1043" s="2"/>
    </row>
    <row r="1044" spans="1:17" ht="29.25" customHeight="1" x14ac:dyDescent="0.2">
      <c r="A1044" s="265" t="s">
        <v>355</v>
      </c>
      <c r="B1044" s="305"/>
      <c r="C1044" s="306"/>
      <c r="D1044" s="307"/>
      <c r="E1044" s="22"/>
      <c r="F1044" s="70" t="s">
        <v>367</v>
      </c>
      <c r="G1044" s="120" t="s">
        <v>61</v>
      </c>
      <c r="H1044" s="258">
        <f>-ROUND([1]TrialBalance!$EJ$40,D2)</f>
        <v>0</v>
      </c>
      <c r="I1044" s="259"/>
      <c r="J1044" s="155"/>
      <c r="K1044" s="156"/>
      <c r="L1044" s="70" t="s">
        <v>957</v>
      </c>
      <c r="M1044" s="120" t="s">
        <v>61</v>
      </c>
      <c r="N1044" s="258">
        <f>IF(H72&gt;0,-ROUND([1]TrialBalance!$D$40,D2),"")</f>
        <v>0</v>
      </c>
      <c r="O1044" s="259"/>
      <c r="P1044" s="41"/>
      <c r="Q1044" s="2"/>
    </row>
    <row r="1045" spans="1:17" ht="5" customHeight="1" x14ac:dyDescent="0.2">
      <c r="A1045" s="50"/>
      <c r="B1045" s="25"/>
      <c r="C1045" s="25"/>
      <c r="D1045" s="16"/>
      <c r="E1045" s="25"/>
      <c r="F1045" s="31"/>
      <c r="G1045" s="31"/>
      <c r="H1045" s="31"/>
      <c r="I1045" s="31"/>
      <c r="J1045" s="31"/>
      <c r="K1045" s="31"/>
      <c r="L1045" s="31"/>
      <c r="M1045" s="31"/>
      <c r="N1045" s="31"/>
      <c r="O1045" s="31"/>
      <c r="P1045" s="32"/>
      <c r="Q1045" s="2"/>
    </row>
    <row r="1046" spans="1:17" ht="3" customHeight="1" x14ac:dyDescent="0.2">
      <c r="A1046" s="48"/>
      <c r="B1046" s="23"/>
      <c r="C1046" s="23"/>
      <c r="D1046" s="12"/>
      <c r="E1046" s="23"/>
      <c r="F1046" s="33"/>
      <c r="G1046" s="33"/>
      <c r="H1046" s="33"/>
      <c r="I1046" s="33"/>
      <c r="J1046" s="33"/>
      <c r="K1046" s="33"/>
      <c r="L1046" s="33"/>
      <c r="M1046" s="33"/>
      <c r="N1046" s="33"/>
      <c r="O1046" s="33"/>
      <c r="P1046" s="34"/>
      <c r="Q1046" s="2"/>
    </row>
    <row r="1047" spans="1:17" ht="15" hidden="1" customHeight="1" x14ac:dyDescent="0.25">
      <c r="A1047" s="141"/>
      <c r="B1047" s="20"/>
      <c r="C1047" s="20"/>
      <c r="D1047" s="7"/>
      <c r="E1047" s="20"/>
      <c r="F1047" s="316"/>
      <c r="G1047" s="316"/>
      <c r="H1047" s="316"/>
      <c r="I1047" s="316"/>
      <c r="J1047" s="27"/>
      <c r="K1047" s="27"/>
      <c r="L1047" s="216"/>
      <c r="M1047" s="216"/>
      <c r="N1047" s="216"/>
      <c r="O1047" s="216"/>
      <c r="P1047" s="26"/>
      <c r="Q1047" s="2"/>
    </row>
    <row r="1048" spans="1:17" ht="15" customHeight="1" x14ac:dyDescent="0.25">
      <c r="A1048" s="224" t="s">
        <v>359</v>
      </c>
      <c r="B1048" s="225"/>
      <c r="C1048" s="283"/>
      <c r="D1048" s="284"/>
      <c r="E1048" s="20"/>
      <c r="F1048" s="70" t="s">
        <v>368</v>
      </c>
      <c r="G1048" s="66" t="s">
        <v>61</v>
      </c>
      <c r="H1048" s="213">
        <f>IF(-ROUND([1]TrialBalance!$EJ$39,D2)&lt;0,0,-ROUND([1]TrialBalance!$EJ$39,D2))</f>
        <v>0</v>
      </c>
      <c r="I1048" s="214"/>
      <c r="J1048" s="146"/>
      <c r="K1048" s="109"/>
      <c r="L1048" s="70" t="s">
        <v>958</v>
      </c>
      <c r="M1048" s="66" t="s">
        <v>61</v>
      </c>
      <c r="N1048" s="213">
        <f>IF(H72&gt;0,IF(-ROUND([1]TrialBalance!$D$39,D2)&lt;0,0,-ROUND([1]TrialBalance!$D$39,D2)),"")</f>
        <v>0</v>
      </c>
      <c r="O1048" s="214"/>
      <c r="P1048" s="26"/>
      <c r="Q1048" s="2"/>
    </row>
    <row r="1049" spans="1:17" ht="5" customHeight="1" x14ac:dyDescent="0.2">
      <c r="A1049" s="47"/>
      <c r="B1049" s="21"/>
      <c r="C1049" s="21"/>
      <c r="D1049" s="9"/>
      <c r="E1049" s="21"/>
      <c r="F1049" s="10"/>
      <c r="G1049" s="10"/>
      <c r="H1049" s="10"/>
      <c r="I1049" s="10"/>
      <c r="J1049" s="10"/>
      <c r="K1049" s="10"/>
      <c r="L1049" s="10"/>
      <c r="M1049" s="10"/>
      <c r="N1049" s="10"/>
      <c r="O1049" s="10"/>
      <c r="P1049" s="28"/>
      <c r="Q1049" s="2"/>
    </row>
    <row r="1050" spans="1:17" ht="5" customHeight="1" x14ac:dyDescent="0.2">
      <c r="A1050" s="49"/>
      <c r="B1050" s="24"/>
      <c r="C1050" s="24"/>
      <c r="D1050" s="14"/>
      <c r="E1050" s="24"/>
      <c r="F1050" s="29"/>
      <c r="G1050" s="29"/>
      <c r="H1050" s="29"/>
      <c r="I1050" s="29"/>
      <c r="J1050" s="29"/>
      <c r="K1050" s="29"/>
      <c r="L1050" s="29"/>
      <c r="M1050" s="29"/>
      <c r="N1050" s="29"/>
      <c r="O1050" s="29"/>
      <c r="P1050" s="30"/>
      <c r="Q1050" s="2"/>
    </row>
    <row r="1051" spans="1:17" ht="15" customHeight="1" x14ac:dyDescent="0.25">
      <c r="A1051" s="265" t="s">
        <v>212</v>
      </c>
      <c r="B1051" s="305"/>
      <c r="C1051" s="306"/>
      <c r="D1051" s="307"/>
      <c r="E1051" s="22"/>
      <c r="F1051" s="121" t="s">
        <v>369</v>
      </c>
      <c r="G1051" s="122" t="s">
        <v>61</v>
      </c>
      <c r="H1051" s="240">
        <f>H1041+H1044+H1048</f>
        <v>0</v>
      </c>
      <c r="I1051" s="241"/>
      <c r="J1051" s="147"/>
      <c r="K1051" s="151"/>
      <c r="L1051" s="121" t="s">
        <v>959</v>
      </c>
      <c r="M1051" s="122" t="s">
        <v>61</v>
      </c>
      <c r="N1051" s="240">
        <f>IF(H72&gt;0,N1041+N1044+N1048,"")</f>
        <v>0</v>
      </c>
      <c r="O1051" s="241"/>
      <c r="P1051" s="41"/>
      <c r="Q1051" s="2"/>
    </row>
    <row r="1052" spans="1:17" ht="5" customHeight="1" x14ac:dyDescent="0.2">
      <c r="A1052" s="50"/>
      <c r="B1052" s="25"/>
      <c r="C1052" s="25"/>
      <c r="D1052" s="16"/>
      <c r="E1052" s="25"/>
      <c r="F1052" s="31"/>
      <c r="G1052" s="31"/>
      <c r="H1052" s="31"/>
      <c r="I1052" s="31"/>
      <c r="J1052" s="31"/>
      <c r="K1052" s="31"/>
      <c r="L1052" s="31"/>
      <c r="M1052" s="31"/>
      <c r="N1052" s="31"/>
      <c r="O1052" s="31"/>
      <c r="P1052" s="32"/>
      <c r="Q1052" s="2"/>
    </row>
    <row r="1053" spans="1:17" ht="15" customHeight="1" x14ac:dyDescent="0.2">
      <c r="A1053" s="22"/>
      <c r="B1053" s="22"/>
      <c r="C1053" s="22"/>
      <c r="D1053" s="22"/>
      <c r="E1053" s="22"/>
      <c r="F1053" s="40"/>
      <c r="G1053" s="40"/>
      <c r="H1053" s="40"/>
      <c r="I1053" s="40"/>
      <c r="J1053" s="40"/>
      <c r="K1053" s="40"/>
      <c r="L1053" s="40"/>
      <c r="M1053" s="40"/>
      <c r="N1053" s="40"/>
      <c r="O1053" s="40"/>
      <c r="P1053" s="40"/>
      <c r="Q1053" s="2"/>
    </row>
    <row r="1054" spans="1:17" ht="15" customHeight="1" x14ac:dyDescent="0.2">
      <c r="A1054" s="212" t="s">
        <v>209</v>
      </c>
      <c r="B1054" s="212"/>
      <c r="C1054" s="212"/>
      <c r="D1054" s="212"/>
      <c r="E1054" s="212"/>
      <c r="F1054" s="212"/>
      <c r="G1054" s="212"/>
      <c r="H1054" s="212"/>
      <c r="I1054" s="212"/>
      <c r="J1054" s="212"/>
      <c r="K1054" s="212"/>
      <c r="L1054" s="212"/>
      <c r="M1054" s="212"/>
      <c r="N1054" s="212"/>
      <c r="O1054" s="212"/>
      <c r="P1054" s="40"/>
      <c r="Q1054" s="2"/>
    </row>
    <row r="1055" spans="1:17" ht="15" customHeight="1" x14ac:dyDescent="0.2">
      <c r="A1055" s="22"/>
      <c r="B1055" s="22"/>
      <c r="C1055" s="22"/>
      <c r="D1055" s="22"/>
      <c r="E1055" s="22"/>
      <c r="F1055" s="40"/>
      <c r="G1055" s="40"/>
      <c r="H1055" s="40"/>
      <c r="I1055" s="40"/>
      <c r="J1055" s="40"/>
      <c r="K1055" s="40"/>
      <c r="L1055" s="40"/>
      <c r="M1055" s="40"/>
      <c r="N1055" s="40"/>
      <c r="O1055" s="40"/>
      <c r="P1055" s="40"/>
      <c r="Q1055" s="2"/>
    </row>
    <row r="1056" spans="1:17" ht="100" customHeight="1" x14ac:dyDescent="0.2">
      <c r="A1056" s="213" t="str">
        <f>IF(ROUND([1]TrialBalance!$EJ$37,0)&lt;&gt;0,"The total value of Long Term Debtors falling due in more than one year is " &amp; TEXT(ROUND([1]TrialBalance!$EJ$37,0),"0.00"),"")</f>
        <v/>
      </c>
      <c r="B1056" s="346"/>
      <c r="C1056" s="347"/>
      <c r="D1056" s="347"/>
      <c r="E1056" s="347"/>
      <c r="F1056" s="347"/>
      <c r="G1056" s="347"/>
      <c r="H1056" s="347"/>
      <c r="I1056" s="347"/>
      <c r="J1056" s="347"/>
      <c r="K1056" s="347"/>
      <c r="L1056" s="347"/>
      <c r="M1056" s="347"/>
      <c r="N1056" s="347"/>
      <c r="O1056" s="347"/>
      <c r="P1056" s="348"/>
      <c r="Q1056" s="2"/>
    </row>
    <row r="1057" spans="1:17" x14ac:dyDescent="0.2">
      <c r="Q1057" s="2"/>
    </row>
    <row r="1058" spans="1:17" ht="35.25" customHeight="1" x14ac:dyDescent="0.2">
      <c r="A1058" s="334" t="s">
        <v>353</v>
      </c>
      <c r="B1058" s="334"/>
      <c r="C1058" s="334"/>
      <c r="D1058" s="334"/>
      <c r="E1058" s="334"/>
      <c r="F1058" s="334"/>
      <c r="G1058" s="334"/>
      <c r="H1058" s="334"/>
      <c r="I1058" s="334"/>
      <c r="J1058" s="334"/>
      <c r="K1058" s="334"/>
      <c r="L1058" s="334"/>
      <c r="M1058" s="334"/>
      <c r="N1058" s="334"/>
      <c r="O1058" s="334"/>
      <c r="P1058" s="334"/>
      <c r="Q1058" s="2"/>
    </row>
    <row r="1059" spans="1:17" x14ac:dyDescent="0.2">
      <c r="Q1059" s="2"/>
    </row>
    <row r="1060" spans="1:17" ht="29.25" customHeight="1" x14ac:dyDescent="0.2">
      <c r="A1060" s="266" t="s">
        <v>348</v>
      </c>
      <c r="B1060" s="266"/>
      <c r="C1060" s="266"/>
      <c r="D1060" s="266"/>
      <c r="E1060" s="266"/>
      <c r="F1060" s="266"/>
      <c r="G1060" s="266"/>
      <c r="H1060" s="266"/>
      <c r="I1060" s="266"/>
      <c r="J1060" s="58" t="s">
        <v>31</v>
      </c>
      <c r="K1060" s="59"/>
      <c r="L1060" s="60"/>
      <c r="M1060" s="59" t="s">
        <v>29</v>
      </c>
      <c r="N1060" s="117" t="s">
        <v>138</v>
      </c>
      <c r="O1060" s="59" t="s">
        <v>30</v>
      </c>
      <c r="Q1060" s="2"/>
    </row>
    <row r="1061" spans="1:17" x14ac:dyDescent="0.2">
      <c r="Q1061" s="2"/>
    </row>
    <row r="1065" spans="1:17" ht="16" x14ac:dyDescent="0.2">
      <c r="A1065" s="231" t="s">
        <v>145</v>
      </c>
      <c r="B1065" s="232"/>
      <c r="C1065" s="232"/>
      <c r="D1065" s="232"/>
      <c r="F1065" s="233"/>
      <c r="G1065" s="233"/>
      <c r="H1065" s="233"/>
      <c r="I1065" s="233"/>
      <c r="J1065" s="233"/>
      <c r="K1065" s="233"/>
      <c r="L1065" s="233"/>
      <c r="M1065" s="233"/>
      <c r="N1065" s="233"/>
      <c r="O1065" s="233"/>
      <c r="P1065" s="233"/>
      <c r="Q1065" s="233"/>
    </row>
    <row r="1066" spans="1:17" ht="5" customHeight="1" x14ac:dyDescent="0.2">
      <c r="A1066" s="1"/>
      <c r="B1066" s="1"/>
      <c r="C1066" s="1"/>
      <c r="D1066" s="1"/>
      <c r="E1066" s="1"/>
      <c r="F1066" s="1"/>
      <c r="G1066" s="1"/>
      <c r="H1066" s="1"/>
      <c r="I1066" s="1"/>
      <c r="J1066" s="1"/>
      <c r="K1066" s="1"/>
      <c r="L1066" s="1"/>
      <c r="M1066" s="1"/>
      <c r="N1066" s="1"/>
      <c r="O1066" s="1"/>
      <c r="P1066" s="1"/>
      <c r="Q1066" s="1"/>
    </row>
    <row r="1067" spans="1:17" x14ac:dyDescent="0.2">
      <c r="A1067" s="234" t="s">
        <v>127</v>
      </c>
      <c r="B1067" s="235"/>
      <c r="C1067" s="235"/>
      <c r="D1067" s="235"/>
      <c r="E1067" s="236"/>
      <c r="F1067" s="236"/>
      <c r="G1067" s="236"/>
      <c r="H1067" s="236"/>
      <c r="I1067" s="236"/>
      <c r="J1067" s="236"/>
      <c r="K1067" s="236"/>
      <c r="L1067" s="236"/>
      <c r="M1067" s="236"/>
      <c r="N1067" s="236"/>
      <c r="O1067" s="236"/>
      <c r="P1067" s="236"/>
      <c r="Q1067" s="237"/>
    </row>
    <row r="1068" spans="1:17" x14ac:dyDescent="0.2">
      <c r="A1068" s="211" t="s">
        <v>370</v>
      </c>
      <c r="B1068" s="212"/>
      <c r="C1068" s="212"/>
      <c r="D1068" s="212"/>
      <c r="E1068" s="212"/>
      <c r="F1068" s="212"/>
      <c r="G1068" s="212"/>
      <c r="H1068" s="212"/>
      <c r="I1068" s="212"/>
      <c r="J1068" s="212"/>
      <c r="K1068" s="212"/>
      <c r="L1068" s="212"/>
      <c r="M1068" s="212"/>
      <c r="N1068" s="212"/>
      <c r="O1068" s="212"/>
      <c r="P1068" s="212"/>
      <c r="Q1068" s="38"/>
    </row>
    <row r="1069" spans="1:17" x14ac:dyDescent="0.2">
      <c r="A1069" s="62"/>
      <c r="B1069" s="51"/>
      <c r="C1069" s="51"/>
      <c r="D1069" s="51"/>
      <c r="E1069" s="51"/>
      <c r="F1069" s="51"/>
      <c r="G1069" s="51"/>
      <c r="H1069" s="51"/>
      <c r="I1069" s="51"/>
      <c r="J1069" s="51"/>
      <c r="K1069" s="51"/>
      <c r="L1069" s="51"/>
      <c r="M1069" s="51"/>
      <c r="N1069" s="51"/>
      <c r="O1069" s="51"/>
      <c r="P1069" s="51"/>
      <c r="Q1069" s="38"/>
    </row>
    <row r="1070" spans="1:17" x14ac:dyDescent="0.2">
      <c r="A1070" s="211" t="s">
        <v>970</v>
      </c>
      <c r="B1070" s="212"/>
      <c r="C1070" s="212"/>
      <c r="D1070" s="212"/>
      <c r="E1070" s="212"/>
      <c r="F1070" s="212"/>
      <c r="G1070" s="212"/>
      <c r="H1070" s="212"/>
      <c r="I1070" s="212"/>
      <c r="J1070" s="212"/>
      <c r="K1070" s="212"/>
      <c r="L1070" s="212"/>
      <c r="M1070" s="212"/>
      <c r="N1070" s="212"/>
      <c r="O1070" s="212"/>
      <c r="P1070" s="212"/>
      <c r="Q1070" s="38"/>
    </row>
    <row r="1071" spans="1:17" x14ac:dyDescent="0.2">
      <c r="A1071" s="95"/>
      <c r="B1071" s="51"/>
      <c r="C1071" s="51"/>
      <c r="D1071" s="51"/>
      <c r="E1071" s="51"/>
      <c r="F1071" s="51"/>
      <c r="G1071" s="51"/>
      <c r="H1071" s="118"/>
      <c r="I1071" s="51"/>
      <c r="J1071" s="51"/>
      <c r="K1071" s="51"/>
      <c r="L1071" s="51"/>
      <c r="M1071" s="51"/>
      <c r="N1071" s="51"/>
      <c r="O1071" s="51"/>
      <c r="P1071" s="51"/>
      <c r="Q1071" s="38"/>
    </row>
    <row r="1072" spans="1:17" x14ac:dyDescent="0.2">
      <c r="A1072" s="62" t="s">
        <v>499</v>
      </c>
      <c r="B1072" s="118"/>
      <c r="C1072" s="51"/>
      <c r="D1072" s="51"/>
      <c r="E1072" s="51"/>
      <c r="F1072" s="354" t="str">
        <f>IF(H72&gt;0,TEXT(H72,"yyyy"),"")</f>
        <v/>
      </c>
      <c r="G1072" s="306"/>
      <c r="H1072" s="306"/>
      <c r="I1072" s="306"/>
      <c r="J1072" s="306"/>
      <c r="K1072" s="306"/>
      <c r="L1072" s="306"/>
      <c r="M1072" s="306"/>
      <c r="N1072" s="306"/>
      <c r="O1072" s="306"/>
      <c r="P1072" s="123"/>
      <c r="Q1072" s="38"/>
    </row>
    <row r="1073" spans="1:17" x14ac:dyDescent="0.2">
      <c r="A1073" s="62"/>
      <c r="B1073" s="118"/>
      <c r="C1073" s="51"/>
      <c r="D1073" s="51"/>
      <c r="E1073" s="51"/>
      <c r="F1073" s="123"/>
      <c r="G1073" s="162"/>
      <c r="H1073" s="162"/>
      <c r="I1073" s="162"/>
      <c r="J1073" s="162"/>
      <c r="K1073" s="162"/>
      <c r="L1073" s="162"/>
      <c r="M1073" s="162"/>
      <c r="N1073" s="162"/>
      <c r="O1073" s="162"/>
      <c r="P1073" s="123"/>
      <c r="Q1073" s="38"/>
    </row>
    <row r="1074" spans="1:17" ht="28.5" customHeight="1" x14ac:dyDescent="0.2">
      <c r="A1074" s="174" t="s">
        <v>372</v>
      </c>
      <c r="B1074" s="62"/>
      <c r="C1074" s="332" t="s">
        <v>496</v>
      </c>
      <c r="D1074" s="333"/>
      <c r="E1074" s="333"/>
      <c r="F1074" s="332" t="s">
        <v>497</v>
      </c>
      <c r="G1074" s="333"/>
      <c r="H1074" s="333"/>
      <c r="I1074" s="173"/>
      <c r="J1074" s="173"/>
      <c r="K1074" s="332" t="s">
        <v>498</v>
      </c>
      <c r="L1074" s="333"/>
      <c r="M1074" s="333"/>
      <c r="N1074" s="62"/>
      <c r="O1074" s="62"/>
      <c r="Q1074" s="2"/>
    </row>
    <row r="1075" spans="1:17" ht="5" customHeight="1" x14ac:dyDescent="0.2">
      <c r="A1075" s="48"/>
      <c r="B1075" s="12"/>
      <c r="C1075" s="23"/>
      <c r="D1075" s="23"/>
      <c r="E1075" s="12"/>
      <c r="F1075" s="33"/>
      <c r="G1075" s="33"/>
      <c r="H1075" s="33"/>
      <c r="I1075" s="33"/>
      <c r="J1075" s="34"/>
      <c r="K1075" s="33"/>
      <c r="L1075" s="33"/>
      <c r="M1075" s="33"/>
      <c r="N1075" s="33"/>
      <c r="O1075" s="33"/>
      <c r="P1075" s="34"/>
      <c r="Q1075" s="2"/>
    </row>
    <row r="1076" spans="1:17" ht="15" customHeight="1" x14ac:dyDescent="0.2">
      <c r="A1076" s="141"/>
      <c r="B1076" s="7"/>
      <c r="C1076" s="356" t="s">
        <v>507</v>
      </c>
      <c r="D1076" s="345"/>
      <c r="E1076" s="345"/>
      <c r="F1076" s="345"/>
      <c r="G1076" s="345"/>
      <c r="H1076" s="345"/>
      <c r="I1076" s="345"/>
      <c r="J1076" s="345"/>
      <c r="K1076" s="345"/>
      <c r="L1076" s="345"/>
      <c r="M1076" s="345"/>
      <c r="N1076" s="345"/>
      <c r="O1076" s="345"/>
      <c r="P1076" s="26"/>
      <c r="Q1076" s="2"/>
    </row>
    <row r="1077" spans="1:17" ht="16" x14ac:dyDescent="0.25">
      <c r="A1077" s="224" t="s">
        <v>373</v>
      </c>
      <c r="B1077" s="284"/>
      <c r="C1077" s="126" t="s">
        <v>500</v>
      </c>
      <c r="D1077" s="172"/>
      <c r="E1077" s="127"/>
      <c r="F1077" s="166"/>
      <c r="G1077" s="27"/>
      <c r="H1077" s="126" t="s">
        <v>502</v>
      </c>
      <c r="I1077" s="165"/>
      <c r="J1077" s="128"/>
      <c r="K1077" s="167"/>
      <c r="L1077" s="126" t="s">
        <v>504</v>
      </c>
      <c r="M1077" s="124" t="s">
        <v>61</v>
      </c>
      <c r="N1077" s="351">
        <f>D1077*I1077</f>
        <v>0</v>
      </c>
      <c r="O1077" s="212"/>
      <c r="P1077" s="26"/>
      <c r="Q1077" s="2"/>
    </row>
    <row r="1078" spans="1:17" ht="5" customHeight="1" x14ac:dyDescent="0.2">
      <c r="A1078" s="47"/>
      <c r="B1078" s="9"/>
      <c r="C1078" s="21"/>
      <c r="D1078" s="21"/>
      <c r="E1078" s="9"/>
      <c r="F1078" s="10"/>
      <c r="G1078" s="10"/>
      <c r="H1078" s="10"/>
      <c r="I1078" s="10"/>
      <c r="J1078" s="28"/>
      <c r="K1078" s="10"/>
      <c r="L1078" s="10"/>
      <c r="M1078" s="10"/>
      <c r="N1078" s="10"/>
      <c r="O1078" s="10"/>
      <c r="P1078" s="28"/>
      <c r="Q1078" s="2"/>
    </row>
    <row r="1079" spans="1:17" ht="5" customHeight="1" x14ac:dyDescent="0.2">
      <c r="A1079" s="49"/>
      <c r="B1079" s="14"/>
      <c r="C1079" s="24"/>
      <c r="D1079" s="24"/>
      <c r="E1079" s="150"/>
      <c r="F1079" s="40"/>
      <c r="G1079" s="29"/>
      <c r="H1079" s="29"/>
      <c r="I1079" s="29"/>
      <c r="J1079" s="30"/>
      <c r="K1079" s="29"/>
      <c r="L1079" s="29"/>
      <c r="M1079" s="29"/>
      <c r="N1079" s="29"/>
      <c r="O1079" s="29"/>
      <c r="P1079" s="30"/>
      <c r="Q1079" s="2"/>
    </row>
    <row r="1080" spans="1:17" ht="15" customHeight="1" x14ac:dyDescent="0.2">
      <c r="A1080" s="61"/>
      <c r="B1080" s="150"/>
      <c r="C1080" s="349"/>
      <c r="D1080" s="345"/>
      <c r="E1080" s="345"/>
      <c r="F1080" s="349"/>
      <c r="G1080" s="345"/>
      <c r="H1080" s="345"/>
      <c r="I1080" s="345"/>
      <c r="J1080" s="350"/>
      <c r="K1080" s="40"/>
      <c r="L1080" s="40"/>
      <c r="M1080" s="40"/>
      <c r="N1080" s="40"/>
      <c r="O1080" s="40"/>
      <c r="P1080" s="41"/>
      <c r="Q1080" s="2"/>
    </row>
    <row r="1081" spans="1:17" ht="15" customHeight="1" x14ac:dyDescent="0.2">
      <c r="A1081" s="265" t="s">
        <v>374</v>
      </c>
      <c r="B1081" s="307"/>
      <c r="C1081" s="126" t="s">
        <v>501</v>
      </c>
      <c r="D1081" s="172"/>
      <c r="E1081" s="150"/>
      <c r="F1081" s="170"/>
      <c r="G1081" s="40"/>
      <c r="H1081" s="126" t="s">
        <v>503</v>
      </c>
      <c r="I1081" s="165"/>
      <c r="J1081" s="129"/>
      <c r="K1081" s="168"/>
      <c r="L1081" s="126" t="s">
        <v>505</v>
      </c>
      <c r="M1081" s="125" t="s">
        <v>61</v>
      </c>
      <c r="N1081" s="352">
        <f>D1081*I1082</f>
        <v>0</v>
      </c>
      <c r="O1081" s="345"/>
      <c r="P1081" s="41"/>
      <c r="Q1081" s="2"/>
    </row>
    <row r="1082" spans="1:17" ht="5" customHeight="1" x14ac:dyDescent="0.2">
      <c r="A1082" s="50"/>
      <c r="B1082" s="16"/>
      <c r="C1082" s="171"/>
      <c r="D1082" s="25"/>
      <c r="E1082" s="16"/>
      <c r="F1082" s="31"/>
      <c r="G1082" s="31"/>
      <c r="H1082" s="31"/>
      <c r="I1082" s="31"/>
      <c r="J1082" s="32"/>
      <c r="K1082" s="169"/>
      <c r="L1082" s="31"/>
      <c r="M1082" s="31"/>
      <c r="N1082" s="353"/>
      <c r="O1082" s="353"/>
      <c r="P1082" s="32"/>
      <c r="Q1082" s="2"/>
    </row>
    <row r="1083" spans="1:17" ht="5" customHeight="1" x14ac:dyDescent="0.2">
      <c r="A1083" s="48"/>
      <c r="B1083" s="12"/>
      <c r="C1083" s="23"/>
      <c r="D1083" s="23"/>
      <c r="E1083" s="12"/>
      <c r="F1083" s="33"/>
      <c r="G1083" s="33"/>
      <c r="H1083" s="33"/>
      <c r="I1083" s="33"/>
      <c r="J1083" s="34"/>
      <c r="K1083" s="33"/>
      <c r="L1083" s="33"/>
      <c r="M1083" s="33"/>
      <c r="N1083" s="33"/>
      <c r="O1083" s="33"/>
      <c r="P1083" s="34"/>
      <c r="Q1083" s="2"/>
    </row>
    <row r="1084" spans="1:17" ht="15" customHeight="1" x14ac:dyDescent="0.25">
      <c r="A1084" s="224" t="s">
        <v>375</v>
      </c>
      <c r="B1084" s="284"/>
      <c r="C1084" s="20"/>
      <c r="D1084" s="20"/>
      <c r="E1084" s="7"/>
      <c r="F1084" s="109"/>
      <c r="G1084" s="109"/>
      <c r="H1084" s="109"/>
      <c r="I1084" s="109"/>
      <c r="J1084" s="127"/>
      <c r="K1084" s="167"/>
      <c r="L1084" s="126" t="s">
        <v>506</v>
      </c>
      <c r="M1084" s="124" t="s">
        <v>61</v>
      </c>
      <c r="N1084" s="351">
        <f>IF(H72&gt;0,ROUND([1]OpenAccounts!$E$33,D2),"")</f>
        <v>0</v>
      </c>
      <c r="O1084" s="212"/>
      <c r="P1084" s="26"/>
      <c r="Q1084" s="2"/>
    </row>
    <row r="1085" spans="1:17" ht="5" customHeight="1" x14ac:dyDescent="0.2">
      <c r="A1085" s="47"/>
      <c r="B1085" s="9"/>
      <c r="C1085" s="21"/>
      <c r="D1085" s="21"/>
      <c r="E1085" s="9"/>
      <c r="F1085" s="10"/>
      <c r="G1085" s="10"/>
      <c r="H1085" s="10"/>
      <c r="I1085" s="10"/>
      <c r="J1085" s="28"/>
      <c r="K1085" s="10"/>
      <c r="L1085" s="10"/>
      <c r="M1085" s="10"/>
      <c r="N1085" s="10"/>
      <c r="O1085" s="10"/>
      <c r="P1085" s="28"/>
      <c r="Q1085" s="2"/>
    </row>
    <row r="1086" spans="1:17" ht="15" customHeight="1" x14ac:dyDescent="0.2">
      <c r="A1086" s="22"/>
      <c r="B1086" s="22"/>
      <c r="C1086" s="22"/>
      <c r="D1086" s="22"/>
      <c r="E1086" s="22"/>
      <c r="F1086" s="40"/>
      <c r="G1086" s="40"/>
      <c r="H1086" s="40"/>
      <c r="I1086" s="40"/>
      <c r="J1086" s="40"/>
      <c r="K1086" s="40"/>
      <c r="L1086" s="40"/>
      <c r="M1086" s="40"/>
      <c r="N1086" s="40"/>
      <c r="O1086" s="40"/>
      <c r="P1086" s="40"/>
      <c r="Q1086" s="2"/>
    </row>
    <row r="1087" spans="1:17" x14ac:dyDescent="0.2">
      <c r="A1087" s="62" t="s">
        <v>371</v>
      </c>
      <c r="B1087" s="118"/>
      <c r="C1087" s="51"/>
      <c r="D1087" s="51"/>
      <c r="E1087" s="51"/>
      <c r="F1087" s="354" t="str">
        <f>TEXT(N2,"yyyy")</f>
        <v>2026</v>
      </c>
      <c r="G1087" s="306"/>
      <c r="H1087" s="306"/>
      <c r="I1087" s="306"/>
      <c r="J1087" s="306"/>
      <c r="K1087" s="306"/>
      <c r="L1087" s="306"/>
      <c r="M1087" s="306"/>
      <c r="N1087" s="306"/>
      <c r="O1087" s="306"/>
      <c r="P1087" s="123"/>
      <c r="Q1087" s="38"/>
    </row>
    <row r="1088" spans="1:17" x14ac:dyDescent="0.2">
      <c r="A1088" s="62"/>
      <c r="B1088" s="118"/>
      <c r="C1088" s="51"/>
      <c r="D1088" s="51"/>
      <c r="E1088" s="51"/>
      <c r="F1088" s="123"/>
      <c r="G1088" s="162"/>
      <c r="H1088" s="162"/>
      <c r="I1088" s="162"/>
      <c r="J1088" s="162"/>
      <c r="K1088" s="162"/>
      <c r="L1088" s="162"/>
      <c r="M1088" s="162"/>
      <c r="N1088" s="162"/>
      <c r="O1088" s="162"/>
      <c r="P1088" s="123"/>
      <c r="Q1088" s="38"/>
    </row>
    <row r="1089" spans="1:17" ht="28.5" customHeight="1" x14ac:dyDescent="0.2">
      <c r="A1089" s="174" t="s">
        <v>372</v>
      </c>
      <c r="B1089" s="62"/>
      <c r="C1089" s="332" t="s">
        <v>496</v>
      </c>
      <c r="D1089" s="333"/>
      <c r="E1089" s="333"/>
      <c r="F1089" s="332" t="s">
        <v>497</v>
      </c>
      <c r="G1089" s="333"/>
      <c r="H1089" s="333"/>
      <c r="I1089" s="173"/>
      <c r="J1089" s="173"/>
      <c r="K1089" s="332" t="s">
        <v>498</v>
      </c>
      <c r="L1089" s="333"/>
      <c r="M1089" s="333"/>
      <c r="N1089" s="62"/>
      <c r="O1089" s="62"/>
      <c r="Q1089" s="2"/>
    </row>
    <row r="1090" spans="1:17" ht="5" customHeight="1" x14ac:dyDescent="0.2">
      <c r="A1090" s="48"/>
      <c r="B1090" s="12"/>
      <c r="C1090" s="23"/>
      <c r="D1090" s="23"/>
      <c r="E1090" s="12"/>
      <c r="F1090" s="33"/>
      <c r="G1090" s="33"/>
      <c r="H1090" s="33"/>
      <c r="I1090" s="33"/>
      <c r="J1090" s="34"/>
      <c r="K1090" s="33"/>
      <c r="L1090" s="33"/>
      <c r="M1090" s="33"/>
      <c r="N1090" s="33"/>
      <c r="O1090" s="33"/>
      <c r="P1090" s="34"/>
      <c r="Q1090" s="2"/>
    </row>
    <row r="1091" spans="1:17" ht="16" x14ac:dyDescent="0.25">
      <c r="A1091" s="224" t="s">
        <v>373</v>
      </c>
      <c r="B1091" s="284"/>
      <c r="C1091" s="126" t="s">
        <v>376</v>
      </c>
      <c r="D1091" s="172">
        <f>[2]RegisterofMembers!$G$1</f>
        <v>0</v>
      </c>
      <c r="E1091" s="127"/>
      <c r="F1091" s="166"/>
      <c r="G1091" s="27"/>
      <c r="H1091" s="126" t="s">
        <v>378</v>
      </c>
      <c r="I1091" s="165">
        <f>[2]RegisterofMembers!$F$1</f>
        <v>1</v>
      </c>
      <c r="J1091" s="128"/>
      <c r="K1091" s="167"/>
      <c r="L1091" s="126" t="s">
        <v>493</v>
      </c>
      <c r="M1091" s="124" t="s">
        <v>61</v>
      </c>
      <c r="N1091" s="351">
        <f>D1091*I1091</f>
        <v>0</v>
      </c>
      <c r="O1091" s="212"/>
      <c r="P1091" s="26"/>
      <c r="Q1091" s="2"/>
    </row>
    <row r="1092" spans="1:17" ht="5" customHeight="1" x14ac:dyDescent="0.2">
      <c r="A1092" s="47"/>
      <c r="B1092" s="9"/>
      <c r="C1092" s="21"/>
      <c r="D1092" s="21"/>
      <c r="E1092" s="9"/>
      <c r="F1092" s="10"/>
      <c r="G1092" s="10"/>
      <c r="H1092" s="10"/>
      <c r="I1092" s="10"/>
      <c r="J1092" s="28"/>
      <c r="K1092" s="10"/>
      <c r="L1092" s="10"/>
      <c r="M1092" s="10"/>
      <c r="N1092" s="10"/>
      <c r="O1092" s="10"/>
      <c r="P1092" s="28"/>
      <c r="Q1092" s="2"/>
    </row>
    <row r="1093" spans="1:17" ht="5" customHeight="1" x14ac:dyDescent="0.2">
      <c r="A1093" s="49"/>
      <c r="B1093" s="14"/>
      <c r="C1093" s="24"/>
      <c r="D1093" s="24"/>
      <c r="E1093" s="150"/>
      <c r="F1093" s="40"/>
      <c r="G1093" s="29"/>
      <c r="H1093" s="29"/>
      <c r="I1093" s="29"/>
      <c r="J1093" s="30"/>
      <c r="K1093" s="29"/>
      <c r="L1093" s="29"/>
      <c r="M1093" s="29"/>
      <c r="N1093" s="29"/>
      <c r="O1093" s="29"/>
      <c r="P1093" s="30"/>
      <c r="Q1093" s="2"/>
    </row>
    <row r="1094" spans="1:17" ht="15" customHeight="1" x14ac:dyDescent="0.2">
      <c r="A1094" s="61"/>
      <c r="B1094" s="150"/>
      <c r="C1094" s="349"/>
      <c r="D1094" s="345"/>
      <c r="E1094" s="345"/>
      <c r="F1094" s="349" t="s">
        <v>449</v>
      </c>
      <c r="G1094" s="345"/>
      <c r="H1094" s="345"/>
      <c r="I1094" s="345"/>
      <c r="J1094" s="350"/>
      <c r="K1094" s="40"/>
      <c r="L1094" s="40"/>
      <c r="M1094" s="40"/>
      <c r="N1094" s="40"/>
      <c r="O1094" s="40"/>
      <c r="P1094" s="41"/>
      <c r="Q1094" s="2"/>
    </row>
    <row r="1095" spans="1:17" ht="15" customHeight="1" x14ac:dyDescent="0.2">
      <c r="A1095" s="265" t="s">
        <v>374</v>
      </c>
      <c r="B1095" s="307"/>
      <c r="C1095" s="126" t="s">
        <v>377</v>
      </c>
      <c r="D1095" s="172"/>
      <c r="E1095" s="150"/>
      <c r="F1095" s="170"/>
      <c r="G1095" s="40"/>
      <c r="H1095" s="126" t="s">
        <v>379</v>
      </c>
      <c r="I1095" s="165"/>
      <c r="J1095" s="129"/>
      <c r="K1095" s="168"/>
      <c r="L1095" s="126" t="s">
        <v>494</v>
      </c>
      <c r="M1095" s="125" t="s">
        <v>61</v>
      </c>
      <c r="N1095" s="352">
        <f>D1095*I1095</f>
        <v>0</v>
      </c>
      <c r="O1095" s="345"/>
      <c r="P1095" s="41"/>
      <c r="Q1095" s="2"/>
    </row>
    <row r="1096" spans="1:17" ht="5" customHeight="1" x14ac:dyDescent="0.2">
      <c r="A1096" s="50"/>
      <c r="B1096" s="16"/>
      <c r="C1096" s="171"/>
      <c r="D1096" s="25"/>
      <c r="E1096" s="16"/>
      <c r="F1096" s="31"/>
      <c r="G1096" s="31"/>
      <c r="H1096" s="31"/>
      <c r="I1096" s="31"/>
      <c r="J1096" s="32"/>
      <c r="K1096" s="169"/>
      <c r="L1096" s="31"/>
      <c r="M1096" s="31"/>
      <c r="N1096" s="353"/>
      <c r="O1096" s="353"/>
      <c r="P1096" s="32"/>
      <c r="Q1096" s="2"/>
    </row>
    <row r="1097" spans="1:17" ht="5" customHeight="1" x14ac:dyDescent="0.2">
      <c r="A1097" s="48"/>
      <c r="B1097" s="12"/>
      <c r="C1097" s="23"/>
      <c r="D1097" s="23"/>
      <c r="E1097" s="12"/>
      <c r="F1097" s="33"/>
      <c r="G1097" s="33"/>
      <c r="H1097" s="33"/>
      <c r="I1097" s="33"/>
      <c r="J1097" s="34"/>
      <c r="K1097" s="33"/>
      <c r="L1097" s="33"/>
      <c r="M1097" s="33"/>
      <c r="N1097" s="33"/>
      <c r="O1097" s="33"/>
      <c r="P1097" s="34"/>
      <c r="Q1097" s="2"/>
    </row>
    <row r="1098" spans="1:17" ht="15" customHeight="1" x14ac:dyDescent="0.25">
      <c r="A1098" s="224" t="s">
        <v>375</v>
      </c>
      <c r="B1098" s="284"/>
      <c r="C1098" s="20"/>
      <c r="D1098" s="20"/>
      <c r="E1098" s="7"/>
      <c r="F1098" s="109"/>
      <c r="G1098" s="109"/>
      <c r="H1098" s="109"/>
      <c r="I1098" s="109"/>
      <c r="J1098" s="127"/>
      <c r="K1098" s="167"/>
      <c r="L1098" s="126" t="s">
        <v>495</v>
      </c>
      <c r="M1098" s="124" t="s">
        <v>61</v>
      </c>
      <c r="N1098" s="351">
        <f>N1091+N1095</f>
        <v>0</v>
      </c>
      <c r="O1098" s="212"/>
      <c r="P1098" s="26"/>
      <c r="Q1098" s="2"/>
    </row>
    <row r="1099" spans="1:17" ht="5" customHeight="1" x14ac:dyDescent="0.2">
      <c r="A1099" s="47"/>
      <c r="B1099" s="9"/>
      <c r="C1099" s="21"/>
      <c r="D1099" s="21"/>
      <c r="E1099" s="9"/>
      <c r="F1099" s="10"/>
      <c r="G1099" s="10"/>
      <c r="H1099" s="10"/>
      <c r="I1099" s="10"/>
      <c r="J1099" s="28"/>
      <c r="K1099" s="10"/>
      <c r="L1099" s="10"/>
      <c r="M1099" s="10"/>
      <c r="N1099" s="10"/>
      <c r="O1099" s="10"/>
      <c r="P1099" s="28"/>
      <c r="Q1099" s="2"/>
    </row>
    <row r="1100" spans="1:17" ht="15" customHeight="1" x14ac:dyDescent="0.2">
      <c r="A1100" s="22"/>
      <c r="B1100" s="22"/>
      <c r="C1100" s="22"/>
      <c r="D1100" s="22"/>
      <c r="E1100" s="22"/>
      <c r="F1100" s="40"/>
      <c r="G1100" s="40"/>
      <c r="H1100" s="40"/>
      <c r="I1100" s="40"/>
      <c r="J1100" s="40"/>
      <c r="K1100" s="40"/>
      <c r="L1100" s="40"/>
      <c r="M1100" s="40"/>
      <c r="N1100" s="40"/>
      <c r="O1100" s="40"/>
      <c r="P1100" s="40"/>
      <c r="Q1100" s="2"/>
    </row>
    <row r="1101" spans="1:17" ht="15" customHeight="1" x14ac:dyDescent="0.2">
      <c r="A1101" s="212" t="s">
        <v>209</v>
      </c>
      <c r="B1101" s="212"/>
      <c r="C1101" s="212"/>
      <c r="D1101" s="212"/>
      <c r="E1101" s="212"/>
      <c r="F1101" s="212"/>
      <c r="G1101" s="212"/>
      <c r="H1101" s="212"/>
      <c r="I1101" s="212"/>
      <c r="J1101" s="212"/>
      <c r="K1101" s="212"/>
      <c r="L1101" s="212"/>
      <c r="M1101" s="212"/>
      <c r="N1101" s="212"/>
      <c r="O1101" s="212"/>
      <c r="P1101" s="40"/>
      <c r="Q1101" s="2"/>
    </row>
    <row r="1102" spans="1:17" ht="15" customHeight="1" x14ac:dyDescent="0.2">
      <c r="A1102" s="22"/>
      <c r="B1102" s="22"/>
      <c r="C1102" s="22"/>
      <c r="D1102" s="22"/>
      <c r="E1102" s="22"/>
      <c r="F1102" s="40"/>
      <c r="G1102" s="40"/>
      <c r="H1102" s="40"/>
      <c r="I1102" s="40"/>
      <c r="J1102" s="40"/>
      <c r="K1102" s="40"/>
      <c r="L1102" s="40"/>
      <c r="M1102" s="40"/>
      <c r="N1102" s="40"/>
      <c r="O1102" s="40"/>
      <c r="P1102" s="40"/>
      <c r="Q1102" s="2"/>
    </row>
    <row r="1103" spans="1:17" ht="100" customHeight="1" x14ac:dyDescent="0.2">
      <c r="A1103" s="213" t="str">
        <f>IF(ROUND([1]TrialBalance!$EJ$37,0)&lt;&gt;0,"The total value of Long Term Debtors falling due in more than one year is " &amp; TEXT(ROUND([1]TrialBalance!$EJ$37,0),"0.00"),"")</f>
        <v/>
      </c>
      <c r="B1103" s="346"/>
      <c r="C1103" s="347"/>
      <c r="D1103" s="347"/>
      <c r="E1103" s="347"/>
      <c r="F1103" s="347"/>
      <c r="G1103" s="347"/>
      <c r="H1103" s="347"/>
      <c r="I1103" s="347"/>
      <c r="J1103" s="347"/>
      <c r="K1103" s="347"/>
      <c r="L1103" s="347"/>
      <c r="M1103" s="347"/>
      <c r="N1103" s="347"/>
      <c r="O1103" s="347"/>
      <c r="P1103" s="348"/>
      <c r="Q1103" s="2"/>
    </row>
    <row r="1104" spans="1:17" ht="15" customHeight="1" x14ac:dyDescent="0.2">
      <c r="Q1104" s="2"/>
    </row>
    <row r="1106" spans="1:256" ht="16" x14ac:dyDescent="0.2">
      <c r="A1106" s="231" t="s">
        <v>145</v>
      </c>
      <c r="B1106" s="232"/>
      <c r="C1106" s="232"/>
      <c r="D1106" s="232"/>
      <c r="F1106" s="233"/>
      <c r="G1106" s="233"/>
      <c r="H1106" s="233"/>
      <c r="I1106" s="233"/>
      <c r="J1106" s="233"/>
      <c r="K1106" s="233"/>
      <c r="L1106" s="233"/>
      <c r="M1106" s="233"/>
      <c r="N1106" s="233"/>
      <c r="O1106" s="233"/>
      <c r="P1106" s="233"/>
      <c r="Q1106" s="233"/>
    </row>
    <row r="1107" spans="1:256" ht="5" customHeight="1" x14ac:dyDescent="0.2">
      <c r="A1107" s="1"/>
      <c r="B1107" s="1"/>
      <c r="C1107" s="1"/>
      <c r="D1107" s="1"/>
      <c r="E1107" s="1"/>
      <c r="F1107" s="1"/>
      <c r="G1107" s="1"/>
      <c r="H1107" s="1"/>
      <c r="I1107" s="1"/>
      <c r="J1107" s="1"/>
      <c r="K1107" s="1"/>
      <c r="L1107" s="1"/>
      <c r="M1107" s="1"/>
      <c r="N1107" s="1"/>
      <c r="O1107" s="1"/>
      <c r="P1107" s="1"/>
      <c r="Q1107" s="1"/>
    </row>
    <row r="1108" spans="1:256" x14ac:dyDescent="0.2">
      <c r="A1108" s="234" t="s">
        <v>163</v>
      </c>
      <c r="B1108" s="235"/>
      <c r="C1108" s="235"/>
      <c r="D1108" s="235"/>
      <c r="E1108" s="236"/>
      <c r="F1108" s="236"/>
      <c r="G1108" s="236"/>
      <c r="H1108" s="236"/>
      <c r="I1108" s="236"/>
      <c r="J1108" s="236"/>
      <c r="K1108" s="236"/>
      <c r="L1108" s="236"/>
      <c r="M1108" s="236"/>
      <c r="N1108" s="236"/>
      <c r="O1108" s="236"/>
      <c r="P1108" s="236"/>
      <c r="Q1108" s="237"/>
    </row>
    <row r="1109" spans="1:256" x14ac:dyDescent="0.2">
      <c r="A1109" s="211" t="s">
        <v>380</v>
      </c>
      <c r="B1109" s="212"/>
      <c r="C1109" s="212"/>
      <c r="D1109" s="212"/>
      <c r="E1109" s="212"/>
      <c r="F1109" s="212"/>
      <c r="G1109" s="212"/>
      <c r="H1109" s="212"/>
      <c r="I1109" s="212"/>
      <c r="J1109" s="212"/>
      <c r="K1109" s="212"/>
      <c r="L1109" s="212"/>
      <c r="M1109" s="212"/>
      <c r="N1109" s="212"/>
      <c r="O1109" s="212"/>
      <c r="P1109" s="212"/>
      <c r="Q1109" s="38"/>
      <c r="R1109" s="51"/>
      <c r="S1109" s="51"/>
      <c r="T1109" s="51"/>
      <c r="U1109" s="51"/>
      <c r="V1109" s="51"/>
      <c r="W1109" s="51"/>
      <c r="X1109" s="51"/>
      <c r="Y1109" s="51"/>
      <c r="Z1109" s="51"/>
      <c r="AA1109" s="51"/>
      <c r="AB1109" s="51"/>
      <c r="AC1109" s="51"/>
      <c r="AD1109" s="51"/>
      <c r="AE1109" s="51"/>
      <c r="AF1109" s="51"/>
      <c r="AG1109" s="211"/>
      <c r="AH1109" s="212"/>
      <c r="AI1109" s="212"/>
      <c r="AJ1109" s="212"/>
      <c r="AK1109" s="212"/>
      <c r="AL1109" s="212"/>
      <c r="AM1109" s="212"/>
      <c r="AN1109" s="212"/>
      <c r="AO1109" s="212"/>
      <c r="AP1109" s="212"/>
      <c r="AQ1109" s="212"/>
      <c r="AR1109" s="212"/>
      <c r="AS1109" s="212"/>
      <c r="AT1109" s="212"/>
      <c r="AU1109" s="212"/>
      <c r="AV1109" s="212"/>
      <c r="AW1109" s="211"/>
      <c r="AX1109" s="212"/>
      <c r="AY1109" s="212"/>
      <c r="AZ1109" s="212"/>
      <c r="BA1109" s="212"/>
      <c r="BB1109" s="212"/>
      <c r="BC1109" s="212"/>
      <c r="BD1109" s="212"/>
      <c r="BE1109" s="212"/>
      <c r="BF1109" s="212"/>
      <c r="BG1109" s="212"/>
      <c r="BH1109" s="212"/>
      <c r="BI1109" s="212"/>
      <c r="BJ1109" s="212"/>
      <c r="BK1109" s="212"/>
      <c r="BL1109" s="212"/>
      <c r="BM1109" s="211"/>
      <c r="BN1109" s="212"/>
      <c r="BO1109" s="212"/>
      <c r="BP1109" s="212"/>
      <c r="BQ1109" s="212"/>
      <c r="BR1109" s="212"/>
      <c r="BS1109" s="212"/>
      <c r="BT1109" s="212"/>
      <c r="BU1109" s="212"/>
      <c r="BV1109" s="212"/>
      <c r="BW1109" s="212"/>
      <c r="BX1109" s="212"/>
      <c r="BY1109" s="212"/>
      <c r="BZ1109" s="212"/>
      <c r="CA1109" s="212"/>
      <c r="CB1109" s="212"/>
      <c r="CC1109" s="211"/>
      <c r="CD1109" s="212"/>
      <c r="CE1109" s="212"/>
      <c r="CF1109" s="212"/>
      <c r="CG1109" s="212"/>
      <c r="CH1109" s="212"/>
      <c r="CI1109" s="212"/>
      <c r="CJ1109" s="212"/>
      <c r="CK1109" s="212"/>
      <c r="CL1109" s="212"/>
      <c r="CM1109" s="212"/>
      <c r="CN1109" s="212"/>
      <c r="CO1109" s="212"/>
      <c r="CP1109" s="212"/>
      <c r="CQ1109" s="212"/>
      <c r="CR1109" s="212"/>
      <c r="CS1109" s="211"/>
      <c r="CT1109" s="212"/>
      <c r="CU1109" s="212"/>
      <c r="CV1109" s="212"/>
      <c r="CW1109" s="212"/>
      <c r="CX1109" s="212"/>
      <c r="CY1109" s="212"/>
      <c r="CZ1109" s="212"/>
      <c r="DA1109" s="212"/>
      <c r="DB1109" s="212"/>
      <c r="DC1109" s="212"/>
      <c r="DD1109" s="212"/>
      <c r="DE1109" s="212"/>
      <c r="DF1109" s="212"/>
      <c r="DG1109" s="212"/>
      <c r="DH1109" s="212"/>
      <c r="DI1109" s="211"/>
      <c r="DJ1109" s="212"/>
      <c r="DK1109" s="212"/>
      <c r="DL1109" s="212"/>
      <c r="DM1109" s="212"/>
      <c r="DN1109" s="212"/>
      <c r="DO1109" s="212"/>
      <c r="DP1109" s="212"/>
      <c r="DQ1109" s="212"/>
      <c r="DR1109" s="212"/>
      <c r="DS1109" s="212"/>
      <c r="DT1109" s="212"/>
      <c r="DU1109" s="212"/>
      <c r="DV1109" s="212"/>
      <c r="DW1109" s="212"/>
      <c r="DX1109" s="212"/>
      <c r="DY1109" s="211"/>
      <c r="DZ1109" s="212"/>
      <c r="EA1109" s="212"/>
      <c r="EB1109" s="212"/>
      <c r="EC1109" s="212"/>
      <c r="ED1109" s="212"/>
      <c r="EE1109" s="212"/>
      <c r="EF1109" s="212"/>
      <c r="EG1109" s="212"/>
      <c r="EH1109" s="212"/>
      <c r="EI1109" s="212"/>
      <c r="EJ1109" s="212"/>
      <c r="EK1109" s="212"/>
      <c r="EL1109" s="212"/>
      <c r="EM1109" s="212"/>
      <c r="EN1109" s="212"/>
      <c r="EO1109" s="211"/>
      <c r="EP1109" s="212"/>
      <c r="EQ1109" s="212"/>
      <c r="ER1109" s="212"/>
      <c r="ES1109" s="212"/>
      <c r="ET1109" s="212"/>
      <c r="EU1109" s="212"/>
      <c r="EV1109" s="212"/>
      <c r="EW1109" s="212"/>
      <c r="EX1109" s="212"/>
      <c r="EY1109" s="212"/>
      <c r="EZ1109" s="212"/>
      <c r="FA1109" s="212"/>
      <c r="FB1109" s="212"/>
      <c r="FC1109" s="212"/>
      <c r="FD1109" s="212"/>
      <c r="FE1109" s="211"/>
      <c r="FF1109" s="212"/>
      <c r="FG1109" s="212"/>
      <c r="FH1109" s="212"/>
      <c r="FI1109" s="212"/>
      <c r="FJ1109" s="212"/>
      <c r="FK1109" s="212"/>
      <c r="FL1109" s="212"/>
      <c r="FM1109" s="212"/>
      <c r="FN1109" s="212"/>
      <c r="FO1109" s="212"/>
      <c r="FP1109" s="212"/>
      <c r="FQ1109" s="212"/>
      <c r="FR1109" s="212"/>
      <c r="FS1109" s="212"/>
      <c r="FT1109" s="212"/>
      <c r="FU1109" s="211"/>
      <c r="FV1109" s="212"/>
      <c r="FW1109" s="212"/>
      <c r="FX1109" s="212"/>
      <c r="FY1109" s="212"/>
      <c r="FZ1109" s="212"/>
      <c r="GA1109" s="212"/>
      <c r="GB1109" s="212"/>
      <c r="GC1109" s="212"/>
      <c r="GD1109" s="212"/>
      <c r="GE1109" s="212"/>
      <c r="GF1109" s="212"/>
      <c r="GG1109" s="212"/>
      <c r="GH1109" s="212"/>
      <c r="GI1109" s="212"/>
      <c r="GJ1109" s="212"/>
      <c r="GK1109" s="211"/>
      <c r="GL1109" s="212"/>
      <c r="GM1109" s="212"/>
      <c r="GN1109" s="212"/>
      <c r="GO1109" s="212"/>
      <c r="GP1109" s="212"/>
      <c r="GQ1109" s="212"/>
      <c r="GR1109" s="212"/>
      <c r="GS1109" s="212"/>
      <c r="GT1109" s="212"/>
      <c r="GU1109" s="212"/>
      <c r="GV1109" s="212"/>
      <c r="GW1109" s="212"/>
      <c r="GX1109" s="212"/>
      <c r="GY1109" s="212"/>
      <c r="GZ1109" s="212"/>
      <c r="HA1109" s="211"/>
      <c r="HB1109" s="212"/>
      <c r="HC1109" s="212"/>
      <c r="HD1109" s="212"/>
      <c r="HE1109" s="212"/>
      <c r="HF1109" s="212"/>
      <c r="HG1109" s="212"/>
      <c r="HH1109" s="212"/>
      <c r="HI1109" s="212"/>
      <c r="HJ1109" s="212"/>
      <c r="HK1109" s="212"/>
      <c r="HL1109" s="212"/>
      <c r="HM1109" s="212"/>
      <c r="HN1109" s="212"/>
      <c r="HO1109" s="212"/>
      <c r="HP1109" s="212"/>
      <c r="HQ1109" s="211"/>
      <c r="HR1109" s="212"/>
      <c r="HS1109" s="212"/>
      <c r="HT1109" s="212"/>
      <c r="HU1109" s="212"/>
      <c r="HV1109" s="212"/>
      <c r="HW1109" s="212"/>
      <c r="HX1109" s="212"/>
      <c r="HY1109" s="212"/>
      <c r="HZ1109" s="212"/>
      <c r="IA1109" s="212"/>
      <c r="IB1109" s="212"/>
      <c r="IC1109" s="212"/>
      <c r="ID1109" s="212"/>
      <c r="IE1109" s="212"/>
      <c r="IF1109" s="212"/>
      <c r="IG1109" s="211"/>
      <c r="IH1109" s="212"/>
      <c r="II1109" s="212"/>
      <c r="IJ1109" s="212"/>
      <c r="IK1109" s="212"/>
      <c r="IL1109" s="212"/>
      <c r="IM1109" s="212"/>
      <c r="IN1109" s="212"/>
      <c r="IO1109" s="212"/>
      <c r="IP1109" s="212"/>
      <c r="IQ1109" s="212"/>
      <c r="IR1109" s="212"/>
      <c r="IS1109" s="212"/>
      <c r="IT1109" s="212"/>
      <c r="IU1109" s="212"/>
      <c r="IV1109" s="212"/>
    </row>
    <row r="1110" spans="1:256" x14ac:dyDescent="0.2">
      <c r="A1110" s="39"/>
      <c r="B1110" s="39"/>
      <c r="C1110" s="39"/>
      <c r="D1110" s="39"/>
      <c r="E1110" s="37"/>
      <c r="F1110" s="37"/>
      <c r="G1110" s="37"/>
      <c r="H1110" s="37"/>
      <c r="I1110" s="37"/>
      <c r="J1110" s="37"/>
      <c r="K1110" s="37"/>
      <c r="L1110" s="37"/>
      <c r="M1110" s="37"/>
      <c r="N1110" s="37"/>
      <c r="O1110" s="37"/>
      <c r="P1110" s="37"/>
      <c r="Q1110" s="38"/>
    </row>
    <row r="1111" spans="1:256" ht="15" customHeight="1" x14ac:dyDescent="0.2">
      <c r="A1111" s="211" t="s">
        <v>970</v>
      </c>
      <c r="B1111" s="212"/>
      <c r="C1111" s="212"/>
      <c r="D1111" s="212"/>
      <c r="E1111" s="212"/>
      <c r="F1111" s="212"/>
      <c r="G1111" s="212"/>
      <c r="H1111" s="212"/>
      <c r="I1111" s="212"/>
      <c r="J1111" s="212"/>
      <c r="K1111" s="212"/>
      <c r="L1111" s="212"/>
      <c r="M1111" s="212"/>
      <c r="N1111" s="212"/>
      <c r="O1111" s="212"/>
      <c r="P1111" s="212"/>
      <c r="Q1111" s="38"/>
    </row>
    <row r="1112" spans="1:256" x14ac:dyDescent="0.2">
      <c r="A1112" s="62"/>
      <c r="B1112" s="51"/>
      <c r="C1112" s="51"/>
      <c r="D1112" s="51"/>
      <c r="E1112" s="51"/>
      <c r="F1112" s="51"/>
      <c r="G1112" s="51"/>
      <c r="H1112" s="51"/>
      <c r="I1112" s="51"/>
      <c r="J1112" s="51"/>
      <c r="K1112" s="51"/>
      <c r="L1112" s="51"/>
      <c r="M1112" s="51"/>
      <c r="N1112" s="51"/>
      <c r="O1112" s="51"/>
      <c r="P1112" s="51"/>
      <c r="Q1112" s="38"/>
    </row>
    <row r="1113" spans="1:256" x14ac:dyDescent="0.2">
      <c r="A1113" s="238" t="str">
        <f>IF(H72&gt;0,"Previous year profit and loss account","")</f>
        <v>Previous year profit and loss account</v>
      </c>
      <c r="B1113" s="239"/>
      <c r="C1113" s="212"/>
      <c r="D1113" s="212"/>
      <c r="E1113" s="72"/>
      <c r="F1113" s="238"/>
      <c r="G1113" s="238"/>
      <c r="H1113" s="238"/>
      <c r="I1113" s="238"/>
      <c r="J1113" s="238"/>
      <c r="K1113" s="238"/>
      <c r="L1113" s="238"/>
      <c r="M1113" s="238"/>
      <c r="N1113" s="238"/>
      <c r="O1113" s="238"/>
      <c r="P1113" s="238"/>
      <c r="Q1113" s="38"/>
    </row>
    <row r="1114" spans="1:256" x14ac:dyDescent="0.2">
      <c r="A1114" s="36"/>
      <c r="Q1114" s="2"/>
    </row>
    <row r="1115" spans="1:256" ht="5" customHeight="1" x14ac:dyDescent="0.2">
      <c r="A1115" s="48"/>
      <c r="B1115" s="23"/>
      <c r="C1115" s="23"/>
      <c r="D1115" s="12"/>
      <c r="E1115" s="23"/>
      <c r="F1115" s="33"/>
      <c r="G1115" s="33"/>
      <c r="H1115" s="33"/>
      <c r="I1115" s="33"/>
      <c r="J1115" s="33"/>
      <c r="K1115" s="33"/>
      <c r="L1115" s="33"/>
      <c r="M1115" s="33"/>
      <c r="N1115" s="33"/>
      <c r="O1115" s="33"/>
      <c r="P1115" s="34"/>
      <c r="Q1115" s="2"/>
    </row>
    <row r="1116" spans="1:256" x14ac:dyDescent="0.2">
      <c r="A1116" s="224" t="str">
        <f>IF(H72&gt;0,"Reserves at " &amp; TEXT(H68,"DD Mmm yyyy") &amp; ":","")</f>
        <v>Reserves at :</v>
      </c>
      <c r="B1116" s="225"/>
      <c r="C1116" s="283"/>
      <c r="D1116" s="284"/>
      <c r="E1116" s="20"/>
      <c r="F1116" s="70" t="s">
        <v>508</v>
      </c>
      <c r="G1116" s="66" t="s">
        <v>61</v>
      </c>
      <c r="H1116" s="213">
        <f>IF(H72&gt;0,ROUND([1]OpenAccounts!$E$34+[1]OpenAccounts!$E$35,D2)-ROUND([1]OpenAccounts!$G$85,D2),"")</f>
        <v>0</v>
      </c>
      <c r="I1116" s="355"/>
      <c r="J1116" s="27"/>
      <c r="K1116" s="74"/>
      <c r="L1116" s="27"/>
      <c r="M1116" s="27"/>
      <c r="N1116" s="27"/>
      <c r="O1116" s="27"/>
      <c r="P1116" s="26"/>
      <c r="Q1116" s="2"/>
    </row>
    <row r="1117" spans="1:256" ht="5" customHeight="1" x14ac:dyDescent="0.2">
      <c r="A1117" s="47"/>
      <c r="B1117" s="21"/>
      <c r="C1117" s="21"/>
      <c r="D1117" s="9"/>
      <c r="E1117" s="21"/>
      <c r="F1117" s="10"/>
      <c r="G1117" s="10"/>
      <c r="H1117" s="10"/>
      <c r="I1117" s="10"/>
      <c r="J1117" s="10"/>
      <c r="K1117" s="10"/>
      <c r="L1117" s="10"/>
      <c r="M1117" s="10"/>
      <c r="N1117" s="10"/>
      <c r="O1117" s="10"/>
      <c r="P1117" s="28"/>
      <c r="Q1117" s="2"/>
    </row>
    <row r="1118" spans="1:256" ht="5" customHeight="1" x14ac:dyDescent="0.2">
      <c r="A1118" s="49"/>
      <c r="B1118" s="24"/>
      <c r="C1118" s="24"/>
      <c r="D1118" s="14"/>
      <c r="E1118" s="24"/>
      <c r="F1118" s="29"/>
      <c r="G1118" s="29"/>
      <c r="H1118" s="29"/>
      <c r="I1118" s="29"/>
      <c r="J1118" s="29"/>
      <c r="K1118" s="29"/>
      <c r="L1118" s="29"/>
      <c r="M1118" s="29"/>
      <c r="N1118" s="29"/>
      <c r="O1118" s="29"/>
      <c r="P1118" s="30"/>
      <c r="Q1118" s="2"/>
    </row>
    <row r="1119" spans="1:256" x14ac:dyDescent="0.2">
      <c r="A1119" s="221" t="str">
        <f>IF(H72&gt;0,"Profit for year: *","")</f>
        <v>Profit for year: *</v>
      </c>
      <c r="B1119" s="222"/>
      <c r="C1119" s="283"/>
      <c r="D1119" s="284"/>
      <c r="E1119" s="22"/>
      <c r="F1119" s="70" t="s">
        <v>509</v>
      </c>
      <c r="G1119" s="66" t="s">
        <v>61</v>
      </c>
      <c r="H1119" s="213">
        <f>N194</f>
        <v>0</v>
      </c>
      <c r="I1119" s="355"/>
      <c r="J1119" s="40"/>
      <c r="K1119" s="40"/>
      <c r="L1119" s="40"/>
      <c r="M1119" s="40"/>
      <c r="N1119" s="40"/>
      <c r="O1119" s="40"/>
      <c r="P1119" s="41"/>
      <c r="Q1119" s="2"/>
    </row>
    <row r="1120" spans="1:256" ht="5" customHeight="1" x14ac:dyDescent="0.2">
      <c r="A1120" s="50"/>
      <c r="B1120" s="25"/>
      <c r="C1120" s="25"/>
      <c r="D1120" s="16"/>
      <c r="E1120" s="25"/>
      <c r="F1120" s="31"/>
      <c r="G1120" s="31"/>
      <c r="H1120" s="31"/>
      <c r="I1120" s="31"/>
      <c r="J1120" s="31"/>
      <c r="K1120" s="31"/>
      <c r="L1120" s="31"/>
      <c r="M1120" s="31"/>
      <c r="N1120" s="31"/>
      <c r="O1120" s="31"/>
      <c r="P1120" s="32"/>
      <c r="Q1120" s="2"/>
    </row>
    <row r="1121" spans="1:17" ht="5" customHeight="1" x14ac:dyDescent="0.2">
      <c r="A1121" s="48"/>
      <c r="B1121" s="23"/>
      <c r="C1121" s="23"/>
      <c r="D1121" s="12"/>
      <c r="E1121" s="23"/>
      <c r="F1121" s="33"/>
      <c r="G1121" s="33"/>
      <c r="H1121" s="33"/>
      <c r="I1121" s="33"/>
      <c r="J1121" s="33"/>
      <c r="K1121" s="33"/>
      <c r="L1121" s="33"/>
      <c r="M1121" s="33"/>
      <c r="N1121" s="33"/>
      <c r="O1121" s="33"/>
      <c r="P1121" s="34"/>
      <c r="Q1121" s="2"/>
    </row>
    <row r="1122" spans="1:17" x14ac:dyDescent="0.2">
      <c r="A1122" s="224" t="str">
        <f>IF(H72&gt;0,"Equity dividends paid: *","")</f>
        <v>Equity dividends paid: *</v>
      </c>
      <c r="B1122" s="225"/>
      <c r="C1122" s="283"/>
      <c r="D1122" s="284"/>
      <c r="E1122" s="20"/>
      <c r="F1122" s="70" t="s">
        <v>510</v>
      </c>
      <c r="G1122" s="66" t="s">
        <v>61</v>
      </c>
      <c r="H1122" s="213">
        <f>N591</f>
        <v>0</v>
      </c>
      <c r="I1122" s="355"/>
      <c r="J1122" s="27"/>
      <c r="K1122" s="27"/>
      <c r="L1122" s="27"/>
      <c r="M1122" s="27"/>
      <c r="N1122" s="27"/>
      <c r="O1122" s="27"/>
      <c r="P1122" s="26"/>
      <c r="Q1122" s="2"/>
    </row>
    <row r="1123" spans="1:17" ht="5" customHeight="1" x14ac:dyDescent="0.2">
      <c r="A1123" s="47"/>
      <c r="B1123" s="21"/>
      <c r="C1123" s="21"/>
      <c r="D1123" s="9"/>
      <c r="E1123" s="21"/>
      <c r="F1123" s="10"/>
      <c r="G1123" s="10"/>
      <c r="H1123" s="10"/>
      <c r="I1123" s="10"/>
      <c r="J1123" s="10"/>
      <c r="K1123" s="10"/>
      <c r="L1123" s="10"/>
      <c r="M1123" s="10"/>
      <c r="N1123" s="10"/>
      <c r="O1123" s="10"/>
      <c r="P1123" s="28"/>
      <c r="Q1123" s="2"/>
    </row>
    <row r="1124" spans="1:17" ht="5" customHeight="1" x14ac:dyDescent="0.2">
      <c r="A1124" s="49"/>
      <c r="B1124" s="24"/>
      <c r="C1124" s="24"/>
      <c r="D1124" s="14"/>
      <c r="E1124" s="24"/>
      <c r="F1124" s="29"/>
      <c r="G1124" s="29"/>
      <c r="H1124" s="29"/>
      <c r="I1124" s="29"/>
      <c r="J1124" s="29"/>
      <c r="K1124" s="29"/>
      <c r="L1124" s="29"/>
      <c r="M1124" s="29"/>
      <c r="N1124" s="29"/>
      <c r="O1124" s="29"/>
      <c r="P1124" s="30"/>
      <c r="Q1124" s="2"/>
    </row>
    <row r="1125" spans="1:17" x14ac:dyDescent="0.2">
      <c r="A1125" s="221" t="str">
        <f>IF(H72&gt;0,"Retained profit at " &amp; TEXT(H72,"DD Mmm yyyy") &amp; ":","")</f>
        <v>Retained profit at :</v>
      </c>
      <c r="B1125" s="222"/>
      <c r="C1125" s="297"/>
      <c r="D1125" s="298"/>
      <c r="E1125" s="22"/>
      <c r="F1125" s="70" t="s">
        <v>511</v>
      </c>
      <c r="G1125" s="40" t="s">
        <v>61</v>
      </c>
      <c r="H1125" s="240">
        <f>IF(H72&gt;0,H1116+H1119-H1122,"")</f>
        <v>0</v>
      </c>
      <c r="I1125" s="241"/>
      <c r="J1125" s="40"/>
      <c r="K1125" s="40"/>
      <c r="L1125" s="40"/>
      <c r="M1125" s="40"/>
      <c r="N1125" s="40"/>
      <c r="O1125" s="40"/>
      <c r="P1125" s="41"/>
      <c r="Q1125" s="2"/>
    </row>
    <row r="1126" spans="1:17" ht="5" customHeight="1" x14ac:dyDescent="0.2">
      <c r="A1126" s="50"/>
      <c r="B1126" s="25"/>
      <c r="C1126" s="25"/>
      <c r="D1126" s="16"/>
      <c r="E1126" s="25"/>
      <c r="F1126" s="31"/>
      <c r="G1126" s="31"/>
      <c r="H1126" s="31"/>
      <c r="I1126" s="31"/>
      <c r="J1126" s="31"/>
      <c r="K1126" s="31"/>
      <c r="L1126" s="31"/>
      <c r="M1126" s="31"/>
      <c r="N1126" s="31"/>
      <c r="O1126" s="31"/>
      <c r="P1126" s="32"/>
      <c r="Q1126" s="2"/>
    </row>
    <row r="1127" spans="1:17" ht="15" customHeight="1" x14ac:dyDescent="0.2">
      <c r="A1127" s="22"/>
      <c r="B1127" s="22"/>
      <c r="C1127" s="22"/>
      <c r="D1127" s="22"/>
      <c r="E1127" s="22"/>
      <c r="F1127" s="40"/>
      <c r="G1127" s="40"/>
      <c r="H1127" s="40"/>
      <c r="I1127" s="40"/>
      <c r="J1127" s="40"/>
      <c r="K1127" s="40"/>
      <c r="L1127" s="40"/>
      <c r="M1127" s="40"/>
      <c r="N1127" s="40"/>
      <c r="O1127" s="40"/>
      <c r="P1127" s="40"/>
      <c r="Q1127" s="2"/>
    </row>
    <row r="1128" spans="1:17" x14ac:dyDescent="0.2">
      <c r="A1128" s="238" t="s">
        <v>381</v>
      </c>
      <c r="B1128" s="239"/>
      <c r="C1128" s="212"/>
      <c r="D1128" s="212"/>
      <c r="E1128" s="72"/>
      <c r="F1128" s="238"/>
      <c r="G1128" s="238"/>
      <c r="H1128" s="238"/>
      <c r="I1128" s="238"/>
      <c r="J1128" s="238"/>
      <c r="K1128" s="238"/>
      <c r="L1128" s="238"/>
      <c r="M1128" s="238"/>
      <c r="N1128" s="238"/>
      <c r="O1128" s="238"/>
      <c r="P1128" s="238"/>
      <c r="Q1128" s="38"/>
    </row>
    <row r="1129" spans="1:17" x14ac:dyDescent="0.2">
      <c r="A1129" s="36"/>
      <c r="Q1129" s="2"/>
    </row>
    <row r="1130" spans="1:17" ht="5" customHeight="1" x14ac:dyDescent="0.2">
      <c r="A1130" s="48"/>
      <c r="B1130" s="23"/>
      <c r="C1130" s="23"/>
      <c r="D1130" s="12"/>
      <c r="E1130" s="23"/>
      <c r="F1130" s="33"/>
      <c r="G1130" s="33"/>
      <c r="H1130" s="33"/>
      <c r="I1130" s="33"/>
      <c r="J1130" s="33"/>
      <c r="K1130" s="33"/>
      <c r="L1130" s="33"/>
      <c r="M1130" s="33"/>
      <c r="N1130" s="33"/>
      <c r="O1130" s="33"/>
      <c r="P1130" s="34"/>
      <c r="Q1130" s="2"/>
    </row>
    <row r="1131" spans="1:17" x14ac:dyDescent="0.2">
      <c r="A1131" s="224" t="str">
        <f>"Reserves at " &amp; TEXT(J2,"DD Mmm yyyy") &amp; ":"</f>
        <v>Reserves at 01 Apr 2024:</v>
      </c>
      <c r="B1131" s="225"/>
      <c r="C1131" s="283"/>
      <c r="D1131" s="284"/>
      <c r="E1131" s="20"/>
      <c r="F1131" s="70" t="s">
        <v>382</v>
      </c>
      <c r="G1131" s="66" t="s">
        <v>61</v>
      </c>
      <c r="H1131" s="213">
        <f>IF(H72&gt;0,H1125,0)</f>
        <v>0</v>
      </c>
      <c r="I1131" s="355"/>
      <c r="J1131" s="27"/>
      <c r="K1131" s="74"/>
      <c r="L1131" s="27"/>
      <c r="M1131" s="27"/>
      <c r="N1131" s="27"/>
      <c r="O1131" s="27"/>
      <c r="P1131" s="26"/>
      <c r="Q1131" s="2"/>
    </row>
    <row r="1132" spans="1:17" ht="5" customHeight="1" x14ac:dyDescent="0.2">
      <c r="A1132" s="47"/>
      <c r="B1132" s="21"/>
      <c r="C1132" s="21"/>
      <c r="D1132" s="9"/>
      <c r="E1132" s="21"/>
      <c r="F1132" s="10"/>
      <c r="G1132" s="10"/>
      <c r="H1132" s="10"/>
      <c r="I1132" s="10"/>
      <c r="J1132" s="10"/>
      <c r="K1132" s="10"/>
      <c r="L1132" s="10"/>
      <c r="M1132" s="10"/>
      <c r="N1132" s="10"/>
      <c r="O1132" s="10"/>
      <c r="P1132" s="28"/>
      <c r="Q1132" s="2"/>
    </row>
    <row r="1133" spans="1:17" ht="5" customHeight="1" x14ac:dyDescent="0.2">
      <c r="A1133" s="49"/>
      <c r="B1133" s="24"/>
      <c r="C1133" s="24"/>
      <c r="D1133" s="14"/>
      <c r="E1133" s="24"/>
      <c r="F1133" s="29"/>
      <c r="G1133" s="29"/>
      <c r="H1133" s="29"/>
      <c r="I1133" s="29"/>
      <c r="J1133" s="29"/>
      <c r="K1133" s="29"/>
      <c r="L1133" s="29"/>
      <c r="M1133" s="29"/>
      <c r="N1133" s="29"/>
      <c r="O1133" s="29"/>
      <c r="P1133" s="30"/>
      <c r="Q1133" s="2"/>
    </row>
    <row r="1134" spans="1:17" x14ac:dyDescent="0.2">
      <c r="A1134" s="221" t="s">
        <v>386</v>
      </c>
      <c r="B1134" s="222"/>
      <c r="C1134" s="283"/>
      <c r="D1134" s="284"/>
      <c r="E1134" s="22"/>
      <c r="F1134" s="70" t="s">
        <v>383</v>
      </c>
      <c r="G1134" s="130" t="s">
        <v>61</v>
      </c>
      <c r="H1134" s="240">
        <f>H194</f>
        <v>0</v>
      </c>
      <c r="I1134" s="241"/>
      <c r="J1134" s="40"/>
      <c r="K1134" s="40"/>
      <c r="L1134" s="40"/>
      <c r="M1134" s="40"/>
      <c r="N1134" s="40"/>
      <c r="O1134" s="40"/>
      <c r="P1134" s="41"/>
      <c r="Q1134" s="2"/>
    </row>
    <row r="1135" spans="1:17" ht="5" customHeight="1" x14ac:dyDescent="0.2">
      <c r="A1135" s="50"/>
      <c r="B1135" s="25"/>
      <c r="C1135" s="25"/>
      <c r="D1135" s="16"/>
      <c r="E1135" s="25"/>
      <c r="F1135" s="31"/>
      <c r="G1135" s="31"/>
      <c r="H1135" s="31"/>
      <c r="I1135" s="31"/>
      <c r="J1135" s="31"/>
      <c r="K1135" s="31"/>
      <c r="L1135" s="31"/>
      <c r="M1135" s="31"/>
      <c r="N1135" s="31"/>
      <c r="O1135" s="31"/>
      <c r="P1135" s="32"/>
      <c r="Q1135" s="2"/>
    </row>
    <row r="1136" spans="1:17" ht="5" customHeight="1" x14ac:dyDescent="0.2">
      <c r="A1136" s="48"/>
      <c r="B1136" s="23"/>
      <c r="C1136" s="23"/>
      <c r="D1136" s="12"/>
      <c r="E1136" s="23"/>
      <c r="F1136" s="33"/>
      <c r="G1136" s="33"/>
      <c r="H1136" s="33"/>
      <c r="I1136" s="33"/>
      <c r="J1136" s="33"/>
      <c r="K1136" s="33"/>
      <c r="L1136" s="33"/>
      <c r="M1136" s="33"/>
      <c r="N1136" s="33"/>
      <c r="O1136" s="33"/>
      <c r="P1136" s="34"/>
      <c r="Q1136" s="2"/>
    </row>
    <row r="1137" spans="1:17" x14ac:dyDescent="0.2">
      <c r="A1137" s="224" t="s">
        <v>387</v>
      </c>
      <c r="B1137" s="225"/>
      <c r="C1137" s="283"/>
      <c r="D1137" s="284"/>
      <c r="E1137" s="20"/>
      <c r="F1137" s="70" t="s">
        <v>384</v>
      </c>
      <c r="G1137" s="27" t="s">
        <v>61</v>
      </c>
      <c r="H1137" s="242">
        <f>H591</f>
        <v>0</v>
      </c>
      <c r="I1137" s="283"/>
      <c r="J1137" s="27"/>
      <c r="K1137" s="27"/>
      <c r="L1137" s="27"/>
      <c r="M1137" s="27"/>
      <c r="N1137" s="27"/>
      <c r="O1137" s="27"/>
      <c r="P1137" s="26"/>
      <c r="Q1137" s="2"/>
    </row>
    <row r="1138" spans="1:17" ht="5" customHeight="1" x14ac:dyDescent="0.2">
      <c r="A1138" s="47"/>
      <c r="B1138" s="21"/>
      <c r="C1138" s="21"/>
      <c r="D1138" s="9"/>
      <c r="E1138" s="21"/>
      <c r="F1138" s="10"/>
      <c r="G1138" s="10"/>
      <c r="H1138" s="10"/>
      <c r="I1138" s="10"/>
      <c r="J1138" s="10"/>
      <c r="K1138" s="10"/>
      <c r="L1138" s="10"/>
      <c r="M1138" s="10"/>
      <c r="N1138" s="10"/>
      <c r="O1138" s="10"/>
      <c r="P1138" s="28"/>
      <c r="Q1138" s="2"/>
    </row>
    <row r="1139" spans="1:17" ht="5" customHeight="1" x14ac:dyDescent="0.2">
      <c r="A1139" s="49"/>
      <c r="B1139" s="24"/>
      <c r="C1139" s="24"/>
      <c r="D1139" s="14"/>
      <c r="E1139" s="24"/>
      <c r="F1139" s="29"/>
      <c r="G1139" s="29"/>
      <c r="H1139" s="29"/>
      <c r="I1139" s="29"/>
      <c r="J1139" s="29"/>
      <c r="K1139" s="29"/>
      <c r="L1139" s="29"/>
      <c r="M1139" s="29"/>
      <c r="N1139" s="29"/>
      <c r="O1139" s="29"/>
      <c r="P1139" s="30"/>
      <c r="Q1139" s="2"/>
    </row>
    <row r="1140" spans="1:17" x14ac:dyDescent="0.2">
      <c r="A1140" s="221" t="str">
        <f>"Retained profit at " &amp; TEXT(N2,"DD Mmm yyyy") &amp; ":"</f>
        <v>Retained profit at 31 Mar 2026:</v>
      </c>
      <c r="B1140" s="222"/>
      <c r="C1140" s="297"/>
      <c r="D1140" s="298"/>
      <c r="E1140" s="22"/>
      <c r="F1140" s="70" t="s">
        <v>385</v>
      </c>
      <c r="G1140" s="40" t="s">
        <v>61</v>
      </c>
      <c r="H1140" s="240">
        <f>H1131+H1134-H1137</f>
        <v>0</v>
      </c>
      <c r="I1140" s="241"/>
      <c r="J1140" s="40"/>
      <c r="K1140" s="40"/>
      <c r="L1140" s="40"/>
      <c r="M1140" s="40"/>
      <c r="N1140" s="40"/>
      <c r="O1140" s="40"/>
      <c r="P1140" s="41"/>
      <c r="Q1140" s="2"/>
    </row>
    <row r="1141" spans="1:17" ht="5" customHeight="1" x14ac:dyDescent="0.2">
      <c r="A1141" s="50"/>
      <c r="B1141" s="25"/>
      <c r="C1141" s="25"/>
      <c r="D1141" s="16"/>
      <c r="E1141" s="25"/>
      <c r="F1141" s="31"/>
      <c r="G1141" s="31"/>
      <c r="H1141" s="31"/>
      <c r="I1141" s="31"/>
      <c r="J1141" s="31"/>
      <c r="K1141" s="31"/>
      <c r="L1141" s="31"/>
      <c r="M1141" s="31"/>
      <c r="N1141" s="31"/>
      <c r="O1141" s="31"/>
      <c r="P1141" s="32"/>
      <c r="Q1141" s="2"/>
    </row>
    <row r="1142" spans="1:17" ht="15" customHeight="1" x14ac:dyDescent="0.2">
      <c r="A1142" s="22"/>
      <c r="B1142" s="22"/>
      <c r="C1142" s="22"/>
      <c r="D1142" s="22"/>
      <c r="E1142" s="22"/>
      <c r="F1142" s="40"/>
      <c r="G1142" s="40"/>
      <c r="H1142" s="40"/>
      <c r="I1142" s="40"/>
      <c r="J1142" s="40"/>
      <c r="K1142" s="40"/>
      <c r="L1142" s="40"/>
      <c r="M1142" s="40"/>
      <c r="N1142" s="40"/>
      <c r="O1142" s="40"/>
      <c r="P1142" s="40"/>
      <c r="Q1142" s="2"/>
    </row>
    <row r="1143" spans="1:17" ht="15" customHeight="1" x14ac:dyDescent="0.2">
      <c r="A1143" s="212" t="s">
        <v>209</v>
      </c>
      <c r="B1143" s="212"/>
      <c r="C1143" s="212"/>
      <c r="D1143" s="212"/>
      <c r="E1143" s="212"/>
      <c r="F1143" s="212"/>
      <c r="G1143" s="212"/>
      <c r="H1143" s="212"/>
      <c r="I1143" s="212"/>
      <c r="J1143" s="212"/>
      <c r="K1143" s="212"/>
      <c r="L1143" s="212"/>
      <c r="M1143" s="212"/>
      <c r="N1143" s="212"/>
      <c r="O1143" s="212"/>
      <c r="P1143" s="40"/>
      <c r="Q1143" s="2"/>
    </row>
    <row r="1144" spans="1:17" ht="15" customHeight="1" x14ac:dyDescent="0.2">
      <c r="A1144" s="22"/>
      <c r="B1144" s="22"/>
      <c r="C1144" s="22"/>
      <c r="D1144" s="22"/>
      <c r="E1144" s="22"/>
      <c r="F1144" s="40"/>
      <c r="G1144" s="40"/>
      <c r="H1144" s="40"/>
      <c r="I1144" s="40"/>
      <c r="J1144" s="40"/>
      <c r="K1144" s="40"/>
      <c r="L1144" s="40"/>
      <c r="M1144" s="40"/>
      <c r="N1144" s="40"/>
      <c r="O1144" s="40"/>
      <c r="P1144" s="40"/>
      <c r="Q1144" s="2"/>
    </row>
    <row r="1145" spans="1:17" ht="100" customHeight="1" x14ac:dyDescent="0.2">
      <c r="A1145" s="213" t="str">
        <f>IF(ROUND([1]TrialBalance!$EJ$37,0)&lt;&gt;0,"The total value of Long Term Debtors falling due in more than one year is " &amp; TEXT(ROUND([1]TrialBalance!$EJ$37,0),"0.00"),"")</f>
        <v/>
      </c>
      <c r="B1145" s="346"/>
      <c r="C1145" s="347"/>
      <c r="D1145" s="347"/>
      <c r="E1145" s="347"/>
      <c r="F1145" s="347"/>
      <c r="G1145" s="347"/>
      <c r="H1145" s="347"/>
      <c r="I1145" s="347"/>
      <c r="J1145" s="347"/>
      <c r="K1145" s="347"/>
      <c r="L1145" s="347"/>
      <c r="M1145" s="347"/>
      <c r="N1145" s="347"/>
      <c r="O1145" s="347"/>
      <c r="P1145" s="348"/>
      <c r="Q1145" s="2"/>
    </row>
    <row r="1146" spans="1:17" ht="15" customHeight="1" x14ac:dyDescent="0.2">
      <c r="Q1146" s="2"/>
    </row>
    <row r="1148" spans="1:17" ht="16" x14ac:dyDescent="0.2">
      <c r="A1148" s="231" t="s">
        <v>396</v>
      </c>
      <c r="B1148" s="232"/>
      <c r="C1148" s="232"/>
      <c r="D1148" s="232"/>
      <c r="F1148" s="233" t="s">
        <v>12</v>
      </c>
      <c r="G1148" s="233"/>
      <c r="H1148" s="233"/>
      <c r="I1148" s="233"/>
      <c r="J1148" s="233"/>
      <c r="K1148" s="233"/>
      <c r="L1148" s="233"/>
      <c r="M1148" s="233"/>
      <c r="N1148" s="233"/>
      <c r="O1148" s="233"/>
      <c r="P1148" s="233"/>
      <c r="Q1148" s="233"/>
    </row>
    <row r="1149" spans="1:17" ht="5" customHeight="1" x14ac:dyDescent="0.2">
      <c r="A1149" s="1"/>
      <c r="B1149" s="1"/>
      <c r="C1149" s="1"/>
      <c r="D1149" s="1"/>
      <c r="E1149" s="1"/>
      <c r="F1149" s="1"/>
      <c r="G1149" s="1"/>
      <c r="H1149" s="1"/>
      <c r="I1149" s="1"/>
      <c r="J1149" s="1"/>
      <c r="K1149" s="1"/>
      <c r="L1149" s="1"/>
      <c r="M1149" s="1"/>
      <c r="N1149" s="1"/>
      <c r="O1149" s="1"/>
      <c r="P1149" s="1"/>
      <c r="Q1149" s="1"/>
    </row>
    <row r="1150" spans="1:17" x14ac:dyDescent="0.2">
      <c r="A1150" s="272"/>
      <c r="B1150" s="273"/>
      <c r="C1150" s="273"/>
      <c r="D1150" s="273"/>
      <c r="E1150" s="273"/>
      <c r="F1150" s="273"/>
      <c r="G1150" s="273"/>
      <c r="H1150" s="273"/>
      <c r="I1150" s="273"/>
      <c r="J1150" s="273"/>
      <c r="K1150" s="273"/>
      <c r="L1150" s="273"/>
      <c r="M1150" s="273"/>
      <c r="N1150" s="273"/>
      <c r="O1150" s="273"/>
      <c r="P1150" s="273"/>
      <c r="Q1150" s="274"/>
    </row>
    <row r="1151" spans="1:17" ht="28.5" customHeight="1" x14ac:dyDescent="0.2">
      <c r="A1151" s="326" t="s">
        <v>397</v>
      </c>
      <c r="B1151" s="212"/>
      <c r="C1151" s="212"/>
      <c r="D1151" s="212"/>
      <c r="E1151" s="212"/>
      <c r="F1151" s="212"/>
      <c r="G1151" s="212"/>
      <c r="H1151" s="212"/>
      <c r="I1151" s="212"/>
      <c r="J1151" s="212"/>
      <c r="K1151" s="212"/>
      <c r="L1151" s="212"/>
      <c r="M1151" s="212"/>
      <c r="N1151" s="212"/>
      <c r="O1151" s="212"/>
      <c r="P1151" s="37"/>
      <c r="Q1151" s="38"/>
    </row>
    <row r="1152" spans="1:17" x14ac:dyDescent="0.2">
      <c r="A1152" s="36"/>
      <c r="Q1152" s="2"/>
    </row>
    <row r="1153" spans="1:17" ht="4.5" customHeight="1" x14ac:dyDescent="0.2"/>
    <row r="1154" spans="1:17" x14ac:dyDescent="0.2">
      <c r="A1154" s="234" t="s">
        <v>165</v>
      </c>
      <c r="B1154" s="235"/>
      <c r="C1154" s="235"/>
      <c r="D1154" s="235"/>
      <c r="E1154" s="236"/>
      <c r="F1154" s="236"/>
      <c r="G1154" s="236"/>
      <c r="H1154" s="236"/>
      <c r="I1154" s="236"/>
      <c r="J1154" s="236"/>
      <c r="K1154" s="236"/>
      <c r="L1154" s="236"/>
      <c r="M1154" s="236"/>
      <c r="N1154" s="236"/>
      <c r="O1154" s="236"/>
      <c r="P1154" s="236"/>
      <c r="Q1154" s="237"/>
    </row>
    <row r="1155" spans="1:17" x14ac:dyDescent="0.2">
      <c r="Q1155" s="2"/>
    </row>
    <row r="1156" spans="1:17" x14ac:dyDescent="0.2">
      <c r="A1156" s="48"/>
      <c r="B1156" s="23"/>
      <c r="C1156" s="23"/>
      <c r="D1156" s="23"/>
      <c r="E1156" s="23"/>
      <c r="F1156" s="33"/>
      <c r="G1156" s="33"/>
      <c r="H1156" s="33"/>
      <c r="I1156" s="33"/>
      <c r="J1156" s="33"/>
      <c r="K1156" s="33"/>
      <c r="L1156" s="33"/>
      <c r="M1156" s="33"/>
      <c r="N1156" s="33"/>
      <c r="O1156" s="33"/>
      <c r="P1156" s="34"/>
      <c r="Q1156" s="2"/>
    </row>
    <row r="1157" spans="1:17" ht="28.5" customHeight="1" x14ac:dyDescent="0.2">
      <c r="A1157" s="327" t="s">
        <v>398</v>
      </c>
      <c r="B1157" s="328"/>
      <c r="C1157" s="306"/>
      <c r="D1157" s="306"/>
      <c r="E1157" s="136" t="s">
        <v>31</v>
      </c>
      <c r="F1157" s="70" t="s">
        <v>399</v>
      </c>
      <c r="G1157" s="73"/>
      <c r="H1157" s="336">
        <f>[1]OpenAccounts!$E$8</f>
        <v>0</v>
      </c>
      <c r="I1157" s="336"/>
      <c r="J1157" s="337"/>
      <c r="K1157" s="337"/>
      <c r="L1157" s="337"/>
      <c r="M1157" s="337"/>
      <c r="N1157" s="337"/>
      <c r="O1157" s="338"/>
      <c r="P1157" s="26"/>
      <c r="Q1157" s="2"/>
    </row>
    <row r="1158" spans="1:17" x14ac:dyDescent="0.2">
      <c r="A1158" s="47"/>
      <c r="B1158" s="21"/>
      <c r="C1158" s="21"/>
      <c r="D1158" s="21"/>
      <c r="E1158" s="21"/>
      <c r="F1158" s="10"/>
      <c r="G1158" s="10"/>
      <c r="H1158" s="10"/>
      <c r="I1158" s="10"/>
      <c r="J1158" s="10"/>
      <c r="K1158" s="10"/>
      <c r="L1158" s="10"/>
      <c r="M1158" s="10"/>
      <c r="N1158" s="10"/>
      <c r="O1158" s="10"/>
      <c r="P1158" s="28"/>
      <c r="Q1158" s="2"/>
    </row>
    <row r="1159" spans="1:17" x14ac:dyDescent="0.2">
      <c r="A1159" s="22"/>
      <c r="B1159" s="22"/>
      <c r="C1159" s="22"/>
      <c r="D1159" s="22"/>
      <c r="E1159" s="22"/>
      <c r="F1159" s="40"/>
      <c r="G1159" s="40"/>
      <c r="H1159" s="40"/>
      <c r="I1159" s="40"/>
      <c r="J1159" s="40"/>
      <c r="K1159" s="40"/>
      <c r="L1159" s="40"/>
      <c r="M1159" s="40"/>
      <c r="N1159" s="40"/>
      <c r="O1159" s="40"/>
      <c r="P1159" s="40"/>
      <c r="Q1159" s="2"/>
    </row>
    <row r="1160" spans="1:17" ht="45" customHeight="1" x14ac:dyDescent="0.2">
      <c r="A1160" s="212" t="s">
        <v>400</v>
      </c>
      <c r="B1160" s="212"/>
      <c r="C1160" s="212"/>
      <c r="D1160" s="212"/>
      <c r="E1160" s="212"/>
      <c r="F1160" s="212"/>
      <c r="G1160" s="212"/>
      <c r="H1160" s="212"/>
      <c r="I1160" s="212"/>
      <c r="J1160" s="212"/>
      <c r="K1160" s="212"/>
      <c r="L1160" s="212"/>
      <c r="M1160" s="212"/>
      <c r="N1160" s="212"/>
      <c r="O1160" s="212"/>
      <c r="Q1160" s="2"/>
    </row>
    <row r="1161" spans="1:17" ht="4.5" customHeight="1" x14ac:dyDescent="0.2"/>
    <row r="1162" spans="1:17" x14ac:dyDescent="0.2">
      <c r="A1162" s="234" t="s">
        <v>401</v>
      </c>
      <c r="B1162" s="235"/>
      <c r="C1162" s="235"/>
      <c r="D1162" s="235"/>
      <c r="E1162" s="236"/>
      <c r="F1162" s="236"/>
      <c r="G1162" s="236"/>
      <c r="H1162" s="236"/>
      <c r="I1162" s="236"/>
      <c r="J1162" s="236"/>
      <c r="K1162" s="236"/>
      <c r="L1162" s="236"/>
      <c r="M1162" s="236"/>
      <c r="N1162" s="236"/>
      <c r="O1162" s="236"/>
      <c r="P1162" s="236"/>
      <c r="Q1162" s="237"/>
    </row>
    <row r="1163" spans="1:17" ht="4.5" customHeight="1" x14ac:dyDescent="0.2">
      <c r="A1163" s="1"/>
      <c r="B1163" s="1"/>
      <c r="Q1163" s="2"/>
    </row>
    <row r="1164" spans="1:17" ht="53.25" customHeight="1" x14ac:dyDescent="0.2">
      <c r="A1164" s="299" t="s">
        <v>405</v>
      </c>
      <c r="B1164" s="300"/>
      <c r="C1164" s="301"/>
      <c r="D1164" s="301"/>
      <c r="E1164" s="301"/>
      <c r="F1164" s="301"/>
      <c r="G1164" s="301"/>
      <c r="H1164" s="301"/>
      <c r="I1164" s="301"/>
      <c r="J1164" s="301"/>
      <c r="K1164" s="301"/>
      <c r="L1164" s="301"/>
      <c r="M1164" s="301"/>
      <c r="N1164" s="301"/>
      <c r="O1164" s="301"/>
      <c r="P1164" s="302"/>
      <c r="Q1164" s="2"/>
    </row>
    <row r="1165" spans="1:17" ht="4.5" customHeight="1" x14ac:dyDescent="0.2">
      <c r="A1165" s="1"/>
      <c r="B1165" s="1"/>
    </row>
    <row r="1166" spans="1:17" x14ac:dyDescent="0.2">
      <c r="A1166" s="234" t="s">
        <v>402</v>
      </c>
      <c r="B1166" s="235"/>
      <c r="C1166" s="235"/>
      <c r="D1166" s="235"/>
      <c r="E1166" s="236"/>
      <c r="F1166" s="236"/>
      <c r="G1166" s="236"/>
      <c r="H1166" s="236"/>
      <c r="I1166" s="236"/>
      <c r="J1166" s="236"/>
      <c r="K1166" s="236"/>
      <c r="L1166" s="236"/>
      <c r="M1166" s="236"/>
      <c r="N1166" s="236"/>
      <c r="O1166" s="236"/>
      <c r="P1166" s="236"/>
      <c r="Q1166" s="237"/>
    </row>
    <row r="1167" spans="1:17" ht="4.5" customHeight="1" x14ac:dyDescent="0.2">
      <c r="A1167" s="1"/>
      <c r="B1167" s="1"/>
      <c r="Q1167" s="2"/>
    </row>
    <row r="1168" spans="1:17" ht="53.25" customHeight="1" x14ac:dyDescent="0.2">
      <c r="A1168" s="299" t="s">
        <v>960</v>
      </c>
      <c r="B1168" s="300"/>
      <c r="C1168" s="301"/>
      <c r="D1168" s="301"/>
      <c r="E1168" s="301"/>
      <c r="F1168" s="301"/>
      <c r="G1168" s="301"/>
      <c r="H1168" s="301"/>
      <c r="I1168" s="301"/>
      <c r="J1168" s="301"/>
      <c r="K1168" s="301"/>
      <c r="L1168" s="301"/>
      <c r="M1168" s="301"/>
      <c r="N1168" s="301"/>
      <c r="O1168" s="301"/>
      <c r="P1168" s="302"/>
      <c r="Q1168" s="2"/>
    </row>
    <row r="1169" spans="1:256" x14ac:dyDescent="0.2">
      <c r="Q1169" s="2"/>
    </row>
    <row r="1170" spans="1:256" ht="31.5" customHeight="1" x14ac:dyDescent="0.2">
      <c r="A1170" s="212" t="s">
        <v>403</v>
      </c>
      <c r="B1170" s="212"/>
      <c r="C1170" s="212"/>
      <c r="D1170" s="212"/>
      <c r="E1170" s="212"/>
      <c r="F1170" s="212"/>
      <c r="G1170" s="212"/>
      <c r="H1170" s="212"/>
      <c r="I1170" s="212"/>
      <c r="J1170" s="212"/>
      <c r="K1170" s="212"/>
      <c r="L1170" s="212"/>
      <c r="M1170" s="212"/>
      <c r="N1170" s="212"/>
      <c r="O1170" s="212"/>
      <c r="P1170" s="212"/>
      <c r="Q1170" s="2"/>
    </row>
    <row r="1171" spans="1:256" ht="5" customHeight="1" x14ac:dyDescent="0.2">
      <c r="A1171" s="138"/>
      <c r="B1171" s="137"/>
    </row>
    <row r="1172" spans="1:256" x14ac:dyDescent="0.2">
      <c r="A1172" s="234" t="s">
        <v>209</v>
      </c>
      <c r="B1172" s="235"/>
      <c r="C1172" s="235"/>
      <c r="D1172" s="235"/>
      <c r="E1172" s="236"/>
      <c r="F1172" s="236"/>
      <c r="G1172" s="236"/>
      <c r="H1172" s="236"/>
      <c r="I1172" s="236"/>
      <c r="J1172" s="236"/>
      <c r="K1172" s="236"/>
      <c r="L1172" s="236"/>
      <c r="M1172" s="236"/>
      <c r="N1172" s="236"/>
      <c r="O1172" s="236"/>
      <c r="P1172" s="236"/>
      <c r="Q1172" s="237"/>
    </row>
    <row r="1173" spans="1:256" ht="4.5" customHeight="1" x14ac:dyDescent="0.2">
      <c r="Q1173" s="2"/>
    </row>
    <row r="1174" spans="1:256" ht="53.25" customHeight="1" x14ac:dyDescent="0.2">
      <c r="A1174" s="299"/>
      <c r="B1174" s="300"/>
      <c r="C1174" s="301"/>
      <c r="D1174" s="301"/>
      <c r="E1174" s="301"/>
      <c r="F1174" s="301"/>
      <c r="G1174" s="301"/>
      <c r="H1174" s="301"/>
      <c r="I1174" s="301"/>
      <c r="J1174" s="301"/>
      <c r="K1174" s="301"/>
      <c r="L1174" s="301"/>
      <c r="M1174" s="301"/>
      <c r="N1174" s="301"/>
      <c r="O1174" s="301"/>
      <c r="P1174" s="302"/>
      <c r="Q1174" s="2"/>
    </row>
    <row r="1175" spans="1:256" x14ac:dyDescent="0.2">
      <c r="Q1175" s="2"/>
    </row>
    <row r="1176" spans="1:256" ht="30" customHeight="1" x14ac:dyDescent="0.2">
      <c r="A1176" s="212" t="s">
        <v>404</v>
      </c>
      <c r="B1176" s="212"/>
      <c r="C1176" s="212"/>
      <c r="D1176" s="212"/>
      <c r="E1176" s="212"/>
      <c r="F1176" s="212"/>
      <c r="G1176" s="212"/>
      <c r="H1176" s="212"/>
      <c r="I1176" s="212"/>
      <c r="J1176" s="212"/>
      <c r="K1176" s="212"/>
      <c r="L1176" s="212"/>
      <c r="M1176" s="212"/>
      <c r="N1176" s="212"/>
      <c r="O1176" s="212"/>
      <c r="P1176" s="212"/>
      <c r="Q1176" s="2"/>
    </row>
    <row r="1177" spans="1:256" x14ac:dyDescent="0.2">
      <c r="Q1177" s="2"/>
    </row>
    <row r="1178" spans="1:256" ht="16" x14ac:dyDescent="0.2">
      <c r="A1178" s="447" t="s">
        <v>995</v>
      </c>
      <c r="B1178" s="448"/>
      <c r="C1178" s="448"/>
      <c r="D1178" s="448"/>
      <c r="E1178" s="448"/>
      <c r="F1178" s="448"/>
      <c r="G1178" s="448"/>
      <c r="H1178" s="448"/>
      <c r="I1178" s="448"/>
      <c r="J1178" s="448"/>
      <c r="K1178" s="448"/>
      <c r="L1178" s="448"/>
      <c r="M1178" s="448"/>
      <c r="N1178" s="448"/>
      <c r="O1178" s="448"/>
      <c r="P1178" s="39"/>
      <c r="Q1178" s="39"/>
    </row>
    <row r="1179" spans="1:256" ht="5" customHeight="1" x14ac:dyDescent="0.2">
      <c r="A1179" s="1"/>
      <c r="B1179" s="1"/>
      <c r="C1179" s="1"/>
      <c r="D1179" s="1"/>
      <c r="E1179" s="1"/>
      <c r="F1179" s="1"/>
      <c r="G1179" s="1"/>
      <c r="H1179" s="1"/>
      <c r="I1179" s="1"/>
      <c r="J1179" s="1"/>
      <c r="K1179" s="1"/>
      <c r="L1179" s="1"/>
      <c r="M1179" s="1"/>
      <c r="N1179" s="1"/>
      <c r="O1179" s="1"/>
      <c r="P1179" s="1"/>
      <c r="Q1179" s="1"/>
    </row>
    <row r="1180" spans="1:256" x14ac:dyDescent="0.2">
      <c r="A1180" s="234" t="s">
        <v>515</v>
      </c>
      <c r="B1180" s="235"/>
      <c r="C1180" s="235"/>
      <c r="D1180" s="235"/>
      <c r="E1180" s="236"/>
      <c r="F1180" s="236"/>
      <c r="G1180" s="236"/>
      <c r="H1180" s="236"/>
      <c r="I1180" s="236"/>
      <c r="J1180" s="236"/>
      <c r="K1180" s="236"/>
      <c r="L1180" s="236"/>
      <c r="M1180" s="236"/>
      <c r="N1180" s="236"/>
      <c r="O1180" s="236"/>
      <c r="P1180" s="236"/>
      <c r="Q1180" s="237"/>
    </row>
    <row r="1181" spans="1:256" x14ac:dyDescent="0.2">
      <c r="A1181" s="211" t="s">
        <v>973</v>
      </c>
      <c r="B1181" s="212"/>
      <c r="C1181" s="212"/>
      <c r="D1181" s="212"/>
      <c r="E1181" s="212"/>
      <c r="F1181" s="212"/>
      <c r="G1181" s="212"/>
      <c r="H1181" s="212"/>
      <c r="I1181" s="212"/>
      <c r="J1181" s="212"/>
      <c r="K1181" s="212"/>
      <c r="L1181" s="212"/>
      <c r="M1181" s="212"/>
      <c r="N1181" s="212"/>
      <c r="O1181" s="212"/>
      <c r="P1181" s="212"/>
      <c r="Q1181" s="38"/>
      <c r="R1181" s="51"/>
      <c r="S1181" s="51"/>
      <c r="T1181" s="51"/>
      <c r="U1181" s="51"/>
      <c r="V1181" s="51"/>
      <c r="W1181" s="51"/>
      <c r="X1181" s="51"/>
      <c r="Y1181" s="51"/>
      <c r="Z1181" s="51"/>
      <c r="AA1181" s="51"/>
      <c r="AB1181" s="51"/>
      <c r="AC1181" s="51"/>
      <c r="AD1181" s="51"/>
      <c r="AE1181" s="51"/>
      <c r="AF1181" s="51"/>
      <c r="AG1181" s="211"/>
      <c r="AH1181" s="212"/>
      <c r="AI1181" s="212"/>
      <c r="AJ1181" s="212"/>
      <c r="AK1181" s="212"/>
      <c r="AL1181" s="212"/>
      <c r="AM1181" s="212"/>
      <c r="AN1181" s="212"/>
      <c r="AO1181" s="212"/>
      <c r="AP1181" s="212"/>
      <c r="AQ1181" s="212"/>
      <c r="AR1181" s="212"/>
      <c r="AS1181" s="212"/>
      <c r="AT1181" s="212"/>
      <c r="AU1181" s="212"/>
      <c r="AV1181" s="212"/>
      <c r="AW1181" s="211"/>
      <c r="AX1181" s="212"/>
      <c r="AY1181" s="212"/>
      <c r="AZ1181" s="212"/>
      <c r="BA1181" s="212"/>
      <c r="BB1181" s="212"/>
      <c r="BC1181" s="212"/>
      <c r="BD1181" s="212"/>
      <c r="BE1181" s="212"/>
      <c r="BF1181" s="212"/>
      <c r="BG1181" s="212"/>
      <c r="BH1181" s="212"/>
      <c r="BI1181" s="212"/>
      <c r="BJ1181" s="212"/>
      <c r="BK1181" s="212"/>
      <c r="BL1181" s="212"/>
      <c r="BM1181" s="211"/>
      <c r="BN1181" s="212"/>
      <c r="BO1181" s="212"/>
      <c r="BP1181" s="212"/>
      <c r="BQ1181" s="212"/>
      <c r="BR1181" s="212"/>
      <c r="BS1181" s="212"/>
      <c r="BT1181" s="212"/>
      <c r="BU1181" s="212"/>
      <c r="BV1181" s="212"/>
      <c r="BW1181" s="212"/>
      <c r="BX1181" s="212"/>
      <c r="BY1181" s="212"/>
      <c r="BZ1181" s="212"/>
      <c r="CA1181" s="212"/>
      <c r="CB1181" s="212"/>
      <c r="CC1181" s="211"/>
      <c r="CD1181" s="212"/>
      <c r="CE1181" s="212"/>
      <c r="CF1181" s="212"/>
      <c r="CG1181" s="212"/>
      <c r="CH1181" s="212"/>
      <c r="CI1181" s="212"/>
      <c r="CJ1181" s="212"/>
      <c r="CK1181" s="212"/>
      <c r="CL1181" s="212"/>
      <c r="CM1181" s="212"/>
      <c r="CN1181" s="212"/>
      <c r="CO1181" s="212"/>
      <c r="CP1181" s="212"/>
      <c r="CQ1181" s="212"/>
      <c r="CR1181" s="212"/>
      <c r="CS1181" s="211"/>
      <c r="CT1181" s="212"/>
      <c r="CU1181" s="212"/>
      <c r="CV1181" s="212"/>
      <c r="CW1181" s="212"/>
      <c r="CX1181" s="212"/>
      <c r="CY1181" s="212"/>
      <c r="CZ1181" s="212"/>
      <c r="DA1181" s="212"/>
      <c r="DB1181" s="212"/>
      <c r="DC1181" s="212"/>
      <c r="DD1181" s="212"/>
      <c r="DE1181" s="212"/>
      <c r="DF1181" s="212"/>
      <c r="DG1181" s="212"/>
      <c r="DH1181" s="212"/>
      <c r="DI1181" s="211"/>
      <c r="DJ1181" s="212"/>
      <c r="DK1181" s="212"/>
      <c r="DL1181" s="212"/>
      <c r="DM1181" s="212"/>
      <c r="DN1181" s="212"/>
      <c r="DO1181" s="212"/>
      <c r="DP1181" s="212"/>
      <c r="DQ1181" s="212"/>
      <c r="DR1181" s="212"/>
      <c r="DS1181" s="212"/>
      <c r="DT1181" s="212"/>
      <c r="DU1181" s="212"/>
      <c r="DV1181" s="212"/>
      <c r="DW1181" s="212"/>
      <c r="DX1181" s="212"/>
      <c r="DY1181" s="211"/>
      <c r="DZ1181" s="212"/>
      <c r="EA1181" s="212"/>
      <c r="EB1181" s="212"/>
      <c r="EC1181" s="212"/>
      <c r="ED1181" s="212"/>
      <c r="EE1181" s="212"/>
      <c r="EF1181" s="212"/>
      <c r="EG1181" s="212"/>
      <c r="EH1181" s="212"/>
      <c r="EI1181" s="212"/>
      <c r="EJ1181" s="212"/>
      <c r="EK1181" s="212"/>
      <c r="EL1181" s="212"/>
      <c r="EM1181" s="212"/>
      <c r="EN1181" s="212"/>
      <c r="EO1181" s="211"/>
      <c r="EP1181" s="212"/>
      <c r="EQ1181" s="212"/>
      <c r="ER1181" s="212"/>
      <c r="ES1181" s="212"/>
      <c r="ET1181" s="212"/>
      <c r="EU1181" s="212"/>
      <c r="EV1181" s="212"/>
      <c r="EW1181" s="212"/>
      <c r="EX1181" s="212"/>
      <c r="EY1181" s="212"/>
      <c r="EZ1181" s="212"/>
      <c r="FA1181" s="212"/>
      <c r="FB1181" s="212"/>
      <c r="FC1181" s="212"/>
      <c r="FD1181" s="212"/>
      <c r="FE1181" s="211"/>
      <c r="FF1181" s="212"/>
      <c r="FG1181" s="212"/>
      <c r="FH1181" s="212"/>
      <c r="FI1181" s="212"/>
      <c r="FJ1181" s="212"/>
      <c r="FK1181" s="212"/>
      <c r="FL1181" s="212"/>
      <c r="FM1181" s="212"/>
      <c r="FN1181" s="212"/>
      <c r="FO1181" s="212"/>
      <c r="FP1181" s="212"/>
      <c r="FQ1181" s="212"/>
      <c r="FR1181" s="212"/>
      <c r="FS1181" s="212"/>
      <c r="FT1181" s="212"/>
      <c r="FU1181" s="211"/>
      <c r="FV1181" s="212"/>
      <c r="FW1181" s="212"/>
      <c r="FX1181" s="212"/>
      <c r="FY1181" s="212"/>
      <c r="FZ1181" s="212"/>
      <c r="GA1181" s="212"/>
      <c r="GB1181" s="212"/>
      <c r="GC1181" s="212"/>
      <c r="GD1181" s="212"/>
      <c r="GE1181" s="212"/>
      <c r="GF1181" s="212"/>
      <c r="GG1181" s="212"/>
      <c r="GH1181" s="212"/>
      <c r="GI1181" s="212"/>
      <c r="GJ1181" s="212"/>
      <c r="GK1181" s="211"/>
      <c r="GL1181" s="212"/>
      <c r="GM1181" s="212"/>
      <c r="GN1181" s="212"/>
      <c r="GO1181" s="212"/>
      <c r="GP1181" s="212"/>
      <c r="GQ1181" s="212"/>
      <c r="GR1181" s="212"/>
      <c r="GS1181" s="212"/>
      <c r="GT1181" s="212"/>
      <c r="GU1181" s="212"/>
      <c r="GV1181" s="212"/>
      <c r="GW1181" s="212"/>
      <c r="GX1181" s="212"/>
      <c r="GY1181" s="212"/>
      <c r="GZ1181" s="212"/>
      <c r="HA1181" s="211"/>
      <c r="HB1181" s="212"/>
      <c r="HC1181" s="212"/>
      <c r="HD1181" s="212"/>
      <c r="HE1181" s="212"/>
      <c r="HF1181" s="212"/>
      <c r="HG1181" s="212"/>
      <c r="HH1181" s="212"/>
      <c r="HI1181" s="212"/>
      <c r="HJ1181" s="212"/>
      <c r="HK1181" s="212"/>
      <c r="HL1181" s="212"/>
      <c r="HM1181" s="212"/>
      <c r="HN1181" s="212"/>
      <c r="HO1181" s="212"/>
      <c r="HP1181" s="212"/>
      <c r="HQ1181" s="211"/>
      <c r="HR1181" s="212"/>
      <c r="HS1181" s="212"/>
      <c r="HT1181" s="212"/>
      <c r="HU1181" s="212"/>
      <c r="HV1181" s="212"/>
      <c r="HW1181" s="212"/>
      <c r="HX1181" s="212"/>
      <c r="HY1181" s="212"/>
      <c r="HZ1181" s="212"/>
      <c r="IA1181" s="212"/>
      <c r="IB1181" s="212"/>
      <c r="IC1181" s="212"/>
      <c r="ID1181" s="212"/>
      <c r="IE1181" s="212"/>
      <c r="IF1181" s="212"/>
      <c r="IG1181" s="211"/>
      <c r="IH1181" s="212"/>
      <c r="II1181" s="212"/>
      <c r="IJ1181" s="212"/>
      <c r="IK1181" s="212"/>
      <c r="IL1181" s="212"/>
      <c r="IM1181" s="212"/>
      <c r="IN1181" s="212"/>
      <c r="IO1181" s="212"/>
      <c r="IP1181" s="212"/>
      <c r="IQ1181" s="212"/>
      <c r="IR1181" s="212"/>
      <c r="IS1181" s="212"/>
      <c r="IT1181" s="212"/>
      <c r="IU1181" s="212"/>
      <c r="IV1181" s="212"/>
    </row>
    <row r="1182" spans="1:256" x14ac:dyDescent="0.2">
      <c r="A1182" s="39"/>
      <c r="B1182" s="39"/>
      <c r="C1182" s="39"/>
      <c r="D1182" s="39"/>
      <c r="E1182" s="37"/>
      <c r="F1182" s="37"/>
      <c r="G1182" s="37"/>
      <c r="H1182" s="37"/>
      <c r="I1182" s="37"/>
      <c r="J1182" s="37"/>
      <c r="K1182" s="37"/>
      <c r="L1182" s="37"/>
      <c r="M1182" s="37"/>
      <c r="N1182" s="37"/>
      <c r="O1182" s="37"/>
      <c r="P1182" s="37"/>
      <c r="Q1182" s="38"/>
    </row>
    <row r="1183" spans="1:256" ht="15" customHeight="1" x14ac:dyDescent="0.2">
      <c r="A1183" s="211" t="s">
        <v>516</v>
      </c>
      <c r="B1183" s="212"/>
      <c r="C1183" s="212"/>
      <c r="D1183" s="212"/>
      <c r="E1183" s="212"/>
      <c r="F1183" s="212"/>
      <c r="G1183" s="212"/>
      <c r="H1183" s="212"/>
      <c r="I1183" s="212"/>
      <c r="J1183" s="212"/>
      <c r="K1183" s="212"/>
      <c r="L1183" s="212"/>
      <c r="M1183" s="212"/>
      <c r="N1183" s="212"/>
      <c r="O1183" s="212"/>
      <c r="P1183" s="212"/>
      <c r="Q1183" s="38"/>
    </row>
    <row r="1184" spans="1:256" x14ac:dyDescent="0.2">
      <c r="A1184" s="62"/>
      <c r="B1184" s="51"/>
      <c r="C1184" s="51"/>
      <c r="D1184" s="51"/>
      <c r="E1184" s="51"/>
      <c r="F1184" s="51"/>
      <c r="G1184" s="51"/>
      <c r="H1184" s="51"/>
      <c r="I1184" s="51"/>
      <c r="J1184" s="51"/>
      <c r="K1184" s="51"/>
      <c r="L1184" s="51"/>
      <c r="M1184" s="51"/>
      <c r="N1184" s="51"/>
      <c r="O1184" s="51"/>
      <c r="P1184" s="51"/>
      <c r="Q1184" s="38"/>
    </row>
    <row r="1185" spans="1:17" x14ac:dyDescent="0.2">
      <c r="A1185" s="238"/>
      <c r="B1185" s="239"/>
      <c r="C1185" s="212"/>
      <c r="D1185" s="212"/>
      <c r="E1185" s="72"/>
      <c r="F1185" s="140"/>
      <c r="G1185" s="140"/>
      <c r="H1185" s="140"/>
      <c r="I1185" s="140"/>
      <c r="J1185" s="140"/>
      <c r="K1185" s="140"/>
      <c r="L1185" s="140"/>
      <c r="M1185" s="140"/>
      <c r="N1185" s="140"/>
      <c r="O1185" s="140"/>
      <c r="P1185" s="140"/>
      <c r="Q1185" s="38"/>
    </row>
    <row r="1186" spans="1:17" x14ac:dyDescent="0.2">
      <c r="A1186" s="36"/>
      <c r="F1186" s="238" t="s">
        <v>519</v>
      </c>
      <c r="G1186" s="239"/>
      <c r="H1186" s="212"/>
      <c r="I1186" s="212"/>
      <c r="L1186" s="238" t="str">
        <f>IF(H72&gt;0,"Previous year account balances","")</f>
        <v>Previous year account balances</v>
      </c>
      <c r="M1186" s="239"/>
      <c r="N1186" s="212"/>
      <c r="O1186" s="212"/>
      <c r="Q1186" s="2"/>
    </row>
    <row r="1187" spans="1:17" x14ac:dyDescent="0.2">
      <c r="A1187" s="238"/>
      <c r="B1187" s="239"/>
      <c r="C1187" s="72"/>
      <c r="D1187" s="72"/>
      <c r="E1187" s="72"/>
      <c r="F1187" s="140" t="str">
        <f>TEXT(N2,"yyyy")</f>
        <v>2026</v>
      </c>
      <c r="G1187" s="140"/>
      <c r="H1187" s="140"/>
      <c r="I1187" s="140"/>
      <c r="J1187" s="140"/>
      <c r="K1187" s="140"/>
      <c r="L1187" s="238" t="str">
        <f>IF(H72&gt;0,TEXT(H72,"yyyy"),"")</f>
        <v/>
      </c>
      <c r="M1187" s="239"/>
      <c r="N1187" s="239"/>
      <c r="O1187" s="239"/>
      <c r="P1187" s="140"/>
      <c r="Q1187" s="38"/>
    </row>
    <row r="1188" spans="1:17" x14ac:dyDescent="0.2">
      <c r="Q1188" s="2"/>
    </row>
    <row r="1189" spans="1:17" ht="5" customHeight="1" x14ac:dyDescent="0.2">
      <c r="A1189" s="48"/>
      <c r="B1189" s="23"/>
      <c r="C1189" s="23"/>
      <c r="D1189" s="12"/>
      <c r="E1189" s="23"/>
      <c r="F1189" s="33"/>
      <c r="G1189" s="33"/>
      <c r="H1189" s="33"/>
      <c r="I1189" s="33"/>
      <c r="J1189" s="178"/>
      <c r="K1189" s="33"/>
      <c r="L1189" s="33"/>
      <c r="M1189" s="33"/>
      <c r="N1189" s="33"/>
      <c r="O1189" s="33"/>
      <c r="P1189" s="34"/>
      <c r="Q1189" s="2"/>
    </row>
    <row r="1190" spans="1:17" x14ac:dyDescent="0.2">
      <c r="A1190" s="244" t="s">
        <v>523</v>
      </c>
      <c r="B1190" s="245"/>
      <c r="C1190" s="245"/>
      <c r="D1190" s="246"/>
      <c r="E1190" s="20"/>
      <c r="F1190" s="70" t="s">
        <v>122</v>
      </c>
      <c r="G1190" s="115" t="s">
        <v>61</v>
      </c>
      <c r="H1190" s="242">
        <f>(H252+(SUM(H258,H261,H1213)-H270))-H279-H283</f>
        <v>0</v>
      </c>
      <c r="I1190" s="242"/>
      <c r="J1190" s="179"/>
      <c r="K1190" s="27"/>
      <c r="L1190" s="70" t="s">
        <v>437</v>
      </c>
      <c r="M1190" s="186" t="s">
        <v>61</v>
      </c>
      <c r="N1190" s="242">
        <f>N286</f>
        <v>0</v>
      </c>
      <c r="O1190" s="242"/>
      <c r="P1190" s="26"/>
      <c r="Q1190" s="2"/>
    </row>
    <row r="1191" spans="1:17" ht="5" customHeight="1" x14ac:dyDescent="0.2">
      <c r="A1191" s="47"/>
      <c r="B1191" s="21"/>
      <c r="C1191" s="21"/>
      <c r="D1191" s="9"/>
      <c r="E1191" s="21"/>
      <c r="F1191" s="10"/>
      <c r="G1191" s="10"/>
      <c r="H1191" s="10"/>
      <c r="I1191" s="10"/>
      <c r="J1191" s="180"/>
      <c r="K1191" s="10"/>
      <c r="L1191" s="10"/>
      <c r="M1191" s="10"/>
      <c r="N1191" s="10"/>
      <c r="O1191" s="10"/>
      <c r="P1191" s="28"/>
      <c r="Q1191" s="2"/>
    </row>
    <row r="1192" spans="1:17" ht="5" customHeight="1" x14ac:dyDescent="0.2">
      <c r="A1192" s="49"/>
      <c r="B1192" s="24"/>
      <c r="C1192" s="24"/>
      <c r="D1192" s="14"/>
      <c r="E1192" s="24"/>
      <c r="F1192" s="29"/>
      <c r="G1192" s="29"/>
      <c r="H1192" s="29"/>
      <c r="I1192" s="29"/>
      <c r="J1192" s="183"/>
      <c r="K1192" s="29"/>
      <c r="L1192" s="29"/>
      <c r="M1192" s="29"/>
      <c r="N1192" s="29"/>
      <c r="O1192" s="29"/>
      <c r="P1192" s="30"/>
      <c r="Q1192" s="2"/>
    </row>
    <row r="1193" spans="1:17" x14ac:dyDescent="0.2">
      <c r="A1193" s="247" t="s">
        <v>130</v>
      </c>
      <c r="B1193" s="248"/>
      <c r="C1193" s="285"/>
      <c r="D1193" s="286"/>
      <c r="E1193" s="22"/>
      <c r="F1193" s="70" t="s">
        <v>134</v>
      </c>
      <c r="G1193" s="107" t="s">
        <v>61</v>
      </c>
      <c r="H1193" s="240">
        <f>H309</f>
        <v>0</v>
      </c>
      <c r="I1193" s="241"/>
      <c r="J1193" s="176"/>
      <c r="K1193" s="40"/>
      <c r="L1193" s="70" t="s">
        <v>442</v>
      </c>
      <c r="M1193" s="107" t="s">
        <v>61</v>
      </c>
      <c r="N1193" s="240">
        <f>N309</f>
        <v>0</v>
      </c>
      <c r="O1193" s="241"/>
      <c r="P1193" s="41"/>
      <c r="Q1193" s="2"/>
    </row>
    <row r="1194" spans="1:17" ht="5" customHeight="1" x14ac:dyDescent="0.2">
      <c r="A1194" s="50"/>
      <c r="B1194" s="25"/>
      <c r="C1194" s="25"/>
      <c r="D1194" s="16"/>
      <c r="E1194" s="25"/>
      <c r="F1194" s="31"/>
      <c r="G1194" s="31"/>
      <c r="H1194" s="31"/>
      <c r="I1194" s="31"/>
      <c r="J1194" s="177"/>
      <c r="K1194" s="31"/>
      <c r="L1194" s="31"/>
      <c r="M1194" s="31"/>
      <c r="N1194" s="31"/>
      <c r="O1194" s="31"/>
      <c r="P1194" s="32"/>
      <c r="Q1194" s="2"/>
    </row>
    <row r="1195" spans="1:17" x14ac:dyDescent="0.2">
      <c r="Q1195" s="2"/>
    </row>
    <row r="1196" spans="1:17" x14ac:dyDescent="0.2">
      <c r="Q1196" s="2"/>
    </row>
    <row r="1197" spans="1:17" ht="5" customHeight="1" x14ac:dyDescent="0.2">
      <c r="A1197" s="48"/>
      <c r="B1197" s="23"/>
      <c r="C1197" s="23"/>
      <c r="D1197" s="12"/>
      <c r="E1197" s="23"/>
      <c r="F1197" s="33"/>
      <c r="G1197" s="68"/>
      <c r="H1197" s="33"/>
      <c r="I1197" s="33"/>
      <c r="J1197" s="178"/>
      <c r="K1197" s="33"/>
      <c r="L1197" s="33"/>
      <c r="M1197" s="33"/>
      <c r="N1197" s="33"/>
      <c r="O1197" s="33"/>
      <c r="P1197" s="34"/>
      <c r="Q1197" s="2"/>
    </row>
    <row r="1198" spans="1:17" x14ac:dyDescent="0.2">
      <c r="A1198" s="224" t="str">
        <f>[1]TrialBalance!$B$22&amp;":"</f>
        <v>Bank Current Account:</v>
      </c>
      <c r="B1198" s="225"/>
      <c r="C1198" s="283"/>
      <c r="D1198" s="284"/>
      <c r="E1198" s="20"/>
      <c r="F1198" s="70" t="s">
        <v>518</v>
      </c>
      <c r="G1198" s="40" t="s">
        <v>61</v>
      </c>
      <c r="H1198" s="213">
        <f>ROUND([1]TrialBalance!EJ22,D2)</f>
        <v>0</v>
      </c>
      <c r="I1198" s="214"/>
      <c r="J1198" s="179"/>
      <c r="K1198" s="27"/>
      <c r="L1198" s="70" t="s">
        <v>518</v>
      </c>
      <c r="M1198" s="67" t="s">
        <v>61</v>
      </c>
      <c r="N1198" s="213">
        <f>IF(H72&gt;0,ROUND([1]TrialBalance!D22,D2),"")</f>
        <v>0</v>
      </c>
      <c r="O1198" s="214"/>
      <c r="P1198" s="26"/>
      <c r="Q1198" s="2"/>
    </row>
    <row r="1199" spans="1:17" ht="5" customHeight="1" x14ac:dyDescent="0.2">
      <c r="A1199" s="47"/>
      <c r="B1199" s="21"/>
      <c r="C1199" s="21"/>
      <c r="D1199" s="9"/>
      <c r="E1199" s="21"/>
      <c r="F1199" s="10"/>
      <c r="G1199" s="69"/>
      <c r="H1199" s="10"/>
      <c r="I1199" s="10"/>
      <c r="J1199" s="180"/>
      <c r="K1199" s="10"/>
      <c r="L1199" s="10"/>
      <c r="M1199" s="10"/>
      <c r="N1199" s="10"/>
      <c r="O1199" s="10"/>
      <c r="P1199" s="28"/>
      <c r="Q1199" s="2"/>
    </row>
    <row r="1200" spans="1:17" ht="5" customHeight="1" x14ac:dyDescent="0.2">
      <c r="A1200" s="49"/>
      <c r="B1200" s="24"/>
      <c r="C1200" s="24"/>
      <c r="D1200" s="14"/>
      <c r="E1200" s="24"/>
      <c r="F1200" s="29"/>
      <c r="G1200" s="29"/>
      <c r="H1200" s="29"/>
      <c r="I1200" s="29"/>
      <c r="J1200" s="183"/>
      <c r="K1200" s="29"/>
      <c r="L1200" s="29"/>
      <c r="M1200" s="29"/>
      <c r="N1200" s="29"/>
      <c r="O1200" s="29"/>
      <c r="P1200" s="30"/>
      <c r="Q1200" s="2"/>
    </row>
    <row r="1201" spans="1:17" x14ac:dyDescent="0.2">
      <c r="A1201" s="221" t="str">
        <f>[1]TrialBalance!$B$23&amp;":"</f>
        <v>Bank Savings Account:</v>
      </c>
      <c r="B1201" s="222"/>
      <c r="C1201" s="283"/>
      <c r="D1201" s="284"/>
      <c r="E1201" s="22"/>
      <c r="F1201" s="70" t="s">
        <v>518</v>
      </c>
      <c r="G1201" s="67" t="s">
        <v>61</v>
      </c>
      <c r="H1201" s="213">
        <f>ROUND([1]TrialBalance!EJ23,D2)</f>
        <v>0</v>
      </c>
      <c r="I1201" s="214"/>
      <c r="J1201" s="176"/>
      <c r="K1201" s="40"/>
      <c r="L1201" s="70" t="s">
        <v>518</v>
      </c>
      <c r="M1201" s="67" t="s">
        <v>61</v>
      </c>
      <c r="N1201" s="213">
        <f>IF(H72&gt;0,ROUND([1]TrialBalance!D23,D2),"")</f>
        <v>0</v>
      </c>
      <c r="O1201" s="214"/>
      <c r="P1201" s="41"/>
      <c r="Q1201" s="2"/>
    </row>
    <row r="1202" spans="1:17" ht="5" customHeight="1" x14ac:dyDescent="0.2">
      <c r="A1202" s="50"/>
      <c r="B1202" s="25"/>
      <c r="C1202" s="25"/>
      <c r="D1202" s="16"/>
      <c r="E1202" s="25"/>
      <c r="F1202" s="31"/>
      <c r="G1202" s="31"/>
      <c r="H1202" s="31"/>
      <c r="I1202" s="31"/>
      <c r="J1202" s="177"/>
      <c r="K1202" s="31"/>
      <c r="L1202" s="31"/>
      <c r="M1202" s="31"/>
      <c r="N1202" s="31"/>
      <c r="O1202" s="31"/>
      <c r="P1202" s="32"/>
      <c r="Q1202" s="2"/>
    </row>
    <row r="1203" spans="1:17" ht="5" customHeight="1" x14ac:dyDescent="0.2">
      <c r="A1203" s="48"/>
      <c r="B1203" s="23"/>
      <c r="C1203" s="23"/>
      <c r="D1203" s="12"/>
      <c r="E1203" s="23"/>
      <c r="F1203" s="33"/>
      <c r="G1203" s="68"/>
      <c r="H1203" s="33"/>
      <c r="I1203" s="33"/>
      <c r="J1203" s="178"/>
      <c r="K1203" s="33"/>
      <c r="L1203" s="33"/>
      <c r="M1203" s="33"/>
      <c r="N1203" s="33"/>
      <c r="O1203" s="33"/>
      <c r="P1203" s="34"/>
      <c r="Q1203" s="2"/>
    </row>
    <row r="1204" spans="1:17" x14ac:dyDescent="0.2">
      <c r="A1204" s="224" t="str">
        <f>[1]TrialBalance!$B$24&amp;":"</f>
        <v>Credit Card Account:</v>
      </c>
      <c r="B1204" s="225"/>
      <c r="C1204" s="283"/>
      <c r="D1204" s="284"/>
      <c r="E1204" s="20"/>
      <c r="F1204" s="70" t="s">
        <v>518</v>
      </c>
      <c r="G1204" s="40" t="s">
        <v>61</v>
      </c>
      <c r="H1204" s="213">
        <f>ROUND([1]TrialBalance!EJ24,D2)</f>
        <v>0</v>
      </c>
      <c r="I1204" s="214"/>
      <c r="J1204" s="179"/>
      <c r="K1204" s="27"/>
      <c r="L1204" s="70" t="s">
        <v>518</v>
      </c>
      <c r="M1204" s="67" t="s">
        <v>61</v>
      </c>
      <c r="N1204" s="213">
        <f>IF(H72&gt;0,ROUND([1]TrialBalance!D24,D2),"")</f>
        <v>0</v>
      </c>
      <c r="O1204" s="214"/>
      <c r="P1204" s="26"/>
      <c r="Q1204" s="2"/>
    </row>
    <row r="1205" spans="1:17" ht="5" customHeight="1" x14ac:dyDescent="0.2">
      <c r="A1205" s="47"/>
      <c r="B1205" s="21"/>
      <c r="C1205" s="21"/>
      <c r="D1205" s="9"/>
      <c r="E1205" s="21"/>
      <c r="F1205" s="10"/>
      <c r="G1205" s="69"/>
      <c r="H1205" s="10"/>
      <c r="I1205" s="10"/>
      <c r="J1205" s="180"/>
      <c r="K1205" s="10"/>
      <c r="L1205" s="10"/>
      <c r="M1205" s="10"/>
      <c r="N1205" s="10"/>
      <c r="O1205" s="10"/>
      <c r="P1205" s="28"/>
      <c r="Q1205" s="2"/>
    </row>
    <row r="1206" spans="1:17" ht="5" customHeight="1" x14ac:dyDescent="0.2">
      <c r="A1206" s="49"/>
      <c r="B1206" s="24"/>
      <c r="C1206" s="24"/>
      <c r="D1206" s="14"/>
      <c r="E1206" s="24"/>
      <c r="F1206" s="29"/>
      <c r="G1206" s="29"/>
      <c r="H1206" s="29"/>
      <c r="I1206" s="29"/>
      <c r="J1206" s="183"/>
      <c r="K1206" s="29"/>
      <c r="L1206" s="29"/>
      <c r="M1206" s="29"/>
      <c r="N1206" s="29"/>
      <c r="O1206" s="29"/>
      <c r="P1206" s="30"/>
      <c r="Q1206" s="2"/>
    </row>
    <row r="1207" spans="1:17" x14ac:dyDescent="0.2">
      <c r="A1207" s="221" t="str">
        <f>[1]TrialBalance!$B$25&amp;":"</f>
        <v>Cash Account:</v>
      </c>
      <c r="B1207" s="222"/>
      <c r="C1207" s="283"/>
      <c r="D1207" s="284"/>
      <c r="E1207" s="22"/>
      <c r="F1207" s="70" t="s">
        <v>518</v>
      </c>
      <c r="G1207" s="67" t="s">
        <v>61</v>
      </c>
      <c r="H1207" s="213">
        <f>ROUND([1]TrialBalance!EJ25,D2)</f>
        <v>0</v>
      </c>
      <c r="I1207" s="214"/>
      <c r="J1207" s="176"/>
      <c r="K1207" s="40"/>
      <c r="L1207" s="70" t="s">
        <v>518</v>
      </c>
      <c r="M1207" s="67" t="s">
        <v>61</v>
      </c>
      <c r="N1207" s="213">
        <f>IF(H72&gt;0,ROUND([1]TrialBalance!D25,D2),"")</f>
        <v>0</v>
      </c>
      <c r="O1207" s="214"/>
      <c r="P1207" s="41"/>
      <c r="Q1207" s="2"/>
    </row>
    <row r="1208" spans="1:17" ht="5" customHeight="1" x14ac:dyDescent="0.2">
      <c r="A1208" s="50"/>
      <c r="B1208" s="25"/>
      <c r="C1208" s="25"/>
      <c r="D1208" s="16"/>
      <c r="E1208" s="25"/>
      <c r="F1208" s="31"/>
      <c r="G1208" s="31"/>
      <c r="H1208" s="31"/>
      <c r="I1208" s="31"/>
      <c r="J1208" s="177"/>
      <c r="K1208" s="31"/>
      <c r="L1208" s="31"/>
      <c r="M1208" s="31"/>
      <c r="N1208" s="31"/>
      <c r="O1208" s="31"/>
      <c r="P1208" s="32"/>
      <c r="Q1208" s="2"/>
    </row>
    <row r="1209" spans="1:17" ht="5" customHeight="1" x14ac:dyDescent="0.2">
      <c r="A1209" s="48"/>
      <c r="B1209" s="23"/>
      <c r="C1209" s="23"/>
      <c r="D1209" s="12"/>
      <c r="E1209" s="23"/>
      <c r="F1209" s="33"/>
      <c r="G1209" s="33"/>
      <c r="H1209" s="33"/>
      <c r="I1209" s="33"/>
      <c r="J1209" s="178"/>
      <c r="K1209" s="33"/>
      <c r="L1209" s="33"/>
      <c r="M1209" s="33"/>
      <c r="N1209" s="33"/>
      <c r="O1209" s="33"/>
      <c r="P1209" s="34"/>
      <c r="Q1209" s="2"/>
    </row>
    <row r="1210" spans="1:17" x14ac:dyDescent="0.2">
      <c r="A1210" s="224" t="str">
        <f>[1]TrialBalance!$B$26&amp;":"</f>
        <v>Intra Cash &amp; Bank Transfers:</v>
      </c>
      <c r="B1210" s="225"/>
      <c r="C1210" s="283"/>
      <c r="D1210" s="284"/>
      <c r="E1210" s="20"/>
      <c r="F1210" s="70" t="s">
        <v>518</v>
      </c>
      <c r="G1210" s="66" t="s">
        <v>61</v>
      </c>
      <c r="H1210" s="213">
        <f>ROUND([1]TrialBalance!EJ26,D2)</f>
        <v>0</v>
      </c>
      <c r="I1210" s="214"/>
      <c r="J1210" s="179"/>
      <c r="K1210" s="27"/>
      <c r="L1210" s="70" t="s">
        <v>518</v>
      </c>
      <c r="M1210" s="67" t="s">
        <v>61</v>
      </c>
      <c r="N1210" s="213">
        <f>IF(H72&gt;0,ROUND([1]TrialBalance!D26,D2),"")</f>
        <v>0</v>
      </c>
      <c r="O1210" s="214"/>
      <c r="P1210" s="26"/>
      <c r="Q1210" s="2"/>
    </row>
    <row r="1211" spans="1:17" ht="5" customHeight="1" x14ac:dyDescent="0.2">
      <c r="A1211" s="47"/>
      <c r="B1211" s="21"/>
      <c r="C1211" s="21"/>
      <c r="D1211" s="9"/>
      <c r="E1211" s="21"/>
      <c r="F1211" s="10"/>
      <c r="G1211" s="10"/>
      <c r="H1211" s="10"/>
      <c r="I1211" s="10"/>
      <c r="J1211" s="180"/>
      <c r="K1211" s="10"/>
      <c r="L1211" s="10"/>
      <c r="M1211" s="10"/>
      <c r="N1211" s="10"/>
      <c r="O1211" s="10"/>
      <c r="P1211" s="28"/>
      <c r="Q1211" s="2"/>
    </row>
    <row r="1212" spans="1:17" ht="5" customHeight="1" x14ac:dyDescent="0.2">
      <c r="A1212" s="49"/>
      <c r="B1212" s="24"/>
      <c r="C1212" s="24"/>
      <c r="D1212" s="14"/>
      <c r="E1212" s="24"/>
      <c r="F1212" s="29"/>
      <c r="G1212" s="29"/>
      <c r="H1212" s="29"/>
      <c r="I1212" s="29"/>
      <c r="J1212" s="183"/>
      <c r="K1212" s="29"/>
      <c r="L1212" s="29"/>
      <c r="M1212" s="29"/>
      <c r="N1212" s="29"/>
      <c r="O1212" s="29"/>
      <c r="P1212" s="30"/>
      <c r="Q1212" s="2"/>
    </row>
    <row r="1213" spans="1:17" x14ac:dyDescent="0.2">
      <c r="A1213" s="221" t="s">
        <v>525</v>
      </c>
      <c r="B1213" s="222"/>
      <c r="C1213" s="283"/>
      <c r="D1213" s="284"/>
      <c r="E1213" s="22"/>
      <c r="F1213" s="70" t="s">
        <v>115</v>
      </c>
      <c r="G1213" s="67" t="s">
        <v>61</v>
      </c>
      <c r="H1213" s="213">
        <f>IF(SUM(H1198,H1201,H1204)&gt;0,SUM(H1198,H1201,H1204,H1207,H1210),H1207)</f>
        <v>0</v>
      </c>
      <c r="I1213" s="214"/>
      <c r="J1213" s="176"/>
      <c r="K1213" s="40"/>
      <c r="L1213" s="70" t="s">
        <v>429</v>
      </c>
      <c r="M1213" s="67" t="s">
        <v>61</v>
      </c>
      <c r="N1213" s="213">
        <f>IF(SUM(N1198,N1201,N1204)&gt;0,SUM(N1198,N1201,N1204,N1207,N1210),N1207)</f>
        <v>0</v>
      </c>
      <c r="O1213" s="214"/>
      <c r="P1213" s="41"/>
      <c r="Q1213" s="2"/>
    </row>
    <row r="1214" spans="1:17" ht="5" customHeight="1" x14ac:dyDescent="0.2">
      <c r="A1214" s="50"/>
      <c r="B1214" s="25"/>
      <c r="C1214" s="25"/>
      <c r="D1214" s="16"/>
      <c r="E1214" s="25"/>
      <c r="F1214" s="31"/>
      <c r="G1214" s="31"/>
      <c r="H1214" s="31"/>
      <c r="I1214" s="31"/>
      <c r="J1214" s="177"/>
      <c r="K1214" s="31"/>
      <c r="L1214" s="31"/>
      <c r="M1214" s="31"/>
      <c r="N1214" s="31"/>
      <c r="O1214" s="31"/>
      <c r="P1214" s="32"/>
      <c r="Q1214" s="2"/>
    </row>
    <row r="1215" spans="1:17" x14ac:dyDescent="0.2">
      <c r="Q1215" s="2"/>
    </row>
    <row r="1216" spans="1:17" ht="5" customHeight="1" x14ac:dyDescent="0.2">
      <c r="A1216" s="48"/>
      <c r="B1216" s="23"/>
      <c r="C1216" s="23"/>
      <c r="D1216" s="12"/>
      <c r="E1216" s="23"/>
      <c r="F1216" s="33"/>
      <c r="G1216" s="33"/>
      <c r="H1216" s="33"/>
      <c r="I1216" s="33"/>
      <c r="J1216" s="178"/>
      <c r="K1216" s="33"/>
      <c r="L1216" s="33"/>
      <c r="M1216" s="33"/>
      <c r="N1216" s="33"/>
      <c r="O1216" s="33"/>
      <c r="P1216" s="34"/>
      <c r="Q1216" s="2"/>
    </row>
    <row r="1217" spans="1:17" ht="16" x14ac:dyDescent="0.25">
      <c r="A1217" s="244" t="s">
        <v>524</v>
      </c>
      <c r="B1217" s="245"/>
      <c r="C1217" s="287"/>
      <c r="D1217" s="288"/>
      <c r="E1217" s="20"/>
      <c r="F1217" s="70" t="s">
        <v>518</v>
      </c>
      <c r="G1217" s="27" t="s">
        <v>61</v>
      </c>
      <c r="H1217" s="242" t="str">
        <f>IF(ABS(H1190-H1193)&gt;0,"Yes","No")</f>
        <v>No</v>
      </c>
      <c r="I1217" s="243"/>
      <c r="J1217" s="179"/>
      <c r="K1217" s="27"/>
      <c r="L1217" s="216" t="s">
        <v>996</v>
      </c>
      <c r="M1217" s="216"/>
      <c r="N1217" s="216"/>
      <c r="O1217" s="216"/>
      <c r="P1217" s="26"/>
      <c r="Q1217" s="2"/>
    </row>
    <row r="1218" spans="1:17" ht="5" customHeight="1" x14ac:dyDescent="0.2">
      <c r="A1218" s="47"/>
      <c r="B1218" s="21"/>
      <c r="C1218" s="21"/>
      <c r="D1218" s="9"/>
      <c r="E1218" s="21"/>
      <c r="F1218" s="10"/>
      <c r="G1218" s="10"/>
      <c r="H1218" s="10"/>
      <c r="I1218" s="10"/>
      <c r="J1218" s="180"/>
      <c r="K1218" s="10"/>
      <c r="L1218" s="10"/>
      <c r="M1218" s="10"/>
      <c r="N1218" s="10"/>
      <c r="O1218" s="10"/>
      <c r="P1218" s="28"/>
      <c r="Q1218" s="2"/>
    </row>
    <row r="1219" spans="1:17" ht="5" customHeight="1" x14ac:dyDescent="0.2">
      <c r="A1219" s="49"/>
      <c r="B1219" s="24"/>
      <c r="C1219" s="24"/>
      <c r="D1219" s="14"/>
      <c r="E1219" s="24"/>
      <c r="F1219" s="29"/>
      <c r="G1219" s="29"/>
      <c r="H1219" s="29"/>
      <c r="I1219" s="29"/>
      <c r="J1219" s="183"/>
      <c r="K1219" s="29"/>
      <c r="L1219" s="29"/>
      <c r="M1219" s="29"/>
      <c r="N1219" s="29"/>
      <c r="O1219" s="29"/>
      <c r="P1219" s="30"/>
      <c r="Q1219" s="2"/>
    </row>
    <row r="1220" spans="1:17" x14ac:dyDescent="0.2">
      <c r="A1220" s="221" t="s">
        <v>517</v>
      </c>
      <c r="B1220" s="222"/>
      <c r="C1220" s="283"/>
      <c r="D1220" s="284"/>
      <c r="E1220" s="22"/>
      <c r="F1220" s="70" t="s">
        <v>518</v>
      </c>
      <c r="G1220" s="67" t="s">
        <v>61</v>
      </c>
      <c r="H1220" s="213">
        <f>IF(H1217="Yes",D3,0)</f>
        <v>0</v>
      </c>
      <c r="I1220" s="214"/>
      <c r="J1220" s="176"/>
      <c r="K1220" s="40"/>
      <c r="L1220" s="70" t="s">
        <v>518</v>
      </c>
      <c r="M1220" s="67" t="s">
        <v>61</v>
      </c>
      <c r="N1220" s="213">
        <v>0</v>
      </c>
      <c r="O1220" s="214"/>
      <c r="P1220" s="41"/>
      <c r="Q1220" s="2"/>
    </row>
    <row r="1221" spans="1:17" ht="5" customHeight="1" x14ac:dyDescent="0.2">
      <c r="A1221" s="50"/>
      <c r="B1221" s="25"/>
      <c r="C1221" s="25"/>
      <c r="D1221" s="16"/>
      <c r="E1221" s="25"/>
      <c r="F1221" s="31"/>
      <c r="G1221" s="31"/>
      <c r="H1221" s="31"/>
      <c r="I1221" s="31"/>
      <c r="J1221" s="177"/>
      <c r="K1221" s="31"/>
      <c r="L1221" s="31"/>
      <c r="M1221" s="31"/>
      <c r="N1221" s="31"/>
      <c r="O1221" s="31"/>
      <c r="P1221" s="32"/>
      <c r="Q1221" s="2"/>
    </row>
    <row r="1222" spans="1:17" ht="5" customHeight="1" x14ac:dyDescent="0.2">
      <c r="A1222" s="48"/>
      <c r="B1222" s="23"/>
      <c r="C1222" s="23"/>
      <c r="D1222" s="12"/>
      <c r="E1222" s="23"/>
      <c r="F1222" s="33"/>
      <c r="G1222" s="33"/>
      <c r="H1222" s="33"/>
      <c r="I1222" s="33"/>
      <c r="J1222" s="178"/>
      <c r="K1222" s="33"/>
      <c r="L1222" s="33"/>
      <c r="M1222" s="33"/>
      <c r="N1222" s="33"/>
      <c r="O1222" s="33"/>
      <c r="P1222" s="34"/>
      <c r="Q1222" s="2"/>
    </row>
    <row r="1223" spans="1:17" x14ac:dyDescent="0.2">
      <c r="A1223" s="244" t="s">
        <v>526</v>
      </c>
      <c r="B1223" s="245"/>
      <c r="C1223" s="287"/>
      <c r="D1223" s="288"/>
      <c r="E1223" s="20"/>
      <c r="F1223" s="70" t="s">
        <v>115</v>
      </c>
      <c r="G1223" s="27" t="s">
        <v>61</v>
      </c>
      <c r="H1223" s="242">
        <f>IF(SUM(H1198,H1201,H1204,H1207)&gt;0,SUM(H1198,H1201,H1204,H1207,H1210),H1207)+H1220</f>
        <v>0</v>
      </c>
      <c r="I1223" s="243"/>
      <c r="J1223" s="179"/>
      <c r="K1223" s="27"/>
      <c r="L1223" s="70" t="s">
        <v>429</v>
      </c>
      <c r="M1223" s="27" t="s">
        <v>61</v>
      </c>
      <c r="N1223" s="242">
        <f>IF(H72&gt;0,IF(SUM(N1198,N1201,N1204,N1207)&gt;0,SUM(N1198,N1201,N1204,N1207,N1210),N1207)+N1220,"")</f>
        <v>0</v>
      </c>
      <c r="O1223" s="243"/>
      <c r="P1223" s="26"/>
      <c r="Q1223" s="2"/>
    </row>
    <row r="1224" spans="1:17" ht="5" customHeight="1" x14ac:dyDescent="0.2">
      <c r="A1224" s="47"/>
      <c r="B1224" s="21"/>
      <c r="C1224" s="21"/>
      <c r="D1224" s="9"/>
      <c r="E1224" s="21"/>
      <c r="F1224" s="10"/>
      <c r="G1224" s="10"/>
      <c r="H1224" s="10"/>
      <c r="I1224" s="10"/>
      <c r="J1224" s="180"/>
      <c r="K1224" s="10"/>
      <c r="L1224" s="10"/>
      <c r="M1224" s="10"/>
      <c r="N1224" s="10"/>
      <c r="O1224" s="10"/>
      <c r="P1224" s="28"/>
      <c r="Q1224" s="2"/>
    </row>
    <row r="1225" spans="1:17" x14ac:dyDescent="0.2">
      <c r="Q1225" s="2"/>
    </row>
    <row r="1227" spans="1:17" ht="16" x14ac:dyDescent="0.2">
      <c r="A1227" s="231" t="s">
        <v>527</v>
      </c>
      <c r="B1227" s="232"/>
      <c r="C1227" s="232"/>
      <c r="D1227" s="232"/>
      <c r="F1227" s="233" t="s">
        <v>12</v>
      </c>
      <c r="G1227" s="233"/>
      <c r="H1227" s="233"/>
      <c r="I1227" s="233"/>
      <c r="J1227" s="233"/>
      <c r="K1227" s="233"/>
      <c r="L1227" s="233"/>
      <c r="M1227" s="233"/>
      <c r="N1227" s="233"/>
      <c r="O1227" s="233"/>
      <c r="P1227" s="233"/>
      <c r="Q1227" s="233"/>
    </row>
    <row r="1228" spans="1:17" ht="5" customHeight="1" x14ac:dyDescent="0.2">
      <c r="A1228" s="1"/>
      <c r="B1228" s="1"/>
      <c r="C1228" s="1"/>
      <c r="D1228" s="1"/>
      <c r="E1228" s="1"/>
      <c r="F1228" s="1"/>
      <c r="G1228" s="1"/>
      <c r="H1228" s="1"/>
      <c r="I1228" s="1"/>
      <c r="J1228" s="1"/>
      <c r="K1228" s="1"/>
      <c r="L1228" s="1"/>
      <c r="M1228" s="1"/>
      <c r="N1228" s="1"/>
      <c r="O1228" s="1"/>
      <c r="P1228" s="1"/>
      <c r="Q1228" s="1"/>
    </row>
    <row r="1229" spans="1:17" x14ac:dyDescent="0.2">
      <c r="A1229" s="272"/>
      <c r="B1229" s="273"/>
      <c r="C1229" s="273"/>
      <c r="D1229" s="273"/>
      <c r="E1229" s="273"/>
      <c r="F1229" s="273"/>
      <c r="G1229" s="273"/>
      <c r="H1229" s="273"/>
      <c r="I1229" s="273"/>
      <c r="J1229" s="273"/>
      <c r="K1229" s="273"/>
      <c r="L1229" s="273"/>
      <c r="M1229" s="273"/>
      <c r="N1229" s="273"/>
      <c r="O1229" s="273"/>
      <c r="P1229" s="273"/>
      <c r="Q1229" s="274"/>
    </row>
    <row r="1230" spans="1:17" ht="28.5" customHeight="1" x14ac:dyDescent="0.2">
      <c r="A1230" s="326" t="s">
        <v>528</v>
      </c>
      <c r="B1230" s="212"/>
      <c r="C1230" s="212"/>
      <c r="D1230" s="212"/>
      <c r="E1230" s="212"/>
      <c r="F1230" s="212"/>
      <c r="G1230" s="212"/>
      <c r="H1230" s="212"/>
      <c r="I1230" s="212"/>
      <c r="J1230" s="212"/>
      <c r="K1230" s="212"/>
      <c r="L1230" s="212"/>
      <c r="M1230" s="212"/>
      <c r="N1230" s="212"/>
      <c r="O1230" s="212"/>
      <c r="P1230" s="37"/>
      <c r="Q1230" s="38"/>
    </row>
    <row r="1231" spans="1:17" x14ac:dyDescent="0.2">
      <c r="Q1231" s="38"/>
    </row>
    <row r="1232" spans="1:17" ht="28.5" customHeight="1" x14ac:dyDescent="0.2">
      <c r="A1232" s="326" t="s">
        <v>529</v>
      </c>
      <c r="B1232" s="212"/>
      <c r="C1232" s="212"/>
      <c r="D1232" s="212"/>
      <c r="E1232" s="212"/>
      <c r="F1232" s="212"/>
      <c r="G1232" s="212"/>
      <c r="H1232" s="212"/>
      <c r="I1232" s="212"/>
      <c r="J1232" s="212"/>
      <c r="K1232" s="212"/>
      <c r="L1232" s="212"/>
      <c r="M1232" s="212"/>
      <c r="N1232" s="212"/>
      <c r="O1232" s="212"/>
      <c r="P1232" s="37"/>
      <c r="Q1232" s="38"/>
    </row>
    <row r="1233" spans="1:17" x14ac:dyDescent="0.2">
      <c r="Q1233" s="38"/>
    </row>
    <row r="1234" spans="1:17" x14ac:dyDescent="0.2">
      <c r="Q1234" s="38"/>
    </row>
    <row r="1235" spans="1:17" ht="15" customHeight="1" x14ac:dyDescent="0.2">
      <c r="A1235" s="266" t="s">
        <v>530</v>
      </c>
      <c r="B1235" s="266"/>
      <c r="C1235" s="266"/>
      <c r="D1235" s="266"/>
      <c r="E1235" s="266"/>
      <c r="F1235" s="266"/>
      <c r="G1235" s="266"/>
      <c r="H1235" s="266"/>
      <c r="I1235" s="266"/>
      <c r="J1235" s="58" t="s">
        <v>31</v>
      </c>
      <c r="K1235" s="59"/>
      <c r="L1235" s="60" t="s">
        <v>32</v>
      </c>
      <c r="M1235" s="59" t="s">
        <v>29</v>
      </c>
      <c r="N1235" s="59"/>
      <c r="O1235" s="59" t="s">
        <v>30</v>
      </c>
      <c r="Q1235" s="38"/>
    </row>
    <row r="1236" spans="1:17" ht="5" customHeight="1" x14ac:dyDescent="0.2">
      <c r="Q1236" s="38"/>
    </row>
    <row r="1237" spans="1:17" ht="15" customHeight="1" x14ac:dyDescent="0.2">
      <c r="A1237" s="266" t="str">
        <f>"Do your accounts start on " &amp; TEXT(J2,"dd Mmm yyyy") &amp; "?"</f>
        <v>Do your accounts start on 01 Apr 2024?</v>
      </c>
      <c r="B1237" s="266"/>
      <c r="C1237" s="266"/>
      <c r="D1237" s="266"/>
      <c r="E1237" s="266"/>
      <c r="F1237" s="266"/>
      <c r="G1237" s="266"/>
      <c r="H1237" s="266"/>
      <c r="I1237" s="266"/>
      <c r="J1237" s="58" t="s">
        <v>31</v>
      </c>
      <c r="K1237" s="59"/>
      <c r="L1237" s="60" t="s">
        <v>32</v>
      </c>
      <c r="M1237" s="59" t="s">
        <v>29</v>
      </c>
      <c r="N1237" s="59"/>
      <c r="O1237" s="59" t="s">
        <v>30</v>
      </c>
      <c r="Q1237" s="38"/>
    </row>
    <row r="1238" spans="1:17" ht="5" customHeight="1" x14ac:dyDescent="0.2">
      <c r="Q1238" s="38"/>
    </row>
    <row r="1239" spans="1:17" ht="15" customHeight="1" x14ac:dyDescent="0.2">
      <c r="A1239" s="266" t="str">
        <f>"Do your accounts end on " &amp; TEXT(N2,"dd Mmm yyyy") &amp; "?"</f>
        <v>Do your accounts end on 31 Mar 2026?</v>
      </c>
      <c r="B1239" s="266"/>
      <c r="C1239" s="266"/>
      <c r="D1239" s="266"/>
      <c r="E1239" s="266"/>
      <c r="F1239" s="266"/>
      <c r="G1239" s="266"/>
      <c r="H1239" s="266"/>
      <c r="I1239" s="266"/>
      <c r="J1239" s="58" t="s">
        <v>31</v>
      </c>
      <c r="K1239" s="59"/>
      <c r="L1239" s="60" t="s">
        <v>32</v>
      </c>
      <c r="M1239" s="59" t="s">
        <v>29</v>
      </c>
      <c r="N1239" s="59"/>
      <c r="O1239" s="59" t="s">
        <v>30</v>
      </c>
      <c r="Q1239" s="38"/>
    </row>
    <row r="1240" spans="1:17" x14ac:dyDescent="0.2">
      <c r="Q1240" s="38"/>
    </row>
    <row r="1241" spans="1:17" ht="5" customHeight="1" x14ac:dyDescent="0.2">
      <c r="A1241" s="48"/>
      <c r="B1241" s="23"/>
      <c r="C1241" s="23"/>
      <c r="D1241" s="23"/>
      <c r="E1241" s="23"/>
      <c r="F1241" s="33"/>
      <c r="G1241" s="33"/>
      <c r="H1241" s="33"/>
      <c r="I1241" s="33"/>
      <c r="J1241" s="34"/>
      <c r="K1241" s="33"/>
      <c r="L1241" s="33"/>
      <c r="M1241" s="33"/>
      <c r="N1241" s="33"/>
      <c r="O1241" s="33"/>
      <c r="P1241" s="34"/>
      <c r="Q1241" s="2"/>
    </row>
    <row r="1242" spans="1:17" x14ac:dyDescent="0.2">
      <c r="A1242" s="438" t="s">
        <v>531</v>
      </c>
      <c r="B1242" s="439"/>
      <c r="C1242" s="406"/>
      <c r="D1242" s="406"/>
      <c r="E1242" s="406"/>
      <c r="F1242" s="406"/>
      <c r="G1242" s="406"/>
      <c r="H1242" s="406"/>
      <c r="I1242" s="406"/>
      <c r="J1242" s="26"/>
      <c r="K1242" s="27"/>
      <c r="L1242" s="70" t="s">
        <v>949</v>
      </c>
      <c r="M1242" s="186"/>
      <c r="N1242" s="440">
        <f>J2</f>
        <v>45383</v>
      </c>
      <c r="O1242" s="441"/>
      <c r="P1242" s="26"/>
      <c r="Q1242" s="2"/>
    </row>
    <row r="1243" spans="1:17" ht="5" customHeight="1" x14ac:dyDescent="0.2">
      <c r="A1243" s="47"/>
      <c r="B1243" s="21"/>
      <c r="C1243" s="21"/>
      <c r="D1243" s="21"/>
      <c r="E1243" s="21"/>
      <c r="F1243" s="10"/>
      <c r="G1243" s="10"/>
      <c r="H1243" s="10"/>
      <c r="I1243" s="10"/>
      <c r="J1243" s="28"/>
      <c r="K1243" s="10"/>
      <c r="L1243" s="10"/>
      <c r="M1243" s="10"/>
      <c r="N1243" s="10"/>
      <c r="O1243" s="10"/>
      <c r="P1243" s="28"/>
      <c r="Q1243" s="2"/>
    </row>
    <row r="1244" spans="1:17" ht="5" customHeight="1" x14ac:dyDescent="0.2">
      <c r="A1244" s="49"/>
      <c r="B1244" s="24"/>
      <c r="C1244" s="24"/>
      <c r="D1244" s="24"/>
      <c r="E1244" s="24"/>
      <c r="F1244" s="29"/>
      <c r="G1244" s="29"/>
      <c r="H1244" s="29"/>
      <c r="I1244" s="29"/>
      <c r="J1244" s="30"/>
      <c r="K1244" s="29"/>
      <c r="L1244" s="29"/>
      <c r="M1244" s="29"/>
      <c r="N1244" s="29"/>
      <c r="O1244" s="29"/>
      <c r="P1244" s="30"/>
      <c r="Q1244" s="2"/>
    </row>
    <row r="1245" spans="1:17" x14ac:dyDescent="0.2">
      <c r="A1245" s="444" t="s">
        <v>532</v>
      </c>
      <c r="B1245" s="445"/>
      <c r="C1245" s="445"/>
      <c r="D1245" s="445"/>
      <c r="E1245" s="445"/>
      <c r="F1245" s="445"/>
      <c r="G1245" s="445"/>
      <c r="H1245" s="445"/>
      <c r="I1245" s="445"/>
      <c r="J1245" s="41"/>
      <c r="K1245" s="40"/>
      <c r="L1245" s="70" t="s">
        <v>950</v>
      </c>
      <c r="M1245" s="107"/>
      <c r="N1245" s="442">
        <f>N2</f>
        <v>46112</v>
      </c>
      <c r="O1245" s="443"/>
      <c r="P1245" s="41"/>
      <c r="Q1245" s="2"/>
    </row>
    <row r="1246" spans="1:17" ht="5" customHeight="1" x14ac:dyDescent="0.2">
      <c r="A1246" s="50"/>
      <c r="B1246" s="25"/>
      <c r="C1246" s="25"/>
      <c r="D1246" s="25"/>
      <c r="E1246" s="25"/>
      <c r="F1246" s="31"/>
      <c r="G1246" s="31"/>
      <c r="H1246" s="31"/>
      <c r="I1246" s="31"/>
      <c r="J1246" s="32"/>
      <c r="K1246" s="31"/>
      <c r="L1246" s="31"/>
      <c r="M1246" s="31"/>
      <c r="N1246" s="31"/>
      <c r="O1246" s="31"/>
      <c r="P1246" s="32"/>
      <c r="Q1246" s="2"/>
    </row>
    <row r="1247" spans="1:17" ht="5" customHeight="1" x14ac:dyDescent="0.2">
      <c r="A1247" s="48"/>
      <c r="B1247" s="23"/>
      <c r="C1247" s="23"/>
      <c r="D1247" s="23"/>
      <c r="E1247" s="23"/>
      <c r="F1247" s="33"/>
      <c r="G1247" s="33"/>
      <c r="H1247" s="33"/>
      <c r="I1247" s="33"/>
      <c r="J1247" s="34"/>
      <c r="K1247" s="33"/>
      <c r="L1247" s="33"/>
      <c r="M1247" s="33"/>
      <c r="N1247" s="33"/>
      <c r="O1247" s="33"/>
      <c r="P1247" s="34"/>
      <c r="Q1247" s="2"/>
    </row>
    <row r="1248" spans="1:17" x14ac:dyDescent="0.2">
      <c r="A1248" s="438" t="s">
        <v>974</v>
      </c>
      <c r="B1248" s="439"/>
      <c r="C1248" s="439"/>
      <c r="D1248" s="439"/>
      <c r="E1248" s="439"/>
      <c r="F1248" s="439"/>
      <c r="G1248" s="439"/>
      <c r="H1248" s="439"/>
      <c r="I1248" s="439"/>
      <c r="J1248" s="26"/>
      <c r="K1248" s="27"/>
      <c r="L1248" s="70" t="s">
        <v>951</v>
      </c>
      <c r="M1248" s="67" t="s">
        <v>61</v>
      </c>
      <c r="N1248" s="213">
        <f>H188</f>
        <v>0</v>
      </c>
      <c r="O1248" s="214"/>
      <c r="P1248" s="26"/>
      <c r="Q1248" s="2"/>
    </row>
    <row r="1249" spans="1:17" ht="5" customHeight="1" x14ac:dyDescent="0.2">
      <c r="A1249" s="47"/>
      <c r="B1249" s="21"/>
      <c r="C1249" s="21"/>
      <c r="D1249" s="21"/>
      <c r="E1249" s="21"/>
      <c r="F1249" s="10"/>
      <c r="G1249" s="10"/>
      <c r="H1249" s="10"/>
      <c r="I1249" s="10"/>
      <c r="J1249" s="28"/>
      <c r="K1249" s="10"/>
      <c r="L1249" s="10"/>
      <c r="M1249" s="10"/>
      <c r="N1249" s="10"/>
      <c r="O1249" s="10"/>
      <c r="P1249" s="28"/>
      <c r="Q1249" s="2"/>
    </row>
    <row r="1250" spans="1:17" ht="5" customHeight="1" x14ac:dyDescent="0.2">
      <c r="A1250" s="49"/>
      <c r="B1250" s="24"/>
      <c r="C1250" s="24"/>
      <c r="D1250" s="24"/>
      <c r="E1250" s="24"/>
      <c r="F1250" s="29"/>
      <c r="G1250" s="29"/>
      <c r="H1250" s="29"/>
      <c r="I1250" s="29"/>
      <c r="J1250" s="30"/>
      <c r="K1250" s="29"/>
      <c r="L1250" s="29"/>
      <c r="M1250" s="29"/>
      <c r="N1250" s="29"/>
      <c r="O1250" s="29"/>
      <c r="P1250" s="30"/>
      <c r="Q1250" s="2"/>
    </row>
    <row r="1251" spans="1:17" x14ac:dyDescent="0.2">
      <c r="A1251" s="444" t="s">
        <v>975</v>
      </c>
      <c r="B1251" s="445"/>
      <c r="C1251" s="445"/>
      <c r="D1251" s="445"/>
      <c r="E1251" s="445"/>
      <c r="F1251" s="445"/>
      <c r="G1251" s="445"/>
      <c r="H1251" s="445"/>
      <c r="I1251" s="445"/>
      <c r="J1251" s="41"/>
      <c r="K1251" s="40"/>
      <c r="L1251" s="70" t="s">
        <v>952</v>
      </c>
      <c r="M1251" s="67" t="s">
        <v>61</v>
      </c>
      <c r="N1251" s="213">
        <f>N1248</f>
        <v>0</v>
      </c>
      <c r="O1251" s="214"/>
      <c r="P1251" s="41"/>
      <c r="Q1251" s="2"/>
    </row>
    <row r="1252" spans="1:17" ht="5" customHeight="1" x14ac:dyDescent="0.2">
      <c r="A1252" s="50"/>
      <c r="B1252" s="25"/>
      <c r="C1252" s="25"/>
      <c r="D1252" s="25"/>
      <c r="E1252" s="25"/>
      <c r="F1252" s="31"/>
      <c r="G1252" s="31"/>
      <c r="H1252" s="31"/>
      <c r="I1252" s="31"/>
      <c r="J1252" s="32"/>
      <c r="K1252" s="31"/>
      <c r="L1252" s="31"/>
      <c r="M1252" s="31"/>
      <c r="N1252" s="31"/>
      <c r="O1252" s="31"/>
      <c r="P1252" s="32"/>
      <c r="Q1252" s="2"/>
    </row>
    <row r="1253" spans="1:17" x14ac:dyDescent="0.2">
      <c r="Q1253" s="38"/>
    </row>
    <row r="1255" spans="1:17" ht="16" x14ac:dyDescent="0.2">
      <c r="A1255" s="231" t="s">
        <v>533</v>
      </c>
      <c r="B1255" s="232"/>
      <c r="C1255" s="232"/>
      <c r="D1255" s="232"/>
      <c r="F1255" s="233" t="s">
        <v>12</v>
      </c>
      <c r="G1255" s="233"/>
      <c r="H1255" s="233"/>
      <c r="I1255" s="233"/>
      <c r="J1255" s="233"/>
      <c r="K1255" s="233"/>
      <c r="L1255" s="233"/>
      <c r="M1255" s="233"/>
      <c r="N1255" s="233"/>
      <c r="O1255" s="233"/>
      <c r="P1255" s="233"/>
      <c r="Q1255" s="233"/>
    </row>
    <row r="1256" spans="1:17" ht="5" customHeight="1" x14ac:dyDescent="0.2">
      <c r="A1256" s="1"/>
      <c r="B1256" s="1"/>
      <c r="C1256" s="1"/>
      <c r="D1256" s="1"/>
      <c r="E1256" s="1"/>
      <c r="F1256" s="1"/>
      <c r="G1256" s="1"/>
      <c r="H1256" s="1"/>
      <c r="I1256" s="1"/>
      <c r="J1256" s="1"/>
      <c r="K1256" s="1"/>
      <c r="L1256" s="1"/>
      <c r="M1256" s="1"/>
      <c r="N1256" s="1"/>
      <c r="O1256" s="1"/>
      <c r="P1256" s="1"/>
      <c r="Q1256" s="1"/>
    </row>
    <row r="1257" spans="1:17" x14ac:dyDescent="0.2">
      <c r="A1257" s="272"/>
      <c r="B1257" s="273"/>
      <c r="C1257" s="273"/>
      <c r="D1257" s="273"/>
      <c r="E1257" s="273"/>
      <c r="F1257" s="273"/>
      <c r="G1257" s="273"/>
      <c r="H1257" s="273"/>
      <c r="I1257" s="273"/>
      <c r="J1257" s="273"/>
      <c r="K1257" s="273"/>
      <c r="L1257" s="273"/>
      <c r="M1257" s="273"/>
      <c r="N1257" s="273"/>
      <c r="O1257" s="273"/>
      <c r="P1257" s="273"/>
      <c r="Q1257" s="274"/>
    </row>
    <row r="1258" spans="1:17" ht="28.5" customHeight="1" x14ac:dyDescent="0.2">
      <c r="A1258" s="326" t="s">
        <v>534</v>
      </c>
      <c r="B1258" s="212"/>
      <c r="C1258" s="212"/>
      <c r="D1258" s="212"/>
      <c r="E1258" s="212"/>
      <c r="F1258" s="212"/>
      <c r="G1258" s="212"/>
      <c r="H1258" s="212"/>
      <c r="I1258" s="212"/>
      <c r="J1258" s="212"/>
      <c r="K1258" s="212"/>
      <c r="L1258" s="212"/>
      <c r="M1258" s="212"/>
      <c r="N1258" s="212"/>
      <c r="O1258" s="212"/>
      <c r="P1258" s="37"/>
      <c r="Q1258" s="38"/>
    </row>
    <row r="1259" spans="1:17" x14ac:dyDescent="0.2">
      <c r="Q1259" s="38"/>
    </row>
    <row r="1260" spans="1:17" ht="28.5" customHeight="1" x14ac:dyDescent="0.2">
      <c r="A1260" s="326" t="s">
        <v>535</v>
      </c>
      <c r="B1260" s="212"/>
      <c r="C1260" s="212"/>
      <c r="D1260" s="212"/>
      <c r="E1260" s="212"/>
      <c r="F1260" s="212"/>
      <c r="G1260" s="212"/>
      <c r="H1260" s="212"/>
      <c r="I1260" s="212"/>
      <c r="J1260" s="212"/>
      <c r="K1260" s="212"/>
      <c r="L1260" s="212"/>
      <c r="M1260" s="212"/>
      <c r="N1260" s="212"/>
      <c r="O1260" s="212"/>
      <c r="P1260" s="37"/>
      <c r="Q1260" s="38"/>
    </row>
    <row r="1262" spans="1:17" x14ac:dyDescent="0.2">
      <c r="A1262" s="234" t="s">
        <v>150</v>
      </c>
      <c r="B1262" s="235"/>
      <c r="C1262" s="235"/>
      <c r="D1262" s="235"/>
      <c r="E1262" s="236"/>
      <c r="F1262" s="236"/>
      <c r="G1262" s="236"/>
      <c r="H1262" s="236"/>
      <c r="I1262" s="236"/>
      <c r="J1262" s="236"/>
      <c r="K1262" s="236"/>
      <c r="L1262" s="236"/>
      <c r="M1262" s="236"/>
      <c r="N1262" s="236"/>
      <c r="O1262" s="236"/>
      <c r="P1262" s="236"/>
      <c r="Q1262" s="237"/>
    </row>
    <row r="1263" spans="1:17" ht="5" customHeight="1" x14ac:dyDescent="0.2">
      <c r="A1263" s="211"/>
      <c r="B1263" s="212"/>
      <c r="C1263" s="212"/>
      <c r="D1263" s="212"/>
      <c r="E1263" s="212"/>
      <c r="F1263" s="212"/>
      <c r="G1263" s="212"/>
      <c r="H1263" s="212"/>
      <c r="I1263" s="212"/>
      <c r="J1263" s="212"/>
      <c r="K1263" s="212"/>
      <c r="L1263" s="212"/>
      <c r="M1263" s="212"/>
      <c r="N1263" s="212"/>
      <c r="O1263" s="212"/>
      <c r="P1263" s="212"/>
      <c r="Q1263" s="38"/>
    </row>
    <row r="1264" spans="1:17" ht="5" customHeight="1" x14ac:dyDescent="0.2">
      <c r="A1264" s="48"/>
      <c r="B1264" s="23"/>
      <c r="C1264" s="23"/>
      <c r="D1264" s="23"/>
      <c r="E1264" s="23"/>
      <c r="F1264" s="33"/>
      <c r="G1264" s="33"/>
      <c r="H1264" s="33"/>
      <c r="I1264" s="33"/>
      <c r="J1264" s="34"/>
      <c r="K1264" s="33"/>
      <c r="L1264" s="33"/>
      <c r="M1264" s="33"/>
      <c r="N1264" s="33"/>
      <c r="O1264" s="33"/>
      <c r="P1264" s="34"/>
      <c r="Q1264" s="2"/>
    </row>
    <row r="1265" spans="1:17" x14ac:dyDescent="0.2">
      <c r="A1265" s="438" t="s">
        <v>536</v>
      </c>
      <c r="B1265" s="439"/>
      <c r="C1265" s="439"/>
      <c r="D1265" s="439"/>
      <c r="E1265" s="439"/>
      <c r="F1265" s="439"/>
      <c r="G1265" s="439"/>
      <c r="H1265" s="439"/>
      <c r="I1265" s="439"/>
      <c r="J1265" s="26"/>
      <c r="K1265" s="27"/>
      <c r="L1265" s="70" t="s">
        <v>537</v>
      </c>
      <c r="M1265" s="67" t="s">
        <v>61</v>
      </c>
      <c r="N1265" s="213">
        <f>-SUM(ROUND([1]TrialBalance!EJ53,D2),ROUND([1]TrialBalance!EJ54,D2),ROUND([1]TrialBalance!EJ55,D2),ROUND([1]TrialBalance!EJ56,D2))</f>
        <v>0</v>
      </c>
      <c r="O1265" s="214"/>
      <c r="P1265" s="26"/>
      <c r="Q1265" s="2"/>
    </row>
    <row r="1266" spans="1:17" ht="5" customHeight="1" x14ac:dyDescent="0.2">
      <c r="A1266" s="47"/>
      <c r="B1266" s="21"/>
      <c r="C1266" s="21"/>
      <c r="D1266" s="21"/>
      <c r="E1266" s="21"/>
      <c r="F1266" s="10"/>
      <c r="G1266" s="10"/>
      <c r="H1266" s="10"/>
      <c r="I1266" s="10"/>
      <c r="J1266" s="28"/>
      <c r="K1266" s="10"/>
      <c r="L1266" s="10"/>
      <c r="M1266" s="10"/>
      <c r="N1266" s="10"/>
      <c r="O1266" s="10"/>
      <c r="P1266" s="28"/>
      <c r="Q1266" s="2"/>
    </row>
    <row r="1267" spans="1:17" x14ac:dyDescent="0.2">
      <c r="A1267" s="62"/>
      <c r="B1267" s="51"/>
      <c r="C1267" s="51"/>
      <c r="D1267" s="51"/>
      <c r="E1267" s="51"/>
      <c r="F1267" s="51"/>
      <c r="G1267" s="51"/>
      <c r="H1267" s="51"/>
      <c r="I1267" s="51"/>
      <c r="J1267" s="51"/>
      <c r="K1267" s="51"/>
      <c r="L1267" s="51"/>
      <c r="M1267" s="51"/>
      <c r="N1267" s="51"/>
      <c r="O1267" s="51"/>
      <c r="P1267" s="51"/>
      <c r="Q1267" s="38"/>
    </row>
    <row r="1268" spans="1:17" ht="5" customHeight="1" x14ac:dyDescent="0.2"/>
    <row r="1269" spans="1:17" x14ac:dyDescent="0.2">
      <c r="A1269" s="234" t="s">
        <v>538</v>
      </c>
      <c r="B1269" s="235"/>
      <c r="C1269" s="235"/>
      <c r="D1269" s="235"/>
      <c r="E1269" s="236"/>
      <c r="F1269" s="236"/>
      <c r="G1269" s="236"/>
      <c r="H1269" s="236"/>
      <c r="I1269" s="236"/>
      <c r="J1269" s="236"/>
      <c r="K1269" s="236"/>
      <c r="L1269" s="236"/>
      <c r="M1269" s="236"/>
      <c r="N1269" s="236"/>
      <c r="O1269" s="236"/>
      <c r="P1269" s="236"/>
      <c r="Q1269" s="237"/>
    </row>
    <row r="1270" spans="1:17" ht="5" customHeight="1" x14ac:dyDescent="0.2">
      <c r="Q1270" s="38"/>
    </row>
    <row r="1271" spans="1:17" ht="15" customHeight="1" x14ac:dyDescent="0.2">
      <c r="A1271" s="266" t="s">
        <v>542</v>
      </c>
      <c r="B1271" s="266"/>
      <c r="C1271" s="266"/>
      <c r="D1271" s="266"/>
      <c r="E1271" s="266"/>
      <c r="F1271" s="266"/>
      <c r="G1271" s="266"/>
      <c r="H1271" s="266"/>
      <c r="I1271" s="266"/>
      <c r="J1271" s="58" t="s">
        <v>31</v>
      </c>
      <c r="K1271" s="59"/>
      <c r="L1271" s="60" t="s">
        <v>32</v>
      </c>
      <c r="M1271" s="59" t="s">
        <v>29</v>
      </c>
      <c r="N1271" s="59"/>
      <c r="O1271" s="59" t="s">
        <v>30</v>
      </c>
      <c r="Q1271" s="38"/>
    </row>
    <row r="1272" spans="1:17" ht="15" customHeight="1" x14ac:dyDescent="0.2">
      <c r="A1272" s="189"/>
      <c r="B1272" s="189"/>
      <c r="C1272" s="189"/>
      <c r="D1272" s="189"/>
      <c r="E1272" s="189"/>
      <c r="F1272" s="189"/>
      <c r="G1272" s="189"/>
      <c r="H1272" s="189"/>
      <c r="I1272" s="189"/>
      <c r="J1272" s="58"/>
      <c r="K1272" s="59"/>
      <c r="L1272" s="60"/>
      <c r="M1272" s="59"/>
      <c r="N1272" s="59"/>
      <c r="O1272" s="59"/>
      <c r="Q1272" s="38"/>
    </row>
    <row r="1273" spans="1:17" ht="5" customHeight="1" x14ac:dyDescent="0.2">
      <c r="A1273" s="48"/>
      <c r="B1273" s="23"/>
      <c r="C1273" s="23"/>
      <c r="D1273" s="23"/>
      <c r="E1273" s="23"/>
      <c r="F1273" s="33"/>
      <c r="G1273" s="33"/>
      <c r="H1273" s="33"/>
      <c r="I1273" s="33"/>
      <c r="J1273" s="178"/>
      <c r="K1273" s="33"/>
      <c r="L1273" s="33"/>
      <c r="M1273" s="33"/>
      <c r="N1273" s="33"/>
      <c r="O1273" s="33"/>
      <c r="P1273" s="34"/>
      <c r="Q1273" s="2"/>
    </row>
    <row r="1274" spans="1:17" x14ac:dyDescent="0.2">
      <c r="A1274" s="224" t="s">
        <v>543</v>
      </c>
      <c r="B1274" s="225"/>
      <c r="C1274" s="225"/>
      <c r="D1274" s="225"/>
      <c r="E1274" s="225"/>
      <c r="F1274" s="225"/>
      <c r="G1274" s="225"/>
      <c r="H1274" s="225"/>
      <c r="I1274" s="225"/>
      <c r="J1274" s="226"/>
      <c r="K1274" s="27"/>
      <c r="L1274" s="70" t="s">
        <v>552</v>
      </c>
      <c r="M1274" s="67" t="s">
        <v>61</v>
      </c>
      <c r="N1274" s="213">
        <f>ROUND([1]TrialBalance!$D$19,D2)</f>
        <v>0</v>
      </c>
      <c r="O1274" s="214"/>
      <c r="P1274" s="26"/>
      <c r="Q1274" s="2"/>
    </row>
    <row r="1275" spans="1:17" ht="5" customHeight="1" x14ac:dyDescent="0.2">
      <c r="A1275" s="47"/>
      <c r="B1275" s="21"/>
      <c r="C1275" s="21"/>
      <c r="D1275" s="21"/>
      <c r="E1275" s="21"/>
      <c r="F1275" s="10"/>
      <c r="G1275" s="10"/>
      <c r="H1275" s="10"/>
      <c r="I1275" s="10"/>
      <c r="J1275" s="180"/>
      <c r="K1275" s="10"/>
      <c r="L1275" s="10"/>
      <c r="M1275" s="10"/>
      <c r="N1275" s="10"/>
      <c r="O1275" s="10"/>
      <c r="P1275" s="28"/>
      <c r="Q1275" s="2"/>
    </row>
    <row r="1276" spans="1:17" ht="5" customHeight="1" x14ac:dyDescent="0.2">
      <c r="A1276" s="49"/>
      <c r="B1276" s="24"/>
      <c r="C1276" s="24"/>
      <c r="D1276" s="24"/>
      <c r="E1276" s="24"/>
      <c r="F1276" s="29"/>
      <c r="G1276" s="29"/>
      <c r="H1276" s="29"/>
      <c r="I1276" s="29"/>
      <c r="J1276" s="183"/>
      <c r="K1276" s="29"/>
      <c r="L1276" s="29"/>
      <c r="M1276" s="29"/>
      <c r="N1276" s="29"/>
      <c r="O1276" s="29"/>
      <c r="P1276" s="30"/>
      <c r="Q1276" s="2"/>
    </row>
    <row r="1277" spans="1:17" x14ac:dyDescent="0.2">
      <c r="A1277" s="221" t="s">
        <v>544</v>
      </c>
      <c r="B1277" s="222"/>
      <c r="C1277" s="222"/>
      <c r="D1277" s="222"/>
      <c r="E1277" s="222"/>
      <c r="F1277" s="222"/>
      <c r="G1277" s="222"/>
      <c r="H1277" s="222"/>
      <c r="I1277" s="222"/>
      <c r="J1277" s="223"/>
      <c r="K1277" s="40"/>
      <c r="L1277" s="70" t="s">
        <v>553</v>
      </c>
      <c r="M1277" s="67" t="s">
        <v>61</v>
      </c>
      <c r="N1277" s="213">
        <f>ROUND(([1]TrialBalance!EJ60)-[1]TrialBalance!D19+[1]TrialBalance!EJ19,D2)</f>
        <v>0</v>
      </c>
      <c r="O1277" s="214"/>
      <c r="P1277" s="41"/>
      <c r="Q1277" s="2"/>
    </row>
    <row r="1278" spans="1:17" ht="5" customHeight="1" x14ac:dyDescent="0.2">
      <c r="A1278" s="50"/>
      <c r="B1278" s="25"/>
      <c r="C1278" s="25"/>
      <c r="D1278" s="25"/>
      <c r="E1278" s="25"/>
      <c r="F1278" s="31"/>
      <c r="G1278" s="31"/>
      <c r="H1278" s="31"/>
      <c r="I1278" s="31"/>
      <c r="J1278" s="177"/>
      <c r="K1278" s="31"/>
      <c r="L1278" s="31"/>
      <c r="M1278" s="31"/>
      <c r="N1278" s="31"/>
      <c r="O1278" s="31"/>
      <c r="P1278" s="32"/>
      <c r="Q1278" s="2"/>
    </row>
    <row r="1279" spans="1:17" ht="5" customHeight="1" x14ac:dyDescent="0.2">
      <c r="A1279" s="48"/>
      <c r="B1279" s="23"/>
      <c r="C1279" s="23"/>
      <c r="D1279" s="23"/>
      <c r="E1279" s="23"/>
      <c r="F1279" s="33"/>
      <c r="G1279" s="33"/>
      <c r="H1279" s="33"/>
      <c r="I1279" s="33"/>
      <c r="J1279" s="178"/>
      <c r="K1279" s="33"/>
      <c r="L1279" s="33"/>
      <c r="M1279" s="33"/>
      <c r="N1279" s="33"/>
      <c r="O1279" s="33"/>
      <c r="P1279" s="34"/>
      <c r="Q1279" s="2"/>
    </row>
    <row r="1280" spans="1:17" x14ac:dyDescent="0.2">
      <c r="A1280" s="224" t="s">
        <v>545</v>
      </c>
      <c r="B1280" s="225"/>
      <c r="C1280" s="225"/>
      <c r="D1280" s="225"/>
      <c r="E1280" s="225"/>
      <c r="F1280" s="225"/>
      <c r="G1280" s="225"/>
      <c r="H1280" s="225"/>
      <c r="I1280" s="225"/>
      <c r="J1280" s="226"/>
      <c r="K1280" s="27"/>
      <c r="L1280" s="70" t="s">
        <v>554</v>
      </c>
      <c r="M1280" s="67" t="s">
        <v>61</v>
      </c>
      <c r="N1280" s="213">
        <f>ROUND([1]TrialBalance!EJ62+[1]TrialBalance!EJ70,D2)</f>
        <v>0</v>
      </c>
      <c r="O1280" s="214"/>
      <c r="P1280" s="26"/>
      <c r="Q1280" s="2"/>
    </row>
    <row r="1281" spans="1:17" ht="5" customHeight="1" x14ac:dyDescent="0.2">
      <c r="A1281" s="47"/>
      <c r="B1281" s="21"/>
      <c r="C1281" s="21"/>
      <c r="D1281" s="21"/>
      <c r="E1281" s="21"/>
      <c r="F1281" s="10"/>
      <c r="G1281" s="10"/>
      <c r="H1281" s="10"/>
      <c r="I1281" s="10"/>
      <c r="J1281" s="180"/>
      <c r="K1281" s="10"/>
      <c r="L1281" s="10"/>
      <c r="M1281" s="10"/>
      <c r="N1281" s="10"/>
      <c r="O1281" s="10"/>
      <c r="P1281" s="28"/>
      <c r="Q1281" s="2"/>
    </row>
    <row r="1282" spans="1:17" ht="5" customHeight="1" x14ac:dyDescent="0.2">
      <c r="A1282" s="49"/>
      <c r="B1282" s="24"/>
      <c r="C1282" s="24"/>
      <c r="D1282" s="24"/>
      <c r="E1282" s="24"/>
      <c r="F1282" s="29"/>
      <c r="G1282" s="29"/>
      <c r="H1282" s="29"/>
      <c r="I1282" s="29"/>
      <c r="J1282" s="183"/>
      <c r="K1282" s="29"/>
      <c r="L1282" s="29"/>
      <c r="M1282" s="29"/>
      <c r="N1282" s="29"/>
      <c r="O1282" s="29"/>
      <c r="P1282" s="30"/>
      <c r="Q1282" s="2"/>
    </row>
    <row r="1283" spans="1:17" x14ac:dyDescent="0.2">
      <c r="A1283" s="221" t="s">
        <v>546</v>
      </c>
      <c r="B1283" s="222"/>
      <c r="C1283" s="222"/>
      <c r="D1283" s="222"/>
      <c r="E1283" s="222"/>
      <c r="F1283" s="222"/>
      <c r="G1283" s="222"/>
      <c r="H1283" s="222"/>
      <c r="I1283" s="222"/>
      <c r="J1283" s="223"/>
      <c r="K1283" s="40"/>
      <c r="L1283" s="70" t="s">
        <v>555</v>
      </c>
      <c r="M1283" s="67" t="s">
        <v>61</v>
      </c>
      <c r="N1283" s="213">
        <f>ROUND([1]TrialBalance!$EJ$19,D2)</f>
        <v>0</v>
      </c>
      <c r="O1283" s="214"/>
      <c r="P1283" s="41"/>
      <c r="Q1283" s="2"/>
    </row>
    <row r="1284" spans="1:17" ht="5" customHeight="1" x14ac:dyDescent="0.2">
      <c r="A1284" s="50"/>
      <c r="B1284" s="25"/>
      <c r="C1284" s="25"/>
      <c r="D1284" s="25"/>
      <c r="E1284" s="25"/>
      <c r="F1284" s="31"/>
      <c r="G1284" s="31"/>
      <c r="H1284" s="31"/>
      <c r="I1284" s="31"/>
      <c r="J1284" s="177"/>
      <c r="K1284" s="31"/>
      <c r="L1284" s="31"/>
      <c r="M1284" s="31"/>
      <c r="N1284" s="31"/>
      <c r="O1284" s="31"/>
      <c r="P1284" s="32"/>
      <c r="Q1284" s="2"/>
    </row>
    <row r="1285" spans="1:17" ht="5" customHeight="1" x14ac:dyDescent="0.2">
      <c r="A1285" s="48"/>
      <c r="B1285" s="23"/>
      <c r="C1285" s="23"/>
      <c r="D1285" s="23"/>
      <c r="E1285" s="23"/>
      <c r="F1285" s="33"/>
      <c r="G1285" s="33"/>
      <c r="H1285" s="33"/>
      <c r="I1285" s="33"/>
      <c r="J1285" s="178"/>
      <c r="K1285" s="33"/>
      <c r="L1285" s="33"/>
      <c r="M1285" s="33"/>
      <c r="N1285" s="33"/>
      <c r="O1285" s="33"/>
      <c r="P1285" s="34"/>
      <c r="Q1285" s="2"/>
    </row>
    <row r="1286" spans="1:17" x14ac:dyDescent="0.2">
      <c r="A1286" s="224" t="s">
        <v>63</v>
      </c>
      <c r="B1286" s="225"/>
      <c r="C1286" s="225"/>
      <c r="D1286" s="225"/>
      <c r="E1286" s="225"/>
      <c r="F1286" s="225"/>
      <c r="G1286" s="225"/>
      <c r="H1286" s="225"/>
      <c r="I1286" s="225"/>
      <c r="J1286" s="226"/>
      <c r="K1286" s="27"/>
      <c r="L1286" s="70" t="s">
        <v>556</v>
      </c>
      <c r="M1286" s="186" t="s">
        <v>61</v>
      </c>
      <c r="N1286" s="242">
        <f>SUM(N1274,N1277,N1280)-N1283</f>
        <v>0</v>
      </c>
      <c r="O1286" s="243"/>
      <c r="P1286" s="26"/>
      <c r="Q1286" s="2"/>
    </row>
    <row r="1287" spans="1:17" ht="5" customHeight="1" x14ac:dyDescent="0.2">
      <c r="A1287" s="47"/>
      <c r="B1287" s="21"/>
      <c r="C1287" s="21"/>
      <c r="D1287" s="21"/>
      <c r="E1287" s="21"/>
      <c r="F1287" s="10"/>
      <c r="G1287" s="10"/>
      <c r="H1287" s="10"/>
      <c r="I1287" s="10"/>
      <c r="J1287" s="180"/>
      <c r="K1287" s="10"/>
      <c r="L1287" s="10"/>
      <c r="M1287" s="10"/>
      <c r="N1287" s="10"/>
      <c r="O1287" s="10"/>
      <c r="P1287" s="28"/>
      <c r="Q1287" s="2"/>
    </row>
    <row r="1288" spans="1:17" x14ac:dyDescent="0.2">
      <c r="Q1288" s="38"/>
    </row>
    <row r="1289" spans="1:17" ht="4.5" customHeight="1" x14ac:dyDescent="0.2"/>
    <row r="1290" spans="1:17" x14ac:dyDescent="0.2">
      <c r="A1290" s="234" t="s">
        <v>539</v>
      </c>
      <c r="B1290" s="235"/>
      <c r="C1290" s="235"/>
      <c r="D1290" s="235"/>
      <c r="E1290" s="236"/>
      <c r="F1290" s="236"/>
      <c r="G1290" s="236"/>
      <c r="H1290" s="236"/>
      <c r="I1290" s="236"/>
      <c r="J1290" s="236"/>
      <c r="K1290" s="236"/>
      <c r="L1290" s="236"/>
      <c r="M1290" s="236"/>
      <c r="N1290" s="236"/>
      <c r="O1290" s="236"/>
      <c r="P1290" s="236"/>
      <c r="Q1290" s="237"/>
    </row>
    <row r="1291" spans="1:17" ht="5" customHeight="1" x14ac:dyDescent="0.2">
      <c r="A1291" s="211"/>
      <c r="B1291" s="212"/>
      <c r="C1291" s="212"/>
      <c r="D1291" s="212"/>
      <c r="E1291" s="212"/>
      <c r="F1291" s="212"/>
      <c r="G1291" s="212"/>
      <c r="H1291" s="212"/>
      <c r="I1291" s="212"/>
      <c r="J1291" s="212"/>
      <c r="K1291" s="212"/>
      <c r="L1291" s="212"/>
      <c r="M1291" s="212"/>
      <c r="N1291" s="212"/>
      <c r="O1291" s="212"/>
      <c r="P1291" s="212"/>
      <c r="Q1291" s="38"/>
    </row>
    <row r="1292" spans="1:17" ht="5" customHeight="1" x14ac:dyDescent="0.2">
      <c r="A1292" s="48"/>
      <c r="B1292" s="23"/>
      <c r="C1292" s="23"/>
      <c r="D1292" s="23"/>
      <c r="E1292" s="23"/>
      <c r="F1292" s="33"/>
      <c r="G1292" s="33"/>
      <c r="H1292" s="33"/>
      <c r="I1292" s="33"/>
      <c r="J1292" s="34"/>
      <c r="K1292" s="33"/>
      <c r="L1292" s="33"/>
      <c r="M1292" s="33"/>
      <c r="N1292" s="33"/>
      <c r="O1292" s="33"/>
      <c r="P1292" s="34"/>
      <c r="Q1292" s="2"/>
    </row>
    <row r="1293" spans="1:17" x14ac:dyDescent="0.2">
      <c r="A1293" s="279" t="s">
        <v>541</v>
      </c>
      <c r="B1293" s="280"/>
      <c r="C1293" s="280"/>
      <c r="D1293" s="280"/>
      <c r="E1293" s="280"/>
      <c r="F1293" s="280"/>
      <c r="G1293" s="280"/>
      <c r="H1293" s="280"/>
      <c r="I1293" s="280"/>
      <c r="J1293" s="26"/>
      <c r="K1293" s="27"/>
      <c r="L1293" s="70" t="s">
        <v>540</v>
      </c>
      <c r="M1293" s="186" t="s">
        <v>61</v>
      </c>
      <c r="N1293" s="242">
        <f>N1265-N1286</f>
        <v>0</v>
      </c>
      <c r="O1293" s="243"/>
      <c r="P1293" s="26"/>
      <c r="Q1293" s="2"/>
    </row>
    <row r="1294" spans="1:17" ht="5" customHeight="1" x14ac:dyDescent="0.2">
      <c r="A1294" s="47"/>
      <c r="B1294" s="21"/>
      <c r="C1294" s="21"/>
      <c r="D1294" s="21"/>
      <c r="E1294" s="21"/>
      <c r="F1294" s="10"/>
      <c r="G1294" s="10"/>
      <c r="H1294" s="10"/>
      <c r="I1294" s="10"/>
      <c r="J1294" s="28"/>
      <c r="K1294" s="10"/>
      <c r="L1294" s="10"/>
      <c r="M1294" s="10"/>
      <c r="N1294" s="10"/>
      <c r="O1294" s="10"/>
      <c r="P1294" s="28"/>
      <c r="Q1294" s="2"/>
    </row>
    <row r="1295" spans="1:17" x14ac:dyDescent="0.2">
      <c r="A1295" s="62"/>
      <c r="B1295" s="51"/>
      <c r="C1295" s="51"/>
      <c r="D1295" s="51"/>
      <c r="E1295" s="51"/>
      <c r="F1295" s="51"/>
      <c r="G1295" s="51"/>
      <c r="H1295" s="51"/>
      <c r="I1295" s="51"/>
      <c r="J1295" s="51"/>
      <c r="K1295" s="51"/>
      <c r="L1295" s="51"/>
      <c r="M1295" s="51"/>
      <c r="N1295" s="51"/>
      <c r="O1295" s="51"/>
      <c r="P1295" s="51"/>
      <c r="Q1295" s="38"/>
    </row>
    <row r="1297" spans="1:17" ht="16" x14ac:dyDescent="0.2">
      <c r="A1297" s="231" t="s">
        <v>547</v>
      </c>
      <c r="B1297" s="232"/>
      <c r="C1297" s="232"/>
      <c r="D1297" s="232"/>
      <c r="F1297" s="233"/>
      <c r="G1297" s="233"/>
      <c r="H1297" s="233"/>
      <c r="I1297" s="233"/>
      <c r="J1297" s="233"/>
      <c r="K1297" s="233"/>
      <c r="L1297" s="233"/>
      <c r="M1297" s="233"/>
      <c r="N1297" s="233"/>
      <c r="O1297" s="233"/>
      <c r="P1297" s="233"/>
      <c r="Q1297" s="233"/>
    </row>
    <row r="1298" spans="1:17" ht="5" customHeight="1" x14ac:dyDescent="0.2">
      <c r="A1298" s="1"/>
      <c r="B1298" s="1"/>
      <c r="C1298" s="1"/>
      <c r="D1298" s="1"/>
      <c r="E1298" s="1"/>
      <c r="F1298" s="1"/>
      <c r="G1298" s="1"/>
      <c r="H1298" s="1"/>
      <c r="I1298" s="1"/>
      <c r="J1298" s="1"/>
      <c r="K1298" s="1"/>
      <c r="L1298" s="1"/>
      <c r="M1298" s="1"/>
      <c r="N1298" s="1"/>
      <c r="O1298" s="1"/>
      <c r="P1298" s="1"/>
      <c r="Q1298" s="1"/>
    </row>
    <row r="1299" spans="1:17" x14ac:dyDescent="0.2">
      <c r="A1299" s="272"/>
      <c r="B1299" s="273"/>
      <c r="C1299" s="273"/>
      <c r="D1299" s="273"/>
      <c r="E1299" s="273"/>
      <c r="F1299" s="273"/>
      <c r="G1299" s="273"/>
      <c r="H1299" s="273"/>
      <c r="I1299" s="273"/>
      <c r="J1299" s="273"/>
      <c r="K1299" s="273"/>
      <c r="L1299" s="273"/>
      <c r="M1299" s="273"/>
      <c r="N1299" s="273"/>
      <c r="O1299" s="273"/>
      <c r="P1299" s="273"/>
      <c r="Q1299" s="274"/>
    </row>
    <row r="1300" spans="1:17" ht="28.5" customHeight="1" x14ac:dyDescent="0.2">
      <c r="A1300" s="326" t="s">
        <v>548</v>
      </c>
      <c r="B1300" s="212"/>
      <c r="C1300" s="212"/>
      <c r="D1300" s="212"/>
      <c r="E1300" s="212"/>
      <c r="F1300" s="212"/>
      <c r="G1300" s="212"/>
      <c r="H1300" s="212"/>
      <c r="I1300" s="212"/>
      <c r="J1300" s="212"/>
      <c r="K1300" s="212"/>
      <c r="L1300" s="212"/>
      <c r="M1300" s="212"/>
      <c r="N1300" s="212"/>
      <c r="O1300" s="212"/>
      <c r="P1300" s="37"/>
      <c r="Q1300" s="38"/>
    </row>
    <row r="1301" spans="1:17" x14ac:dyDescent="0.2">
      <c r="Q1301" s="38"/>
    </row>
    <row r="1302" spans="1:17" ht="15" customHeight="1" x14ac:dyDescent="0.2">
      <c r="A1302" s="326" t="s">
        <v>549</v>
      </c>
      <c r="B1302" s="212"/>
      <c r="C1302" s="212"/>
      <c r="D1302" s="212"/>
      <c r="E1302" s="212"/>
      <c r="F1302" s="212"/>
      <c r="G1302" s="212"/>
      <c r="H1302" s="212"/>
      <c r="I1302" s="212"/>
      <c r="J1302" s="212"/>
      <c r="K1302" s="212"/>
      <c r="L1302" s="212"/>
      <c r="M1302" s="212"/>
      <c r="N1302" s="212"/>
      <c r="O1302" s="212"/>
      <c r="P1302" s="37"/>
      <c r="Q1302" s="38"/>
    </row>
    <row r="1303" spans="1:17" x14ac:dyDescent="0.2">
      <c r="Q1303" s="38"/>
    </row>
    <row r="1304" spans="1:17" ht="4.5" customHeight="1" x14ac:dyDescent="0.2"/>
    <row r="1305" spans="1:17" x14ac:dyDescent="0.2">
      <c r="A1305" s="234" t="s">
        <v>557</v>
      </c>
      <c r="B1305" s="235"/>
      <c r="C1305" s="235"/>
      <c r="D1305" s="235"/>
      <c r="E1305" s="236"/>
      <c r="F1305" s="236"/>
      <c r="G1305" s="236"/>
      <c r="H1305" s="236"/>
      <c r="I1305" s="236"/>
      <c r="J1305" s="236"/>
      <c r="K1305" s="236"/>
      <c r="L1305" s="236"/>
      <c r="M1305" s="236"/>
      <c r="N1305" s="236"/>
      <c r="O1305" s="236"/>
      <c r="P1305" s="236"/>
      <c r="Q1305" s="237"/>
    </row>
    <row r="1306" spans="1:17" ht="5" customHeight="1" x14ac:dyDescent="0.2">
      <c r="A1306" s="211"/>
      <c r="B1306" s="212"/>
      <c r="C1306" s="212"/>
      <c r="D1306" s="212"/>
      <c r="E1306" s="212"/>
      <c r="F1306" s="212"/>
      <c r="G1306" s="212"/>
      <c r="H1306" s="212"/>
      <c r="I1306" s="212"/>
      <c r="J1306" s="212"/>
      <c r="K1306" s="212"/>
      <c r="L1306" s="212"/>
      <c r="M1306" s="212"/>
      <c r="N1306" s="212"/>
      <c r="O1306" s="212"/>
      <c r="P1306" s="212"/>
      <c r="Q1306" s="38"/>
    </row>
    <row r="1307" spans="1:17" ht="5" customHeight="1" x14ac:dyDescent="0.2">
      <c r="A1307" s="48"/>
      <c r="B1307" s="23"/>
      <c r="C1307" s="23"/>
      <c r="D1307" s="23"/>
      <c r="E1307" s="23"/>
      <c r="F1307" s="33"/>
      <c r="G1307" s="33"/>
      <c r="H1307" s="33"/>
      <c r="I1307" s="33"/>
      <c r="J1307" s="178"/>
      <c r="K1307" s="33"/>
      <c r="L1307" s="33"/>
      <c r="M1307" s="33"/>
      <c r="N1307" s="33"/>
      <c r="O1307" s="33"/>
      <c r="P1307" s="34"/>
      <c r="Q1307" s="2"/>
    </row>
    <row r="1308" spans="1:17" x14ac:dyDescent="0.2">
      <c r="A1308" s="224" t="s">
        <v>558</v>
      </c>
      <c r="B1308" s="225"/>
      <c r="C1308" s="225"/>
      <c r="D1308" s="225"/>
      <c r="E1308" s="225"/>
      <c r="F1308" s="225"/>
      <c r="G1308" s="225"/>
      <c r="H1308" s="225"/>
      <c r="I1308" s="225"/>
      <c r="J1308" s="226"/>
      <c r="K1308" s="27"/>
      <c r="L1308" s="70" t="s">
        <v>567</v>
      </c>
      <c r="M1308" s="67" t="s">
        <v>61</v>
      </c>
      <c r="N1308" s="213">
        <f>H477</f>
        <v>0</v>
      </c>
      <c r="O1308" s="214"/>
      <c r="P1308" s="26"/>
      <c r="Q1308" s="2"/>
    </row>
    <row r="1309" spans="1:17" ht="5" customHeight="1" x14ac:dyDescent="0.2">
      <c r="A1309" s="47"/>
      <c r="B1309" s="21"/>
      <c r="C1309" s="21"/>
      <c r="D1309" s="21"/>
      <c r="E1309" s="21"/>
      <c r="F1309" s="10"/>
      <c r="G1309" s="10"/>
      <c r="H1309" s="10"/>
      <c r="I1309" s="10"/>
      <c r="J1309" s="180"/>
      <c r="K1309" s="10"/>
      <c r="L1309" s="10"/>
      <c r="M1309" s="10"/>
      <c r="N1309" s="10"/>
      <c r="O1309" s="10"/>
      <c r="P1309" s="28"/>
      <c r="Q1309" s="2"/>
    </row>
    <row r="1310" spans="1:17" ht="5" customHeight="1" x14ac:dyDescent="0.2">
      <c r="A1310" s="49"/>
      <c r="B1310" s="24"/>
      <c r="C1310" s="24"/>
      <c r="D1310" s="24"/>
      <c r="E1310" s="24"/>
      <c r="F1310" s="29"/>
      <c r="G1310" s="29"/>
      <c r="H1310" s="29"/>
      <c r="I1310" s="29"/>
      <c r="J1310" s="183"/>
      <c r="K1310" s="29"/>
      <c r="L1310" s="29"/>
      <c r="M1310" s="29"/>
      <c r="N1310" s="29"/>
      <c r="O1310" s="29"/>
      <c r="P1310" s="30"/>
      <c r="Q1310" s="2"/>
    </row>
    <row r="1311" spans="1:17" x14ac:dyDescent="0.2">
      <c r="A1311" s="221" t="s">
        <v>210</v>
      </c>
      <c r="B1311" s="222"/>
      <c r="C1311" s="222"/>
      <c r="D1311" s="222"/>
      <c r="E1311" s="222"/>
      <c r="F1311" s="222"/>
      <c r="G1311" s="222"/>
      <c r="H1311" s="222"/>
      <c r="I1311" s="222"/>
      <c r="J1311" s="223"/>
      <c r="K1311" s="40"/>
      <c r="L1311" s="70" t="s">
        <v>568</v>
      </c>
      <c r="M1311" s="67" t="s">
        <v>61</v>
      </c>
      <c r="N1311" s="213">
        <f>H473</f>
        <v>0</v>
      </c>
      <c r="O1311" s="214"/>
      <c r="P1311" s="41"/>
      <c r="Q1311" s="2"/>
    </row>
    <row r="1312" spans="1:17" ht="5" customHeight="1" x14ac:dyDescent="0.2">
      <c r="A1312" s="50"/>
      <c r="B1312" s="25"/>
      <c r="C1312" s="25"/>
      <c r="D1312" s="25"/>
      <c r="E1312" s="25"/>
      <c r="F1312" s="31"/>
      <c r="G1312" s="31"/>
      <c r="H1312" s="31"/>
      <c r="I1312" s="31"/>
      <c r="J1312" s="177"/>
      <c r="K1312" s="31"/>
      <c r="L1312" s="31"/>
      <c r="M1312" s="31"/>
      <c r="N1312" s="31"/>
      <c r="O1312" s="31"/>
      <c r="P1312" s="32"/>
      <c r="Q1312" s="2"/>
    </row>
    <row r="1313" spans="1:17" ht="5" customHeight="1" x14ac:dyDescent="0.2">
      <c r="A1313" s="48"/>
      <c r="B1313" s="23"/>
      <c r="C1313" s="23"/>
      <c r="D1313" s="23"/>
      <c r="E1313" s="23"/>
      <c r="F1313" s="33"/>
      <c r="G1313" s="33"/>
      <c r="H1313" s="33"/>
      <c r="I1313" s="33"/>
      <c r="J1313" s="178"/>
      <c r="K1313" s="33"/>
      <c r="L1313" s="33"/>
      <c r="M1313" s="33"/>
      <c r="N1313" s="33"/>
      <c r="O1313" s="33"/>
      <c r="P1313" s="34"/>
      <c r="Q1313" s="2"/>
    </row>
    <row r="1314" spans="1:17" x14ac:dyDescent="0.2">
      <c r="A1314" s="224" t="s">
        <v>550</v>
      </c>
      <c r="B1314" s="225"/>
      <c r="C1314" s="225"/>
      <c r="D1314" s="225"/>
      <c r="E1314" s="225"/>
      <c r="F1314" s="225"/>
      <c r="G1314" s="225"/>
      <c r="H1314" s="225"/>
      <c r="I1314" s="225"/>
      <c r="J1314" s="226"/>
      <c r="K1314" s="27"/>
      <c r="L1314" s="70" t="s">
        <v>569</v>
      </c>
      <c r="M1314" s="67" t="s">
        <v>61</v>
      </c>
      <c r="N1314" s="213">
        <f>H508</f>
        <v>0</v>
      </c>
      <c r="O1314" s="214"/>
      <c r="P1314" s="26"/>
      <c r="Q1314" s="2"/>
    </row>
    <row r="1315" spans="1:17" ht="5" customHeight="1" x14ac:dyDescent="0.2">
      <c r="A1315" s="47"/>
      <c r="B1315" s="21"/>
      <c r="C1315" s="21"/>
      <c r="D1315" s="21"/>
      <c r="E1315" s="21"/>
      <c r="F1315" s="10"/>
      <c r="G1315" s="10"/>
      <c r="H1315" s="10"/>
      <c r="I1315" s="10"/>
      <c r="J1315" s="180"/>
      <c r="K1315" s="10"/>
      <c r="L1315" s="10"/>
      <c r="M1315" s="10"/>
      <c r="N1315" s="10"/>
      <c r="O1315" s="10"/>
      <c r="P1315" s="28"/>
      <c r="Q1315" s="2"/>
    </row>
    <row r="1316" spans="1:17" ht="5" customHeight="1" x14ac:dyDescent="0.2">
      <c r="A1316" s="49"/>
      <c r="B1316" s="24"/>
      <c r="C1316" s="24"/>
      <c r="D1316" s="24"/>
      <c r="E1316" s="24"/>
      <c r="F1316" s="29"/>
      <c r="G1316" s="29"/>
      <c r="H1316" s="29"/>
      <c r="I1316" s="29"/>
      <c r="J1316" s="183"/>
      <c r="K1316" s="29"/>
      <c r="L1316" s="29"/>
      <c r="M1316" s="29"/>
      <c r="N1316" s="29"/>
      <c r="O1316" s="29"/>
      <c r="P1316" s="30"/>
      <c r="Q1316" s="2"/>
    </row>
    <row r="1317" spans="1:17" ht="15" customHeight="1" x14ac:dyDescent="0.2">
      <c r="A1317" s="349" t="s">
        <v>559</v>
      </c>
      <c r="B1317" s="446"/>
      <c r="C1317" s="446"/>
      <c r="D1317" s="446"/>
      <c r="E1317" s="446"/>
      <c r="F1317" s="446"/>
      <c r="G1317" s="446"/>
      <c r="H1317" s="446"/>
      <c r="I1317" s="446"/>
      <c r="J1317" s="446"/>
      <c r="K1317" s="190"/>
      <c r="L1317" s="192"/>
      <c r="M1317" s="122"/>
      <c r="N1317" s="122"/>
      <c r="O1317" s="122"/>
      <c r="P1317" s="41"/>
      <c r="Q1317" s="2"/>
    </row>
    <row r="1318" spans="1:17" x14ac:dyDescent="0.2">
      <c r="A1318" s="221" t="s">
        <v>551</v>
      </c>
      <c r="B1318" s="222"/>
      <c r="C1318" s="222"/>
      <c r="D1318" s="222"/>
      <c r="E1318" s="222"/>
      <c r="F1318" s="222"/>
      <c r="G1318" s="222"/>
      <c r="H1318" s="222"/>
      <c r="I1318" s="222"/>
      <c r="J1318" s="223"/>
      <c r="K1318" s="40"/>
      <c r="L1318" s="70" t="s">
        <v>570</v>
      </c>
      <c r="M1318" s="67" t="s">
        <v>61</v>
      </c>
      <c r="N1318" s="213">
        <f>ROUND([1]TrialBalance!EJ61,D2)</f>
        <v>0</v>
      </c>
      <c r="O1318" s="214"/>
      <c r="P1318" s="41"/>
      <c r="Q1318" s="2"/>
    </row>
    <row r="1319" spans="1:17" ht="5" customHeight="1" x14ac:dyDescent="0.2">
      <c r="A1319" s="50"/>
      <c r="B1319" s="25"/>
      <c r="C1319" s="25"/>
      <c r="D1319" s="25"/>
      <c r="E1319" s="25"/>
      <c r="F1319" s="31"/>
      <c r="G1319" s="31"/>
      <c r="H1319" s="31"/>
      <c r="I1319" s="31"/>
      <c r="J1319" s="177"/>
      <c r="K1319" s="31"/>
      <c r="L1319" s="31"/>
      <c r="M1319" s="31"/>
      <c r="N1319" s="31"/>
      <c r="O1319" s="31"/>
      <c r="P1319" s="32"/>
      <c r="Q1319" s="2"/>
    </row>
    <row r="1320" spans="1:17" x14ac:dyDescent="0.2">
      <c r="Q1320" s="2"/>
    </row>
    <row r="1321" spans="1:17" ht="4.5" customHeight="1" x14ac:dyDescent="0.2"/>
    <row r="1322" spans="1:17" x14ac:dyDescent="0.2">
      <c r="A1322" s="234" t="s">
        <v>560</v>
      </c>
      <c r="B1322" s="235"/>
      <c r="C1322" s="235"/>
      <c r="D1322" s="235"/>
      <c r="E1322" s="236"/>
      <c r="F1322" s="236"/>
      <c r="G1322" s="236"/>
      <c r="H1322" s="236"/>
      <c r="I1322" s="236"/>
      <c r="J1322" s="236"/>
      <c r="K1322" s="236"/>
      <c r="L1322" s="236"/>
      <c r="M1322" s="236"/>
      <c r="N1322" s="236"/>
      <c r="O1322" s="236"/>
      <c r="P1322" s="236"/>
      <c r="Q1322" s="237"/>
    </row>
    <row r="1323" spans="1:17" ht="5" customHeight="1" x14ac:dyDescent="0.2">
      <c r="A1323" s="211"/>
      <c r="B1323" s="212"/>
      <c r="C1323" s="212"/>
      <c r="D1323" s="212"/>
      <c r="E1323" s="212"/>
      <c r="F1323" s="212"/>
      <c r="G1323" s="212"/>
      <c r="H1323" s="212"/>
      <c r="I1323" s="212"/>
      <c r="J1323" s="212"/>
      <c r="K1323" s="212"/>
      <c r="L1323" s="212"/>
      <c r="M1323" s="212"/>
      <c r="N1323" s="212"/>
      <c r="O1323" s="212"/>
      <c r="P1323" s="212"/>
      <c r="Q1323" s="38"/>
    </row>
    <row r="1324" spans="1:17" ht="5" customHeight="1" x14ac:dyDescent="0.2">
      <c r="A1324" s="48"/>
      <c r="B1324" s="23"/>
      <c r="C1324" s="23"/>
      <c r="D1324" s="23"/>
      <c r="E1324" s="23"/>
      <c r="F1324" s="33"/>
      <c r="G1324" s="33"/>
      <c r="H1324" s="33"/>
      <c r="I1324" s="33"/>
      <c r="J1324" s="178"/>
      <c r="K1324" s="33"/>
      <c r="L1324" s="33"/>
      <c r="M1324" s="33"/>
      <c r="N1324" s="33"/>
      <c r="O1324" s="33"/>
      <c r="P1324" s="34"/>
      <c r="Q1324" s="2"/>
    </row>
    <row r="1325" spans="1:17" ht="15" customHeight="1" x14ac:dyDescent="0.25">
      <c r="A1325" s="141"/>
      <c r="B1325" s="20"/>
      <c r="C1325" s="20"/>
      <c r="D1325" s="20"/>
      <c r="E1325" s="20"/>
      <c r="F1325" s="27"/>
      <c r="G1325" s="27"/>
      <c r="H1325" s="27"/>
      <c r="I1325" s="27"/>
      <c r="J1325" s="179"/>
      <c r="K1325" s="27"/>
      <c r="L1325" s="216" t="s">
        <v>252</v>
      </c>
      <c r="M1325" s="216"/>
      <c r="N1325" s="216"/>
      <c r="O1325" s="216"/>
      <c r="P1325" s="26"/>
      <c r="Q1325" s="2"/>
    </row>
    <row r="1326" spans="1:17" x14ac:dyDescent="0.2">
      <c r="A1326" s="224" t="s">
        <v>561</v>
      </c>
      <c r="B1326" s="225"/>
      <c r="C1326" s="225"/>
      <c r="D1326" s="225"/>
      <c r="E1326" s="225"/>
      <c r="F1326" s="225"/>
      <c r="G1326" s="225"/>
      <c r="H1326" s="225"/>
      <c r="I1326" s="225"/>
      <c r="J1326" s="226"/>
      <c r="K1326" s="27"/>
      <c r="L1326" s="70" t="s">
        <v>571</v>
      </c>
      <c r="M1326" s="67" t="s">
        <v>61</v>
      </c>
      <c r="N1326" s="213"/>
      <c r="O1326" s="214"/>
      <c r="P1326" s="26"/>
      <c r="Q1326" s="2"/>
    </row>
    <row r="1327" spans="1:17" ht="5" customHeight="1" x14ac:dyDescent="0.2">
      <c r="A1327" s="47"/>
      <c r="B1327" s="21"/>
      <c r="C1327" s="21"/>
      <c r="D1327" s="21"/>
      <c r="E1327" s="21"/>
      <c r="F1327" s="10"/>
      <c r="G1327" s="10"/>
      <c r="H1327" s="10"/>
      <c r="I1327" s="10"/>
      <c r="J1327" s="180"/>
      <c r="K1327" s="10"/>
      <c r="L1327" s="10"/>
      <c r="M1327" s="10"/>
      <c r="N1327" s="10"/>
      <c r="O1327" s="10"/>
      <c r="P1327" s="28"/>
      <c r="Q1327" s="2"/>
    </row>
    <row r="1328" spans="1:17" ht="5" customHeight="1" x14ac:dyDescent="0.2">
      <c r="A1328" s="49"/>
      <c r="B1328" s="24"/>
      <c r="C1328" s="24"/>
      <c r="D1328" s="24"/>
      <c r="E1328" s="24"/>
      <c r="F1328" s="29"/>
      <c r="G1328" s="29"/>
      <c r="H1328" s="29"/>
      <c r="I1328" s="29"/>
      <c r="J1328" s="183"/>
      <c r="K1328" s="29"/>
      <c r="L1328" s="29"/>
      <c r="M1328" s="29"/>
      <c r="N1328" s="29"/>
      <c r="O1328" s="29"/>
      <c r="P1328" s="30"/>
      <c r="Q1328" s="2"/>
    </row>
    <row r="1329" spans="1:17" ht="15" customHeight="1" x14ac:dyDescent="0.25">
      <c r="A1329" s="61"/>
      <c r="B1329" s="22"/>
      <c r="C1329" s="22"/>
      <c r="D1329" s="22"/>
      <c r="E1329" s="22"/>
      <c r="F1329" s="40"/>
      <c r="G1329" s="40"/>
      <c r="H1329" s="40"/>
      <c r="I1329" s="40"/>
      <c r="J1329" s="176"/>
      <c r="K1329" s="40"/>
      <c r="L1329" s="219" t="s">
        <v>252</v>
      </c>
      <c r="M1329" s="219"/>
      <c r="N1329" s="219"/>
      <c r="O1329" s="219"/>
      <c r="P1329" s="41"/>
      <c r="Q1329" s="2"/>
    </row>
    <row r="1330" spans="1:17" x14ac:dyDescent="0.2">
      <c r="A1330" s="221" t="s">
        <v>562</v>
      </c>
      <c r="B1330" s="222"/>
      <c r="C1330" s="222"/>
      <c r="D1330" s="222"/>
      <c r="E1330" s="222"/>
      <c r="F1330" s="222"/>
      <c r="G1330" s="222"/>
      <c r="H1330" s="222"/>
      <c r="I1330" s="222"/>
      <c r="J1330" s="223"/>
      <c r="K1330" s="40"/>
      <c r="L1330" s="70" t="s">
        <v>572</v>
      </c>
      <c r="M1330" s="67" t="s">
        <v>61</v>
      </c>
      <c r="N1330" s="213"/>
      <c r="O1330" s="214"/>
      <c r="P1330" s="41"/>
      <c r="Q1330" s="2"/>
    </row>
    <row r="1331" spans="1:17" ht="5" customHeight="1" x14ac:dyDescent="0.2">
      <c r="A1331" s="50"/>
      <c r="B1331" s="25"/>
      <c r="C1331" s="25"/>
      <c r="D1331" s="25"/>
      <c r="E1331" s="25"/>
      <c r="F1331" s="31"/>
      <c r="G1331" s="31"/>
      <c r="H1331" s="31"/>
      <c r="I1331" s="31"/>
      <c r="J1331" s="177"/>
      <c r="K1331" s="31"/>
      <c r="L1331" s="31"/>
      <c r="M1331" s="31"/>
      <c r="N1331" s="31"/>
      <c r="O1331" s="31"/>
      <c r="P1331" s="32"/>
      <c r="Q1331" s="2"/>
    </row>
    <row r="1332" spans="1:17" ht="5" customHeight="1" x14ac:dyDescent="0.2">
      <c r="A1332" s="48"/>
      <c r="B1332" s="23"/>
      <c r="C1332" s="23"/>
      <c r="D1332" s="23"/>
      <c r="E1332" s="23"/>
      <c r="F1332" s="33"/>
      <c r="G1332" s="33"/>
      <c r="H1332" s="33"/>
      <c r="I1332" s="33"/>
      <c r="J1332" s="178"/>
      <c r="K1332" s="33"/>
      <c r="L1332" s="33"/>
      <c r="M1332" s="33"/>
      <c r="N1332" s="33"/>
      <c r="O1332" s="33"/>
      <c r="P1332" s="34"/>
      <c r="Q1332" s="2"/>
    </row>
    <row r="1333" spans="1:17" x14ac:dyDescent="0.2">
      <c r="A1333" s="224" t="s">
        <v>563</v>
      </c>
      <c r="B1333" s="225"/>
      <c r="C1333" s="225"/>
      <c r="D1333" s="225"/>
      <c r="E1333" s="225"/>
      <c r="F1333" s="225"/>
      <c r="G1333" s="225"/>
      <c r="H1333" s="225"/>
      <c r="I1333" s="225"/>
      <c r="J1333" s="226"/>
      <c r="K1333" s="27"/>
      <c r="L1333" s="70" t="s">
        <v>573</v>
      </c>
      <c r="M1333" s="67" t="s">
        <v>61</v>
      </c>
      <c r="N1333" s="213">
        <f>ROUND([1]TrialBalance!EJ80,D2)</f>
        <v>0</v>
      </c>
      <c r="O1333" s="214"/>
      <c r="P1333" s="26"/>
      <c r="Q1333" s="2"/>
    </row>
    <row r="1334" spans="1:17" ht="5" customHeight="1" x14ac:dyDescent="0.2">
      <c r="A1334" s="47"/>
      <c r="B1334" s="21"/>
      <c r="C1334" s="21"/>
      <c r="D1334" s="21"/>
      <c r="E1334" s="21"/>
      <c r="F1334" s="10"/>
      <c r="G1334" s="10"/>
      <c r="H1334" s="10"/>
      <c r="I1334" s="10"/>
      <c r="J1334" s="180"/>
      <c r="K1334" s="10"/>
      <c r="L1334" s="10"/>
      <c r="M1334" s="10"/>
      <c r="N1334" s="10"/>
      <c r="O1334" s="10"/>
      <c r="P1334" s="28"/>
      <c r="Q1334" s="2"/>
    </row>
    <row r="1335" spans="1:17" x14ac:dyDescent="0.2">
      <c r="Q1335" s="2"/>
    </row>
    <row r="1336" spans="1:17" ht="4.5" customHeight="1" x14ac:dyDescent="0.2"/>
    <row r="1337" spans="1:17" x14ac:dyDescent="0.2">
      <c r="A1337" s="234" t="s">
        <v>564</v>
      </c>
      <c r="B1337" s="235"/>
      <c r="C1337" s="235"/>
      <c r="D1337" s="235"/>
      <c r="E1337" s="236"/>
      <c r="F1337" s="236"/>
      <c r="G1337" s="236"/>
      <c r="H1337" s="236"/>
      <c r="I1337" s="236"/>
      <c r="J1337" s="236"/>
      <c r="K1337" s="236"/>
      <c r="L1337" s="236"/>
      <c r="M1337" s="236"/>
      <c r="N1337" s="236"/>
      <c r="O1337" s="236"/>
      <c r="P1337" s="236"/>
      <c r="Q1337" s="237"/>
    </row>
    <row r="1338" spans="1:17" ht="5" customHeight="1" x14ac:dyDescent="0.2">
      <c r="A1338" s="211"/>
      <c r="B1338" s="212"/>
      <c r="C1338" s="212"/>
      <c r="D1338" s="212"/>
      <c r="E1338" s="212"/>
      <c r="F1338" s="212"/>
      <c r="G1338" s="212"/>
      <c r="H1338" s="212"/>
      <c r="I1338" s="212"/>
      <c r="J1338" s="212"/>
      <c r="K1338" s="212"/>
      <c r="L1338" s="212"/>
      <c r="M1338" s="212"/>
      <c r="N1338" s="212"/>
      <c r="O1338" s="212"/>
      <c r="P1338" s="212"/>
      <c r="Q1338" s="38"/>
    </row>
    <row r="1339" spans="1:17" ht="5" customHeight="1" x14ac:dyDescent="0.2">
      <c r="A1339" s="48"/>
      <c r="B1339" s="23"/>
      <c r="C1339" s="23"/>
      <c r="D1339" s="23"/>
      <c r="E1339" s="23"/>
      <c r="F1339" s="33"/>
      <c r="G1339" s="33"/>
      <c r="H1339" s="33"/>
      <c r="I1339" s="33"/>
      <c r="J1339" s="178"/>
      <c r="K1339" s="33"/>
      <c r="L1339" s="33"/>
      <c r="M1339" s="33"/>
      <c r="N1339" s="33"/>
      <c r="O1339" s="33"/>
      <c r="P1339" s="34"/>
      <c r="Q1339" s="2"/>
    </row>
    <row r="1340" spans="1:17" x14ac:dyDescent="0.2">
      <c r="A1340" s="224" t="s">
        <v>565</v>
      </c>
      <c r="B1340" s="225"/>
      <c r="C1340" s="225"/>
      <c r="D1340" s="225"/>
      <c r="E1340" s="225"/>
      <c r="F1340" s="225"/>
      <c r="G1340" s="225"/>
      <c r="H1340" s="225"/>
      <c r="I1340" s="225"/>
      <c r="J1340" s="226"/>
      <c r="K1340" s="27"/>
      <c r="L1340" s="70" t="s">
        <v>574</v>
      </c>
      <c r="M1340" s="67" t="s">
        <v>61</v>
      </c>
      <c r="N1340" s="213">
        <f>ROUND([1]TrialBalance!EJ69,D2)</f>
        <v>0</v>
      </c>
      <c r="O1340" s="214"/>
      <c r="P1340" s="26"/>
      <c r="Q1340" s="2"/>
    </row>
    <row r="1341" spans="1:17" ht="5" customHeight="1" x14ac:dyDescent="0.2">
      <c r="A1341" s="47"/>
      <c r="B1341" s="21"/>
      <c r="C1341" s="21"/>
      <c r="D1341" s="21"/>
      <c r="E1341" s="21"/>
      <c r="F1341" s="10"/>
      <c r="G1341" s="10"/>
      <c r="H1341" s="10"/>
      <c r="I1341" s="10"/>
      <c r="J1341" s="180"/>
      <c r="K1341" s="10"/>
      <c r="L1341" s="10"/>
      <c r="M1341" s="10"/>
      <c r="N1341" s="10"/>
      <c r="O1341" s="10"/>
      <c r="P1341" s="28"/>
      <c r="Q1341" s="2"/>
    </row>
    <row r="1342" spans="1:17" ht="5" customHeight="1" x14ac:dyDescent="0.2">
      <c r="A1342" s="49"/>
      <c r="B1342" s="24"/>
      <c r="C1342" s="24"/>
      <c r="D1342" s="24"/>
      <c r="E1342" s="24"/>
      <c r="F1342" s="29"/>
      <c r="G1342" s="29"/>
      <c r="H1342" s="29"/>
      <c r="I1342" s="29"/>
      <c r="J1342" s="183"/>
      <c r="K1342" s="29"/>
      <c r="L1342" s="29"/>
      <c r="M1342" s="29"/>
      <c r="N1342" s="29"/>
      <c r="O1342" s="29"/>
      <c r="P1342" s="30"/>
      <c r="Q1342" s="2"/>
    </row>
    <row r="1343" spans="1:17" x14ac:dyDescent="0.2">
      <c r="A1343" s="221" t="s">
        <v>566</v>
      </c>
      <c r="B1343" s="222"/>
      <c r="C1343" s="222"/>
      <c r="D1343" s="222"/>
      <c r="E1343" s="222"/>
      <c r="F1343" s="222"/>
      <c r="G1343" s="222"/>
      <c r="H1343" s="222"/>
      <c r="I1343" s="222"/>
      <c r="J1343" s="223"/>
      <c r="K1343" s="40"/>
      <c r="L1343" s="70" t="s">
        <v>575</v>
      </c>
      <c r="M1343" s="67" t="s">
        <v>61</v>
      </c>
      <c r="N1343" s="213">
        <f>ROUND([1]TrialBalance!EJ68,D2)</f>
        <v>0</v>
      </c>
      <c r="O1343" s="214"/>
      <c r="P1343" s="41"/>
      <c r="Q1343" s="2"/>
    </row>
    <row r="1344" spans="1:17" ht="5" customHeight="1" x14ac:dyDescent="0.2">
      <c r="A1344" s="50"/>
      <c r="B1344" s="25"/>
      <c r="C1344" s="25"/>
      <c r="D1344" s="25"/>
      <c r="E1344" s="25"/>
      <c r="F1344" s="31"/>
      <c r="G1344" s="31"/>
      <c r="H1344" s="31"/>
      <c r="I1344" s="31"/>
      <c r="J1344" s="177"/>
      <c r="K1344" s="31"/>
      <c r="L1344" s="31"/>
      <c r="M1344" s="31"/>
      <c r="N1344" s="31"/>
      <c r="O1344" s="31"/>
      <c r="P1344" s="32"/>
      <c r="Q1344" s="2"/>
    </row>
    <row r="1345" spans="1:17" ht="5" customHeight="1" x14ac:dyDescent="0.2">
      <c r="A1345" s="48"/>
      <c r="B1345" s="23"/>
      <c r="C1345" s="23"/>
      <c r="D1345" s="23"/>
      <c r="E1345" s="23"/>
      <c r="F1345" s="33"/>
      <c r="G1345" s="33"/>
      <c r="H1345" s="33"/>
      <c r="I1345" s="33"/>
      <c r="J1345" s="178"/>
      <c r="K1345" s="33"/>
      <c r="L1345" s="33"/>
      <c r="M1345" s="33"/>
      <c r="N1345" s="33"/>
      <c r="O1345" s="33"/>
      <c r="P1345" s="34"/>
      <c r="Q1345" s="2"/>
    </row>
    <row r="1346" spans="1:17" x14ac:dyDescent="0.2">
      <c r="A1346" s="224" t="s">
        <v>976</v>
      </c>
      <c r="B1346" s="225"/>
      <c r="C1346" s="225"/>
      <c r="D1346" s="225"/>
      <c r="E1346" s="225"/>
      <c r="F1346" s="225"/>
      <c r="G1346" s="225"/>
      <c r="H1346" s="225"/>
      <c r="I1346" s="225"/>
      <c r="J1346" s="226"/>
      <c r="K1346" s="27"/>
      <c r="L1346" s="70" t="s">
        <v>576</v>
      </c>
      <c r="M1346" s="67" t="s">
        <v>61</v>
      </c>
      <c r="N1346" s="213">
        <f>ROUND([1]TrialBalance!EJ72,D2)</f>
        <v>0</v>
      </c>
      <c r="O1346" s="214"/>
      <c r="P1346" s="26"/>
      <c r="Q1346" s="2"/>
    </row>
    <row r="1347" spans="1:17" ht="5" customHeight="1" x14ac:dyDescent="0.2">
      <c r="A1347" s="47"/>
      <c r="B1347" s="21"/>
      <c r="C1347" s="21"/>
      <c r="D1347" s="21"/>
      <c r="E1347" s="21"/>
      <c r="F1347" s="10"/>
      <c r="G1347" s="10"/>
      <c r="H1347" s="10"/>
      <c r="I1347" s="10"/>
      <c r="J1347" s="180"/>
      <c r="K1347" s="10"/>
      <c r="L1347" s="10"/>
      <c r="M1347" s="10"/>
      <c r="N1347" s="10"/>
      <c r="O1347" s="10"/>
      <c r="P1347" s="28"/>
      <c r="Q1347" s="2"/>
    </row>
    <row r="1348" spans="1:17" x14ac:dyDescent="0.2">
      <c r="Q1348" s="2"/>
    </row>
    <row r="1349" spans="1:17" ht="4.5" customHeight="1" x14ac:dyDescent="0.2"/>
    <row r="1350" spans="1:17" x14ac:dyDescent="0.2">
      <c r="A1350" s="234" t="s">
        <v>577</v>
      </c>
      <c r="B1350" s="235"/>
      <c r="C1350" s="235"/>
      <c r="D1350" s="235"/>
      <c r="E1350" s="236"/>
      <c r="F1350" s="236"/>
      <c r="G1350" s="236"/>
      <c r="H1350" s="236"/>
      <c r="I1350" s="236"/>
      <c r="J1350" s="236"/>
      <c r="K1350" s="236"/>
      <c r="L1350" s="236"/>
      <c r="M1350" s="236"/>
      <c r="N1350" s="236"/>
      <c r="O1350" s="236"/>
      <c r="P1350" s="236"/>
      <c r="Q1350" s="237"/>
    </row>
    <row r="1351" spans="1:17" ht="5" customHeight="1" x14ac:dyDescent="0.2">
      <c r="A1351" s="211"/>
      <c r="B1351" s="212"/>
      <c r="C1351" s="212"/>
      <c r="D1351" s="212"/>
      <c r="E1351" s="212"/>
      <c r="F1351" s="212"/>
      <c r="G1351" s="212"/>
      <c r="H1351" s="212"/>
      <c r="I1351" s="212"/>
      <c r="J1351" s="212"/>
      <c r="K1351" s="212"/>
      <c r="L1351" s="212"/>
      <c r="M1351" s="212"/>
      <c r="N1351" s="212"/>
      <c r="O1351" s="212"/>
      <c r="P1351" s="212"/>
      <c r="Q1351" s="38"/>
    </row>
    <row r="1352" spans="1:17" ht="5" customHeight="1" x14ac:dyDescent="0.2">
      <c r="A1352" s="48"/>
      <c r="B1352" s="23"/>
      <c r="C1352" s="23"/>
      <c r="D1352" s="23"/>
      <c r="E1352" s="23"/>
      <c r="F1352" s="33"/>
      <c r="G1352" s="33"/>
      <c r="H1352" s="33"/>
      <c r="I1352" s="33"/>
      <c r="J1352" s="178"/>
      <c r="K1352" s="33"/>
      <c r="L1352" s="33"/>
      <c r="M1352" s="33"/>
      <c r="N1352" s="33"/>
      <c r="O1352" s="33"/>
      <c r="P1352" s="34"/>
      <c r="Q1352" s="2"/>
    </row>
    <row r="1353" spans="1:17" x14ac:dyDescent="0.2">
      <c r="A1353" s="224" t="s">
        <v>977</v>
      </c>
      <c r="B1353" s="225"/>
      <c r="C1353" s="225"/>
      <c r="D1353" s="225"/>
      <c r="E1353" s="225"/>
      <c r="F1353" s="225"/>
      <c r="G1353" s="225"/>
      <c r="H1353" s="225"/>
      <c r="I1353" s="225"/>
      <c r="J1353" s="226"/>
      <c r="K1353" s="27"/>
      <c r="L1353" s="70" t="s">
        <v>578</v>
      </c>
      <c r="M1353" s="67" t="s">
        <v>61</v>
      </c>
      <c r="N1353" s="213">
        <f>ROUND([1]TrialBalance!EJ74,D2)</f>
        <v>0</v>
      </c>
      <c r="O1353" s="214"/>
      <c r="P1353" s="26"/>
      <c r="Q1353" s="2"/>
    </row>
    <row r="1354" spans="1:17" ht="5" customHeight="1" x14ac:dyDescent="0.2">
      <c r="A1354" s="47"/>
      <c r="B1354" s="21"/>
      <c r="C1354" s="21"/>
      <c r="D1354" s="21"/>
      <c r="E1354" s="21"/>
      <c r="F1354" s="10"/>
      <c r="G1354" s="10"/>
      <c r="H1354" s="10"/>
      <c r="I1354" s="10"/>
      <c r="J1354" s="180"/>
      <c r="K1354" s="10"/>
      <c r="L1354" s="10"/>
      <c r="M1354" s="10"/>
      <c r="N1354" s="10"/>
      <c r="O1354" s="10"/>
      <c r="P1354" s="28"/>
      <c r="Q1354" s="2"/>
    </row>
    <row r="1355" spans="1:17" ht="5" customHeight="1" x14ac:dyDescent="0.2">
      <c r="A1355" s="49"/>
      <c r="B1355" s="24"/>
      <c r="C1355" s="24"/>
      <c r="D1355" s="24"/>
      <c r="E1355" s="24"/>
      <c r="F1355" s="29"/>
      <c r="G1355" s="29"/>
      <c r="H1355" s="29"/>
      <c r="I1355" s="29"/>
      <c r="J1355" s="183"/>
      <c r="K1355" s="29"/>
      <c r="L1355" s="29"/>
      <c r="M1355" s="29"/>
      <c r="N1355" s="29"/>
      <c r="O1355" s="29"/>
      <c r="P1355" s="30"/>
      <c r="Q1355" s="2"/>
    </row>
    <row r="1356" spans="1:17" x14ac:dyDescent="0.2">
      <c r="A1356" s="221" t="s">
        <v>594</v>
      </c>
      <c r="B1356" s="222"/>
      <c r="C1356" s="222"/>
      <c r="D1356" s="222"/>
      <c r="E1356" s="222"/>
      <c r="F1356" s="222"/>
      <c r="G1356" s="222"/>
      <c r="H1356" s="222"/>
      <c r="I1356" s="222"/>
      <c r="J1356" s="223"/>
      <c r="K1356" s="40"/>
      <c r="L1356" s="70" t="s">
        <v>579</v>
      </c>
      <c r="M1356" s="67" t="s">
        <v>61</v>
      </c>
      <c r="N1356" s="213">
        <f>ROUND([1]TrialBalance!EJ81,D2)</f>
        <v>0</v>
      </c>
      <c r="O1356" s="214"/>
      <c r="P1356" s="41"/>
      <c r="Q1356" s="2"/>
    </row>
    <row r="1357" spans="1:17" ht="5" customHeight="1" x14ac:dyDescent="0.2">
      <c r="A1357" s="50"/>
      <c r="B1357" s="25"/>
      <c r="C1357" s="25"/>
      <c r="D1357" s="25"/>
      <c r="E1357" s="25"/>
      <c r="F1357" s="31"/>
      <c r="G1357" s="31"/>
      <c r="H1357" s="31"/>
      <c r="I1357" s="31"/>
      <c r="J1357" s="177"/>
      <c r="K1357" s="31"/>
      <c r="L1357" s="31"/>
      <c r="M1357" s="31"/>
      <c r="N1357" s="31"/>
      <c r="O1357" s="31"/>
      <c r="P1357" s="32"/>
      <c r="Q1357" s="2"/>
    </row>
    <row r="1358" spans="1:17" ht="5" customHeight="1" x14ac:dyDescent="0.2">
      <c r="A1358" s="48"/>
      <c r="B1358" s="23"/>
      <c r="C1358" s="23"/>
      <c r="D1358" s="23"/>
      <c r="E1358" s="23"/>
      <c r="F1358" s="33"/>
      <c r="G1358" s="33"/>
      <c r="H1358" s="33"/>
      <c r="I1358" s="33"/>
      <c r="J1358" s="178"/>
      <c r="K1358" s="33"/>
      <c r="L1358" s="33"/>
      <c r="M1358" s="33"/>
      <c r="N1358" s="33"/>
      <c r="O1358" s="33"/>
      <c r="P1358" s="34"/>
      <c r="Q1358" s="2"/>
    </row>
    <row r="1359" spans="1:17" x14ac:dyDescent="0.2">
      <c r="A1359" s="224" t="s">
        <v>595</v>
      </c>
      <c r="B1359" s="225"/>
      <c r="C1359" s="225"/>
      <c r="D1359" s="225"/>
      <c r="E1359" s="225"/>
      <c r="F1359" s="225"/>
      <c r="G1359" s="225"/>
      <c r="H1359" s="225"/>
      <c r="I1359" s="225"/>
      <c r="J1359" s="226"/>
      <c r="K1359" s="27"/>
      <c r="L1359" s="70" t="s">
        <v>580</v>
      </c>
      <c r="M1359" s="67" t="s">
        <v>61</v>
      </c>
      <c r="N1359" s="213">
        <f>ROUND([1]TrialBalance!EJ83+[1]TrialBalance!EJ88+[1]TrialBalance!EJ89,D2)</f>
        <v>0</v>
      </c>
      <c r="O1359" s="214"/>
      <c r="P1359" s="26"/>
      <c r="Q1359" s="2"/>
    </row>
    <row r="1360" spans="1:17" ht="5" customHeight="1" x14ac:dyDescent="0.2">
      <c r="A1360" s="47"/>
      <c r="B1360" s="21"/>
      <c r="C1360" s="21"/>
      <c r="D1360" s="21"/>
      <c r="E1360" s="21"/>
      <c r="F1360" s="10"/>
      <c r="G1360" s="10"/>
      <c r="H1360" s="10"/>
      <c r="I1360" s="10"/>
      <c r="J1360" s="180"/>
      <c r="K1360" s="10"/>
      <c r="L1360" s="10"/>
      <c r="M1360" s="10"/>
      <c r="N1360" s="10"/>
      <c r="O1360" s="10"/>
      <c r="P1360" s="28"/>
      <c r="Q1360" s="2"/>
    </row>
    <row r="1361" spans="1:17" ht="5" customHeight="1" x14ac:dyDescent="0.2">
      <c r="A1361" s="49"/>
      <c r="B1361" s="24"/>
      <c r="C1361" s="24"/>
      <c r="D1361" s="24"/>
      <c r="E1361" s="24"/>
      <c r="F1361" s="29"/>
      <c r="G1361" s="29"/>
      <c r="H1361" s="29"/>
      <c r="I1361" s="29"/>
      <c r="J1361" s="183"/>
      <c r="K1361" s="29"/>
      <c r="L1361" s="29"/>
      <c r="M1361" s="29"/>
      <c r="N1361" s="29"/>
      <c r="O1361" s="29"/>
      <c r="P1361" s="30"/>
      <c r="Q1361" s="2"/>
    </row>
    <row r="1362" spans="1:17" x14ac:dyDescent="0.2">
      <c r="A1362" s="221" t="s">
        <v>596</v>
      </c>
      <c r="B1362" s="222"/>
      <c r="C1362" s="222"/>
      <c r="D1362" s="222"/>
      <c r="E1362" s="222"/>
      <c r="F1362" s="222"/>
      <c r="G1362" s="222"/>
      <c r="H1362" s="222"/>
      <c r="I1362" s="222"/>
      <c r="J1362" s="223"/>
      <c r="K1362" s="40"/>
      <c r="L1362" s="70" t="s">
        <v>581</v>
      </c>
      <c r="M1362" s="67" t="s">
        <v>61</v>
      </c>
      <c r="N1362" s="213">
        <f>ROUND([1]TrialBalance!EJ87,D2)</f>
        <v>0</v>
      </c>
      <c r="O1362" s="214"/>
      <c r="P1362" s="41"/>
      <c r="Q1362" s="2"/>
    </row>
    <row r="1363" spans="1:17" ht="5" customHeight="1" x14ac:dyDescent="0.2">
      <c r="A1363" s="50"/>
      <c r="B1363" s="25"/>
      <c r="C1363" s="25"/>
      <c r="D1363" s="25"/>
      <c r="E1363" s="25"/>
      <c r="F1363" s="31"/>
      <c r="G1363" s="31"/>
      <c r="H1363" s="31"/>
      <c r="I1363" s="31"/>
      <c r="J1363" s="177"/>
      <c r="K1363" s="31"/>
      <c r="L1363" s="31"/>
      <c r="M1363" s="31"/>
      <c r="N1363" s="31"/>
      <c r="O1363" s="31"/>
      <c r="P1363" s="32"/>
      <c r="Q1363" s="2"/>
    </row>
    <row r="1364" spans="1:17" ht="5" customHeight="1" x14ac:dyDescent="0.2">
      <c r="A1364" s="48"/>
      <c r="B1364" s="23"/>
      <c r="C1364" s="23"/>
      <c r="D1364" s="23"/>
      <c r="E1364" s="23"/>
      <c r="F1364" s="33"/>
      <c r="G1364" s="33"/>
      <c r="H1364" s="33"/>
      <c r="I1364" s="33"/>
      <c r="J1364" s="178"/>
      <c r="K1364" s="33"/>
      <c r="L1364" s="33"/>
      <c r="M1364" s="33"/>
      <c r="N1364" s="33"/>
      <c r="O1364" s="33"/>
      <c r="P1364" s="34"/>
      <c r="Q1364" s="2"/>
    </row>
    <row r="1365" spans="1:17" x14ac:dyDescent="0.2">
      <c r="A1365" s="224" t="s">
        <v>597</v>
      </c>
      <c r="B1365" s="225"/>
      <c r="C1365" s="225"/>
      <c r="D1365" s="225"/>
      <c r="E1365" s="225"/>
      <c r="F1365" s="225"/>
      <c r="G1365" s="225"/>
      <c r="H1365" s="225"/>
      <c r="I1365" s="225"/>
      <c r="J1365" s="226"/>
      <c r="K1365" s="27"/>
      <c r="L1365" s="70" t="s">
        <v>582</v>
      </c>
      <c r="M1365" s="67" t="s">
        <v>61</v>
      </c>
      <c r="N1365" s="213">
        <f>ROUND([1]TrialBalance!EJ84,D2)</f>
        <v>0</v>
      </c>
      <c r="O1365" s="214"/>
      <c r="P1365" s="26"/>
      <c r="Q1365" s="2"/>
    </row>
    <row r="1366" spans="1:17" ht="5" customHeight="1" x14ac:dyDescent="0.2">
      <c r="A1366" s="47"/>
      <c r="B1366" s="21"/>
      <c r="C1366" s="21"/>
      <c r="D1366" s="21"/>
      <c r="E1366" s="21"/>
      <c r="F1366" s="10"/>
      <c r="G1366" s="10"/>
      <c r="H1366" s="10"/>
      <c r="I1366" s="10"/>
      <c r="J1366" s="180"/>
      <c r="K1366" s="10"/>
      <c r="L1366" s="10"/>
      <c r="M1366" s="10"/>
      <c r="N1366" s="10"/>
      <c r="O1366" s="10"/>
      <c r="P1366" s="28"/>
      <c r="Q1366" s="2"/>
    </row>
    <row r="1367" spans="1:17" ht="5" customHeight="1" x14ac:dyDescent="0.2">
      <c r="A1367" s="49"/>
      <c r="B1367" s="24"/>
      <c r="C1367" s="24"/>
      <c r="D1367" s="24"/>
      <c r="E1367" s="24"/>
      <c r="F1367" s="29"/>
      <c r="G1367" s="29"/>
      <c r="H1367" s="29"/>
      <c r="I1367" s="29"/>
      <c r="J1367" s="183"/>
      <c r="K1367" s="29"/>
      <c r="L1367" s="29"/>
      <c r="M1367" s="29"/>
      <c r="N1367" s="29"/>
      <c r="O1367" s="29"/>
      <c r="P1367" s="30"/>
      <c r="Q1367" s="2"/>
    </row>
    <row r="1368" spans="1:17" ht="15" customHeight="1" x14ac:dyDescent="0.25">
      <c r="A1368" s="61"/>
      <c r="B1368" s="22"/>
      <c r="C1368" s="22"/>
      <c r="D1368" s="22"/>
      <c r="E1368" s="22"/>
      <c r="F1368" s="40"/>
      <c r="G1368" s="40"/>
      <c r="H1368" s="40"/>
      <c r="I1368" s="40"/>
      <c r="J1368" s="176"/>
      <c r="K1368" s="40"/>
      <c r="L1368" s="219" t="s">
        <v>252</v>
      </c>
      <c r="M1368" s="219"/>
      <c r="N1368" s="219"/>
      <c r="O1368" s="219"/>
      <c r="P1368" s="41"/>
      <c r="Q1368" s="2"/>
    </row>
    <row r="1369" spans="1:17" x14ac:dyDescent="0.2">
      <c r="A1369" s="221" t="s">
        <v>598</v>
      </c>
      <c r="B1369" s="222"/>
      <c r="C1369" s="222"/>
      <c r="D1369" s="222"/>
      <c r="E1369" s="222"/>
      <c r="F1369" s="222"/>
      <c r="G1369" s="222"/>
      <c r="H1369" s="222"/>
      <c r="I1369" s="222"/>
      <c r="J1369" s="223"/>
      <c r="K1369" s="40"/>
      <c r="L1369" s="70" t="s">
        <v>583</v>
      </c>
      <c r="M1369" s="67" t="s">
        <v>61</v>
      </c>
      <c r="N1369" s="213"/>
      <c r="O1369" s="214"/>
      <c r="P1369" s="41"/>
      <c r="Q1369" s="2"/>
    </row>
    <row r="1370" spans="1:17" ht="5" customHeight="1" x14ac:dyDescent="0.2">
      <c r="A1370" s="50"/>
      <c r="B1370" s="25"/>
      <c r="C1370" s="25"/>
      <c r="D1370" s="25"/>
      <c r="E1370" s="25"/>
      <c r="F1370" s="31"/>
      <c r="G1370" s="31"/>
      <c r="H1370" s="31"/>
      <c r="I1370" s="31"/>
      <c r="J1370" s="177"/>
      <c r="K1370" s="31"/>
      <c r="L1370" s="31"/>
      <c r="M1370" s="31"/>
      <c r="N1370" s="31"/>
      <c r="O1370" s="31"/>
      <c r="P1370" s="32"/>
      <c r="Q1370" s="2"/>
    </row>
    <row r="1371" spans="1:17" ht="5" customHeight="1" x14ac:dyDescent="0.2">
      <c r="A1371" s="48"/>
      <c r="B1371" s="23"/>
      <c r="C1371" s="23"/>
      <c r="D1371" s="23"/>
      <c r="E1371" s="23"/>
      <c r="F1371" s="33"/>
      <c r="G1371" s="33"/>
      <c r="H1371" s="33"/>
      <c r="I1371" s="33"/>
      <c r="J1371" s="178"/>
      <c r="K1371" s="33"/>
      <c r="L1371" s="33"/>
      <c r="M1371" s="33"/>
      <c r="N1371" s="33"/>
      <c r="O1371" s="33"/>
      <c r="P1371" s="34"/>
      <c r="Q1371" s="2"/>
    </row>
    <row r="1372" spans="1:17" x14ac:dyDescent="0.2">
      <c r="A1372" s="224" t="s">
        <v>599</v>
      </c>
      <c r="B1372" s="225"/>
      <c r="C1372" s="225"/>
      <c r="D1372" s="225"/>
      <c r="E1372" s="225"/>
      <c r="F1372" s="225"/>
      <c r="G1372" s="225"/>
      <c r="H1372" s="225"/>
      <c r="I1372" s="225"/>
      <c r="J1372" s="226"/>
      <c r="K1372" s="27"/>
      <c r="L1372" s="70" t="s">
        <v>584</v>
      </c>
      <c r="M1372" s="67" t="s">
        <v>61</v>
      </c>
      <c r="N1372" s="213">
        <f>ROUND([1]TrialBalance!EJ78,D2)</f>
        <v>0</v>
      </c>
      <c r="O1372" s="214"/>
      <c r="P1372" s="26"/>
      <c r="Q1372" s="2"/>
    </row>
    <row r="1373" spans="1:17" ht="5" customHeight="1" x14ac:dyDescent="0.2">
      <c r="A1373" s="47"/>
      <c r="B1373" s="21"/>
      <c r="C1373" s="21"/>
      <c r="D1373" s="21"/>
      <c r="E1373" s="21"/>
      <c r="F1373" s="10"/>
      <c r="G1373" s="10"/>
      <c r="H1373" s="10"/>
      <c r="I1373" s="10"/>
      <c r="J1373" s="180"/>
      <c r="K1373" s="10"/>
      <c r="L1373" s="10"/>
      <c r="M1373" s="10"/>
      <c r="N1373" s="10"/>
      <c r="O1373" s="10"/>
      <c r="P1373" s="28"/>
      <c r="Q1373" s="2"/>
    </row>
    <row r="1374" spans="1:17" ht="5" customHeight="1" x14ac:dyDescent="0.2">
      <c r="A1374" s="49"/>
      <c r="B1374" s="24"/>
      <c r="C1374" s="24"/>
      <c r="D1374" s="24"/>
      <c r="E1374" s="24"/>
      <c r="F1374" s="29"/>
      <c r="G1374" s="29"/>
      <c r="H1374" s="29"/>
      <c r="I1374" s="29"/>
      <c r="J1374" s="183"/>
      <c r="K1374" s="29"/>
      <c r="L1374" s="29"/>
      <c r="M1374" s="29"/>
      <c r="N1374" s="29"/>
      <c r="O1374" s="29"/>
      <c r="P1374" s="30"/>
      <c r="Q1374" s="2"/>
    </row>
    <row r="1375" spans="1:17" x14ac:dyDescent="0.2">
      <c r="A1375" s="221" t="s">
        <v>600</v>
      </c>
      <c r="B1375" s="222"/>
      <c r="C1375" s="222"/>
      <c r="D1375" s="222"/>
      <c r="E1375" s="222"/>
      <c r="F1375" s="222"/>
      <c r="G1375" s="222"/>
      <c r="H1375" s="222"/>
      <c r="I1375" s="222"/>
      <c r="J1375" s="223"/>
      <c r="K1375" s="40"/>
      <c r="L1375" s="70" t="s">
        <v>585</v>
      </c>
      <c r="M1375" s="67" t="s">
        <v>61</v>
      </c>
      <c r="N1375" s="213">
        <f>ROUND([1]TrialBalance!EJ82,D2)</f>
        <v>0</v>
      </c>
      <c r="O1375" s="214"/>
      <c r="P1375" s="41"/>
      <c r="Q1375" s="2"/>
    </row>
    <row r="1376" spans="1:17" ht="5" customHeight="1" x14ac:dyDescent="0.2">
      <c r="A1376" s="50"/>
      <c r="B1376" s="25"/>
      <c r="C1376" s="25"/>
      <c r="D1376" s="25"/>
      <c r="E1376" s="25"/>
      <c r="F1376" s="31"/>
      <c r="G1376" s="31"/>
      <c r="H1376" s="31"/>
      <c r="I1376" s="31"/>
      <c r="J1376" s="177"/>
      <c r="K1376" s="31"/>
      <c r="L1376" s="31"/>
      <c r="M1376" s="31"/>
      <c r="N1376" s="31"/>
      <c r="O1376" s="31"/>
      <c r="P1376" s="32"/>
      <c r="Q1376" s="2"/>
    </row>
    <row r="1377" spans="1:17" ht="5" customHeight="1" x14ac:dyDescent="0.2">
      <c r="A1377" s="48"/>
      <c r="B1377" s="23"/>
      <c r="C1377" s="23"/>
      <c r="D1377" s="23"/>
      <c r="E1377" s="23"/>
      <c r="F1377" s="33"/>
      <c r="G1377" s="33"/>
      <c r="H1377" s="33"/>
      <c r="I1377" s="33"/>
      <c r="J1377" s="178"/>
      <c r="K1377" s="33"/>
      <c r="L1377" s="33"/>
      <c r="M1377" s="33"/>
      <c r="N1377" s="33"/>
      <c r="O1377" s="33"/>
      <c r="P1377" s="34"/>
      <c r="Q1377" s="2"/>
    </row>
    <row r="1378" spans="1:17" x14ac:dyDescent="0.2">
      <c r="A1378" s="224" t="s">
        <v>601</v>
      </c>
      <c r="B1378" s="225"/>
      <c r="C1378" s="225"/>
      <c r="D1378" s="225"/>
      <c r="E1378" s="225"/>
      <c r="F1378" s="225"/>
      <c r="G1378" s="225"/>
      <c r="H1378" s="225"/>
      <c r="I1378" s="225"/>
      <c r="J1378" s="226"/>
      <c r="K1378" s="27"/>
      <c r="L1378" s="70" t="s">
        <v>586</v>
      </c>
      <c r="M1378" s="67" t="s">
        <v>61</v>
      </c>
      <c r="N1378" s="213">
        <f>ROUND([1]TrialBalance!EJ86,D2)</f>
        <v>0</v>
      </c>
      <c r="O1378" s="214"/>
      <c r="P1378" s="26"/>
      <c r="Q1378" s="2"/>
    </row>
    <row r="1379" spans="1:17" ht="5" customHeight="1" x14ac:dyDescent="0.2">
      <c r="A1379" s="47"/>
      <c r="B1379" s="21"/>
      <c r="C1379" s="21"/>
      <c r="D1379" s="21"/>
      <c r="E1379" s="21"/>
      <c r="F1379" s="10"/>
      <c r="G1379" s="10"/>
      <c r="H1379" s="10"/>
      <c r="I1379" s="10"/>
      <c r="J1379" s="180"/>
      <c r="K1379" s="10"/>
      <c r="L1379" s="10"/>
      <c r="M1379" s="10"/>
      <c r="N1379" s="10"/>
      <c r="O1379" s="10"/>
      <c r="P1379" s="28"/>
      <c r="Q1379" s="2"/>
    </row>
    <row r="1380" spans="1:17" ht="5" customHeight="1" x14ac:dyDescent="0.2">
      <c r="A1380" s="49"/>
      <c r="B1380" s="24"/>
      <c r="C1380" s="24"/>
      <c r="D1380" s="24"/>
      <c r="E1380" s="24"/>
      <c r="F1380" s="29"/>
      <c r="G1380" s="29"/>
      <c r="H1380" s="29"/>
      <c r="I1380" s="29"/>
      <c r="J1380" s="183"/>
      <c r="K1380" s="29"/>
      <c r="L1380" s="29"/>
      <c r="M1380" s="29"/>
      <c r="N1380" s="29"/>
      <c r="O1380" s="29"/>
      <c r="P1380" s="30"/>
      <c r="Q1380" s="2"/>
    </row>
    <row r="1381" spans="1:17" x14ac:dyDescent="0.2">
      <c r="A1381" s="221" t="s">
        <v>978</v>
      </c>
      <c r="B1381" s="222"/>
      <c r="C1381" s="222"/>
      <c r="D1381" s="222"/>
      <c r="E1381" s="222"/>
      <c r="F1381" s="222"/>
      <c r="G1381" s="222"/>
      <c r="H1381" s="222"/>
      <c r="I1381" s="222"/>
      <c r="J1381" s="223"/>
      <c r="K1381" s="40"/>
      <c r="L1381" s="70" t="s">
        <v>587</v>
      </c>
      <c r="M1381" s="67" t="s">
        <v>61</v>
      </c>
      <c r="N1381" s="213">
        <f>ROUND([1]TrialBalance!EJ76,D2)</f>
        <v>0</v>
      </c>
      <c r="O1381" s="214"/>
      <c r="P1381" s="41"/>
      <c r="Q1381" s="2"/>
    </row>
    <row r="1382" spans="1:17" ht="5" customHeight="1" x14ac:dyDescent="0.2">
      <c r="A1382" s="50"/>
      <c r="B1382" s="25"/>
      <c r="C1382" s="25"/>
      <c r="D1382" s="25"/>
      <c r="E1382" s="25"/>
      <c r="F1382" s="31"/>
      <c r="G1382" s="31"/>
      <c r="H1382" s="31"/>
      <c r="I1382" s="31"/>
      <c r="J1382" s="177"/>
      <c r="K1382" s="31"/>
      <c r="L1382" s="31"/>
      <c r="M1382" s="31"/>
      <c r="N1382" s="31"/>
      <c r="O1382" s="31"/>
      <c r="P1382" s="32"/>
      <c r="Q1382" s="2"/>
    </row>
    <row r="1383" spans="1:17" ht="5" customHeight="1" x14ac:dyDescent="0.2">
      <c r="A1383" s="48"/>
      <c r="B1383" s="23"/>
      <c r="C1383" s="23"/>
      <c r="D1383" s="23"/>
      <c r="E1383" s="23"/>
      <c r="F1383" s="33"/>
      <c r="G1383" s="33"/>
      <c r="H1383" s="33"/>
      <c r="I1383" s="33"/>
      <c r="J1383" s="178"/>
      <c r="K1383" s="33"/>
      <c r="L1383" s="33"/>
      <c r="M1383" s="33"/>
      <c r="N1383" s="33"/>
      <c r="O1383" s="33"/>
      <c r="P1383" s="34"/>
      <c r="Q1383" s="2"/>
    </row>
    <row r="1384" spans="1:17" x14ac:dyDescent="0.2">
      <c r="A1384" s="224" t="s">
        <v>602</v>
      </c>
      <c r="B1384" s="225"/>
      <c r="C1384" s="225"/>
      <c r="D1384" s="225"/>
      <c r="E1384" s="225"/>
      <c r="F1384" s="225"/>
      <c r="G1384" s="225"/>
      <c r="H1384" s="225"/>
      <c r="I1384" s="225"/>
      <c r="J1384" s="226"/>
      <c r="K1384" s="27"/>
      <c r="L1384" s="70" t="s">
        <v>588</v>
      </c>
      <c r="M1384" s="67" t="s">
        <v>61</v>
      </c>
      <c r="N1384" s="213">
        <f>ROUND([1]TrialBalance!EJ77,D2)</f>
        <v>0</v>
      </c>
      <c r="O1384" s="214"/>
      <c r="P1384" s="26"/>
      <c r="Q1384" s="2"/>
    </row>
    <row r="1385" spans="1:17" ht="5" customHeight="1" x14ac:dyDescent="0.2">
      <c r="A1385" s="47"/>
      <c r="B1385" s="21"/>
      <c r="C1385" s="21"/>
      <c r="D1385" s="21"/>
      <c r="E1385" s="21"/>
      <c r="F1385" s="10"/>
      <c r="G1385" s="10"/>
      <c r="H1385" s="10"/>
      <c r="I1385" s="10"/>
      <c r="J1385" s="180"/>
      <c r="K1385" s="10"/>
      <c r="L1385" s="10"/>
      <c r="M1385" s="10"/>
      <c r="N1385" s="10"/>
      <c r="O1385" s="10"/>
      <c r="P1385" s="28"/>
      <c r="Q1385" s="2"/>
    </row>
    <row r="1386" spans="1:17" ht="5" customHeight="1" x14ac:dyDescent="0.2">
      <c r="A1386" s="49"/>
      <c r="B1386" s="24"/>
      <c r="C1386" s="24"/>
      <c r="D1386" s="24"/>
      <c r="E1386" s="24"/>
      <c r="F1386" s="29"/>
      <c r="G1386" s="29"/>
      <c r="H1386" s="29"/>
      <c r="I1386" s="29"/>
      <c r="J1386" s="183"/>
      <c r="K1386" s="29"/>
      <c r="L1386" s="29"/>
      <c r="M1386" s="29"/>
      <c r="N1386" s="29"/>
      <c r="O1386" s="29"/>
      <c r="P1386" s="30"/>
      <c r="Q1386" s="2"/>
    </row>
    <row r="1387" spans="1:17" x14ac:dyDescent="0.2">
      <c r="A1387" s="221" t="s">
        <v>603</v>
      </c>
      <c r="B1387" s="222"/>
      <c r="C1387" s="222"/>
      <c r="D1387" s="222"/>
      <c r="E1387" s="222"/>
      <c r="F1387" s="222"/>
      <c r="G1387" s="222"/>
      <c r="H1387" s="222"/>
      <c r="I1387" s="222"/>
      <c r="J1387" s="223"/>
      <c r="K1387" s="40"/>
      <c r="L1387" s="70" t="s">
        <v>589</v>
      </c>
      <c r="M1387" s="67" t="s">
        <v>61</v>
      </c>
      <c r="N1387" s="213">
        <f>ROUND([1]TrialBalance!EJ75,D2)+ROUND([1]TrialBalance!EJ73,D2)+ROUND([1]TrialBalance!EJ71,D2)+ROUND([1]TrialBalance!EJ79,D2)+ROUND([1]TrialBalance!EJ85,D2)</f>
        <v>0</v>
      </c>
      <c r="O1387" s="214"/>
      <c r="P1387" s="41"/>
      <c r="Q1387" s="2"/>
    </row>
    <row r="1388" spans="1:17" ht="5" customHeight="1" x14ac:dyDescent="0.2">
      <c r="A1388" s="50"/>
      <c r="B1388" s="25"/>
      <c r="C1388" s="25"/>
      <c r="D1388" s="25"/>
      <c r="E1388" s="25"/>
      <c r="F1388" s="31"/>
      <c r="G1388" s="31"/>
      <c r="H1388" s="31"/>
      <c r="I1388" s="31"/>
      <c r="J1388" s="177"/>
      <c r="K1388" s="31"/>
      <c r="L1388" s="31"/>
      <c r="M1388" s="31"/>
      <c r="N1388" s="31"/>
      <c r="O1388" s="31"/>
      <c r="P1388" s="32"/>
      <c r="Q1388" s="2"/>
    </row>
    <row r="1389" spans="1:17" ht="5" customHeight="1" x14ac:dyDescent="0.2">
      <c r="A1389" s="48"/>
      <c r="B1389" s="23"/>
      <c r="C1389" s="23"/>
      <c r="D1389" s="23"/>
      <c r="E1389" s="23"/>
      <c r="F1389" s="33"/>
      <c r="G1389" s="33"/>
      <c r="H1389" s="33"/>
      <c r="I1389" s="33"/>
      <c r="J1389" s="178"/>
      <c r="K1389" s="33"/>
      <c r="L1389" s="33"/>
      <c r="M1389" s="33"/>
      <c r="N1389" s="33"/>
      <c r="O1389" s="33"/>
      <c r="P1389" s="34"/>
      <c r="Q1389" s="2"/>
    </row>
    <row r="1390" spans="1:17" x14ac:dyDescent="0.2">
      <c r="A1390" s="224" t="s">
        <v>604</v>
      </c>
      <c r="B1390" s="225"/>
      <c r="C1390" s="225"/>
      <c r="D1390" s="225"/>
      <c r="E1390" s="225"/>
      <c r="F1390" s="225"/>
      <c r="G1390" s="225"/>
      <c r="H1390" s="225"/>
      <c r="I1390" s="225"/>
      <c r="J1390" s="226"/>
      <c r="K1390" s="27"/>
      <c r="L1390" s="70" t="s">
        <v>590</v>
      </c>
      <c r="M1390" s="67" t="s">
        <v>61</v>
      </c>
      <c r="N1390" s="213">
        <v>0</v>
      </c>
      <c r="O1390" s="214"/>
      <c r="P1390" s="26"/>
      <c r="Q1390" s="2"/>
    </row>
    <row r="1391" spans="1:17" ht="5" customHeight="1" x14ac:dyDescent="0.2">
      <c r="A1391" s="47"/>
      <c r="B1391" s="21"/>
      <c r="C1391" s="21"/>
      <c r="D1391" s="21"/>
      <c r="E1391" s="21"/>
      <c r="F1391" s="10"/>
      <c r="G1391" s="10"/>
      <c r="H1391" s="10"/>
      <c r="I1391" s="10"/>
      <c r="J1391" s="180"/>
      <c r="K1391" s="10"/>
      <c r="L1391" s="10"/>
      <c r="M1391" s="10"/>
      <c r="N1391" s="10"/>
      <c r="O1391" s="10"/>
      <c r="P1391" s="28"/>
      <c r="Q1391" s="2"/>
    </row>
    <row r="1392" spans="1:17" x14ac:dyDescent="0.2">
      <c r="Q1392" s="2"/>
    </row>
    <row r="1393" spans="1:17" ht="4.5" customHeight="1" x14ac:dyDescent="0.2"/>
    <row r="1394" spans="1:17" x14ac:dyDescent="0.2">
      <c r="A1394" s="234" t="s">
        <v>591</v>
      </c>
      <c r="B1394" s="235"/>
      <c r="C1394" s="235"/>
      <c r="D1394" s="235"/>
      <c r="E1394" s="236"/>
      <c r="F1394" s="236"/>
      <c r="G1394" s="236"/>
      <c r="H1394" s="236"/>
      <c r="I1394" s="236"/>
      <c r="J1394" s="236"/>
      <c r="K1394" s="236"/>
      <c r="L1394" s="236"/>
      <c r="M1394" s="236"/>
      <c r="N1394" s="236"/>
      <c r="O1394" s="236"/>
      <c r="P1394" s="236"/>
      <c r="Q1394" s="237"/>
    </row>
    <row r="1395" spans="1:17" ht="5" customHeight="1" x14ac:dyDescent="0.2">
      <c r="A1395" s="211"/>
      <c r="B1395" s="212"/>
      <c r="C1395" s="212"/>
      <c r="D1395" s="212"/>
      <c r="E1395" s="212"/>
      <c r="F1395" s="212"/>
      <c r="G1395" s="212"/>
      <c r="H1395" s="212"/>
      <c r="I1395" s="212"/>
      <c r="J1395" s="212"/>
      <c r="K1395" s="212"/>
      <c r="L1395" s="212"/>
      <c r="M1395" s="212"/>
      <c r="N1395" s="212"/>
      <c r="O1395" s="212"/>
      <c r="P1395" s="212"/>
      <c r="Q1395" s="38"/>
    </row>
    <row r="1396" spans="1:17" ht="5" customHeight="1" x14ac:dyDescent="0.2">
      <c r="A1396" s="48"/>
      <c r="B1396" s="23"/>
      <c r="C1396" s="23"/>
      <c r="D1396" s="23"/>
      <c r="E1396" s="23"/>
      <c r="F1396" s="33"/>
      <c r="G1396" s="33"/>
      <c r="H1396" s="33"/>
      <c r="I1396" s="33"/>
      <c r="J1396" s="34"/>
      <c r="K1396" s="33"/>
      <c r="L1396" s="33"/>
      <c r="M1396" s="33"/>
      <c r="N1396" s="33"/>
      <c r="O1396" s="33"/>
      <c r="P1396" s="34"/>
      <c r="Q1396" s="2"/>
    </row>
    <row r="1397" spans="1:17" x14ac:dyDescent="0.2">
      <c r="A1397" s="279" t="s">
        <v>592</v>
      </c>
      <c r="B1397" s="280"/>
      <c r="C1397" s="280"/>
      <c r="D1397" s="280"/>
      <c r="E1397" s="280"/>
      <c r="F1397" s="280"/>
      <c r="G1397" s="280"/>
      <c r="H1397" s="280"/>
      <c r="I1397" s="280"/>
      <c r="J1397" s="26"/>
      <c r="K1397" s="27"/>
      <c r="L1397" s="70" t="s">
        <v>593</v>
      </c>
      <c r="M1397" s="186" t="s">
        <v>61</v>
      </c>
      <c r="N1397" s="242">
        <f>SUM(N1308,N1311,N1314,N1318,N1326,N1330,N1333,N1340,N1343,N1346,N1353,N1356,N1359,N1362,N1365,N1369,N1372,N1375,N1378,N1381,N1384,N1387,N1390)</f>
        <v>0</v>
      </c>
      <c r="O1397" s="243"/>
      <c r="P1397" s="26"/>
      <c r="Q1397" s="2"/>
    </row>
    <row r="1398" spans="1:17" ht="5" customHeight="1" x14ac:dyDescent="0.2">
      <c r="A1398" s="47"/>
      <c r="B1398" s="21"/>
      <c r="C1398" s="21"/>
      <c r="D1398" s="21"/>
      <c r="E1398" s="21"/>
      <c r="F1398" s="10"/>
      <c r="G1398" s="10"/>
      <c r="H1398" s="10"/>
      <c r="I1398" s="10"/>
      <c r="J1398" s="28"/>
      <c r="K1398" s="10"/>
      <c r="L1398" s="10"/>
      <c r="M1398" s="10"/>
      <c r="N1398" s="10"/>
      <c r="O1398" s="10"/>
      <c r="P1398" s="28"/>
      <c r="Q1398" s="2"/>
    </row>
    <row r="1399" spans="1:17" x14ac:dyDescent="0.2">
      <c r="A1399" s="62"/>
      <c r="B1399" s="51"/>
      <c r="C1399" s="51"/>
      <c r="D1399" s="51"/>
      <c r="E1399" s="51"/>
      <c r="F1399" s="51"/>
      <c r="G1399" s="51"/>
      <c r="H1399" s="51"/>
      <c r="I1399" s="51"/>
      <c r="J1399" s="51"/>
      <c r="K1399" s="51"/>
      <c r="L1399" s="51"/>
      <c r="M1399" s="51"/>
      <c r="N1399" s="51"/>
      <c r="O1399" s="51"/>
      <c r="P1399" s="51"/>
      <c r="Q1399" s="38"/>
    </row>
    <row r="1401" spans="1:17" ht="16" x14ac:dyDescent="0.2">
      <c r="A1401" s="231" t="s">
        <v>605</v>
      </c>
      <c r="B1401" s="232"/>
      <c r="C1401" s="232"/>
      <c r="D1401" s="232"/>
      <c r="F1401" s="233"/>
      <c r="G1401" s="233"/>
      <c r="H1401" s="233"/>
      <c r="I1401" s="233"/>
      <c r="J1401" s="233"/>
      <c r="K1401" s="233"/>
      <c r="L1401" s="233"/>
      <c r="M1401" s="233"/>
      <c r="N1401" s="233"/>
      <c r="O1401" s="233"/>
      <c r="P1401" s="233"/>
      <c r="Q1401" s="233"/>
    </row>
    <row r="1402" spans="1:17" ht="5" customHeight="1" x14ac:dyDescent="0.2"/>
    <row r="1403" spans="1:17" x14ac:dyDescent="0.2">
      <c r="A1403" s="234" t="s">
        <v>606</v>
      </c>
      <c r="B1403" s="235"/>
      <c r="C1403" s="235"/>
      <c r="D1403" s="235"/>
      <c r="E1403" s="236"/>
      <c r="F1403" s="236"/>
      <c r="G1403" s="236"/>
      <c r="H1403" s="236"/>
      <c r="I1403" s="236"/>
      <c r="J1403" s="236"/>
      <c r="K1403" s="236"/>
      <c r="L1403" s="236"/>
      <c r="M1403" s="236"/>
      <c r="N1403" s="236"/>
      <c r="O1403" s="236"/>
      <c r="P1403" s="236"/>
      <c r="Q1403" s="237"/>
    </row>
    <row r="1404" spans="1:17" ht="15" customHeight="1" x14ac:dyDescent="0.2">
      <c r="A1404" s="211"/>
      <c r="B1404" s="212"/>
      <c r="C1404" s="212"/>
      <c r="D1404" s="212"/>
      <c r="E1404" s="212"/>
      <c r="F1404" s="212"/>
      <c r="G1404" s="212"/>
      <c r="H1404" s="212"/>
      <c r="I1404" s="212"/>
      <c r="J1404" s="212"/>
      <c r="K1404" s="212"/>
      <c r="L1404" s="212"/>
      <c r="M1404" s="212"/>
      <c r="N1404" s="212"/>
      <c r="O1404" s="212"/>
      <c r="P1404" s="212"/>
      <c r="Q1404" s="38"/>
    </row>
    <row r="1405" spans="1:17" x14ac:dyDescent="0.2">
      <c r="A1405" s="238" t="s">
        <v>381</v>
      </c>
      <c r="B1405" s="239"/>
      <c r="C1405" s="212"/>
      <c r="D1405" s="212"/>
      <c r="E1405" s="72"/>
      <c r="F1405" s="238"/>
      <c r="G1405" s="238"/>
      <c r="H1405" s="238"/>
      <c r="I1405" s="238"/>
      <c r="J1405" s="238"/>
      <c r="K1405" s="238"/>
      <c r="L1405" s="238"/>
      <c r="M1405" s="238"/>
      <c r="N1405" s="238"/>
      <c r="O1405" s="238"/>
      <c r="P1405" s="238"/>
      <c r="Q1405" s="38"/>
    </row>
    <row r="1406" spans="1:17" x14ac:dyDescent="0.2">
      <c r="A1406" s="140"/>
      <c r="B1406" s="152"/>
      <c r="C1406" s="51"/>
      <c r="D1406" s="51"/>
      <c r="E1406" s="72"/>
      <c r="F1406" s="140"/>
      <c r="G1406" s="140"/>
      <c r="H1406" s="140"/>
      <c r="I1406" s="140"/>
      <c r="J1406" s="140"/>
      <c r="K1406" s="140"/>
      <c r="L1406" s="140"/>
      <c r="M1406" s="140"/>
      <c r="N1406" s="140"/>
      <c r="O1406" s="140"/>
      <c r="P1406" s="140"/>
      <c r="Q1406" s="38"/>
    </row>
    <row r="1407" spans="1:17" ht="5" customHeight="1" x14ac:dyDescent="0.2">
      <c r="A1407" s="48"/>
      <c r="B1407" s="23"/>
      <c r="C1407" s="23"/>
      <c r="D1407" s="23"/>
      <c r="E1407" s="23"/>
      <c r="F1407" s="33"/>
      <c r="G1407" s="33"/>
      <c r="H1407" s="33"/>
      <c r="I1407" s="33"/>
      <c r="J1407" s="34"/>
      <c r="K1407" s="33"/>
      <c r="L1407" s="33"/>
      <c r="M1407" s="33"/>
      <c r="N1407" s="33"/>
      <c r="O1407" s="33"/>
      <c r="P1407" s="34"/>
      <c r="Q1407" s="2"/>
    </row>
    <row r="1408" spans="1:17" x14ac:dyDescent="0.2">
      <c r="A1408" s="279" t="s">
        <v>607</v>
      </c>
      <c r="B1408" s="280"/>
      <c r="C1408" s="280"/>
      <c r="D1408" s="280"/>
      <c r="E1408" s="280"/>
      <c r="F1408" s="280"/>
      <c r="G1408" s="280"/>
      <c r="H1408" s="280"/>
      <c r="I1408" s="280"/>
      <c r="J1408" s="26"/>
      <c r="K1408" s="27"/>
      <c r="L1408" s="70" t="s">
        <v>608</v>
      </c>
      <c r="M1408" s="186" t="s">
        <v>61</v>
      </c>
      <c r="N1408" s="242">
        <f>N1293</f>
        <v>0</v>
      </c>
      <c r="O1408" s="243"/>
      <c r="P1408" s="26"/>
      <c r="Q1408" s="2"/>
    </row>
    <row r="1409" spans="1:17" ht="5" customHeight="1" x14ac:dyDescent="0.2">
      <c r="A1409" s="47"/>
      <c r="B1409" s="21"/>
      <c r="C1409" s="21"/>
      <c r="D1409" s="21"/>
      <c r="E1409" s="21"/>
      <c r="F1409" s="10"/>
      <c r="G1409" s="10"/>
      <c r="H1409" s="10"/>
      <c r="I1409" s="10"/>
      <c r="J1409" s="28"/>
      <c r="K1409" s="10"/>
      <c r="L1409" s="10"/>
      <c r="M1409" s="10"/>
      <c r="N1409" s="10"/>
      <c r="O1409" s="10"/>
      <c r="P1409" s="28"/>
      <c r="Q1409" s="2"/>
    </row>
    <row r="1410" spans="1:17" ht="15" customHeight="1" x14ac:dyDescent="0.2">
      <c r="A1410" s="211"/>
      <c r="B1410" s="212"/>
      <c r="C1410" s="212"/>
      <c r="D1410" s="212"/>
      <c r="E1410" s="212"/>
      <c r="F1410" s="212"/>
      <c r="G1410" s="212"/>
      <c r="H1410" s="212"/>
      <c r="I1410" s="212"/>
      <c r="J1410" s="212"/>
      <c r="K1410" s="212"/>
      <c r="L1410" s="212"/>
      <c r="M1410" s="212"/>
      <c r="N1410" s="212"/>
      <c r="O1410" s="212"/>
      <c r="P1410" s="212"/>
      <c r="Q1410" s="38"/>
    </row>
    <row r="1411" spans="1:17" x14ac:dyDescent="0.2">
      <c r="A1411" s="238" t="s">
        <v>547</v>
      </c>
      <c r="B1411" s="239"/>
      <c r="C1411" s="212"/>
      <c r="D1411" s="212"/>
      <c r="E1411" s="72"/>
      <c r="F1411" s="238"/>
      <c r="G1411" s="238"/>
      <c r="H1411" s="238"/>
      <c r="I1411" s="238"/>
      <c r="J1411" s="238"/>
      <c r="K1411" s="238"/>
      <c r="L1411" s="238"/>
      <c r="M1411" s="238"/>
      <c r="N1411" s="238"/>
      <c r="O1411" s="238"/>
      <c r="P1411" s="238"/>
      <c r="Q1411" s="38"/>
    </row>
    <row r="1412" spans="1:17" x14ac:dyDescent="0.2">
      <c r="A1412" s="140"/>
      <c r="B1412" s="152"/>
      <c r="C1412" s="51"/>
      <c r="D1412" s="51"/>
      <c r="E1412" s="72"/>
      <c r="F1412" s="140"/>
      <c r="G1412" s="140"/>
      <c r="H1412" s="140"/>
      <c r="I1412" s="140"/>
      <c r="J1412" s="140"/>
      <c r="K1412" s="140"/>
      <c r="L1412" s="140"/>
      <c r="M1412" s="140"/>
      <c r="N1412" s="140"/>
      <c r="O1412" s="140"/>
      <c r="P1412" s="140"/>
      <c r="Q1412" s="38"/>
    </row>
    <row r="1413" spans="1:17" ht="5" customHeight="1" x14ac:dyDescent="0.2">
      <c r="A1413" s="48"/>
      <c r="B1413" s="23"/>
      <c r="C1413" s="23"/>
      <c r="D1413" s="23"/>
      <c r="E1413" s="23"/>
      <c r="F1413" s="33"/>
      <c r="G1413" s="33"/>
      <c r="H1413" s="33"/>
      <c r="I1413" s="33"/>
      <c r="J1413" s="34"/>
      <c r="K1413" s="33"/>
      <c r="L1413" s="33"/>
      <c r="M1413" s="33"/>
      <c r="N1413" s="33"/>
      <c r="O1413" s="33"/>
      <c r="P1413" s="34"/>
      <c r="Q1413" s="2"/>
    </row>
    <row r="1414" spans="1:17" x14ac:dyDescent="0.2">
      <c r="A1414" s="279" t="s">
        <v>592</v>
      </c>
      <c r="B1414" s="280"/>
      <c r="C1414" s="280"/>
      <c r="D1414" s="280"/>
      <c r="E1414" s="280"/>
      <c r="F1414" s="280"/>
      <c r="G1414" s="280"/>
      <c r="H1414" s="280"/>
      <c r="I1414" s="280"/>
      <c r="J1414" s="26"/>
      <c r="K1414" s="27"/>
      <c r="L1414" s="70" t="s">
        <v>609</v>
      </c>
      <c r="M1414" s="186" t="s">
        <v>61</v>
      </c>
      <c r="N1414" s="242">
        <f>N1397</f>
        <v>0</v>
      </c>
      <c r="O1414" s="243"/>
      <c r="P1414" s="26"/>
      <c r="Q1414" s="2"/>
    </row>
    <row r="1415" spans="1:17" ht="5" customHeight="1" x14ac:dyDescent="0.2">
      <c r="A1415" s="47"/>
      <c r="B1415" s="21"/>
      <c r="C1415" s="21"/>
      <c r="D1415" s="21"/>
      <c r="E1415" s="21"/>
      <c r="F1415" s="10"/>
      <c r="G1415" s="10"/>
      <c r="H1415" s="10"/>
      <c r="I1415" s="10"/>
      <c r="J1415" s="28"/>
      <c r="K1415" s="10"/>
      <c r="L1415" s="10"/>
      <c r="M1415" s="10"/>
      <c r="N1415" s="10"/>
      <c r="O1415" s="10"/>
      <c r="P1415" s="28"/>
      <c r="Q1415" s="2"/>
    </row>
    <row r="1416" spans="1:17" x14ac:dyDescent="0.2">
      <c r="Q1416" s="2"/>
    </row>
    <row r="1417" spans="1:17" x14ac:dyDescent="0.2">
      <c r="A1417" s="238" t="s">
        <v>610</v>
      </c>
      <c r="B1417" s="239"/>
      <c r="C1417" s="212"/>
      <c r="D1417" s="212"/>
      <c r="E1417" s="72"/>
      <c r="F1417" s="238"/>
      <c r="G1417" s="238"/>
      <c r="H1417" s="238"/>
      <c r="I1417" s="238"/>
      <c r="J1417" s="238"/>
      <c r="K1417" s="238"/>
      <c r="L1417" s="238"/>
      <c r="M1417" s="238"/>
      <c r="N1417" s="238"/>
      <c r="O1417" s="238"/>
      <c r="P1417" s="238"/>
      <c r="Q1417" s="38"/>
    </row>
    <row r="1418" spans="1:17" x14ac:dyDescent="0.2">
      <c r="A1418" s="140"/>
      <c r="B1418" s="152"/>
      <c r="C1418" s="51"/>
      <c r="D1418" s="51"/>
      <c r="E1418" s="72"/>
      <c r="F1418" s="140"/>
      <c r="G1418" s="140"/>
      <c r="H1418" s="140"/>
      <c r="I1418" s="140"/>
      <c r="J1418" s="140"/>
      <c r="K1418" s="140"/>
      <c r="L1418" s="140"/>
      <c r="M1418" s="140"/>
      <c r="N1418" s="140"/>
      <c r="O1418" s="140"/>
      <c r="P1418" s="140"/>
      <c r="Q1418" s="38"/>
    </row>
    <row r="1419" spans="1:17" ht="28.5" customHeight="1" x14ac:dyDescent="0.2">
      <c r="A1419" s="211" t="s">
        <v>611</v>
      </c>
      <c r="B1419" s="212"/>
      <c r="C1419" s="212"/>
      <c r="D1419" s="212"/>
      <c r="E1419" s="212"/>
      <c r="F1419" s="212"/>
      <c r="G1419" s="212"/>
      <c r="H1419" s="212"/>
      <c r="I1419" s="212"/>
      <c r="J1419" s="212"/>
      <c r="K1419" s="212"/>
      <c r="L1419" s="212"/>
      <c r="M1419" s="212"/>
      <c r="N1419" s="212"/>
      <c r="O1419" s="212"/>
      <c r="P1419" s="37"/>
      <c r="Q1419" s="38"/>
    </row>
    <row r="1420" spans="1:17" x14ac:dyDescent="0.2">
      <c r="A1420" s="140"/>
      <c r="B1420" s="152"/>
      <c r="C1420" s="51"/>
      <c r="D1420" s="51"/>
      <c r="E1420" s="72"/>
      <c r="F1420" s="140"/>
      <c r="G1420" s="140"/>
      <c r="H1420" s="140"/>
      <c r="I1420" s="140"/>
      <c r="J1420" s="140"/>
      <c r="K1420" s="140"/>
      <c r="L1420" s="140"/>
      <c r="M1420" s="140"/>
      <c r="N1420" s="140"/>
      <c r="O1420" s="140"/>
      <c r="P1420" s="140"/>
      <c r="Q1420" s="38"/>
    </row>
    <row r="1421" spans="1:17" ht="5" customHeight="1" x14ac:dyDescent="0.2">
      <c r="A1421" s="48"/>
      <c r="B1421" s="23"/>
      <c r="C1421" s="23"/>
      <c r="D1421" s="23"/>
      <c r="E1421" s="23"/>
      <c r="F1421" s="33"/>
      <c r="G1421" s="33"/>
      <c r="H1421" s="33"/>
      <c r="I1421" s="33"/>
      <c r="J1421" s="34"/>
      <c r="K1421" s="33"/>
      <c r="L1421" s="33"/>
      <c r="M1421" s="33"/>
      <c r="N1421" s="33"/>
      <c r="O1421" s="33"/>
      <c r="P1421" s="34"/>
      <c r="Q1421" s="2"/>
    </row>
    <row r="1422" spans="1:17" x14ac:dyDescent="0.2">
      <c r="A1422" s="438" t="s">
        <v>612</v>
      </c>
      <c r="B1422" s="439"/>
      <c r="C1422" s="439"/>
      <c r="D1422" s="439"/>
      <c r="E1422" s="439"/>
      <c r="F1422" s="439"/>
      <c r="G1422" s="439"/>
      <c r="H1422" s="439"/>
      <c r="I1422" s="439"/>
      <c r="J1422" s="26"/>
      <c r="K1422" s="27"/>
      <c r="L1422" s="70" t="s">
        <v>613</v>
      </c>
      <c r="M1422" s="67" t="s">
        <v>61</v>
      </c>
      <c r="N1422" s="213">
        <f>-ROUND([1]TrialBalance!EJ58,D2)</f>
        <v>0</v>
      </c>
      <c r="O1422" s="214"/>
      <c r="P1422" s="26"/>
      <c r="Q1422" s="2"/>
    </row>
    <row r="1423" spans="1:17" ht="5" customHeight="1" x14ac:dyDescent="0.2">
      <c r="A1423" s="47"/>
      <c r="B1423" s="21"/>
      <c r="C1423" s="21"/>
      <c r="D1423" s="21"/>
      <c r="E1423" s="21"/>
      <c r="F1423" s="10"/>
      <c r="G1423" s="10"/>
      <c r="H1423" s="10"/>
      <c r="I1423" s="10"/>
      <c r="J1423" s="28"/>
      <c r="K1423" s="10"/>
      <c r="L1423" s="10"/>
      <c r="M1423" s="10"/>
      <c r="N1423" s="10"/>
      <c r="O1423" s="10"/>
      <c r="P1423" s="28"/>
      <c r="Q1423" s="2"/>
    </row>
    <row r="1424" spans="1:17" x14ac:dyDescent="0.2">
      <c r="Q1424" s="2"/>
    </row>
    <row r="1425" spans="1:17" x14ac:dyDescent="0.2">
      <c r="A1425" s="238" t="s">
        <v>979</v>
      </c>
      <c r="B1425" s="239"/>
      <c r="C1425" s="212"/>
      <c r="D1425" s="212"/>
      <c r="E1425" s="72"/>
      <c r="F1425" s="238"/>
      <c r="G1425" s="238"/>
      <c r="H1425" s="238"/>
      <c r="I1425" s="238"/>
      <c r="J1425" s="238"/>
      <c r="K1425" s="238"/>
      <c r="L1425" s="238"/>
      <c r="M1425" s="238"/>
      <c r="N1425" s="238"/>
      <c r="O1425" s="238"/>
      <c r="P1425" s="238"/>
      <c r="Q1425" s="38"/>
    </row>
    <row r="1426" spans="1:17" x14ac:dyDescent="0.2">
      <c r="A1426" s="140"/>
      <c r="B1426" s="152"/>
      <c r="C1426" s="51"/>
      <c r="D1426" s="51"/>
      <c r="E1426" s="72"/>
      <c r="F1426" s="140"/>
      <c r="G1426" s="140"/>
      <c r="H1426" s="140"/>
      <c r="I1426" s="140"/>
      <c r="J1426" s="140"/>
      <c r="K1426" s="140"/>
      <c r="L1426" s="140"/>
      <c r="M1426" s="140"/>
      <c r="N1426" s="140"/>
      <c r="O1426" s="140"/>
      <c r="P1426" s="140"/>
      <c r="Q1426" s="38"/>
    </row>
    <row r="1427" spans="1:17" ht="15" customHeight="1" x14ac:dyDescent="0.2">
      <c r="A1427" s="211" t="s">
        <v>614</v>
      </c>
      <c r="B1427" s="212"/>
      <c r="C1427" s="212"/>
      <c r="D1427" s="212"/>
      <c r="E1427" s="212"/>
      <c r="F1427" s="212"/>
      <c r="G1427" s="212"/>
      <c r="H1427" s="212"/>
      <c r="I1427" s="212"/>
      <c r="J1427" s="212"/>
      <c r="K1427" s="212"/>
      <c r="L1427" s="212"/>
      <c r="M1427" s="212"/>
      <c r="N1427" s="212"/>
      <c r="O1427" s="212"/>
      <c r="P1427" s="37"/>
      <c r="Q1427" s="38"/>
    </row>
    <row r="1428" spans="1:17" x14ac:dyDescent="0.2">
      <c r="A1428" s="140"/>
      <c r="B1428" s="152"/>
      <c r="C1428" s="51"/>
      <c r="D1428" s="51"/>
      <c r="E1428" s="72"/>
      <c r="F1428" s="140"/>
      <c r="G1428" s="140"/>
      <c r="H1428" s="140"/>
      <c r="I1428" s="140"/>
      <c r="J1428" s="140"/>
      <c r="K1428" s="140"/>
      <c r="L1428" s="140"/>
      <c r="M1428" s="140"/>
      <c r="N1428" s="140"/>
      <c r="O1428" s="140"/>
      <c r="P1428" s="140"/>
      <c r="Q1428" s="38"/>
    </row>
    <row r="1429" spans="1:17" ht="5" customHeight="1" x14ac:dyDescent="0.2">
      <c r="A1429" s="48"/>
      <c r="B1429" s="23"/>
      <c r="C1429" s="23"/>
      <c r="D1429" s="23"/>
      <c r="E1429" s="23"/>
      <c r="F1429" s="33"/>
      <c r="G1429" s="33"/>
      <c r="H1429" s="33"/>
      <c r="I1429" s="33"/>
      <c r="J1429" s="34"/>
      <c r="K1429" s="33"/>
      <c r="L1429" s="33"/>
      <c r="M1429" s="33"/>
      <c r="N1429" s="33"/>
      <c r="O1429" s="33"/>
      <c r="P1429" s="34"/>
      <c r="Q1429" s="2"/>
    </row>
    <row r="1430" spans="1:17" x14ac:dyDescent="0.2">
      <c r="A1430" s="279" t="s">
        <v>615</v>
      </c>
      <c r="B1430" s="280"/>
      <c r="C1430" s="280"/>
      <c r="D1430" s="280"/>
      <c r="E1430" s="280"/>
      <c r="F1430" s="280"/>
      <c r="G1430" s="280"/>
      <c r="H1430" s="280"/>
      <c r="I1430" s="280"/>
      <c r="J1430" s="26"/>
      <c r="K1430" s="27"/>
      <c r="L1430" s="70" t="s">
        <v>616</v>
      </c>
      <c r="M1430" s="186" t="s">
        <v>61</v>
      </c>
      <c r="N1430" s="242">
        <f>N1408-N1414+N1422</f>
        <v>0</v>
      </c>
      <c r="O1430" s="243"/>
      <c r="P1430" s="26"/>
      <c r="Q1430" s="2"/>
    </row>
    <row r="1431" spans="1:17" ht="5" customHeight="1" x14ac:dyDescent="0.2">
      <c r="A1431" s="47"/>
      <c r="B1431" s="21"/>
      <c r="C1431" s="21"/>
      <c r="D1431" s="21"/>
      <c r="E1431" s="21"/>
      <c r="F1431" s="10"/>
      <c r="G1431" s="10"/>
      <c r="H1431" s="10"/>
      <c r="I1431" s="10"/>
      <c r="J1431" s="28"/>
      <c r="K1431" s="10"/>
      <c r="L1431" s="10"/>
      <c r="M1431" s="10"/>
      <c r="N1431" s="10"/>
      <c r="O1431" s="10"/>
      <c r="P1431" s="28"/>
      <c r="Q1431" s="2"/>
    </row>
    <row r="1432" spans="1:17" x14ac:dyDescent="0.2">
      <c r="Q1432" s="2"/>
    </row>
    <row r="1434" spans="1:17" ht="16" x14ac:dyDescent="0.2">
      <c r="A1434" s="231" t="s">
        <v>617</v>
      </c>
      <c r="B1434" s="232"/>
      <c r="C1434" s="232"/>
      <c r="D1434" s="232"/>
      <c r="F1434" s="233"/>
      <c r="G1434" s="233"/>
      <c r="H1434" s="233"/>
      <c r="I1434" s="233"/>
      <c r="J1434" s="233"/>
      <c r="K1434" s="233"/>
      <c r="L1434" s="233"/>
      <c r="M1434" s="233"/>
      <c r="N1434" s="233"/>
      <c r="O1434" s="233"/>
      <c r="P1434" s="233"/>
      <c r="Q1434" s="233"/>
    </row>
    <row r="1435" spans="1:17" ht="5" customHeight="1" x14ac:dyDescent="0.2"/>
    <row r="1436" spans="1:17" x14ac:dyDescent="0.2">
      <c r="A1436" s="234" t="s">
        <v>618</v>
      </c>
      <c r="B1436" s="235"/>
      <c r="C1436" s="235"/>
      <c r="D1436" s="235"/>
      <c r="E1436" s="236"/>
      <c r="F1436" s="236"/>
      <c r="G1436" s="236"/>
      <c r="H1436" s="236"/>
      <c r="I1436" s="236"/>
      <c r="J1436" s="236"/>
      <c r="K1436" s="236"/>
      <c r="L1436" s="236"/>
      <c r="M1436" s="236"/>
      <c r="N1436" s="236"/>
      <c r="O1436" s="236"/>
      <c r="P1436" s="236"/>
      <c r="Q1436" s="237"/>
    </row>
    <row r="1437" spans="1:17" ht="15" customHeight="1" x14ac:dyDescent="0.2">
      <c r="A1437" s="211"/>
      <c r="B1437" s="212"/>
      <c r="C1437" s="212"/>
      <c r="D1437" s="212"/>
      <c r="E1437" s="212"/>
      <c r="F1437" s="212"/>
      <c r="G1437" s="212"/>
      <c r="H1437" s="212"/>
      <c r="I1437" s="212"/>
      <c r="J1437" s="212"/>
      <c r="K1437" s="212"/>
      <c r="L1437" s="212"/>
      <c r="M1437" s="212"/>
      <c r="N1437" s="212"/>
      <c r="O1437" s="212"/>
      <c r="P1437" s="212"/>
      <c r="Q1437" s="38"/>
    </row>
    <row r="1438" spans="1:17" x14ac:dyDescent="0.2">
      <c r="A1438" s="238" t="s">
        <v>619</v>
      </c>
      <c r="B1438" s="239"/>
      <c r="C1438" s="212"/>
      <c r="D1438" s="212"/>
      <c r="E1438" s="72"/>
      <c r="F1438" s="238"/>
      <c r="G1438" s="238"/>
      <c r="H1438" s="238"/>
      <c r="I1438" s="238"/>
      <c r="J1438" s="238"/>
      <c r="K1438" s="238"/>
      <c r="L1438" s="238"/>
      <c r="M1438" s="238"/>
      <c r="N1438" s="238"/>
      <c r="O1438" s="238"/>
      <c r="P1438" s="238"/>
      <c r="Q1438" s="38"/>
    </row>
    <row r="1439" spans="1:17" x14ac:dyDescent="0.2">
      <c r="A1439" s="140"/>
      <c r="B1439" s="152"/>
      <c r="C1439" s="51"/>
      <c r="D1439" s="51"/>
      <c r="E1439" s="72"/>
      <c r="F1439" s="140"/>
      <c r="G1439" s="140"/>
      <c r="H1439" s="140"/>
      <c r="I1439" s="140"/>
      <c r="J1439" s="140"/>
      <c r="K1439" s="140"/>
      <c r="L1439" s="140"/>
      <c r="M1439" s="140"/>
      <c r="N1439" s="140"/>
      <c r="O1439" s="140"/>
      <c r="P1439" s="140"/>
      <c r="Q1439" s="38"/>
    </row>
    <row r="1440" spans="1:17" ht="5" customHeight="1" x14ac:dyDescent="0.2">
      <c r="A1440" s="48"/>
      <c r="B1440" s="23"/>
      <c r="C1440" s="23"/>
      <c r="D1440" s="23"/>
      <c r="E1440" s="23"/>
      <c r="F1440" s="33"/>
      <c r="G1440" s="33"/>
      <c r="H1440" s="33"/>
      <c r="I1440" s="33"/>
      <c r="J1440" s="34"/>
      <c r="K1440" s="33"/>
      <c r="L1440" s="33"/>
      <c r="M1440" s="33"/>
      <c r="N1440" s="33"/>
      <c r="O1440" s="33"/>
      <c r="P1440" s="34"/>
      <c r="Q1440" s="2"/>
    </row>
    <row r="1441" spans="1:17" x14ac:dyDescent="0.2">
      <c r="A1441" s="279" t="s">
        <v>620</v>
      </c>
      <c r="B1441" s="280"/>
      <c r="C1441" s="280"/>
      <c r="D1441" s="280"/>
      <c r="E1441" s="280"/>
      <c r="F1441" s="280"/>
      <c r="G1441" s="280"/>
      <c r="H1441" s="280"/>
      <c r="I1441" s="280"/>
      <c r="J1441" s="26"/>
      <c r="K1441" s="27"/>
      <c r="L1441" s="70" t="s">
        <v>621</v>
      </c>
      <c r="M1441" s="186" t="s">
        <v>61</v>
      </c>
      <c r="N1441" s="242">
        <f>N1430</f>
        <v>0</v>
      </c>
      <c r="O1441" s="243"/>
      <c r="P1441" s="26"/>
      <c r="Q1441" s="2"/>
    </row>
    <row r="1442" spans="1:17" ht="5" customHeight="1" x14ac:dyDescent="0.2">
      <c r="A1442" s="47"/>
      <c r="B1442" s="21"/>
      <c r="C1442" s="21"/>
      <c r="D1442" s="21"/>
      <c r="E1442" s="21"/>
      <c r="F1442" s="10"/>
      <c r="G1442" s="10"/>
      <c r="H1442" s="10"/>
      <c r="I1442" s="10"/>
      <c r="J1442" s="28"/>
      <c r="K1442" s="10"/>
      <c r="L1442" s="10"/>
      <c r="M1442" s="10"/>
      <c r="N1442" s="10"/>
      <c r="O1442" s="10"/>
      <c r="P1442" s="28"/>
      <c r="Q1442" s="2"/>
    </row>
    <row r="1443" spans="1:17" ht="15" customHeight="1" x14ac:dyDescent="0.2">
      <c r="A1443" s="211"/>
      <c r="B1443" s="212"/>
      <c r="C1443" s="212"/>
      <c r="D1443" s="212"/>
      <c r="E1443" s="212"/>
      <c r="F1443" s="212"/>
      <c r="G1443" s="212"/>
      <c r="H1443" s="212"/>
      <c r="I1443" s="212"/>
      <c r="J1443" s="212"/>
      <c r="K1443" s="212"/>
      <c r="L1443" s="212"/>
      <c r="M1443" s="212"/>
      <c r="N1443" s="212"/>
      <c r="O1443" s="212"/>
      <c r="P1443" s="212"/>
      <c r="Q1443" s="38"/>
    </row>
    <row r="1444" spans="1:17" x14ac:dyDescent="0.2">
      <c r="A1444" s="238" t="s">
        <v>622</v>
      </c>
      <c r="B1444" s="239"/>
      <c r="C1444" s="212"/>
      <c r="D1444" s="212"/>
      <c r="E1444" s="72"/>
      <c r="F1444" s="238"/>
      <c r="G1444" s="238"/>
      <c r="H1444" s="238"/>
      <c r="I1444" s="238"/>
      <c r="J1444" s="238"/>
      <c r="K1444" s="238"/>
      <c r="L1444" s="238"/>
      <c r="M1444" s="238"/>
      <c r="N1444" s="238"/>
      <c r="O1444" s="238"/>
      <c r="P1444" s="238"/>
      <c r="Q1444" s="38"/>
    </row>
    <row r="1445" spans="1:17" ht="5" customHeight="1" x14ac:dyDescent="0.2">
      <c r="A1445" s="140"/>
      <c r="B1445" s="152"/>
      <c r="C1445" s="51"/>
      <c r="D1445" s="51"/>
      <c r="E1445" s="72"/>
      <c r="F1445" s="140"/>
      <c r="G1445" s="140"/>
      <c r="H1445" s="140"/>
      <c r="I1445" s="140"/>
      <c r="J1445" s="140"/>
      <c r="K1445" s="140"/>
      <c r="L1445" s="140"/>
      <c r="M1445" s="140"/>
      <c r="N1445" s="140"/>
      <c r="O1445" s="140"/>
      <c r="P1445" s="140"/>
      <c r="Q1445" s="38"/>
    </row>
    <row r="1446" spans="1:17" ht="28.5" customHeight="1" x14ac:dyDescent="0.2">
      <c r="A1446" s="211" t="s">
        <v>623</v>
      </c>
      <c r="B1446" s="212"/>
      <c r="C1446" s="212"/>
      <c r="D1446" s="212"/>
      <c r="E1446" s="212"/>
      <c r="F1446" s="212"/>
      <c r="G1446" s="212"/>
      <c r="H1446" s="212"/>
      <c r="I1446" s="212"/>
      <c r="J1446" s="212"/>
      <c r="K1446" s="212"/>
      <c r="L1446" s="212"/>
      <c r="M1446" s="212"/>
      <c r="N1446" s="212"/>
      <c r="O1446" s="212"/>
      <c r="P1446" s="37"/>
      <c r="Q1446" s="38"/>
    </row>
    <row r="1447" spans="1:17" x14ac:dyDescent="0.2">
      <c r="A1447" s="140"/>
      <c r="B1447" s="152"/>
      <c r="C1447" s="51"/>
      <c r="D1447" s="51"/>
      <c r="E1447" s="72"/>
      <c r="F1447" s="140"/>
      <c r="G1447" s="140"/>
      <c r="H1447" s="140"/>
      <c r="I1447" s="140"/>
      <c r="J1447" s="140"/>
      <c r="K1447" s="140"/>
      <c r="L1447" s="140"/>
      <c r="M1447" s="140"/>
      <c r="N1447" s="140"/>
      <c r="O1447" s="140"/>
      <c r="P1447" s="140"/>
      <c r="Q1447" s="38"/>
    </row>
    <row r="1448" spans="1:17" ht="5" customHeight="1" x14ac:dyDescent="0.2">
      <c r="A1448" s="48"/>
      <c r="B1448" s="23"/>
      <c r="C1448" s="23"/>
      <c r="D1448" s="23"/>
      <c r="E1448" s="23"/>
      <c r="F1448" s="33"/>
      <c r="G1448" s="33"/>
      <c r="H1448" s="33"/>
      <c r="I1448" s="33"/>
      <c r="J1448" s="178"/>
      <c r="K1448" s="33"/>
      <c r="L1448" s="33"/>
      <c r="M1448" s="33"/>
      <c r="N1448" s="33"/>
      <c r="O1448" s="33"/>
      <c r="P1448" s="34"/>
      <c r="Q1448" s="2"/>
    </row>
    <row r="1449" spans="1:17" x14ac:dyDescent="0.2">
      <c r="A1449" s="224" t="s">
        <v>596</v>
      </c>
      <c r="B1449" s="225"/>
      <c r="C1449" s="225"/>
      <c r="D1449" s="225"/>
      <c r="E1449" s="225"/>
      <c r="F1449" s="225"/>
      <c r="G1449" s="225"/>
      <c r="H1449" s="225"/>
      <c r="I1449" s="225"/>
      <c r="J1449" s="226"/>
      <c r="K1449" s="27"/>
      <c r="L1449" s="70" t="s">
        <v>633</v>
      </c>
      <c r="M1449" s="67" t="s">
        <v>61</v>
      </c>
      <c r="N1449" s="213">
        <f>H926+[1]TrialBalance!EJ85</f>
        <v>0</v>
      </c>
      <c r="O1449" s="214"/>
      <c r="P1449" s="26"/>
      <c r="Q1449" s="2"/>
    </row>
    <row r="1450" spans="1:17" ht="5" customHeight="1" x14ac:dyDescent="0.2">
      <c r="A1450" s="47"/>
      <c r="B1450" s="21"/>
      <c r="C1450" s="21"/>
      <c r="D1450" s="21"/>
      <c r="E1450" s="21"/>
      <c r="F1450" s="10"/>
      <c r="G1450" s="10"/>
      <c r="H1450" s="10"/>
      <c r="I1450" s="10"/>
      <c r="J1450" s="180"/>
      <c r="K1450" s="10"/>
      <c r="L1450" s="10"/>
      <c r="M1450" s="10"/>
      <c r="N1450" s="10"/>
      <c r="O1450" s="10"/>
      <c r="P1450" s="28"/>
      <c r="Q1450" s="2"/>
    </row>
    <row r="1451" spans="1:17" ht="5" customHeight="1" x14ac:dyDescent="0.2">
      <c r="A1451" s="49"/>
      <c r="B1451" s="24"/>
      <c r="C1451" s="24"/>
      <c r="D1451" s="24"/>
      <c r="E1451" s="24"/>
      <c r="F1451" s="29"/>
      <c r="G1451" s="29"/>
      <c r="H1451" s="29"/>
      <c r="I1451" s="29"/>
      <c r="J1451" s="183"/>
      <c r="K1451" s="29"/>
      <c r="L1451" s="29"/>
      <c r="M1451" s="29"/>
      <c r="N1451" s="29"/>
      <c r="O1451" s="29"/>
      <c r="P1451" s="30"/>
      <c r="Q1451" s="2"/>
    </row>
    <row r="1452" spans="1:17" ht="15" customHeight="1" x14ac:dyDescent="0.25">
      <c r="A1452" s="61"/>
      <c r="B1452" s="22"/>
      <c r="C1452" s="22"/>
      <c r="D1452" s="22"/>
      <c r="E1452" s="22"/>
      <c r="F1452" s="40"/>
      <c r="G1452" s="40"/>
      <c r="H1452" s="40"/>
      <c r="I1452" s="40"/>
      <c r="J1452" s="176"/>
      <c r="K1452" s="40"/>
      <c r="L1452" s="219" t="s">
        <v>252</v>
      </c>
      <c r="M1452" s="219"/>
      <c r="N1452" s="219"/>
      <c r="O1452" s="219"/>
      <c r="P1452" s="41"/>
      <c r="Q1452" s="2"/>
    </row>
    <row r="1453" spans="1:17" x14ac:dyDescent="0.2">
      <c r="A1453" s="221" t="s">
        <v>640</v>
      </c>
      <c r="B1453" s="222"/>
      <c r="C1453" s="222"/>
      <c r="D1453" s="222"/>
      <c r="E1453" s="222"/>
      <c r="F1453" s="222"/>
      <c r="G1453" s="222"/>
      <c r="H1453" s="222"/>
      <c r="I1453" s="222"/>
      <c r="J1453" s="223"/>
      <c r="K1453" s="40"/>
      <c r="L1453" s="70" t="s">
        <v>634</v>
      </c>
      <c r="M1453" s="67" t="s">
        <v>61</v>
      </c>
      <c r="N1453" s="213"/>
      <c r="O1453" s="214"/>
      <c r="P1453" s="41"/>
      <c r="Q1453" s="2"/>
    </row>
    <row r="1454" spans="1:17" ht="5" customHeight="1" x14ac:dyDescent="0.2">
      <c r="A1454" s="50"/>
      <c r="B1454" s="25"/>
      <c r="C1454" s="25"/>
      <c r="D1454" s="25"/>
      <c r="E1454" s="25"/>
      <c r="F1454" s="31"/>
      <c r="G1454" s="31"/>
      <c r="H1454" s="31"/>
      <c r="I1454" s="31"/>
      <c r="J1454" s="177"/>
      <c r="K1454" s="31"/>
      <c r="L1454" s="31"/>
      <c r="M1454" s="31"/>
      <c r="N1454" s="31"/>
      <c r="O1454" s="31"/>
      <c r="P1454" s="32"/>
      <c r="Q1454" s="2"/>
    </row>
    <row r="1455" spans="1:17" ht="5" customHeight="1" x14ac:dyDescent="0.2">
      <c r="A1455" s="48"/>
      <c r="B1455" s="23"/>
      <c r="C1455" s="23"/>
      <c r="D1455" s="23"/>
      <c r="E1455" s="23"/>
      <c r="F1455" s="33"/>
      <c r="G1455" s="33"/>
      <c r="H1455" s="33"/>
      <c r="I1455" s="33"/>
      <c r="J1455" s="178"/>
      <c r="K1455" s="33"/>
      <c r="L1455" s="33"/>
      <c r="M1455" s="33"/>
      <c r="N1455" s="33"/>
      <c r="O1455" s="33"/>
      <c r="P1455" s="34"/>
      <c r="Q1455" s="2"/>
    </row>
    <row r="1456" spans="1:17" ht="15" customHeight="1" x14ac:dyDescent="0.25">
      <c r="A1456" s="141"/>
      <c r="B1456" s="20"/>
      <c r="C1456" s="20"/>
      <c r="D1456" s="20"/>
      <c r="E1456" s="20"/>
      <c r="F1456" s="27"/>
      <c r="G1456" s="27"/>
      <c r="H1456" s="27"/>
      <c r="I1456" s="27"/>
      <c r="J1456" s="179"/>
      <c r="K1456" s="27"/>
      <c r="L1456" s="216" t="s">
        <v>252</v>
      </c>
      <c r="M1456" s="216"/>
      <c r="N1456" s="216"/>
      <c r="O1456" s="216"/>
      <c r="P1456" s="26"/>
      <c r="Q1456" s="2"/>
    </row>
    <row r="1457" spans="1:17" x14ac:dyDescent="0.2">
      <c r="A1457" s="224" t="s">
        <v>597</v>
      </c>
      <c r="B1457" s="225"/>
      <c r="C1457" s="225"/>
      <c r="D1457" s="225"/>
      <c r="E1457" s="225"/>
      <c r="F1457" s="225"/>
      <c r="G1457" s="225"/>
      <c r="H1457" s="225"/>
      <c r="I1457" s="225"/>
      <c r="J1457" s="226"/>
      <c r="K1457" s="27"/>
      <c r="L1457" s="70" t="s">
        <v>635</v>
      </c>
      <c r="M1457" s="67" t="s">
        <v>61</v>
      </c>
      <c r="N1457" s="213"/>
      <c r="O1457" s="214"/>
      <c r="P1457" s="26"/>
      <c r="Q1457" s="2"/>
    </row>
    <row r="1458" spans="1:17" ht="5" customHeight="1" x14ac:dyDescent="0.2">
      <c r="A1458" s="47"/>
      <c r="B1458" s="21"/>
      <c r="C1458" s="21"/>
      <c r="D1458" s="21"/>
      <c r="E1458" s="21"/>
      <c r="F1458" s="10"/>
      <c r="G1458" s="10"/>
      <c r="H1458" s="10"/>
      <c r="I1458" s="10"/>
      <c r="J1458" s="180"/>
      <c r="K1458" s="10"/>
      <c r="L1458" s="10"/>
      <c r="M1458" s="10"/>
      <c r="N1458" s="10"/>
      <c r="O1458" s="10"/>
      <c r="P1458" s="28"/>
      <c r="Q1458" s="2"/>
    </row>
    <row r="1459" spans="1:17" ht="5" customHeight="1" x14ac:dyDescent="0.2">
      <c r="A1459" s="49"/>
      <c r="B1459" s="24"/>
      <c r="C1459" s="24"/>
      <c r="D1459" s="24"/>
      <c r="E1459" s="24"/>
      <c r="F1459" s="29"/>
      <c r="G1459" s="29"/>
      <c r="H1459" s="29"/>
      <c r="I1459" s="29"/>
      <c r="J1459" s="183"/>
      <c r="K1459" s="29"/>
      <c r="L1459" s="29"/>
      <c r="M1459" s="29"/>
      <c r="N1459" s="29"/>
      <c r="O1459" s="29"/>
      <c r="P1459" s="30"/>
      <c r="Q1459" s="2"/>
    </row>
    <row r="1460" spans="1:17" ht="15" customHeight="1" x14ac:dyDescent="0.25">
      <c r="A1460" s="61"/>
      <c r="B1460" s="22"/>
      <c r="C1460" s="22"/>
      <c r="D1460" s="22"/>
      <c r="E1460" s="22"/>
      <c r="F1460" s="40"/>
      <c r="G1460" s="40"/>
      <c r="H1460" s="40"/>
      <c r="I1460" s="40"/>
      <c r="J1460" s="176"/>
      <c r="K1460" s="40"/>
      <c r="L1460" s="219" t="s">
        <v>252</v>
      </c>
      <c r="M1460" s="219"/>
      <c r="N1460" s="219"/>
      <c r="O1460" s="219"/>
      <c r="P1460" s="41"/>
      <c r="Q1460" s="2"/>
    </row>
    <row r="1461" spans="1:17" x14ac:dyDescent="0.2">
      <c r="A1461" s="221" t="s">
        <v>641</v>
      </c>
      <c r="B1461" s="222"/>
      <c r="C1461" s="222"/>
      <c r="D1461" s="222"/>
      <c r="E1461" s="222"/>
      <c r="F1461" s="222"/>
      <c r="G1461" s="222"/>
      <c r="H1461" s="222"/>
      <c r="I1461" s="222"/>
      <c r="J1461" s="223"/>
      <c r="K1461" s="40"/>
      <c r="L1461" s="70" t="s">
        <v>636</v>
      </c>
      <c r="M1461" s="67" t="s">
        <v>61</v>
      </c>
      <c r="N1461" s="213"/>
      <c r="O1461" s="214"/>
      <c r="P1461" s="41"/>
      <c r="Q1461" s="2"/>
    </row>
    <row r="1462" spans="1:17" ht="5" customHeight="1" x14ac:dyDescent="0.2">
      <c r="A1462" s="50"/>
      <c r="B1462" s="25"/>
      <c r="C1462" s="25"/>
      <c r="D1462" s="25"/>
      <c r="E1462" s="25"/>
      <c r="F1462" s="31"/>
      <c r="G1462" s="31"/>
      <c r="H1462" s="31"/>
      <c r="I1462" s="31"/>
      <c r="J1462" s="177"/>
      <c r="K1462" s="31"/>
      <c r="L1462" s="31"/>
      <c r="M1462" s="31"/>
      <c r="N1462" s="31"/>
      <c r="O1462" s="31"/>
      <c r="P1462" s="32"/>
      <c r="Q1462" s="2"/>
    </row>
    <row r="1463" spans="1:17" ht="5" customHeight="1" x14ac:dyDescent="0.2">
      <c r="A1463" s="49"/>
      <c r="B1463" s="24"/>
      <c r="C1463" s="24"/>
      <c r="D1463" s="24"/>
      <c r="E1463" s="24"/>
      <c r="F1463" s="29"/>
      <c r="G1463" s="29"/>
      <c r="H1463" s="29"/>
      <c r="I1463" s="29"/>
      <c r="J1463" s="183"/>
      <c r="K1463" s="29"/>
      <c r="L1463" s="29"/>
      <c r="M1463" s="29"/>
      <c r="N1463" s="29"/>
      <c r="O1463" s="29"/>
      <c r="P1463" s="30"/>
      <c r="Q1463" s="2"/>
    </row>
    <row r="1464" spans="1:17" x14ac:dyDescent="0.2">
      <c r="A1464" s="221" t="s">
        <v>642</v>
      </c>
      <c r="B1464" s="222"/>
      <c r="C1464" s="222"/>
      <c r="D1464" s="222"/>
      <c r="E1464" s="222"/>
      <c r="F1464" s="222"/>
      <c r="G1464" s="222"/>
      <c r="H1464" s="222"/>
      <c r="I1464" s="222"/>
      <c r="J1464" s="223"/>
      <c r="K1464" s="40"/>
      <c r="L1464" s="70" t="s">
        <v>637</v>
      </c>
      <c r="M1464" s="67" t="s">
        <v>61</v>
      </c>
      <c r="N1464" s="213">
        <f>IF(H929&gt;0,H929,0)</f>
        <v>0</v>
      </c>
      <c r="O1464" s="214"/>
      <c r="P1464" s="41"/>
      <c r="Q1464" s="2"/>
    </row>
    <row r="1465" spans="1:17" ht="5" customHeight="1" x14ac:dyDescent="0.2">
      <c r="A1465" s="50"/>
      <c r="B1465" s="25"/>
      <c r="C1465" s="25"/>
      <c r="D1465" s="25"/>
      <c r="E1465" s="25"/>
      <c r="F1465" s="31"/>
      <c r="G1465" s="31"/>
      <c r="H1465" s="31"/>
      <c r="I1465" s="31"/>
      <c r="J1465" s="177"/>
      <c r="K1465" s="31"/>
      <c r="L1465" s="31"/>
      <c r="M1465" s="31"/>
      <c r="N1465" s="31"/>
      <c r="O1465" s="31"/>
      <c r="P1465" s="32"/>
      <c r="Q1465" s="2"/>
    </row>
    <row r="1466" spans="1:17" ht="5" customHeight="1" x14ac:dyDescent="0.2">
      <c r="A1466" s="48"/>
      <c r="B1466" s="23"/>
      <c r="C1466" s="23"/>
      <c r="D1466" s="23"/>
      <c r="E1466" s="23"/>
      <c r="F1466" s="33"/>
      <c r="G1466" s="33"/>
      <c r="H1466" s="33"/>
      <c r="I1466" s="33"/>
      <c r="J1466" s="178"/>
      <c r="K1466" s="33"/>
      <c r="L1466" s="33"/>
      <c r="M1466" s="33"/>
      <c r="N1466" s="33"/>
      <c r="O1466" s="33"/>
      <c r="P1466" s="34"/>
      <c r="Q1466" s="2"/>
    </row>
    <row r="1467" spans="1:17" ht="15" customHeight="1" x14ac:dyDescent="0.25">
      <c r="A1467" s="141"/>
      <c r="B1467" s="20"/>
      <c r="C1467" s="20"/>
      <c r="D1467" s="20"/>
      <c r="E1467" s="20"/>
      <c r="F1467" s="27"/>
      <c r="G1467" s="27"/>
      <c r="H1467" s="27"/>
      <c r="I1467" s="27"/>
      <c r="J1467" s="179"/>
      <c r="K1467" s="27"/>
      <c r="L1467" s="216" t="s">
        <v>449</v>
      </c>
      <c r="M1467" s="216"/>
      <c r="N1467" s="216"/>
      <c r="O1467" s="216"/>
      <c r="P1467" s="26"/>
      <c r="Q1467" s="2"/>
    </row>
    <row r="1468" spans="1:17" x14ac:dyDescent="0.2">
      <c r="A1468" s="224" t="s">
        <v>643</v>
      </c>
      <c r="B1468" s="225"/>
      <c r="C1468" s="225"/>
      <c r="D1468" s="225"/>
      <c r="E1468" s="225"/>
      <c r="F1468" s="225"/>
      <c r="G1468" s="225"/>
      <c r="H1468" s="225"/>
      <c r="I1468" s="225"/>
      <c r="J1468" s="226"/>
      <c r="K1468" s="27"/>
      <c r="L1468" s="70" t="s">
        <v>638</v>
      </c>
      <c r="M1468" s="67" t="s">
        <v>61</v>
      </c>
      <c r="N1468" s="213"/>
      <c r="O1468" s="214"/>
      <c r="P1468" s="26"/>
      <c r="Q1468" s="2"/>
    </row>
    <row r="1469" spans="1:17" ht="5" customHeight="1" x14ac:dyDescent="0.2">
      <c r="A1469" s="47"/>
      <c r="B1469" s="21"/>
      <c r="C1469" s="21"/>
      <c r="D1469" s="21"/>
      <c r="E1469" s="21"/>
      <c r="F1469" s="10"/>
      <c r="G1469" s="10"/>
      <c r="H1469" s="10"/>
      <c r="I1469" s="10"/>
      <c r="J1469" s="180"/>
      <c r="K1469" s="10"/>
      <c r="L1469" s="10"/>
      <c r="M1469" s="10"/>
      <c r="N1469" s="10"/>
      <c r="O1469" s="10"/>
      <c r="P1469" s="28"/>
      <c r="Q1469" s="2"/>
    </row>
    <row r="1470" spans="1:17" ht="5" customHeight="1" x14ac:dyDescent="0.25">
      <c r="A1470" s="49"/>
      <c r="B1470" s="24"/>
      <c r="C1470" s="24"/>
      <c r="D1470" s="24"/>
      <c r="E1470" s="24"/>
      <c r="F1470" s="29"/>
      <c r="G1470" s="29"/>
      <c r="H1470" s="29"/>
      <c r="I1470" s="29"/>
      <c r="J1470" s="183"/>
      <c r="K1470" s="29"/>
      <c r="L1470" s="219"/>
      <c r="M1470" s="219"/>
      <c r="N1470" s="219"/>
      <c r="O1470" s="219"/>
      <c r="P1470" s="30"/>
      <c r="Q1470" s="2"/>
    </row>
    <row r="1471" spans="1:17" ht="15" customHeight="1" x14ac:dyDescent="0.25">
      <c r="A1471" s="61"/>
      <c r="B1471" s="22"/>
      <c r="C1471" s="22"/>
      <c r="D1471" s="22"/>
      <c r="E1471" s="22"/>
      <c r="F1471" s="40"/>
      <c r="G1471" s="40"/>
      <c r="H1471" s="40"/>
      <c r="I1471" s="40"/>
      <c r="J1471" s="176"/>
      <c r="K1471" s="40"/>
      <c r="L1471" s="219" t="s">
        <v>449</v>
      </c>
      <c r="M1471" s="219"/>
      <c r="N1471" s="219"/>
      <c r="O1471" s="219"/>
      <c r="P1471" s="41"/>
      <c r="Q1471" s="2"/>
    </row>
    <row r="1472" spans="1:17" x14ac:dyDescent="0.2">
      <c r="A1472" s="221" t="s">
        <v>644</v>
      </c>
      <c r="B1472" s="222"/>
      <c r="C1472" s="222"/>
      <c r="D1472" s="222"/>
      <c r="E1472" s="222"/>
      <c r="F1472" s="222"/>
      <c r="G1472" s="222"/>
      <c r="H1472" s="222"/>
      <c r="I1472" s="222"/>
      <c r="J1472" s="223"/>
      <c r="K1472" s="40"/>
      <c r="L1472" s="70" t="s">
        <v>639</v>
      </c>
      <c r="M1472" s="67" t="s">
        <v>61</v>
      </c>
      <c r="N1472" s="213"/>
      <c r="O1472" s="214"/>
      <c r="P1472" s="41"/>
      <c r="Q1472" s="2"/>
    </row>
    <row r="1473" spans="1:17" ht="5" customHeight="1" x14ac:dyDescent="0.2">
      <c r="A1473" s="50"/>
      <c r="B1473" s="25"/>
      <c r="C1473" s="25"/>
      <c r="D1473" s="25"/>
      <c r="E1473" s="25"/>
      <c r="F1473" s="31"/>
      <c r="G1473" s="31"/>
      <c r="H1473" s="31"/>
      <c r="I1473" s="31"/>
      <c r="J1473" s="177"/>
      <c r="K1473" s="31"/>
      <c r="L1473" s="31"/>
      <c r="M1473" s="31"/>
      <c r="N1473" s="31"/>
      <c r="O1473" s="31"/>
      <c r="P1473" s="32"/>
      <c r="Q1473" s="2"/>
    </row>
    <row r="1474" spans="1:17" ht="5" customHeight="1" x14ac:dyDescent="0.2">
      <c r="A1474" s="48"/>
      <c r="B1474" s="23"/>
      <c r="C1474" s="23"/>
      <c r="D1474" s="23"/>
      <c r="E1474" s="23"/>
      <c r="F1474" s="33"/>
      <c r="G1474" s="33"/>
      <c r="H1474" s="33"/>
      <c r="I1474" s="33"/>
      <c r="J1474" s="34"/>
      <c r="K1474" s="33"/>
      <c r="L1474" s="33"/>
      <c r="M1474" s="33"/>
      <c r="N1474" s="33"/>
      <c r="O1474" s="33"/>
      <c r="P1474" s="34"/>
      <c r="Q1474" s="2"/>
    </row>
    <row r="1475" spans="1:17" x14ac:dyDescent="0.2">
      <c r="A1475" s="279" t="s">
        <v>625</v>
      </c>
      <c r="B1475" s="280"/>
      <c r="C1475" s="280"/>
      <c r="D1475" s="280"/>
      <c r="E1475" s="280"/>
      <c r="F1475" s="280"/>
      <c r="G1475" s="280"/>
      <c r="H1475" s="280"/>
      <c r="I1475" s="280"/>
      <c r="J1475" s="26"/>
      <c r="K1475" s="27"/>
      <c r="L1475" s="70" t="s">
        <v>624</v>
      </c>
      <c r="M1475" s="186" t="s">
        <v>61</v>
      </c>
      <c r="N1475" s="242">
        <f>SUM(N1449,N1453,N1457,N1461,N1464,N1468,N1472)</f>
        <v>0</v>
      </c>
      <c r="O1475" s="243"/>
      <c r="P1475" s="26"/>
      <c r="Q1475" s="2"/>
    </row>
    <row r="1476" spans="1:17" ht="5" customHeight="1" x14ac:dyDescent="0.2">
      <c r="A1476" s="47"/>
      <c r="B1476" s="21"/>
      <c r="C1476" s="21"/>
      <c r="D1476" s="21"/>
      <c r="E1476" s="21"/>
      <c r="F1476" s="10"/>
      <c r="G1476" s="10"/>
      <c r="H1476" s="10"/>
      <c r="I1476" s="10"/>
      <c r="J1476" s="28"/>
      <c r="K1476" s="10"/>
      <c r="L1476" s="10"/>
      <c r="M1476" s="10"/>
      <c r="N1476" s="10"/>
      <c r="O1476" s="10"/>
      <c r="P1476" s="28"/>
      <c r="Q1476" s="2"/>
    </row>
    <row r="1477" spans="1:17" x14ac:dyDescent="0.2">
      <c r="Q1477" s="2"/>
    </row>
    <row r="1478" spans="1:17" x14ac:dyDescent="0.2">
      <c r="A1478" s="238" t="s">
        <v>626</v>
      </c>
      <c r="B1478" s="239"/>
      <c r="C1478" s="212"/>
      <c r="D1478" s="212"/>
      <c r="E1478" s="72"/>
      <c r="F1478" s="238"/>
      <c r="G1478" s="238"/>
      <c r="H1478" s="238"/>
      <c r="I1478" s="238"/>
      <c r="J1478" s="238"/>
      <c r="K1478" s="238"/>
      <c r="L1478" s="238"/>
      <c r="M1478" s="238"/>
      <c r="N1478" s="238"/>
      <c r="O1478" s="238"/>
      <c r="P1478" s="238"/>
      <c r="Q1478" s="38"/>
    </row>
    <row r="1479" spans="1:17" ht="5" customHeight="1" x14ac:dyDescent="0.2">
      <c r="A1479" s="140"/>
      <c r="B1479" s="152"/>
      <c r="C1479" s="51"/>
      <c r="D1479" s="51"/>
      <c r="E1479" s="72"/>
      <c r="F1479" s="140"/>
      <c r="G1479" s="140"/>
      <c r="H1479" s="140"/>
      <c r="I1479" s="140"/>
      <c r="J1479" s="140"/>
      <c r="K1479" s="140"/>
      <c r="L1479" s="140"/>
      <c r="M1479" s="140"/>
      <c r="N1479" s="140"/>
      <c r="O1479" s="140"/>
      <c r="P1479" s="140"/>
      <c r="Q1479" s="38"/>
    </row>
    <row r="1480" spans="1:17" ht="26.25" customHeight="1" x14ac:dyDescent="0.2">
      <c r="A1480" s="211" t="s">
        <v>627</v>
      </c>
      <c r="B1480" s="212"/>
      <c r="C1480" s="212"/>
      <c r="D1480" s="212"/>
      <c r="E1480" s="212"/>
      <c r="F1480" s="212"/>
      <c r="G1480" s="212"/>
      <c r="H1480" s="212"/>
      <c r="I1480" s="212"/>
      <c r="J1480" s="212"/>
      <c r="K1480" s="212"/>
      <c r="L1480" s="212"/>
      <c r="M1480" s="212"/>
      <c r="N1480" s="212"/>
      <c r="O1480" s="212"/>
      <c r="P1480" s="37"/>
      <c r="Q1480" s="38"/>
    </row>
    <row r="1481" spans="1:17" x14ac:dyDescent="0.2">
      <c r="A1481" s="140"/>
      <c r="B1481" s="152"/>
      <c r="C1481" s="51"/>
      <c r="D1481" s="51"/>
      <c r="E1481" s="72"/>
      <c r="F1481" s="140"/>
      <c r="G1481" s="140"/>
      <c r="H1481" s="140"/>
      <c r="I1481" s="140"/>
      <c r="J1481" s="140"/>
      <c r="K1481" s="140"/>
      <c r="L1481" s="140"/>
      <c r="M1481" s="140"/>
      <c r="N1481" s="140"/>
      <c r="O1481" s="140"/>
      <c r="P1481" s="140"/>
      <c r="Q1481" s="38"/>
    </row>
    <row r="1482" spans="1:17" ht="5" customHeight="1" x14ac:dyDescent="0.2">
      <c r="A1482" s="48"/>
      <c r="B1482" s="23"/>
      <c r="C1482" s="23"/>
      <c r="D1482" s="23"/>
      <c r="E1482" s="23"/>
      <c r="F1482" s="33"/>
      <c r="G1482" s="33"/>
      <c r="H1482" s="33"/>
      <c r="I1482" s="33"/>
      <c r="J1482" s="178"/>
      <c r="K1482" s="33"/>
      <c r="L1482" s="33"/>
      <c r="M1482" s="33"/>
      <c r="N1482" s="33"/>
      <c r="O1482" s="33"/>
      <c r="P1482" s="34"/>
      <c r="Q1482" s="2"/>
    </row>
    <row r="1483" spans="1:17" ht="15" customHeight="1" x14ac:dyDescent="0.25">
      <c r="A1483" s="141"/>
      <c r="B1483" s="20"/>
      <c r="C1483" s="20"/>
      <c r="D1483" s="20"/>
      <c r="E1483" s="20"/>
      <c r="F1483" s="27"/>
      <c r="G1483" s="27"/>
      <c r="H1483" s="27"/>
      <c r="I1483" s="27"/>
      <c r="J1483" s="179"/>
      <c r="K1483" s="27"/>
      <c r="L1483" s="216" t="s">
        <v>449</v>
      </c>
      <c r="M1483" s="216"/>
      <c r="N1483" s="216"/>
      <c r="O1483" s="216"/>
      <c r="P1483" s="26"/>
      <c r="Q1483" s="2"/>
    </row>
    <row r="1484" spans="1:17" x14ac:dyDescent="0.2">
      <c r="A1484" s="224" t="s">
        <v>645</v>
      </c>
      <c r="B1484" s="225"/>
      <c r="C1484" s="225"/>
      <c r="D1484" s="225"/>
      <c r="E1484" s="225"/>
      <c r="F1484" s="225"/>
      <c r="G1484" s="225"/>
      <c r="H1484" s="225"/>
      <c r="I1484" s="225"/>
      <c r="J1484" s="226"/>
      <c r="K1484" s="27"/>
      <c r="L1484" s="70" t="s">
        <v>648</v>
      </c>
      <c r="M1484" s="67" t="s">
        <v>61</v>
      </c>
      <c r="N1484" s="213"/>
      <c r="O1484" s="214"/>
      <c r="P1484" s="26"/>
      <c r="Q1484" s="2"/>
    </row>
    <row r="1485" spans="1:17" ht="5" customHeight="1" x14ac:dyDescent="0.2">
      <c r="A1485" s="47"/>
      <c r="B1485" s="21"/>
      <c r="C1485" s="21"/>
      <c r="D1485" s="21"/>
      <c r="E1485" s="21"/>
      <c r="F1485" s="10"/>
      <c r="G1485" s="10"/>
      <c r="H1485" s="10"/>
      <c r="I1485" s="10"/>
      <c r="J1485" s="180"/>
      <c r="K1485" s="10"/>
      <c r="L1485" s="10"/>
      <c r="M1485" s="10"/>
      <c r="N1485" s="10"/>
      <c r="O1485" s="10"/>
      <c r="P1485" s="28"/>
      <c r="Q1485" s="2"/>
    </row>
    <row r="1486" spans="1:17" ht="5" customHeight="1" x14ac:dyDescent="0.2">
      <c r="A1486" s="49"/>
      <c r="B1486" s="24"/>
      <c r="C1486" s="24"/>
      <c r="D1486" s="24"/>
      <c r="E1486" s="24"/>
      <c r="F1486" s="29"/>
      <c r="G1486" s="29"/>
      <c r="H1486" s="29"/>
      <c r="I1486" s="29"/>
      <c r="J1486" s="183"/>
      <c r="K1486" s="29"/>
      <c r="L1486" s="29"/>
      <c r="M1486" s="29"/>
      <c r="N1486" s="29"/>
      <c r="O1486" s="29"/>
      <c r="P1486" s="30"/>
      <c r="Q1486" s="2"/>
    </row>
    <row r="1487" spans="1:17" ht="15" customHeight="1" x14ac:dyDescent="0.25">
      <c r="A1487" s="61"/>
      <c r="B1487" s="22"/>
      <c r="C1487" s="22"/>
      <c r="D1487" s="22"/>
      <c r="E1487" s="22"/>
      <c r="F1487" s="40"/>
      <c r="G1487" s="40"/>
      <c r="H1487" s="40"/>
      <c r="I1487" s="40"/>
      <c r="J1487" s="176"/>
      <c r="K1487" s="40"/>
      <c r="L1487" s="219" t="s">
        <v>449</v>
      </c>
      <c r="M1487" s="219"/>
      <c r="N1487" s="219"/>
      <c r="O1487" s="219"/>
      <c r="P1487" s="41"/>
      <c r="Q1487" s="2"/>
    </row>
    <row r="1488" spans="1:17" x14ac:dyDescent="0.2">
      <c r="A1488" s="221" t="s">
        <v>646</v>
      </c>
      <c r="B1488" s="222"/>
      <c r="C1488" s="222"/>
      <c r="D1488" s="222"/>
      <c r="E1488" s="222"/>
      <c r="F1488" s="222"/>
      <c r="G1488" s="222"/>
      <c r="H1488" s="222"/>
      <c r="I1488" s="222"/>
      <c r="J1488" s="223"/>
      <c r="K1488" s="40"/>
      <c r="L1488" s="70" t="s">
        <v>649</v>
      </c>
      <c r="M1488" s="67" t="s">
        <v>61</v>
      </c>
      <c r="N1488" s="213"/>
      <c r="O1488" s="214"/>
      <c r="P1488" s="41"/>
      <c r="Q1488" s="2"/>
    </row>
    <row r="1489" spans="1:17" ht="5" customHeight="1" x14ac:dyDescent="0.2">
      <c r="A1489" s="50"/>
      <c r="B1489" s="25"/>
      <c r="C1489" s="25"/>
      <c r="D1489" s="25"/>
      <c r="E1489" s="25"/>
      <c r="F1489" s="31"/>
      <c r="G1489" s="31"/>
      <c r="H1489" s="31"/>
      <c r="I1489" s="31"/>
      <c r="J1489" s="177"/>
      <c r="K1489" s="31"/>
      <c r="L1489" s="31"/>
      <c r="M1489" s="31"/>
      <c r="N1489" s="31"/>
      <c r="O1489" s="31"/>
      <c r="P1489" s="32"/>
      <c r="Q1489" s="2"/>
    </row>
    <row r="1490" spans="1:17" ht="5" customHeight="1" x14ac:dyDescent="0.2">
      <c r="A1490" s="48"/>
      <c r="B1490" s="23"/>
      <c r="C1490" s="23"/>
      <c r="D1490" s="23"/>
      <c r="E1490" s="23"/>
      <c r="F1490" s="33"/>
      <c r="G1490" s="33"/>
      <c r="H1490" s="33"/>
      <c r="I1490" s="33"/>
      <c r="J1490" s="178"/>
      <c r="K1490" s="33"/>
      <c r="L1490" s="33"/>
      <c r="M1490" s="33"/>
      <c r="N1490" s="33"/>
      <c r="O1490" s="33"/>
      <c r="P1490" s="34"/>
      <c r="Q1490" s="2"/>
    </row>
    <row r="1491" spans="1:17" x14ac:dyDescent="0.2">
      <c r="A1491" s="224" t="s">
        <v>647</v>
      </c>
      <c r="B1491" s="225"/>
      <c r="C1491" s="225"/>
      <c r="D1491" s="225"/>
      <c r="E1491" s="225"/>
      <c r="F1491" s="225"/>
      <c r="G1491" s="225"/>
      <c r="H1491" s="225"/>
      <c r="I1491" s="225"/>
      <c r="J1491" s="226"/>
      <c r="K1491" s="27"/>
      <c r="L1491" s="70" t="s">
        <v>650</v>
      </c>
      <c r="M1491" s="186" t="s">
        <v>61</v>
      </c>
      <c r="N1491" s="242">
        <f>N1422</f>
        <v>0</v>
      </c>
      <c r="O1491" s="243"/>
      <c r="P1491" s="26"/>
      <c r="Q1491" s="2"/>
    </row>
    <row r="1492" spans="1:17" ht="5" customHeight="1" x14ac:dyDescent="0.2">
      <c r="A1492" s="47"/>
      <c r="B1492" s="21"/>
      <c r="C1492" s="21"/>
      <c r="D1492" s="21"/>
      <c r="E1492" s="21"/>
      <c r="F1492" s="10"/>
      <c r="G1492" s="10"/>
      <c r="H1492" s="10"/>
      <c r="I1492" s="10"/>
      <c r="J1492" s="180"/>
      <c r="K1492" s="10"/>
      <c r="L1492" s="10"/>
      <c r="M1492" s="10"/>
      <c r="N1492" s="10"/>
      <c r="O1492" s="10"/>
      <c r="P1492" s="28"/>
      <c r="Q1492" s="2"/>
    </row>
    <row r="1493" spans="1:17" ht="5" customHeight="1" x14ac:dyDescent="0.2">
      <c r="A1493" s="49"/>
      <c r="B1493" s="24"/>
      <c r="C1493" s="24"/>
      <c r="D1493" s="24"/>
      <c r="E1493" s="24"/>
      <c r="F1493" s="29"/>
      <c r="G1493" s="29"/>
      <c r="H1493" s="29"/>
      <c r="I1493" s="29"/>
      <c r="J1493" s="183"/>
      <c r="K1493" s="29"/>
      <c r="L1493" s="29"/>
      <c r="M1493" s="29"/>
      <c r="N1493" s="29"/>
      <c r="O1493" s="29"/>
      <c r="P1493" s="30"/>
      <c r="Q1493" s="2"/>
    </row>
    <row r="1494" spans="1:17" x14ac:dyDescent="0.2">
      <c r="A1494" s="221" t="s">
        <v>628</v>
      </c>
      <c r="B1494" s="222"/>
      <c r="C1494" s="222"/>
      <c r="D1494" s="222"/>
      <c r="E1494" s="222"/>
      <c r="F1494" s="222"/>
      <c r="G1494" s="222"/>
      <c r="H1494" s="222"/>
      <c r="I1494" s="222"/>
      <c r="J1494" s="223"/>
      <c r="K1494" s="40"/>
      <c r="L1494" s="70" t="s">
        <v>632</v>
      </c>
      <c r="M1494" s="107" t="s">
        <v>61</v>
      </c>
      <c r="N1494" s="240">
        <f>SUM(N1484,N1488,N1491)</f>
        <v>0</v>
      </c>
      <c r="O1494" s="241"/>
      <c r="P1494" s="41"/>
      <c r="Q1494" s="2"/>
    </row>
    <row r="1495" spans="1:17" ht="5" customHeight="1" x14ac:dyDescent="0.2">
      <c r="A1495" s="50"/>
      <c r="B1495" s="25"/>
      <c r="C1495" s="25"/>
      <c r="D1495" s="25"/>
      <c r="E1495" s="25"/>
      <c r="F1495" s="31"/>
      <c r="G1495" s="31"/>
      <c r="H1495" s="31"/>
      <c r="I1495" s="31"/>
      <c r="J1495" s="177"/>
      <c r="K1495" s="31"/>
      <c r="L1495" s="31"/>
      <c r="M1495" s="31"/>
      <c r="N1495" s="31"/>
      <c r="O1495" s="31"/>
      <c r="P1495" s="32"/>
      <c r="Q1495" s="2"/>
    </row>
    <row r="1496" spans="1:17" x14ac:dyDescent="0.2">
      <c r="Q1496" s="2"/>
    </row>
    <row r="1497" spans="1:17" x14ac:dyDescent="0.2">
      <c r="A1497" s="238" t="s">
        <v>629</v>
      </c>
      <c r="B1497" s="239"/>
      <c r="C1497" s="212"/>
      <c r="D1497" s="212"/>
      <c r="E1497" s="72"/>
      <c r="F1497" s="238"/>
      <c r="G1497" s="238"/>
      <c r="H1497" s="238"/>
      <c r="I1497" s="238"/>
      <c r="J1497" s="238"/>
      <c r="K1497" s="238"/>
      <c r="L1497" s="238"/>
      <c r="M1497" s="238"/>
      <c r="N1497" s="238"/>
      <c r="O1497" s="238"/>
      <c r="P1497" s="238"/>
      <c r="Q1497" s="38"/>
    </row>
    <row r="1498" spans="1:17" ht="5" customHeight="1" x14ac:dyDescent="0.2">
      <c r="A1498" s="140"/>
      <c r="B1498" s="152"/>
      <c r="C1498" s="51"/>
      <c r="D1498" s="51"/>
      <c r="E1498" s="72"/>
      <c r="F1498" s="140"/>
      <c r="G1498" s="140"/>
      <c r="H1498" s="140"/>
      <c r="I1498" s="140"/>
      <c r="J1498" s="140"/>
      <c r="K1498" s="140"/>
      <c r="L1498" s="140"/>
      <c r="M1498" s="140"/>
      <c r="N1498" s="140"/>
      <c r="O1498" s="140"/>
      <c r="P1498" s="140"/>
      <c r="Q1498" s="38"/>
    </row>
    <row r="1499" spans="1:17" ht="5" customHeight="1" x14ac:dyDescent="0.2">
      <c r="A1499" s="48"/>
      <c r="B1499" s="23"/>
      <c r="C1499" s="23"/>
      <c r="D1499" s="23"/>
      <c r="E1499" s="23"/>
      <c r="F1499" s="33"/>
      <c r="G1499" s="33"/>
      <c r="H1499" s="33"/>
      <c r="I1499" s="33"/>
      <c r="J1499" s="34"/>
      <c r="K1499" s="33"/>
      <c r="L1499" s="33"/>
      <c r="M1499" s="33"/>
      <c r="N1499" s="33"/>
      <c r="O1499" s="33"/>
      <c r="P1499" s="34"/>
      <c r="Q1499" s="2"/>
    </row>
    <row r="1500" spans="1:17" x14ac:dyDescent="0.2">
      <c r="A1500" s="279" t="s">
        <v>630</v>
      </c>
      <c r="B1500" s="280"/>
      <c r="C1500" s="280"/>
      <c r="D1500" s="280"/>
      <c r="E1500" s="280"/>
      <c r="F1500" s="280"/>
      <c r="G1500" s="280"/>
      <c r="H1500" s="280"/>
      <c r="I1500" s="280"/>
      <c r="J1500" s="26"/>
      <c r="K1500" s="27"/>
      <c r="L1500" s="70" t="s">
        <v>631</v>
      </c>
      <c r="M1500" s="186" t="s">
        <v>61</v>
      </c>
      <c r="N1500" s="242">
        <f>N1441+N1475-N1494</f>
        <v>0</v>
      </c>
      <c r="O1500" s="243"/>
      <c r="P1500" s="26"/>
      <c r="Q1500" s="2"/>
    </row>
    <row r="1501" spans="1:17" ht="5" customHeight="1" x14ac:dyDescent="0.2">
      <c r="A1501" s="47"/>
      <c r="B1501" s="21"/>
      <c r="C1501" s="21"/>
      <c r="D1501" s="21"/>
      <c r="E1501" s="21"/>
      <c r="F1501" s="10"/>
      <c r="G1501" s="10"/>
      <c r="H1501" s="10"/>
      <c r="I1501" s="10"/>
      <c r="J1501" s="28"/>
      <c r="K1501" s="10"/>
      <c r="L1501" s="10"/>
      <c r="M1501" s="10"/>
      <c r="N1501" s="10"/>
      <c r="O1501" s="10"/>
      <c r="P1501" s="28"/>
      <c r="Q1501" s="2"/>
    </row>
    <row r="1502" spans="1:17" x14ac:dyDescent="0.2">
      <c r="Q1502" s="2"/>
    </row>
    <row r="1504" spans="1:17" ht="16" x14ac:dyDescent="0.2">
      <c r="A1504" s="231" t="s">
        <v>651</v>
      </c>
      <c r="B1504" s="232"/>
      <c r="C1504" s="232"/>
      <c r="D1504" s="232"/>
      <c r="F1504" s="233" t="s">
        <v>12</v>
      </c>
      <c r="G1504" s="233"/>
      <c r="H1504" s="233"/>
      <c r="I1504" s="233"/>
      <c r="J1504" s="233"/>
      <c r="K1504" s="233"/>
      <c r="L1504" s="233"/>
      <c r="M1504" s="233"/>
      <c r="N1504" s="233"/>
      <c r="O1504" s="233"/>
      <c r="P1504" s="233"/>
      <c r="Q1504" s="233"/>
    </row>
    <row r="1505" spans="1:256" ht="5" customHeight="1" x14ac:dyDescent="0.2">
      <c r="A1505" s="1"/>
      <c r="B1505" s="1"/>
      <c r="C1505" s="1"/>
      <c r="D1505" s="1"/>
      <c r="E1505" s="1"/>
      <c r="F1505" s="1"/>
      <c r="G1505" s="1"/>
      <c r="H1505" s="1"/>
      <c r="I1505" s="1"/>
      <c r="J1505" s="1"/>
      <c r="K1505" s="1"/>
      <c r="L1505" s="1"/>
      <c r="M1505" s="1"/>
      <c r="N1505" s="1"/>
      <c r="O1505" s="1"/>
      <c r="P1505" s="1"/>
      <c r="Q1505" s="1"/>
    </row>
    <row r="1506" spans="1:256" x14ac:dyDescent="0.2">
      <c r="A1506" s="272"/>
      <c r="B1506" s="273"/>
      <c r="C1506" s="273"/>
      <c r="D1506" s="273"/>
      <c r="E1506" s="273"/>
      <c r="F1506" s="273"/>
      <c r="G1506" s="273"/>
      <c r="H1506" s="273"/>
      <c r="I1506" s="273"/>
      <c r="J1506" s="273"/>
      <c r="K1506" s="273"/>
      <c r="L1506" s="273"/>
      <c r="M1506" s="273"/>
      <c r="N1506" s="273"/>
      <c r="O1506" s="273"/>
      <c r="P1506" s="273"/>
      <c r="Q1506" s="274"/>
    </row>
    <row r="1507" spans="1:256" ht="36.75" customHeight="1" x14ac:dyDescent="0.2">
      <c r="A1507" s="326" t="s">
        <v>652</v>
      </c>
      <c r="B1507" s="212"/>
      <c r="C1507" s="212"/>
      <c r="D1507" s="212"/>
      <c r="E1507" s="212"/>
      <c r="F1507" s="212"/>
      <c r="G1507" s="212"/>
      <c r="H1507" s="212"/>
      <c r="I1507" s="212"/>
      <c r="J1507" s="212"/>
      <c r="K1507" s="212"/>
      <c r="L1507" s="212"/>
      <c r="M1507" s="212"/>
      <c r="N1507" s="212"/>
      <c r="O1507" s="212"/>
      <c r="P1507" s="37"/>
      <c r="Q1507" s="38"/>
    </row>
    <row r="1508" spans="1:256" x14ac:dyDescent="0.2">
      <c r="Q1508" s="38"/>
    </row>
    <row r="1509" spans="1:256" ht="27.75" customHeight="1" x14ac:dyDescent="0.2">
      <c r="A1509" s="266" t="s">
        <v>653</v>
      </c>
      <c r="B1509" s="266"/>
      <c r="C1509" s="266"/>
      <c r="D1509" s="266"/>
      <c r="E1509" s="266"/>
      <c r="F1509" s="266"/>
      <c r="G1509" s="266"/>
      <c r="H1509" s="266"/>
      <c r="I1509" s="266"/>
      <c r="J1509" s="58" t="s">
        <v>31</v>
      </c>
      <c r="K1509" s="59"/>
      <c r="L1509" s="60" t="s">
        <v>32</v>
      </c>
      <c r="M1509" s="59" t="s">
        <v>29</v>
      </c>
      <c r="N1509" s="59"/>
      <c r="O1509" s="59" t="s">
        <v>30</v>
      </c>
      <c r="Q1509" s="38"/>
    </row>
    <row r="1510" spans="1:256" ht="5" customHeight="1" x14ac:dyDescent="0.2">
      <c r="Q1510" s="38"/>
    </row>
    <row r="1511" spans="1:256" ht="45.75" customHeight="1" x14ac:dyDescent="0.25">
      <c r="A1511" s="219" t="s">
        <v>980</v>
      </c>
      <c r="B1511" s="345"/>
      <c r="C1511" s="345"/>
      <c r="D1511" s="345"/>
      <c r="E1511" s="345"/>
      <c r="F1511" s="345"/>
      <c r="G1511" s="345"/>
      <c r="H1511" s="345"/>
      <c r="I1511" s="345"/>
      <c r="J1511" s="345"/>
      <c r="K1511" s="345"/>
      <c r="L1511" s="345"/>
      <c r="M1511" s="345"/>
      <c r="N1511" s="345"/>
      <c r="O1511" s="345"/>
      <c r="P1511" s="345"/>
      <c r="Q1511" s="38"/>
    </row>
    <row r="1512" spans="1:256" ht="29.25" customHeight="1" x14ac:dyDescent="0.2">
      <c r="A1512" s="266" t="s">
        <v>654</v>
      </c>
      <c r="B1512" s="266"/>
      <c r="C1512" s="266"/>
      <c r="D1512" s="266"/>
      <c r="E1512" s="266"/>
      <c r="F1512" s="266"/>
      <c r="G1512" s="266"/>
      <c r="H1512" s="266"/>
      <c r="I1512" s="266"/>
      <c r="J1512" s="58" t="s">
        <v>31</v>
      </c>
      <c r="K1512" s="59"/>
      <c r="L1512" s="263" t="s">
        <v>29</v>
      </c>
      <c r="M1512" s="264"/>
      <c r="N1512" s="60" t="s">
        <v>32</v>
      </c>
      <c r="O1512" s="59" t="s">
        <v>30</v>
      </c>
      <c r="Q1512" s="38"/>
    </row>
    <row r="1513" spans="1:256" x14ac:dyDescent="0.2">
      <c r="Q1513" s="38"/>
    </row>
    <row r="1514" spans="1:256" ht="5" customHeight="1" x14ac:dyDescent="0.2">
      <c r="A1514" s="1"/>
      <c r="B1514" s="1"/>
      <c r="C1514" s="1"/>
      <c r="D1514" s="1"/>
      <c r="E1514" s="1"/>
      <c r="F1514" s="1"/>
      <c r="G1514" s="1"/>
      <c r="H1514" s="1"/>
      <c r="I1514" s="1"/>
      <c r="J1514" s="1"/>
      <c r="K1514" s="1"/>
      <c r="L1514" s="1"/>
      <c r="M1514" s="1"/>
      <c r="N1514" s="1"/>
      <c r="O1514" s="1"/>
      <c r="P1514" s="1"/>
      <c r="Q1514" s="1"/>
    </row>
    <row r="1515" spans="1:256" x14ac:dyDescent="0.2">
      <c r="A1515" s="234" t="s">
        <v>655</v>
      </c>
      <c r="B1515" s="235"/>
      <c r="C1515" s="235"/>
      <c r="D1515" s="235"/>
      <c r="E1515" s="236"/>
      <c r="F1515" s="236"/>
      <c r="G1515" s="236"/>
      <c r="H1515" s="236"/>
      <c r="I1515" s="236"/>
      <c r="J1515" s="236"/>
      <c r="K1515" s="236"/>
      <c r="L1515" s="236"/>
      <c r="M1515" s="236"/>
      <c r="N1515" s="236"/>
      <c r="O1515" s="236"/>
      <c r="P1515" s="236"/>
      <c r="Q1515" s="237"/>
    </row>
    <row r="1516" spans="1:256" ht="5" customHeight="1" x14ac:dyDescent="0.2">
      <c r="A1516" s="194"/>
      <c r="B1516" s="194"/>
      <c r="C1516" s="194"/>
      <c r="D1516" s="194"/>
      <c r="E1516" s="194"/>
      <c r="F1516" s="194"/>
      <c r="G1516" s="194"/>
      <c r="H1516" s="194"/>
      <c r="I1516" s="37"/>
      <c r="J1516" s="37"/>
      <c r="K1516" s="37"/>
      <c r="L1516" s="37"/>
      <c r="M1516" s="37"/>
      <c r="N1516" s="37"/>
      <c r="O1516" s="37"/>
      <c r="P1516" s="37"/>
      <c r="Q1516" s="38"/>
    </row>
    <row r="1517" spans="1:256" ht="39" customHeight="1" x14ac:dyDescent="0.2">
      <c r="A1517" s="211" t="s">
        <v>656</v>
      </c>
      <c r="B1517" s="212"/>
      <c r="C1517" s="212"/>
      <c r="D1517" s="212"/>
      <c r="E1517" s="212"/>
      <c r="F1517" s="212"/>
      <c r="G1517" s="212"/>
      <c r="H1517" s="212"/>
      <c r="I1517" s="212"/>
      <c r="J1517" s="212"/>
      <c r="K1517" s="212"/>
      <c r="L1517" s="212"/>
      <c r="M1517" s="212"/>
      <c r="N1517" s="212"/>
      <c r="O1517" s="212"/>
      <c r="P1517" s="212"/>
      <c r="Q1517" s="38"/>
      <c r="R1517" s="51"/>
      <c r="S1517" s="51"/>
      <c r="T1517" s="51"/>
      <c r="U1517" s="51"/>
      <c r="V1517" s="51"/>
      <c r="W1517" s="51"/>
      <c r="X1517" s="51"/>
      <c r="Y1517" s="51"/>
      <c r="Z1517" s="51"/>
      <c r="AA1517" s="51"/>
      <c r="AB1517" s="51"/>
      <c r="AC1517" s="51"/>
      <c r="AD1517" s="51"/>
      <c r="AE1517" s="51"/>
      <c r="AF1517" s="51"/>
      <c r="AG1517" s="211"/>
      <c r="AH1517" s="212"/>
      <c r="AI1517" s="212"/>
      <c r="AJ1517" s="212"/>
      <c r="AK1517" s="212"/>
      <c r="AL1517" s="212"/>
      <c r="AM1517" s="212"/>
      <c r="AN1517" s="212"/>
      <c r="AO1517" s="212"/>
      <c r="AP1517" s="212"/>
      <c r="AQ1517" s="212"/>
      <c r="AR1517" s="212"/>
      <c r="AS1517" s="212"/>
      <c r="AT1517" s="212"/>
      <c r="AU1517" s="212"/>
      <c r="AV1517" s="212"/>
      <c r="AW1517" s="211"/>
      <c r="AX1517" s="212"/>
      <c r="AY1517" s="212"/>
      <c r="AZ1517" s="212"/>
      <c r="BA1517" s="212"/>
      <c r="BB1517" s="212"/>
      <c r="BC1517" s="212"/>
      <c r="BD1517" s="212"/>
      <c r="BE1517" s="212"/>
      <c r="BF1517" s="212"/>
      <c r="BG1517" s="212"/>
      <c r="BH1517" s="212"/>
      <c r="BI1517" s="212"/>
      <c r="BJ1517" s="212"/>
      <c r="BK1517" s="212"/>
      <c r="BL1517" s="212"/>
      <c r="BM1517" s="211"/>
      <c r="BN1517" s="212"/>
      <c r="BO1517" s="212"/>
      <c r="BP1517" s="212"/>
      <c r="BQ1517" s="212"/>
      <c r="BR1517" s="212"/>
      <c r="BS1517" s="212"/>
      <c r="BT1517" s="212"/>
      <c r="BU1517" s="212"/>
      <c r="BV1517" s="212"/>
      <c r="BW1517" s="212"/>
      <c r="BX1517" s="212"/>
      <c r="BY1517" s="212"/>
      <c r="BZ1517" s="212"/>
      <c r="CA1517" s="212"/>
      <c r="CB1517" s="212"/>
      <c r="CC1517" s="211"/>
      <c r="CD1517" s="212"/>
      <c r="CE1517" s="212"/>
      <c r="CF1517" s="212"/>
      <c r="CG1517" s="212"/>
      <c r="CH1517" s="212"/>
      <c r="CI1517" s="212"/>
      <c r="CJ1517" s="212"/>
      <c r="CK1517" s="212"/>
      <c r="CL1517" s="212"/>
      <c r="CM1517" s="212"/>
      <c r="CN1517" s="212"/>
      <c r="CO1517" s="212"/>
      <c r="CP1517" s="212"/>
      <c r="CQ1517" s="212"/>
      <c r="CR1517" s="212"/>
      <c r="CS1517" s="211"/>
      <c r="CT1517" s="212"/>
      <c r="CU1517" s="212"/>
      <c r="CV1517" s="212"/>
      <c r="CW1517" s="212"/>
      <c r="CX1517" s="212"/>
      <c r="CY1517" s="212"/>
      <c r="CZ1517" s="212"/>
      <c r="DA1517" s="212"/>
      <c r="DB1517" s="212"/>
      <c r="DC1517" s="212"/>
      <c r="DD1517" s="212"/>
      <c r="DE1517" s="212"/>
      <c r="DF1517" s="212"/>
      <c r="DG1517" s="212"/>
      <c r="DH1517" s="212"/>
      <c r="DI1517" s="211"/>
      <c r="DJ1517" s="212"/>
      <c r="DK1517" s="212"/>
      <c r="DL1517" s="212"/>
      <c r="DM1517" s="212"/>
      <c r="DN1517" s="212"/>
      <c r="DO1517" s="212"/>
      <c r="DP1517" s="212"/>
      <c r="DQ1517" s="212"/>
      <c r="DR1517" s="212"/>
      <c r="DS1517" s="212"/>
      <c r="DT1517" s="212"/>
      <c r="DU1517" s="212"/>
      <c r="DV1517" s="212"/>
      <c r="DW1517" s="212"/>
      <c r="DX1517" s="212"/>
      <c r="DY1517" s="211"/>
      <c r="DZ1517" s="212"/>
      <c r="EA1517" s="212"/>
      <c r="EB1517" s="212"/>
      <c r="EC1517" s="212"/>
      <c r="ED1517" s="212"/>
      <c r="EE1517" s="212"/>
      <c r="EF1517" s="212"/>
      <c r="EG1517" s="212"/>
      <c r="EH1517" s="212"/>
      <c r="EI1517" s="212"/>
      <c r="EJ1517" s="212"/>
      <c r="EK1517" s="212"/>
      <c r="EL1517" s="212"/>
      <c r="EM1517" s="212"/>
      <c r="EN1517" s="212"/>
      <c r="EO1517" s="211"/>
      <c r="EP1517" s="212"/>
      <c r="EQ1517" s="212"/>
      <c r="ER1517" s="212"/>
      <c r="ES1517" s="212"/>
      <c r="ET1517" s="212"/>
      <c r="EU1517" s="212"/>
      <c r="EV1517" s="212"/>
      <c r="EW1517" s="212"/>
      <c r="EX1517" s="212"/>
      <c r="EY1517" s="212"/>
      <c r="EZ1517" s="212"/>
      <c r="FA1517" s="212"/>
      <c r="FB1517" s="212"/>
      <c r="FC1517" s="212"/>
      <c r="FD1517" s="212"/>
      <c r="FE1517" s="211"/>
      <c r="FF1517" s="212"/>
      <c r="FG1517" s="212"/>
      <c r="FH1517" s="212"/>
      <c r="FI1517" s="212"/>
      <c r="FJ1517" s="212"/>
      <c r="FK1517" s="212"/>
      <c r="FL1517" s="212"/>
      <c r="FM1517" s="212"/>
      <c r="FN1517" s="212"/>
      <c r="FO1517" s="212"/>
      <c r="FP1517" s="212"/>
      <c r="FQ1517" s="212"/>
      <c r="FR1517" s="212"/>
      <c r="FS1517" s="212"/>
      <c r="FT1517" s="212"/>
      <c r="FU1517" s="211"/>
      <c r="FV1517" s="212"/>
      <c r="FW1517" s="212"/>
      <c r="FX1517" s="212"/>
      <c r="FY1517" s="212"/>
      <c r="FZ1517" s="212"/>
      <c r="GA1517" s="212"/>
      <c r="GB1517" s="212"/>
      <c r="GC1517" s="212"/>
      <c r="GD1517" s="212"/>
      <c r="GE1517" s="212"/>
      <c r="GF1517" s="212"/>
      <c r="GG1517" s="212"/>
      <c r="GH1517" s="212"/>
      <c r="GI1517" s="212"/>
      <c r="GJ1517" s="212"/>
      <c r="GK1517" s="211"/>
      <c r="GL1517" s="212"/>
      <c r="GM1517" s="212"/>
      <c r="GN1517" s="212"/>
      <c r="GO1517" s="212"/>
      <c r="GP1517" s="212"/>
      <c r="GQ1517" s="212"/>
      <c r="GR1517" s="212"/>
      <c r="GS1517" s="212"/>
      <c r="GT1517" s="212"/>
      <c r="GU1517" s="212"/>
      <c r="GV1517" s="212"/>
      <c r="GW1517" s="212"/>
      <c r="GX1517" s="212"/>
      <c r="GY1517" s="212"/>
      <c r="GZ1517" s="212"/>
      <c r="HA1517" s="211"/>
      <c r="HB1517" s="212"/>
      <c r="HC1517" s="212"/>
      <c r="HD1517" s="212"/>
      <c r="HE1517" s="212"/>
      <c r="HF1517" s="212"/>
      <c r="HG1517" s="212"/>
      <c r="HH1517" s="212"/>
      <c r="HI1517" s="212"/>
      <c r="HJ1517" s="212"/>
      <c r="HK1517" s="212"/>
      <c r="HL1517" s="212"/>
      <c r="HM1517" s="212"/>
      <c r="HN1517" s="212"/>
      <c r="HO1517" s="212"/>
      <c r="HP1517" s="212"/>
      <c r="HQ1517" s="211"/>
      <c r="HR1517" s="212"/>
      <c r="HS1517" s="212"/>
      <c r="HT1517" s="212"/>
      <c r="HU1517" s="212"/>
      <c r="HV1517" s="212"/>
      <c r="HW1517" s="212"/>
      <c r="HX1517" s="212"/>
      <c r="HY1517" s="212"/>
      <c r="HZ1517" s="212"/>
      <c r="IA1517" s="212"/>
      <c r="IB1517" s="212"/>
      <c r="IC1517" s="212"/>
      <c r="ID1517" s="212"/>
      <c r="IE1517" s="212"/>
      <c r="IF1517" s="212"/>
      <c r="IG1517" s="211"/>
      <c r="IH1517" s="212"/>
      <c r="II1517" s="212"/>
      <c r="IJ1517" s="212"/>
      <c r="IK1517" s="212"/>
      <c r="IL1517" s="212"/>
      <c r="IM1517" s="212"/>
      <c r="IN1517" s="212"/>
      <c r="IO1517" s="212"/>
      <c r="IP1517" s="212"/>
      <c r="IQ1517" s="212"/>
      <c r="IR1517" s="212"/>
      <c r="IS1517" s="212"/>
      <c r="IT1517" s="212"/>
      <c r="IU1517" s="212"/>
      <c r="IV1517" s="212"/>
    </row>
    <row r="1518" spans="1:256" ht="5" customHeight="1" x14ac:dyDescent="0.2">
      <c r="A1518" s="95"/>
      <c r="B1518" s="51"/>
      <c r="C1518" s="51"/>
      <c r="D1518" s="51"/>
      <c r="E1518" s="51"/>
      <c r="F1518" s="51"/>
      <c r="G1518" s="51"/>
      <c r="H1518" s="51"/>
      <c r="I1518" s="51"/>
      <c r="J1518" s="51"/>
      <c r="K1518" s="51"/>
      <c r="L1518" s="51"/>
      <c r="M1518" s="51"/>
      <c r="N1518" s="51"/>
      <c r="O1518" s="51"/>
      <c r="P1518" s="51"/>
      <c r="Q1518" s="38"/>
      <c r="R1518" s="51"/>
      <c r="S1518" s="51"/>
      <c r="T1518" s="51"/>
      <c r="U1518" s="51"/>
      <c r="V1518" s="51"/>
      <c r="W1518" s="51"/>
      <c r="X1518" s="51"/>
      <c r="Y1518" s="51"/>
      <c r="Z1518" s="51"/>
      <c r="AA1518" s="51"/>
      <c r="AB1518" s="51"/>
      <c r="AC1518" s="51"/>
      <c r="AD1518" s="51"/>
      <c r="AE1518" s="51"/>
      <c r="AF1518" s="51"/>
      <c r="AG1518" s="95"/>
      <c r="AH1518" s="51"/>
      <c r="AI1518" s="51"/>
      <c r="AJ1518" s="51"/>
      <c r="AK1518" s="51"/>
      <c r="AL1518" s="51"/>
      <c r="AM1518" s="51"/>
      <c r="AN1518" s="51"/>
      <c r="AO1518" s="51"/>
      <c r="AP1518" s="51"/>
      <c r="AQ1518" s="51"/>
      <c r="AR1518" s="51"/>
      <c r="AS1518" s="51"/>
      <c r="AT1518" s="51"/>
      <c r="AU1518" s="51"/>
      <c r="AV1518" s="51"/>
      <c r="AW1518" s="95"/>
      <c r="AX1518" s="51"/>
      <c r="AY1518" s="51"/>
      <c r="AZ1518" s="51"/>
      <c r="BA1518" s="51"/>
      <c r="BB1518" s="51"/>
      <c r="BC1518" s="51"/>
      <c r="BD1518" s="51"/>
      <c r="BE1518" s="51"/>
      <c r="BF1518" s="51"/>
      <c r="BG1518" s="51"/>
      <c r="BH1518" s="51"/>
      <c r="BI1518" s="51"/>
      <c r="BJ1518" s="51"/>
      <c r="BK1518" s="51"/>
      <c r="BL1518" s="51"/>
      <c r="BM1518" s="95"/>
      <c r="BN1518" s="51"/>
      <c r="BO1518" s="51"/>
      <c r="BP1518" s="51"/>
      <c r="BQ1518" s="51"/>
      <c r="BR1518" s="51"/>
      <c r="BS1518" s="51"/>
      <c r="BT1518" s="51"/>
      <c r="BU1518" s="51"/>
      <c r="BV1518" s="51"/>
      <c r="BW1518" s="51"/>
      <c r="BX1518" s="51"/>
      <c r="BY1518" s="51"/>
      <c r="BZ1518" s="51"/>
      <c r="CA1518" s="51"/>
      <c r="CB1518" s="51"/>
      <c r="CC1518" s="95"/>
      <c r="CD1518" s="51"/>
      <c r="CE1518" s="51"/>
      <c r="CF1518" s="51"/>
      <c r="CG1518" s="51"/>
      <c r="CH1518" s="51"/>
      <c r="CI1518" s="51"/>
      <c r="CJ1518" s="51"/>
      <c r="CK1518" s="51"/>
      <c r="CL1518" s="51"/>
      <c r="CM1518" s="51"/>
      <c r="CN1518" s="51"/>
      <c r="CO1518" s="51"/>
      <c r="CP1518" s="51"/>
      <c r="CQ1518" s="51"/>
      <c r="CR1518" s="51"/>
      <c r="CS1518" s="95"/>
      <c r="CT1518" s="51"/>
      <c r="CU1518" s="51"/>
      <c r="CV1518" s="51"/>
      <c r="CW1518" s="51"/>
      <c r="CX1518" s="51"/>
      <c r="CY1518" s="51"/>
      <c r="CZ1518" s="51"/>
      <c r="DA1518" s="51"/>
      <c r="DB1518" s="51"/>
      <c r="DC1518" s="51"/>
      <c r="DD1518" s="51"/>
      <c r="DE1518" s="51"/>
      <c r="DF1518" s="51"/>
      <c r="DG1518" s="51"/>
      <c r="DH1518" s="51"/>
      <c r="DI1518" s="95"/>
      <c r="DJ1518" s="51"/>
      <c r="DK1518" s="51"/>
      <c r="DL1518" s="51"/>
      <c r="DM1518" s="51"/>
      <c r="DN1518" s="51"/>
      <c r="DO1518" s="51"/>
      <c r="DP1518" s="51"/>
      <c r="DQ1518" s="51"/>
      <c r="DR1518" s="51"/>
      <c r="DS1518" s="51"/>
      <c r="DT1518" s="51"/>
      <c r="DU1518" s="51"/>
      <c r="DV1518" s="51"/>
      <c r="DW1518" s="51"/>
      <c r="DX1518" s="51"/>
      <c r="DY1518" s="95"/>
      <c r="DZ1518" s="51"/>
      <c r="EA1518" s="51"/>
      <c r="EB1518" s="51"/>
      <c r="EC1518" s="51"/>
      <c r="ED1518" s="51"/>
      <c r="EE1518" s="51"/>
      <c r="EF1518" s="51"/>
      <c r="EG1518" s="51"/>
      <c r="EH1518" s="51"/>
      <c r="EI1518" s="51"/>
      <c r="EJ1518" s="51"/>
      <c r="EK1518" s="51"/>
      <c r="EL1518" s="51"/>
      <c r="EM1518" s="51"/>
      <c r="EN1518" s="51"/>
      <c r="EO1518" s="95"/>
      <c r="EP1518" s="51"/>
      <c r="EQ1518" s="51"/>
      <c r="ER1518" s="51"/>
      <c r="ES1518" s="51"/>
      <c r="ET1518" s="51"/>
      <c r="EU1518" s="51"/>
      <c r="EV1518" s="51"/>
      <c r="EW1518" s="51"/>
      <c r="EX1518" s="51"/>
      <c r="EY1518" s="51"/>
      <c r="EZ1518" s="51"/>
      <c r="FA1518" s="51"/>
      <c r="FB1518" s="51"/>
      <c r="FC1518" s="51"/>
      <c r="FD1518" s="51"/>
      <c r="FE1518" s="95"/>
      <c r="FF1518" s="51"/>
      <c r="FG1518" s="51"/>
      <c r="FH1518" s="51"/>
      <c r="FI1518" s="51"/>
      <c r="FJ1518" s="51"/>
      <c r="FK1518" s="51"/>
      <c r="FL1518" s="51"/>
      <c r="FM1518" s="51"/>
      <c r="FN1518" s="51"/>
      <c r="FO1518" s="51"/>
      <c r="FP1518" s="51"/>
      <c r="FQ1518" s="51"/>
      <c r="FR1518" s="51"/>
      <c r="FS1518" s="51"/>
      <c r="FT1518" s="51"/>
      <c r="FU1518" s="95"/>
      <c r="FV1518" s="51"/>
      <c r="FW1518" s="51"/>
      <c r="FX1518" s="51"/>
      <c r="FY1518" s="51"/>
      <c r="FZ1518" s="51"/>
      <c r="GA1518" s="51"/>
      <c r="GB1518" s="51"/>
      <c r="GC1518" s="51"/>
      <c r="GD1518" s="51"/>
      <c r="GE1518" s="51"/>
      <c r="GF1518" s="51"/>
      <c r="GG1518" s="51"/>
      <c r="GH1518" s="51"/>
      <c r="GI1518" s="51"/>
      <c r="GJ1518" s="51"/>
      <c r="GK1518" s="95"/>
      <c r="GL1518" s="51"/>
      <c r="GM1518" s="51"/>
      <c r="GN1518" s="51"/>
      <c r="GO1518" s="51"/>
      <c r="GP1518" s="51"/>
      <c r="GQ1518" s="51"/>
      <c r="GR1518" s="51"/>
      <c r="GS1518" s="51"/>
      <c r="GT1518" s="51"/>
      <c r="GU1518" s="51"/>
      <c r="GV1518" s="51"/>
      <c r="GW1518" s="51"/>
      <c r="GX1518" s="51"/>
      <c r="GY1518" s="51"/>
      <c r="GZ1518" s="51"/>
      <c r="HA1518" s="95"/>
      <c r="HB1518" s="51"/>
      <c r="HC1518" s="51"/>
      <c r="HD1518" s="51"/>
      <c r="HE1518" s="51"/>
      <c r="HF1518" s="51"/>
      <c r="HG1518" s="51"/>
      <c r="HH1518" s="51"/>
      <c r="HI1518" s="51"/>
      <c r="HJ1518" s="51"/>
      <c r="HK1518" s="51"/>
      <c r="HL1518" s="51"/>
      <c r="HM1518" s="51"/>
      <c r="HN1518" s="51"/>
      <c r="HO1518" s="51"/>
      <c r="HP1518" s="51"/>
      <c r="HQ1518" s="95"/>
      <c r="HR1518" s="51"/>
      <c r="HS1518" s="51"/>
      <c r="HT1518" s="51"/>
      <c r="HU1518" s="51"/>
      <c r="HV1518" s="51"/>
      <c r="HW1518" s="51"/>
      <c r="HX1518" s="51"/>
      <c r="HY1518" s="51"/>
      <c r="HZ1518" s="51"/>
      <c r="IA1518" s="51"/>
      <c r="IB1518" s="51"/>
      <c r="IC1518" s="51"/>
      <c r="ID1518" s="51"/>
      <c r="IE1518" s="51"/>
      <c r="IF1518" s="51"/>
      <c r="IG1518" s="95"/>
      <c r="IH1518" s="51"/>
      <c r="II1518" s="51"/>
      <c r="IJ1518" s="51"/>
      <c r="IK1518" s="51"/>
      <c r="IL1518" s="51"/>
      <c r="IM1518" s="51"/>
      <c r="IN1518" s="51"/>
      <c r="IO1518" s="51"/>
      <c r="IP1518" s="51"/>
      <c r="IQ1518" s="51"/>
      <c r="IR1518" s="51"/>
      <c r="IS1518" s="51"/>
      <c r="IT1518" s="51"/>
      <c r="IU1518" s="51"/>
      <c r="IV1518" s="51"/>
    </row>
    <row r="1519" spans="1:256" ht="45.75" customHeight="1" x14ac:dyDescent="0.25">
      <c r="A1519" s="219" t="s">
        <v>981</v>
      </c>
      <c r="B1519" s="219"/>
      <c r="C1519" s="219"/>
      <c r="D1519" s="219"/>
      <c r="E1519" s="219"/>
      <c r="F1519" s="219"/>
      <c r="G1519" s="219"/>
      <c r="H1519" s="219"/>
      <c r="I1519" s="219"/>
      <c r="J1519" s="219"/>
      <c r="K1519" s="219"/>
      <c r="L1519" s="219"/>
      <c r="M1519" s="219"/>
      <c r="N1519" s="219"/>
      <c r="O1519" s="219"/>
      <c r="P1519" s="219"/>
      <c r="Q1519" s="38"/>
    </row>
    <row r="1520" spans="1:256" ht="15" customHeight="1" x14ac:dyDescent="0.2">
      <c r="A1520" s="282" t="s">
        <v>657</v>
      </c>
      <c r="B1520" s="282"/>
      <c r="C1520" s="282"/>
      <c r="D1520" s="282"/>
      <c r="E1520" s="282"/>
      <c r="F1520" s="282"/>
      <c r="G1520" s="282"/>
      <c r="H1520" s="282"/>
      <c r="I1520" s="282"/>
      <c r="J1520" s="58" t="s">
        <v>31</v>
      </c>
      <c r="K1520" s="59"/>
      <c r="L1520" s="263" t="s">
        <v>29</v>
      </c>
      <c r="M1520" s="264"/>
      <c r="N1520" s="60" t="s">
        <v>32</v>
      </c>
      <c r="O1520" s="59" t="s">
        <v>30</v>
      </c>
      <c r="Q1520" s="38"/>
    </row>
    <row r="1521" spans="1:256" x14ac:dyDescent="0.2">
      <c r="Q1521" s="38"/>
    </row>
    <row r="1522" spans="1:256" ht="5" customHeight="1" x14ac:dyDescent="0.2"/>
    <row r="1523" spans="1:256" x14ac:dyDescent="0.2">
      <c r="A1523" s="234" t="s">
        <v>658</v>
      </c>
      <c r="B1523" s="235"/>
      <c r="C1523" s="235"/>
      <c r="D1523" s="235"/>
      <c r="E1523" s="236"/>
      <c r="F1523" s="236"/>
      <c r="G1523" s="236"/>
      <c r="H1523" s="236"/>
      <c r="I1523" s="236"/>
      <c r="J1523" s="236"/>
      <c r="K1523" s="236"/>
      <c r="L1523" s="236"/>
      <c r="M1523" s="236"/>
      <c r="N1523" s="236"/>
      <c r="O1523" s="236"/>
      <c r="P1523" s="236"/>
      <c r="Q1523" s="237"/>
    </row>
    <row r="1524" spans="1:256" ht="5" customHeight="1" x14ac:dyDescent="0.2">
      <c r="A1524" s="194"/>
      <c r="B1524" s="194"/>
      <c r="C1524" s="194"/>
      <c r="D1524" s="194"/>
      <c r="E1524" s="194"/>
      <c r="F1524" s="194"/>
      <c r="G1524" s="194"/>
      <c r="H1524" s="194"/>
      <c r="I1524" s="37"/>
      <c r="J1524" s="37"/>
      <c r="K1524" s="37"/>
      <c r="L1524" s="37"/>
      <c r="M1524" s="37"/>
      <c r="N1524" s="37"/>
      <c r="O1524" s="37"/>
      <c r="P1524" s="37"/>
      <c r="Q1524" s="38"/>
    </row>
    <row r="1525" spans="1:256" ht="15" customHeight="1" x14ac:dyDescent="0.2">
      <c r="A1525" s="211" t="s">
        <v>659</v>
      </c>
      <c r="B1525" s="212"/>
      <c r="C1525" s="212"/>
      <c r="D1525" s="212"/>
      <c r="E1525" s="212"/>
      <c r="F1525" s="212"/>
      <c r="G1525" s="212"/>
      <c r="H1525" s="212"/>
      <c r="I1525" s="212"/>
      <c r="J1525" s="212"/>
      <c r="K1525" s="212"/>
      <c r="L1525" s="212"/>
      <c r="M1525" s="212"/>
      <c r="N1525" s="212"/>
      <c r="O1525" s="212"/>
      <c r="P1525" s="212"/>
      <c r="Q1525" s="38"/>
      <c r="R1525" s="51"/>
      <c r="S1525" s="51"/>
      <c r="T1525" s="51"/>
      <c r="U1525" s="51"/>
      <c r="V1525" s="51"/>
      <c r="W1525" s="51"/>
      <c r="X1525" s="51"/>
      <c r="Y1525" s="51"/>
      <c r="Z1525" s="51"/>
      <c r="AA1525" s="51"/>
      <c r="AB1525" s="51"/>
      <c r="AC1525" s="51"/>
      <c r="AD1525" s="51"/>
      <c r="AE1525" s="51"/>
      <c r="AF1525" s="51"/>
      <c r="AG1525" s="211"/>
      <c r="AH1525" s="212"/>
      <c r="AI1525" s="212"/>
      <c r="AJ1525" s="212"/>
      <c r="AK1525" s="212"/>
      <c r="AL1525" s="212"/>
      <c r="AM1525" s="212"/>
      <c r="AN1525" s="212"/>
      <c r="AO1525" s="212"/>
      <c r="AP1525" s="212"/>
      <c r="AQ1525" s="212"/>
      <c r="AR1525" s="212"/>
      <c r="AS1525" s="212"/>
      <c r="AT1525" s="212"/>
      <c r="AU1525" s="212"/>
      <c r="AV1525" s="212"/>
      <c r="AW1525" s="211"/>
      <c r="AX1525" s="212"/>
      <c r="AY1525" s="212"/>
      <c r="AZ1525" s="212"/>
      <c r="BA1525" s="212"/>
      <c r="BB1525" s="212"/>
      <c r="BC1525" s="212"/>
      <c r="BD1525" s="212"/>
      <c r="BE1525" s="212"/>
      <c r="BF1525" s="212"/>
      <c r="BG1525" s="212"/>
      <c r="BH1525" s="212"/>
      <c r="BI1525" s="212"/>
      <c r="BJ1525" s="212"/>
      <c r="BK1525" s="212"/>
      <c r="BL1525" s="212"/>
      <c r="BM1525" s="211"/>
      <c r="BN1525" s="212"/>
      <c r="BO1525" s="212"/>
      <c r="BP1525" s="212"/>
      <c r="BQ1525" s="212"/>
      <c r="BR1525" s="212"/>
      <c r="BS1525" s="212"/>
      <c r="BT1525" s="212"/>
      <c r="BU1525" s="212"/>
      <c r="BV1525" s="212"/>
      <c r="BW1525" s="212"/>
      <c r="BX1525" s="212"/>
      <c r="BY1525" s="212"/>
      <c r="BZ1525" s="212"/>
      <c r="CA1525" s="212"/>
      <c r="CB1525" s="212"/>
      <c r="CC1525" s="211"/>
      <c r="CD1525" s="212"/>
      <c r="CE1525" s="212"/>
      <c r="CF1525" s="212"/>
      <c r="CG1525" s="212"/>
      <c r="CH1525" s="212"/>
      <c r="CI1525" s="212"/>
      <c r="CJ1525" s="212"/>
      <c r="CK1525" s="212"/>
      <c r="CL1525" s="212"/>
      <c r="CM1525" s="212"/>
      <c r="CN1525" s="212"/>
      <c r="CO1525" s="212"/>
      <c r="CP1525" s="212"/>
      <c r="CQ1525" s="212"/>
      <c r="CR1525" s="212"/>
      <c r="CS1525" s="211"/>
      <c r="CT1525" s="212"/>
      <c r="CU1525" s="212"/>
      <c r="CV1525" s="212"/>
      <c r="CW1525" s="212"/>
      <c r="CX1525" s="212"/>
      <c r="CY1525" s="212"/>
      <c r="CZ1525" s="212"/>
      <c r="DA1525" s="212"/>
      <c r="DB1525" s="212"/>
      <c r="DC1525" s="212"/>
      <c r="DD1525" s="212"/>
      <c r="DE1525" s="212"/>
      <c r="DF1525" s="212"/>
      <c r="DG1525" s="212"/>
      <c r="DH1525" s="212"/>
      <c r="DI1525" s="211"/>
      <c r="DJ1525" s="212"/>
      <c r="DK1525" s="212"/>
      <c r="DL1525" s="212"/>
      <c r="DM1525" s="212"/>
      <c r="DN1525" s="212"/>
      <c r="DO1525" s="212"/>
      <c r="DP1525" s="212"/>
      <c r="DQ1525" s="212"/>
      <c r="DR1525" s="212"/>
      <c r="DS1525" s="212"/>
      <c r="DT1525" s="212"/>
      <c r="DU1525" s="212"/>
      <c r="DV1525" s="212"/>
      <c r="DW1525" s="212"/>
      <c r="DX1525" s="212"/>
      <c r="DY1525" s="211"/>
      <c r="DZ1525" s="212"/>
      <c r="EA1525" s="212"/>
      <c r="EB1525" s="212"/>
      <c r="EC1525" s="212"/>
      <c r="ED1525" s="212"/>
      <c r="EE1525" s="212"/>
      <c r="EF1525" s="212"/>
      <c r="EG1525" s="212"/>
      <c r="EH1525" s="212"/>
      <c r="EI1525" s="212"/>
      <c r="EJ1525" s="212"/>
      <c r="EK1525" s="212"/>
      <c r="EL1525" s="212"/>
      <c r="EM1525" s="212"/>
      <c r="EN1525" s="212"/>
      <c r="EO1525" s="211"/>
      <c r="EP1525" s="212"/>
      <c r="EQ1525" s="212"/>
      <c r="ER1525" s="212"/>
      <c r="ES1525" s="212"/>
      <c r="ET1525" s="212"/>
      <c r="EU1525" s="212"/>
      <c r="EV1525" s="212"/>
      <c r="EW1525" s="212"/>
      <c r="EX1525" s="212"/>
      <c r="EY1525" s="212"/>
      <c r="EZ1525" s="212"/>
      <c r="FA1525" s="212"/>
      <c r="FB1525" s="212"/>
      <c r="FC1525" s="212"/>
      <c r="FD1525" s="212"/>
      <c r="FE1525" s="211"/>
      <c r="FF1525" s="212"/>
      <c r="FG1525" s="212"/>
      <c r="FH1525" s="212"/>
      <c r="FI1525" s="212"/>
      <c r="FJ1525" s="212"/>
      <c r="FK1525" s="212"/>
      <c r="FL1525" s="212"/>
      <c r="FM1525" s="212"/>
      <c r="FN1525" s="212"/>
      <c r="FO1525" s="212"/>
      <c r="FP1525" s="212"/>
      <c r="FQ1525" s="212"/>
      <c r="FR1525" s="212"/>
      <c r="FS1525" s="212"/>
      <c r="FT1525" s="212"/>
      <c r="FU1525" s="211"/>
      <c r="FV1525" s="212"/>
      <c r="FW1525" s="212"/>
      <c r="FX1525" s="212"/>
      <c r="FY1525" s="212"/>
      <c r="FZ1525" s="212"/>
      <c r="GA1525" s="212"/>
      <c r="GB1525" s="212"/>
      <c r="GC1525" s="212"/>
      <c r="GD1525" s="212"/>
      <c r="GE1525" s="212"/>
      <c r="GF1525" s="212"/>
      <c r="GG1525" s="212"/>
      <c r="GH1525" s="212"/>
      <c r="GI1525" s="212"/>
      <c r="GJ1525" s="212"/>
      <c r="GK1525" s="211"/>
      <c r="GL1525" s="212"/>
      <c r="GM1525" s="212"/>
      <c r="GN1525" s="212"/>
      <c r="GO1525" s="212"/>
      <c r="GP1525" s="212"/>
      <c r="GQ1525" s="212"/>
      <c r="GR1525" s="212"/>
      <c r="GS1525" s="212"/>
      <c r="GT1525" s="212"/>
      <c r="GU1525" s="212"/>
      <c r="GV1525" s="212"/>
      <c r="GW1525" s="212"/>
      <c r="GX1525" s="212"/>
      <c r="GY1525" s="212"/>
      <c r="GZ1525" s="212"/>
      <c r="HA1525" s="211"/>
      <c r="HB1525" s="212"/>
      <c r="HC1525" s="212"/>
      <c r="HD1525" s="212"/>
      <c r="HE1525" s="212"/>
      <c r="HF1525" s="212"/>
      <c r="HG1525" s="212"/>
      <c r="HH1525" s="212"/>
      <c r="HI1525" s="212"/>
      <c r="HJ1525" s="212"/>
      <c r="HK1525" s="212"/>
      <c r="HL1525" s="212"/>
      <c r="HM1525" s="212"/>
      <c r="HN1525" s="212"/>
      <c r="HO1525" s="212"/>
      <c r="HP1525" s="212"/>
      <c r="HQ1525" s="211"/>
      <c r="HR1525" s="212"/>
      <c r="HS1525" s="212"/>
      <c r="HT1525" s="212"/>
      <c r="HU1525" s="212"/>
      <c r="HV1525" s="212"/>
      <c r="HW1525" s="212"/>
      <c r="HX1525" s="212"/>
      <c r="HY1525" s="212"/>
      <c r="HZ1525" s="212"/>
      <c r="IA1525" s="212"/>
      <c r="IB1525" s="212"/>
      <c r="IC1525" s="212"/>
      <c r="ID1525" s="212"/>
      <c r="IE1525" s="212"/>
      <c r="IF1525" s="212"/>
      <c r="IG1525" s="211"/>
      <c r="IH1525" s="212"/>
      <c r="II1525" s="212"/>
      <c r="IJ1525" s="212"/>
      <c r="IK1525" s="212"/>
      <c r="IL1525" s="212"/>
      <c r="IM1525" s="212"/>
      <c r="IN1525" s="212"/>
      <c r="IO1525" s="212"/>
      <c r="IP1525" s="212"/>
      <c r="IQ1525" s="212"/>
      <c r="IR1525" s="212"/>
      <c r="IS1525" s="212"/>
      <c r="IT1525" s="212"/>
      <c r="IU1525" s="212"/>
      <c r="IV1525" s="212"/>
    </row>
    <row r="1526" spans="1:256" ht="5" customHeight="1" x14ac:dyDescent="0.2">
      <c r="A1526" s="95"/>
      <c r="B1526" s="51"/>
      <c r="C1526" s="51"/>
      <c r="D1526" s="51"/>
      <c r="E1526" s="51"/>
      <c r="F1526" s="51"/>
      <c r="G1526" s="51"/>
      <c r="H1526" s="51"/>
      <c r="I1526" s="51"/>
      <c r="J1526" s="51"/>
      <c r="K1526" s="51"/>
      <c r="L1526" s="51"/>
      <c r="M1526" s="51"/>
      <c r="N1526" s="51"/>
      <c r="O1526" s="51"/>
      <c r="P1526" s="51"/>
      <c r="Q1526" s="38"/>
      <c r="R1526" s="51"/>
      <c r="S1526" s="51"/>
      <c r="T1526" s="51"/>
      <c r="U1526" s="51"/>
      <c r="V1526" s="51"/>
      <c r="W1526" s="51"/>
      <c r="X1526" s="51"/>
      <c r="Y1526" s="51"/>
      <c r="Z1526" s="51"/>
      <c r="AA1526" s="51"/>
      <c r="AB1526" s="51"/>
      <c r="AC1526" s="51"/>
      <c r="AD1526" s="51"/>
      <c r="AE1526" s="51"/>
      <c r="AF1526" s="51"/>
      <c r="AG1526" s="95"/>
      <c r="AH1526" s="51"/>
      <c r="AI1526" s="51"/>
      <c r="AJ1526" s="51"/>
      <c r="AK1526" s="51"/>
      <c r="AL1526" s="51"/>
      <c r="AM1526" s="51"/>
      <c r="AN1526" s="51"/>
      <c r="AO1526" s="51"/>
      <c r="AP1526" s="51"/>
      <c r="AQ1526" s="51"/>
      <c r="AR1526" s="51"/>
      <c r="AS1526" s="51"/>
      <c r="AT1526" s="51"/>
      <c r="AU1526" s="51"/>
      <c r="AV1526" s="51"/>
      <c r="AW1526" s="95"/>
      <c r="AX1526" s="51"/>
      <c r="AY1526" s="51"/>
      <c r="AZ1526" s="51"/>
      <c r="BA1526" s="51"/>
      <c r="BB1526" s="51"/>
      <c r="BC1526" s="51"/>
      <c r="BD1526" s="51"/>
      <c r="BE1526" s="51"/>
      <c r="BF1526" s="51"/>
      <c r="BG1526" s="51"/>
      <c r="BH1526" s="51"/>
      <c r="BI1526" s="51"/>
      <c r="BJ1526" s="51"/>
      <c r="BK1526" s="51"/>
      <c r="BL1526" s="51"/>
      <c r="BM1526" s="95"/>
      <c r="BN1526" s="51"/>
      <c r="BO1526" s="51"/>
      <c r="BP1526" s="51"/>
      <c r="BQ1526" s="51"/>
      <c r="BR1526" s="51"/>
      <c r="BS1526" s="51"/>
      <c r="BT1526" s="51"/>
      <c r="BU1526" s="51"/>
      <c r="BV1526" s="51"/>
      <c r="BW1526" s="51"/>
      <c r="BX1526" s="51"/>
      <c r="BY1526" s="51"/>
      <c r="BZ1526" s="51"/>
      <c r="CA1526" s="51"/>
      <c r="CB1526" s="51"/>
      <c r="CC1526" s="95"/>
      <c r="CD1526" s="51"/>
      <c r="CE1526" s="51"/>
      <c r="CF1526" s="51"/>
      <c r="CG1526" s="51"/>
      <c r="CH1526" s="51"/>
      <c r="CI1526" s="51"/>
      <c r="CJ1526" s="51"/>
      <c r="CK1526" s="51"/>
      <c r="CL1526" s="51"/>
      <c r="CM1526" s="51"/>
      <c r="CN1526" s="51"/>
      <c r="CO1526" s="51"/>
      <c r="CP1526" s="51"/>
      <c r="CQ1526" s="51"/>
      <c r="CR1526" s="51"/>
      <c r="CS1526" s="95"/>
      <c r="CT1526" s="51"/>
      <c r="CU1526" s="51"/>
      <c r="CV1526" s="51"/>
      <c r="CW1526" s="51"/>
      <c r="CX1526" s="51"/>
      <c r="CY1526" s="51"/>
      <c r="CZ1526" s="51"/>
      <c r="DA1526" s="51"/>
      <c r="DB1526" s="51"/>
      <c r="DC1526" s="51"/>
      <c r="DD1526" s="51"/>
      <c r="DE1526" s="51"/>
      <c r="DF1526" s="51"/>
      <c r="DG1526" s="51"/>
      <c r="DH1526" s="51"/>
      <c r="DI1526" s="95"/>
      <c r="DJ1526" s="51"/>
      <c r="DK1526" s="51"/>
      <c r="DL1526" s="51"/>
      <c r="DM1526" s="51"/>
      <c r="DN1526" s="51"/>
      <c r="DO1526" s="51"/>
      <c r="DP1526" s="51"/>
      <c r="DQ1526" s="51"/>
      <c r="DR1526" s="51"/>
      <c r="DS1526" s="51"/>
      <c r="DT1526" s="51"/>
      <c r="DU1526" s="51"/>
      <c r="DV1526" s="51"/>
      <c r="DW1526" s="51"/>
      <c r="DX1526" s="51"/>
      <c r="DY1526" s="95"/>
      <c r="DZ1526" s="51"/>
      <c r="EA1526" s="51"/>
      <c r="EB1526" s="51"/>
      <c r="EC1526" s="51"/>
      <c r="ED1526" s="51"/>
      <c r="EE1526" s="51"/>
      <c r="EF1526" s="51"/>
      <c r="EG1526" s="51"/>
      <c r="EH1526" s="51"/>
      <c r="EI1526" s="51"/>
      <c r="EJ1526" s="51"/>
      <c r="EK1526" s="51"/>
      <c r="EL1526" s="51"/>
      <c r="EM1526" s="51"/>
      <c r="EN1526" s="51"/>
      <c r="EO1526" s="95"/>
      <c r="EP1526" s="51"/>
      <c r="EQ1526" s="51"/>
      <c r="ER1526" s="51"/>
      <c r="ES1526" s="51"/>
      <c r="ET1526" s="51"/>
      <c r="EU1526" s="51"/>
      <c r="EV1526" s="51"/>
      <c r="EW1526" s="51"/>
      <c r="EX1526" s="51"/>
      <c r="EY1526" s="51"/>
      <c r="EZ1526" s="51"/>
      <c r="FA1526" s="51"/>
      <c r="FB1526" s="51"/>
      <c r="FC1526" s="51"/>
      <c r="FD1526" s="51"/>
      <c r="FE1526" s="95"/>
      <c r="FF1526" s="51"/>
      <c r="FG1526" s="51"/>
      <c r="FH1526" s="51"/>
      <c r="FI1526" s="51"/>
      <c r="FJ1526" s="51"/>
      <c r="FK1526" s="51"/>
      <c r="FL1526" s="51"/>
      <c r="FM1526" s="51"/>
      <c r="FN1526" s="51"/>
      <c r="FO1526" s="51"/>
      <c r="FP1526" s="51"/>
      <c r="FQ1526" s="51"/>
      <c r="FR1526" s="51"/>
      <c r="FS1526" s="51"/>
      <c r="FT1526" s="51"/>
      <c r="FU1526" s="95"/>
      <c r="FV1526" s="51"/>
      <c r="FW1526" s="51"/>
      <c r="FX1526" s="51"/>
      <c r="FY1526" s="51"/>
      <c r="FZ1526" s="51"/>
      <c r="GA1526" s="51"/>
      <c r="GB1526" s="51"/>
      <c r="GC1526" s="51"/>
      <c r="GD1526" s="51"/>
      <c r="GE1526" s="51"/>
      <c r="GF1526" s="51"/>
      <c r="GG1526" s="51"/>
      <c r="GH1526" s="51"/>
      <c r="GI1526" s="51"/>
      <c r="GJ1526" s="51"/>
      <c r="GK1526" s="95"/>
      <c r="GL1526" s="51"/>
      <c r="GM1526" s="51"/>
      <c r="GN1526" s="51"/>
      <c r="GO1526" s="51"/>
      <c r="GP1526" s="51"/>
      <c r="GQ1526" s="51"/>
      <c r="GR1526" s="51"/>
      <c r="GS1526" s="51"/>
      <c r="GT1526" s="51"/>
      <c r="GU1526" s="51"/>
      <c r="GV1526" s="51"/>
      <c r="GW1526" s="51"/>
      <c r="GX1526" s="51"/>
      <c r="GY1526" s="51"/>
      <c r="GZ1526" s="51"/>
      <c r="HA1526" s="95"/>
      <c r="HB1526" s="51"/>
      <c r="HC1526" s="51"/>
      <c r="HD1526" s="51"/>
      <c r="HE1526" s="51"/>
      <c r="HF1526" s="51"/>
      <c r="HG1526" s="51"/>
      <c r="HH1526" s="51"/>
      <c r="HI1526" s="51"/>
      <c r="HJ1526" s="51"/>
      <c r="HK1526" s="51"/>
      <c r="HL1526" s="51"/>
      <c r="HM1526" s="51"/>
      <c r="HN1526" s="51"/>
      <c r="HO1526" s="51"/>
      <c r="HP1526" s="51"/>
      <c r="HQ1526" s="95"/>
      <c r="HR1526" s="51"/>
      <c r="HS1526" s="51"/>
      <c r="HT1526" s="51"/>
      <c r="HU1526" s="51"/>
      <c r="HV1526" s="51"/>
      <c r="HW1526" s="51"/>
      <c r="HX1526" s="51"/>
      <c r="HY1526" s="51"/>
      <c r="HZ1526" s="51"/>
      <c r="IA1526" s="51"/>
      <c r="IB1526" s="51"/>
      <c r="IC1526" s="51"/>
      <c r="ID1526" s="51"/>
      <c r="IE1526" s="51"/>
      <c r="IF1526" s="51"/>
      <c r="IG1526" s="95"/>
      <c r="IH1526" s="51"/>
      <c r="II1526" s="51"/>
      <c r="IJ1526" s="51"/>
      <c r="IK1526" s="51"/>
      <c r="IL1526" s="51"/>
      <c r="IM1526" s="51"/>
      <c r="IN1526" s="51"/>
      <c r="IO1526" s="51"/>
      <c r="IP1526" s="51"/>
      <c r="IQ1526" s="51"/>
      <c r="IR1526" s="51"/>
      <c r="IS1526" s="51"/>
      <c r="IT1526" s="51"/>
      <c r="IU1526" s="51"/>
      <c r="IV1526" s="51"/>
    </row>
    <row r="1527" spans="1:256" ht="15.75" customHeight="1" x14ac:dyDescent="0.25">
      <c r="A1527" s="39"/>
      <c r="B1527" s="39"/>
      <c r="C1527" s="219" t="s">
        <v>661</v>
      </c>
      <c r="D1527" s="219"/>
      <c r="E1527" s="219"/>
      <c r="F1527" s="219"/>
      <c r="G1527" s="219"/>
      <c r="H1527" s="219"/>
      <c r="I1527" s="219"/>
      <c r="J1527" s="219"/>
      <c r="K1527" s="219"/>
      <c r="L1527" s="219"/>
      <c r="M1527" s="219"/>
      <c r="N1527" s="219"/>
      <c r="O1527" s="219"/>
      <c r="P1527" s="37"/>
      <c r="Q1527" s="38"/>
    </row>
    <row r="1528" spans="1:256" ht="15" customHeight="1" x14ac:dyDescent="0.2">
      <c r="A1528" s="282" t="s">
        <v>660</v>
      </c>
      <c r="B1528" s="282"/>
      <c r="C1528" s="282"/>
      <c r="D1528" s="282"/>
      <c r="E1528" s="282"/>
      <c r="F1528" s="282"/>
      <c r="G1528" s="282"/>
      <c r="H1528" s="282"/>
      <c r="I1528" s="282"/>
      <c r="J1528" s="58" t="s">
        <v>31</v>
      </c>
      <c r="K1528" s="59"/>
      <c r="L1528" s="60" t="s">
        <v>32</v>
      </c>
      <c r="M1528" s="59" t="s">
        <v>29</v>
      </c>
      <c r="N1528" s="59"/>
      <c r="O1528" s="59" t="s">
        <v>30</v>
      </c>
      <c r="Q1528" s="38"/>
    </row>
    <row r="1529" spans="1:256" x14ac:dyDescent="0.2">
      <c r="Q1529" s="38"/>
    </row>
    <row r="1531" spans="1:256" ht="16" x14ac:dyDescent="0.2">
      <c r="A1531" s="231" t="s">
        <v>651</v>
      </c>
      <c r="B1531" s="232"/>
      <c r="C1531" s="232"/>
      <c r="D1531" s="232"/>
      <c r="F1531" s="233"/>
      <c r="G1531" s="233"/>
      <c r="H1531" s="233"/>
      <c r="I1531" s="233"/>
      <c r="J1531" s="233"/>
      <c r="K1531" s="233"/>
      <c r="L1531" s="233"/>
      <c r="M1531" s="233"/>
      <c r="N1531" s="233"/>
      <c r="O1531" s="233"/>
      <c r="P1531" s="233"/>
      <c r="Q1531" s="233"/>
    </row>
    <row r="1532" spans="1:256" ht="5" customHeight="1" x14ac:dyDescent="0.2"/>
    <row r="1533" spans="1:256" x14ac:dyDescent="0.2">
      <c r="A1533" s="234" t="s">
        <v>655</v>
      </c>
      <c r="B1533" s="235"/>
      <c r="C1533" s="235"/>
      <c r="D1533" s="235"/>
      <c r="E1533" s="236"/>
      <c r="F1533" s="236"/>
      <c r="G1533" s="236"/>
      <c r="H1533" s="236"/>
      <c r="I1533" s="236"/>
      <c r="J1533" s="236"/>
      <c r="K1533" s="236"/>
      <c r="L1533" s="236"/>
      <c r="M1533" s="236"/>
      <c r="N1533" s="236"/>
      <c r="O1533" s="236"/>
      <c r="P1533" s="236"/>
      <c r="Q1533" s="237"/>
    </row>
    <row r="1534" spans="1:256" ht="5" customHeight="1" x14ac:dyDescent="0.2">
      <c r="A1534" s="194"/>
      <c r="B1534" s="194"/>
      <c r="C1534" s="194"/>
      <c r="D1534" s="194"/>
      <c r="E1534" s="194"/>
      <c r="F1534" s="194"/>
      <c r="G1534" s="194"/>
      <c r="H1534" s="194"/>
      <c r="I1534" s="37"/>
      <c r="J1534" s="37"/>
      <c r="K1534" s="37"/>
      <c r="L1534" s="37"/>
      <c r="M1534" s="37"/>
      <c r="N1534" s="37"/>
      <c r="O1534" s="37"/>
      <c r="P1534" s="37"/>
      <c r="Q1534" s="38"/>
    </row>
    <row r="1535" spans="1:256" ht="15" customHeight="1" x14ac:dyDescent="0.2">
      <c r="A1535" s="211" t="s">
        <v>662</v>
      </c>
      <c r="B1535" s="212"/>
      <c r="C1535" s="212"/>
      <c r="D1535" s="212"/>
      <c r="E1535" s="212"/>
      <c r="F1535" s="212"/>
      <c r="G1535" s="212"/>
      <c r="H1535" s="212"/>
      <c r="I1535" s="212"/>
      <c r="J1535" s="212"/>
      <c r="K1535" s="212"/>
      <c r="L1535" s="212"/>
      <c r="M1535" s="212"/>
      <c r="N1535" s="212"/>
      <c r="O1535" s="212"/>
      <c r="P1535" s="212"/>
      <c r="Q1535" s="38"/>
      <c r="R1535" s="51"/>
      <c r="S1535" s="51"/>
      <c r="T1535" s="51"/>
      <c r="U1535" s="51"/>
      <c r="V1535" s="51"/>
      <c r="W1535" s="51"/>
      <c r="X1535" s="51"/>
      <c r="Y1535" s="51"/>
      <c r="Z1535" s="51"/>
      <c r="AA1535" s="51"/>
      <c r="AB1535" s="51"/>
      <c r="AC1535" s="51"/>
      <c r="AD1535" s="51"/>
      <c r="AE1535" s="51"/>
      <c r="AF1535" s="51"/>
      <c r="AG1535" s="211"/>
      <c r="AH1535" s="212"/>
      <c r="AI1535" s="212"/>
      <c r="AJ1535" s="212"/>
      <c r="AK1535" s="212"/>
      <c r="AL1535" s="212"/>
      <c r="AM1535" s="212"/>
      <c r="AN1535" s="212"/>
      <c r="AO1535" s="212"/>
      <c r="AP1535" s="212"/>
      <c r="AQ1535" s="212"/>
      <c r="AR1535" s="212"/>
      <c r="AS1535" s="212"/>
      <c r="AT1535" s="212"/>
      <c r="AU1535" s="212"/>
      <c r="AV1535" s="212"/>
      <c r="AW1535" s="211"/>
      <c r="AX1535" s="212"/>
      <c r="AY1535" s="212"/>
      <c r="AZ1535" s="212"/>
      <c r="BA1535" s="212"/>
      <c r="BB1535" s="212"/>
      <c r="BC1535" s="212"/>
      <c r="BD1535" s="212"/>
      <c r="BE1535" s="212"/>
      <c r="BF1535" s="212"/>
      <c r="BG1535" s="212"/>
      <c r="BH1535" s="212"/>
      <c r="BI1535" s="212"/>
      <c r="BJ1535" s="212"/>
      <c r="BK1535" s="212"/>
      <c r="BL1535" s="212"/>
      <c r="BM1535" s="211"/>
      <c r="BN1535" s="212"/>
      <c r="BO1535" s="212"/>
      <c r="BP1535" s="212"/>
      <c r="BQ1535" s="212"/>
      <c r="BR1535" s="212"/>
      <c r="BS1535" s="212"/>
      <c r="BT1535" s="212"/>
      <c r="BU1535" s="212"/>
      <c r="BV1535" s="212"/>
      <c r="BW1535" s="212"/>
      <c r="BX1535" s="212"/>
      <c r="BY1535" s="212"/>
      <c r="BZ1535" s="212"/>
      <c r="CA1535" s="212"/>
      <c r="CB1535" s="212"/>
      <c r="CC1535" s="211"/>
      <c r="CD1535" s="212"/>
      <c r="CE1535" s="212"/>
      <c r="CF1535" s="212"/>
      <c r="CG1535" s="212"/>
      <c r="CH1535" s="212"/>
      <c r="CI1535" s="212"/>
      <c r="CJ1535" s="212"/>
      <c r="CK1535" s="212"/>
      <c r="CL1535" s="212"/>
      <c r="CM1535" s="212"/>
      <c r="CN1535" s="212"/>
      <c r="CO1535" s="212"/>
      <c r="CP1535" s="212"/>
      <c r="CQ1535" s="212"/>
      <c r="CR1535" s="212"/>
      <c r="CS1535" s="211"/>
      <c r="CT1535" s="212"/>
      <c r="CU1535" s="212"/>
      <c r="CV1535" s="212"/>
      <c r="CW1535" s="212"/>
      <c r="CX1535" s="212"/>
      <c r="CY1535" s="212"/>
      <c r="CZ1535" s="212"/>
      <c r="DA1535" s="212"/>
      <c r="DB1535" s="212"/>
      <c r="DC1535" s="212"/>
      <c r="DD1535" s="212"/>
      <c r="DE1535" s="212"/>
      <c r="DF1535" s="212"/>
      <c r="DG1535" s="212"/>
      <c r="DH1535" s="212"/>
      <c r="DI1535" s="211"/>
      <c r="DJ1535" s="212"/>
      <c r="DK1535" s="212"/>
      <c r="DL1535" s="212"/>
      <c r="DM1535" s="212"/>
      <c r="DN1535" s="212"/>
      <c r="DO1535" s="212"/>
      <c r="DP1535" s="212"/>
      <c r="DQ1535" s="212"/>
      <c r="DR1535" s="212"/>
      <c r="DS1535" s="212"/>
      <c r="DT1535" s="212"/>
      <c r="DU1535" s="212"/>
      <c r="DV1535" s="212"/>
      <c r="DW1535" s="212"/>
      <c r="DX1535" s="212"/>
      <c r="DY1535" s="211"/>
      <c r="DZ1535" s="212"/>
      <c r="EA1535" s="212"/>
      <c r="EB1535" s="212"/>
      <c r="EC1535" s="212"/>
      <c r="ED1535" s="212"/>
      <c r="EE1535" s="212"/>
      <c r="EF1535" s="212"/>
      <c r="EG1535" s="212"/>
      <c r="EH1535" s="212"/>
      <c r="EI1535" s="212"/>
      <c r="EJ1535" s="212"/>
      <c r="EK1535" s="212"/>
      <c r="EL1535" s="212"/>
      <c r="EM1535" s="212"/>
      <c r="EN1535" s="212"/>
      <c r="EO1535" s="211"/>
      <c r="EP1535" s="212"/>
      <c r="EQ1535" s="212"/>
      <c r="ER1535" s="212"/>
      <c r="ES1535" s="212"/>
      <c r="ET1535" s="212"/>
      <c r="EU1535" s="212"/>
      <c r="EV1535" s="212"/>
      <c r="EW1535" s="212"/>
      <c r="EX1535" s="212"/>
      <c r="EY1535" s="212"/>
      <c r="EZ1535" s="212"/>
      <c r="FA1535" s="212"/>
      <c r="FB1535" s="212"/>
      <c r="FC1535" s="212"/>
      <c r="FD1535" s="212"/>
      <c r="FE1535" s="211"/>
      <c r="FF1535" s="212"/>
      <c r="FG1535" s="212"/>
      <c r="FH1535" s="212"/>
      <c r="FI1535" s="212"/>
      <c r="FJ1535" s="212"/>
      <c r="FK1535" s="212"/>
      <c r="FL1535" s="212"/>
      <c r="FM1535" s="212"/>
      <c r="FN1535" s="212"/>
      <c r="FO1535" s="212"/>
      <c r="FP1535" s="212"/>
      <c r="FQ1535" s="212"/>
      <c r="FR1535" s="212"/>
      <c r="FS1535" s="212"/>
      <c r="FT1535" s="212"/>
      <c r="FU1535" s="211"/>
      <c r="FV1535" s="212"/>
      <c r="FW1535" s="212"/>
      <c r="FX1535" s="212"/>
      <c r="FY1535" s="212"/>
      <c r="FZ1535" s="212"/>
      <c r="GA1535" s="212"/>
      <c r="GB1535" s="212"/>
      <c r="GC1535" s="212"/>
      <c r="GD1535" s="212"/>
      <c r="GE1535" s="212"/>
      <c r="GF1535" s="212"/>
      <c r="GG1535" s="212"/>
      <c r="GH1535" s="212"/>
      <c r="GI1535" s="212"/>
      <c r="GJ1535" s="212"/>
      <c r="GK1535" s="211"/>
      <c r="GL1535" s="212"/>
      <c r="GM1535" s="212"/>
      <c r="GN1535" s="212"/>
      <c r="GO1535" s="212"/>
      <c r="GP1535" s="212"/>
      <c r="GQ1535" s="212"/>
      <c r="GR1535" s="212"/>
      <c r="GS1535" s="212"/>
      <c r="GT1535" s="212"/>
      <c r="GU1535" s="212"/>
      <c r="GV1535" s="212"/>
      <c r="GW1535" s="212"/>
      <c r="GX1535" s="212"/>
      <c r="GY1535" s="212"/>
      <c r="GZ1535" s="212"/>
      <c r="HA1535" s="211"/>
      <c r="HB1535" s="212"/>
      <c r="HC1535" s="212"/>
      <c r="HD1535" s="212"/>
      <c r="HE1535" s="212"/>
      <c r="HF1535" s="212"/>
      <c r="HG1535" s="212"/>
      <c r="HH1535" s="212"/>
      <c r="HI1535" s="212"/>
      <c r="HJ1535" s="212"/>
      <c r="HK1535" s="212"/>
      <c r="HL1535" s="212"/>
      <c r="HM1535" s="212"/>
      <c r="HN1535" s="212"/>
      <c r="HO1535" s="212"/>
      <c r="HP1535" s="212"/>
      <c r="HQ1535" s="211"/>
      <c r="HR1535" s="212"/>
      <c r="HS1535" s="212"/>
      <c r="HT1535" s="212"/>
      <c r="HU1535" s="212"/>
      <c r="HV1535" s="212"/>
      <c r="HW1535" s="212"/>
      <c r="HX1535" s="212"/>
      <c r="HY1535" s="212"/>
      <c r="HZ1535" s="212"/>
      <c r="IA1535" s="212"/>
      <c r="IB1535" s="212"/>
      <c r="IC1535" s="212"/>
      <c r="ID1535" s="212"/>
      <c r="IE1535" s="212"/>
      <c r="IF1535" s="212"/>
      <c r="IG1535" s="211"/>
      <c r="IH1535" s="212"/>
      <c r="II1535" s="212"/>
      <c r="IJ1535" s="212"/>
      <c r="IK1535" s="212"/>
      <c r="IL1535" s="212"/>
      <c r="IM1535" s="212"/>
      <c r="IN1535" s="212"/>
      <c r="IO1535" s="212"/>
      <c r="IP1535" s="212"/>
      <c r="IQ1535" s="212"/>
      <c r="IR1535" s="212"/>
      <c r="IS1535" s="212"/>
      <c r="IT1535" s="212"/>
      <c r="IU1535" s="212"/>
      <c r="IV1535" s="212"/>
    </row>
    <row r="1536" spans="1:256" x14ac:dyDescent="0.2">
      <c r="Q1536" s="38"/>
    </row>
    <row r="1537" spans="1:256" ht="45.75" customHeight="1" x14ac:dyDescent="0.25">
      <c r="A1537" s="219" t="s">
        <v>982</v>
      </c>
      <c r="B1537" s="219"/>
      <c r="C1537" s="219"/>
      <c r="D1537" s="219"/>
      <c r="E1537" s="219"/>
      <c r="F1537" s="219"/>
      <c r="G1537" s="219"/>
      <c r="H1537" s="219"/>
      <c r="I1537" s="219"/>
      <c r="J1537" s="219"/>
      <c r="K1537" s="219"/>
      <c r="L1537" s="219"/>
      <c r="M1537" s="219"/>
      <c r="N1537" s="219"/>
      <c r="O1537" s="219"/>
      <c r="P1537" s="219"/>
      <c r="Q1537" s="38"/>
    </row>
    <row r="1538" spans="1:256" x14ac:dyDescent="0.2">
      <c r="Q1538" s="38"/>
    </row>
    <row r="1539" spans="1:256" ht="16" x14ac:dyDescent="0.2">
      <c r="A1539" s="231" t="s">
        <v>651</v>
      </c>
      <c r="B1539" s="232"/>
      <c r="C1539" s="232"/>
      <c r="D1539" s="232"/>
      <c r="F1539" s="233"/>
      <c r="G1539" s="233"/>
      <c r="H1539" s="233"/>
      <c r="I1539" s="233"/>
      <c r="J1539" s="233"/>
      <c r="K1539" s="233"/>
      <c r="L1539" s="233"/>
      <c r="M1539" s="233"/>
      <c r="N1539" s="233"/>
      <c r="O1539" s="233"/>
      <c r="P1539" s="233"/>
      <c r="Q1539" s="233"/>
    </row>
    <row r="1540" spans="1:256" ht="5" customHeight="1" x14ac:dyDescent="0.2"/>
    <row r="1541" spans="1:256" x14ac:dyDescent="0.2">
      <c r="A1541" s="234" t="s">
        <v>655</v>
      </c>
      <c r="B1541" s="235"/>
      <c r="C1541" s="235"/>
      <c r="D1541" s="235"/>
      <c r="E1541" s="236"/>
      <c r="F1541" s="236"/>
      <c r="G1541" s="236"/>
      <c r="H1541" s="236"/>
      <c r="I1541" s="236"/>
      <c r="J1541" s="236"/>
      <c r="K1541" s="236"/>
      <c r="L1541" s="236"/>
      <c r="M1541" s="236"/>
      <c r="N1541" s="236"/>
      <c r="O1541" s="236"/>
      <c r="P1541" s="236"/>
      <c r="Q1541" s="237"/>
    </row>
    <row r="1542" spans="1:256" ht="5" customHeight="1" x14ac:dyDescent="0.2">
      <c r="A1542" s="194"/>
      <c r="B1542" s="194"/>
      <c r="C1542" s="194"/>
      <c r="D1542" s="194"/>
      <c r="E1542" s="194"/>
      <c r="F1542" s="194"/>
      <c r="G1542" s="194"/>
      <c r="H1542" s="194"/>
      <c r="I1542" s="37"/>
      <c r="J1542" s="37"/>
      <c r="K1542" s="37"/>
      <c r="L1542" s="37"/>
      <c r="M1542" s="37"/>
      <c r="N1542" s="37"/>
      <c r="O1542" s="37"/>
      <c r="P1542" s="37"/>
      <c r="Q1542" s="38"/>
    </row>
    <row r="1543" spans="1:256" ht="15" customHeight="1" x14ac:dyDescent="0.2">
      <c r="A1543" s="211" t="s">
        <v>872</v>
      </c>
      <c r="B1543" s="212"/>
      <c r="C1543" s="212"/>
      <c r="D1543" s="212"/>
      <c r="E1543" s="212"/>
      <c r="F1543" s="212"/>
      <c r="G1543" s="212"/>
      <c r="H1543" s="212"/>
      <c r="I1543" s="212"/>
      <c r="J1543" s="212"/>
      <c r="K1543" s="212"/>
      <c r="L1543" s="212"/>
      <c r="M1543" s="212"/>
      <c r="N1543" s="212"/>
      <c r="O1543" s="212"/>
      <c r="P1543" s="212"/>
      <c r="Q1543" s="38"/>
      <c r="R1543" s="51"/>
      <c r="S1543" s="51"/>
      <c r="T1543" s="51"/>
      <c r="U1543" s="51"/>
      <c r="V1543" s="51"/>
      <c r="W1543" s="51"/>
      <c r="X1543" s="51"/>
      <c r="Y1543" s="51"/>
      <c r="Z1543" s="51"/>
      <c r="AA1543" s="51"/>
      <c r="AB1543" s="51"/>
      <c r="AC1543" s="51"/>
      <c r="AD1543" s="51"/>
      <c r="AE1543" s="51"/>
      <c r="AF1543" s="51"/>
      <c r="AG1543" s="211"/>
      <c r="AH1543" s="212"/>
      <c r="AI1543" s="212"/>
      <c r="AJ1543" s="212"/>
      <c r="AK1543" s="212"/>
      <c r="AL1543" s="212"/>
      <c r="AM1543" s="212"/>
      <c r="AN1543" s="212"/>
      <c r="AO1543" s="212"/>
      <c r="AP1543" s="212"/>
      <c r="AQ1543" s="212"/>
      <c r="AR1543" s="212"/>
      <c r="AS1543" s="212"/>
      <c r="AT1543" s="212"/>
      <c r="AU1543" s="212"/>
      <c r="AV1543" s="212"/>
      <c r="AW1543" s="211"/>
      <c r="AX1543" s="212"/>
      <c r="AY1543" s="212"/>
      <c r="AZ1543" s="212"/>
      <c r="BA1543" s="212"/>
      <c r="BB1543" s="212"/>
      <c r="BC1543" s="212"/>
      <c r="BD1543" s="212"/>
      <c r="BE1543" s="212"/>
      <c r="BF1543" s="212"/>
      <c r="BG1543" s="212"/>
      <c r="BH1543" s="212"/>
      <c r="BI1543" s="212"/>
      <c r="BJ1543" s="212"/>
      <c r="BK1543" s="212"/>
      <c r="BL1543" s="212"/>
      <c r="BM1543" s="211"/>
      <c r="BN1543" s="212"/>
      <c r="BO1543" s="212"/>
      <c r="BP1543" s="212"/>
      <c r="BQ1543" s="212"/>
      <c r="BR1543" s="212"/>
      <c r="BS1543" s="212"/>
      <c r="BT1543" s="212"/>
      <c r="BU1543" s="212"/>
      <c r="BV1543" s="212"/>
      <c r="BW1543" s="212"/>
      <c r="BX1543" s="212"/>
      <c r="BY1543" s="212"/>
      <c r="BZ1543" s="212"/>
      <c r="CA1543" s="212"/>
      <c r="CB1543" s="212"/>
      <c r="CC1543" s="211"/>
      <c r="CD1543" s="212"/>
      <c r="CE1543" s="212"/>
      <c r="CF1543" s="212"/>
      <c r="CG1543" s="212"/>
      <c r="CH1543" s="212"/>
      <c r="CI1543" s="212"/>
      <c r="CJ1543" s="212"/>
      <c r="CK1543" s="212"/>
      <c r="CL1543" s="212"/>
      <c r="CM1543" s="212"/>
      <c r="CN1543" s="212"/>
      <c r="CO1543" s="212"/>
      <c r="CP1543" s="212"/>
      <c r="CQ1543" s="212"/>
      <c r="CR1543" s="212"/>
      <c r="CS1543" s="211"/>
      <c r="CT1543" s="212"/>
      <c r="CU1543" s="212"/>
      <c r="CV1543" s="212"/>
      <c r="CW1543" s="212"/>
      <c r="CX1543" s="212"/>
      <c r="CY1543" s="212"/>
      <c r="CZ1543" s="212"/>
      <c r="DA1543" s="212"/>
      <c r="DB1543" s="212"/>
      <c r="DC1543" s="212"/>
      <c r="DD1543" s="212"/>
      <c r="DE1543" s="212"/>
      <c r="DF1543" s="212"/>
      <c r="DG1543" s="212"/>
      <c r="DH1543" s="212"/>
      <c r="DI1543" s="211"/>
      <c r="DJ1543" s="212"/>
      <c r="DK1543" s="212"/>
      <c r="DL1543" s="212"/>
      <c r="DM1543" s="212"/>
      <c r="DN1543" s="212"/>
      <c r="DO1543" s="212"/>
      <c r="DP1543" s="212"/>
      <c r="DQ1543" s="212"/>
      <c r="DR1543" s="212"/>
      <c r="DS1543" s="212"/>
      <c r="DT1543" s="212"/>
      <c r="DU1543" s="212"/>
      <c r="DV1543" s="212"/>
      <c r="DW1543" s="212"/>
      <c r="DX1543" s="212"/>
      <c r="DY1543" s="211"/>
      <c r="DZ1543" s="212"/>
      <c r="EA1543" s="212"/>
      <c r="EB1543" s="212"/>
      <c r="EC1543" s="212"/>
      <c r="ED1543" s="212"/>
      <c r="EE1543" s="212"/>
      <c r="EF1543" s="212"/>
      <c r="EG1543" s="212"/>
      <c r="EH1543" s="212"/>
      <c r="EI1543" s="212"/>
      <c r="EJ1543" s="212"/>
      <c r="EK1543" s="212"/>
      <c r="EL1543" s="212"/>
      <c r="EM1543" s="212"/>
      <c r="EN1543" s="212"/>
      <c r="EO1543" s="211"/>
      <c r="EP1543" s="212"/>
      <c r="EQ1543" s="212"/>
      <c r="ER1543" s="212"/>
      <c r="ES1543" s="212"/>
      <c r="ET1543" s="212"/>
      <c r="EU1543" s="212"/>
      <c r="EV1543" s="212"/>
      <c r="EW1543" s="212"/>
      <c r="EX1543" s="212"/>
      <c r="EY1543" s="212"/>
      <c r="EZ1543" s="212"/>
      <c r="FA1543" s="212"/>
      <c r="FB1543" s="212"/>
      <c r="FC1543" s="212"/>
      <c r="FD1543" s="212"/>
      <c r="FE1543" s="211"/>
      <c r="FF1543" s="212"/>
      <c r="FG1543" s="212"/>
      <c r="FH1543" s="212"/>
      <c r="FI1543" s="212"/>
      <c r="FJ1543" s="212"/>
      <c r="FK1543" s="212"/>
      <c r="FL1543" s="212"/>
      <c r="FM1543" s="212"/>
      <c r="FN1543" s="212"/>
      <c r="FO1543" s="212"/>
      <c r="FP1543" s="212"/>
      <c r="FQ1543" s="212"/>
      <c r="FR1543" s="212"/>
      <c r="FS1543" s="212"/>
      <c r="FT1543" s="212"/>
      <c r="FU1543" s="211"/>
      <c r="FV1543" s="212"/>
      <c r="FW1543" s="212"/>
      <c r="FX1543" s="212"/>
      <c r="FY1543" s="212"/>
      <c r="FZ1543" s="212"/>
      <c r="GA1543" s="212"/>
      <c r="GB1543" s="212"/>
      <c r="GC1543" s="212"/>
      <c r="GD1543" s="212"/>
      <c r="GE1543" s="212"/>
      <c r="GF1543" s="212"/>
      <c r="GG1543" s="212"/>
      <c r="GH1543" s="212"/>
      <c r="GI1543" s="212"/>
      <c r="GJ1543" s="212"/>
      <c r="GK1543" s="211"/>
      <c r="GL1543" s="212"/>
      <c r="GM1543" s="212"/>
      <c r="GN1543" s="212"/>
      <c r="GO1543" s="212"/>
      <c r="GP1543" s="212"/>
      <c r="GQ1543" s="212"/>
      <c r="GR1543" s="212"/>
      <c r="GS1543" s="212"/>
      <c r="GT1543" s="212"/>
      <c r="GU1543" s="212"/>
      <c r="GV1543" s="212"/>
      <c r="GW1543" s="212"/>
      <c r="GX1543" s="212"/>
      <c r="GY1543" s="212"/>
      <c r="GZ1543" s="212"/>
      <c r="HA1543" s="211"/>
      <c r="HB1543" s="212"/>
      <c r="HC1543" s="212"/>
      <c r="HD1543" s="212"/>
      <c r="HE1543" s="212"/>
      <c r="HF1543" s="212"/>
      <c r="HG1543" s="212"/>
      <c r="HH1543" s="212"/>
      <c r="HI1543" s="212"/>
      <c r="HJ1543" s="212"/>
      <c r="HK1543" s="212"/>
      <c r="HL1543" s="212"/>
      <c r="HM1543" s="212"/>
      <c r="HN1543" s="212"/>
      <c r="HO1543" s="212"/>
      <c r="HP1543" s="212"/>
      <c r="HQ1543" s="211"/>
      <c r="HR1543" s="212"/>
      <c r="HS1543" s="212"/>
      <c r="HT1543" s="212"/>
      <c r="HU1543" s="212"/>
      <c r="HV1543" s="212"/>
      <c r="HW1543" s="212"/>
      <c r="HX1543" s="212"/>
      <c r="HY1543" s="212"/>
      <c r="HZ1543" s="212"/>
      <c r="IA1543" s="212"/>
      <c r="IB1543" s="212"/>
      <c r="IC1543" s="212"/>
      <c r="ID1543" s="212"/>
      <c r="IE1543" s="212"/>
      <c r="IF1543" s="212"/>
      <c r="IG1543" s="211"/>
      <c r="IH1543" s="212"/>
      <c r="II1543" s="212"/>
      <c r="IJ1543" s="212"/>
      <c r="IK1543" s="212"/>
      <c r="IL1543" s="212"/>
      <c r="IM1543" s="212"/>
      <c r="IN1543" s="212"/>
      <c r="IO1543" s="212"/>
      <c r="IP1543" s="212"/>
      <c r="IQ1543" s="212"/>
      <c r="IR1543" s="212"/>
      <c r="IS1543" s="212"/>
      <c r="IT1543" s="212"/>
      <c r="IU1543" s="212"/>
      <c r="IV1543" s="212"/>
    </row>
    <row r="1544" spans="1:256" ht="15" customHeight="1" x14ac:dyDescent="0.2">
      <c r="A1544" s="95"/>
      <c r="B1544" s="51"/>
      <c r="C1544" s="51"/>
      <c r="D1544" s="51"/>
      <c r="E1544" s="51"/>
      <c r="F1544" s="51"/>
      <c r="G1544" s="51"/>
      <c r="H1544" s="51"/>
      <c r="I1544" s="51"/>
      <c r="J1544" s="51"/>
      <c r="K1544" s="51"/>
      <c r="L1544" s="51"/>
      <c r="M1544" s="51"/>
      <c r="N1544" s="51"/>
      <c r="O1544" s="51"/>
      <c r="P1544" s="51"/>
      <c r="Q1544" s="38"/>
      <c r="R1544" s="51"/>
      <c r="S1544" s="51"/>
      <c r="T1544" s="51"/>
      <c r="U1544" s="51"/>
      <c r="V1544" s="51"/>
      <c r="W1544" s="51"/>
      <c r="X1544" s="51"/>
      <c r="Y1544" s="51"/>
      <c r="Z1544" s="51"/>
      <c r="AA1544" s="51"/>
      <c r="AB1544" s="51"/>
      <c r="AC1544" s="51"/>
      <c r="AD1544" s="51"/>
      <c r="AE1544" s="51"/>
      <c r="AF1544" s="51"/>
      <c r="AG1544" s="95"/>
      <c r="AH1544" s="51"/>
      <c r="AI1544" s="51"/>
      <c r="AJ1544" s="51"/>
      <c r="AK1544" s="51"/>
      <c r="AL1544" s="51"/>
      <c r="AM1544" s="51"/>
      <c r="AN1544" s="51"/>
      <c r="AO1544" s="51"/>
      <c r="AP1544" s="51"/>
      <c r="AQ1544" s="51"/>
      <c r="AR1544" s="51"/>
      <c r="AS1544" s="51"/>
      <c r="AT1544" s="51"/>
      <c r="AU1544" s="51"/>
      <c r="AV1544" s="51"/>
      <c r="AW1544" s="95"/>
      <c r="AX1544" s="51"/>
      <c r="AY1544" s="51"/>
      <c r="AZ1544" s="51"/>
      <c r="BA1544" s="51"/>
      <c r="BB1544" s="51"/>
      <c r="BC1544" s="51"/>
      <c r="BD1544" s="51"/>
      <c r="BE1544" s="51"/>
      <c r="BF1544" s="51"/>
      <c r="BG1544" s="51"/>
      <c r="BH1544" s="51"/>
      <c r="BI1544" s="51"/>
      <c r="BJ1544" s="51"/>
      <c r="BK1544" s="51"/>
      <c r="BL1544" s="51"/>
      <c r="BM1544" s="95"/>
      <c r="BN1544" s="51"/>
      <c r="BO1544" s="51"/>
      <c r="BP1544" s="51"/>
      <c r="BQ1544" s="51"/>
      <c r="BR1544" s="51"/>
      <c r="BS1544" s="51"/>
      <c r="BT1544" s="51"/>
      <c r="BU1544" s="51"/>
      <c r="BV1544" s="51"/>
      <c r="BW1544" s="51"/>
      <c r="BX1544" s="51"/>
      <c r="BY1544" s="51"/>
      <c r="BZ1544" s="51"/>
      <c r="CA1544" s="51"/>
      <c r="CB1544" s="51"/>
      <c r="CC1544" s="95"/>
      <c r="CD1544" s="51"/>
      <c r="CE1544" s="51"/>
      <c r="CF1544" s="51"/>
      <c r="CG1544" s="51"/>
      <c r="CH1544" s="51"/>
      <c r="CI1544" s="51"/>
      <c r="CJ1544" s="51"/>
      <c r="CK1544" s="51"/>
      <c r="CL1544" s="51"/>
      <c r="CM1544" s="51"/>
      <c r="CN1544" s="51"/>
      <c r="CO1544" s="51"/>
      <c r="CP1544" s="51"/>
      <c r="CQ1544" s="51"/>
      <c r="CR1544" s="51"/>
      <c r="CS1544" s="95"/>
      <c r="CT1544" s="51"/>
      <c r="CU1544" s="51"/>
      <c r="CV1544" s="51"/>
      <c r="CW1544" s="51"/>
      <c r="CX1544" s="51"/>
      <c r="CY1544" s="51"/>
      <c r="CZ1544" s="51"/>
      <c r="DA1544" s="51"/>
      <c r="DB1544" s="51"/>
      <c r="DC1544" s="51"/>
      <c r="DD1544" s="51"/>
      <c r="DE1544" s="51"/>
      <c r="DF1544" s="51"/>
      <c r="DG1544" s="51"/>
      <c r="DH1544" s="51"/>
      <c r="DI1544" s="95"/>
      <c r="DJ1544" s="51"/>
      <c r="DK1544" s="51"/>
      <c r="DL1544" s="51"/>
      <c r="DM1544" s="51"/>
      <c r="DN1544" s="51"/>
      <c r="DO1544" s="51"/>
      <c r="DP1544" s="51"/>
      <c r="DQ1544" s="51"/>
      <c r="DR1544" s="51"/>
      <c r="DS1544" s="51"/>
      <c r="DT1544" s="51"/>
      <c r="DU1544" s="51"/>
      <c r="DV1544" s="51"/>
      <c r="DW1544" s="51"/>
      <c r="DX1544" s="51"/>
      <c r="DY1544" s="95"/>
      <c r="DZ1544" s="51"/>
      <c r="EA1544" s="51"/>
      <c r="EB1544" s="51"/>
      <c r="EC1544" s="51"/>
      <c r="ED1544" s="51"/>
      <c r="EE1544" s="51"/>
      <c r="EF1544" s="51"/>
      <c r="EG1544" s="51"/>
      <c r="EH1544" s="51"/>
      <c r="EI1544" s="51"/>
      <c r="EJ1544" s="51"/>
      <c r="EK1544" s="51"/>
      <c r="EL1544" s="51"/>
      <c r="EM1544" s="51"/>
      <c r="EN1544" s="51"/>
      <c r="EO1544" s="95"/>
      <c r="EP1544" s="51"/>
      <c r="EQ1544" s="51"/>
      <c r="ER1544" s="51"/>
      <c r="ES1544" s="51"/>
      <c r="ET1544" s="51"/>
      <c r="EU1544" s="51"/>
      <c r="EV1544" s="51"/>
      <c r="EW1544" s="51"/>
      <c r="EX1544" s="51"/>
      <c r="EY1544" s="51"/>
      <c r="EZ1544" s="51"/>
      <c r="FA1544" s="51"/>
      <c r="FB1544" s="51"/>
      <c r="FC1544" s="51"/>
      <c r="FD1544" s="51"/>
      <c r="FE1544" s="95"/>
      <c r="FF1544" s="51"/>
      <c r="FG1544" s="51"/>
      <c r="FH1544" s="51"/>
      <c r="FI1544" s="51"/>
      <c r="FJ1544" s="51"/>
      <c r="FK1544" s="51"/>
      <c r="FL1544" s="51"/>
      <c r="FM1544" s="51"/>
      <c r="FN1544" s="51"/>
      <c r="FO1544" s="51"/>
      <c r="FP1544" s="51"/>
      <c r="FQ1544" s="51"/>
      <c r="FR1544" s="51"/>
      <c r="FS1544" s="51"/>
      <c r="FT1544" s="51"/>
      <c r="FU1544" s="95"/>
      <c r="FV1544" s="51"/>
      <c r="FW1544" s="51"/>
      <c r="FX1544" s="51"/>
      <c r="FY1544" s="51"/>
      <c r="FZ1544" s="51"/>
      <c r="GA1544" s="51"/>
      <c r="GB1544" s="51"/>
      <c r="GC1544" s="51"/>
      <c r="GD1544" s="51"/>
      <c r="GE1544" s="51"/>
      <c r="GF1544" s="51"/>
      <c r="GG1544" s="51"/>
      <c r="GH1544" s="51"/>
      <c r="GI1544" s="51"/>
      <c r="GJ1544" s="51"/>
      <c r="GK1544" s="95"/>
      <c r="GL1544" s="51"/>
      <c r="GM1544" s="51"/>
      <c r="GN1544" s="51"/>
      <c r="GO1544" s="51"/>
      <c r="GP1544" s="51"/>
      <c r="GQ1544" s="51"/>
      <c r="GR1544" s="51"/>
      <c r="GS1544" s="51"/>
      <c r="GT1544" s="51"/>
      <c r="GU1544" s="51"/>
      <c r="GV1544" s="51"/>
      <c r="GW1544" s="51"/>
      <c r="GX1544" s="51"/>
      <c r="GY1544" s="51"/>
      <c r="GZ1544" s="51"/>
      <c r="HA1544" s="95"/>
      <c r="HB1544" s="51"/>
      <c r="HC1544" s="51"/>
      <c r="HD1544" s="51"/>
      <c r="HE1544" s="51"/>
      <c r="HF1544" s="51"/>
      <c r="HG1544" s="51"/>
      <c r="HH1544" s="51"/>
      <c r="HI1544" s="51"/>
      <c r="HJ1544" s="51"/>
      <c r="HK1544" s="51"/>
      <c r="HL1544" s="51"/>
      <c r="HM1544" s="51"/>
      <c r="HN1544" s="51"/>
      <c r="HO1544" s="51"/>
      <c r="HP1544" s="51"/>
      <c r="HQ1544" s="95"/>
      <c r="HR1544" s="51"/>
      <c r="HS1544" s="51"/>
      <c r="HT1544" s="51"/>
      <c r="HU1544" s="51"/>
      <c r="HV1544" s="51"/>
      <c r="HW1544" s="51"/>
      <c r="HX1544" s="51"/>
      <c r="HY1544" s="51"/>
      <c r="HZ1544" s="51"/>
      <c r="IA1544" s="51"/>
      <c r="IB1544" s="51"/>
      <c r="IC1544" s="51"/>
      <c r="ID1544" s="51"/>
      <c r="IE1544" s="51"/>
      <c r="IF1544" s="51"/>
      <c r="IG1544" s="95"/>
      <c r="IH1544" s="51"/>
      <c r="II1544" s="51"/>
      <c r="IJ1544" s="51"/>
      <c r="IK1544" s="51"/>
      <c r="IL1544" s="51"/>
      <c r="IM1544" s="51"/>
      <c r="IN1544" s="51"/>
      <c r="IO1544" s="51"/>
      <c r="IP1544" s="51"/>
      <c r="IQ1544" s="51"/>
      <c r="IR1544" s="51"/>
      <c r="IS1544" s="51"/>
      <c r="IT1544" s="51"/>
      <c r="IU1544" s="51"/>
      <c r="IV1544" s="51"/>
    </row>
    <row r="1545" spans="1:256" ht="62.25" customHeight="1" x14ac:dyDescent="0.25">
      <c r="A1545" s="219" t="s">
        <v>983</v>
      </c>
      <c r="B1545" s="219"/>
      <c r="C1545" s="219"/>
      <c r="D1545" s="219"/>
      <c r="E1545" s="219"/>
      <c r="F1545" s="219"/>
      <c r="G1545" s="219"/>
      <c r="H1545" s="219"/>
      <c r="I1545" s="219"/>
      <c r="J1545" s="219"/>
      <c r="K1545" s="219"/>
      <c r="L1545" s="219"/>
      <c r="M1545" s="219"/>
      <c r="N1545" s="219"/>
      <c r="O1545" s="219"/>
      <c r="P1545" s="219"/>
      <c r="Q1545" s="38"/>
    </row>
    <row r="1546" spans="1:256" x14ac:dyDescent="0.2">
      <c r="Q1546" s="38"/>
    </row>
    <row r="1547" spans="1:256" x14ac:dyDescent="0.2">
      <c r="A1547" s="238" t="s">
        <v>873</v>
      </c>
      <c r="B1547" s="239"/>
      <c r="C1547" s="212"/>
      <c r="D1547" s="212"/>
      <c r="E1547" s="72"/>
      <c r="F1547" s="238"/>
      <c r="G1547" s="238"/>
      <c r="H1547" s="238"/>
      <c r="I1547" s="238"/>
      <c r="J1547" s="238"/>
      <c r="K1547" s="238"/>
      <c r="L1547" s="238"/>
      <c r="M1547" s="238"/>
      <c r="N1547" s="238"/>
      <c r="O1547" s="238"/>
      <c r="P1547" s="238"/>
      <c r="Q1547" s="38"/>
    </row>
    <row r="1548" spans="1:256" ht="5" customHeight="1" x14ac:dyDescent="0.2">
      <c r="A1548" s="140"/>
      <c r="B1548" s="152"/>
      <c r="C1548" s="51"/>
      <c r="D1548" s="51"/>
      <c r="E1548" s="72"/>
      <c r="F1548" s="140"/>
      <c r="G1548" s="140"/>
      <c r="H1548" s="140"/>
      <c r="I1548" s="140"/>
      <c r="J1548" s="140"/>
      <c r="K1548" s="140"/>
      <c r="L1548" s="140"/>
      <c r="M1548" s="140"/>
      <c r="N1548" s="140"/>
      <c r="O1548" s="140"/>
      <c r="P1548" s="140"/>
      <c r="Q1548" s="38"/>
    </row>
    <row r="1549" spans="1:256" ht="5" customHeight="1" x14ac:dyDescent="0.2">
      <c r="A1549" s="48"/>
      <c r="B1549" s="23"/>
      <c r="C1549" s="23"/>
      <c r="D1549" s="23"/>
      <c r="E1549" s="23"/>
      <c r="F1549" s="33"/>
      <c r="G1549" s="33"/>
      <c r="H1549" s="33"/>
      <c r="I1549" s="33"/>
      <c r="J1549" s="178"/>
      <c r="K1549" s="33"/>
      <c r="L1549" s="33"/>
      <c r="M1549" s="33"/>
      <c r="N1549" s="33"/>
      <c r="O1549" s="33"/>
      <c r="P1549" s="34"/>
      <c r="Q1549" s="2"/>
    </row>
    <row r="1550" spans="1:256" ht="15" customHeight="1" x14ac:dyDescent="0.25">
      <c r="A1550" s="141"/>
      <c r="B1550" s="20"/>
      <c r="C1550" s="20"/>
      <c r="D1550" s="20"/>
      <c r="E1550" s="20"/>
      <c r="F1550" s="27"/>
      <c r="G1550" s="27"/>
      <c r="H1550" s="27"/>
      <c r="I1550" s="27"/>
      <c r="J1550" s="179"/>
      <c r="K1550" s="215" t="s">
        <v>897</v>
      </c>
      <c r="L1550" s="216"/>
      <c r="M1550" s="216"/>
      <c r="N1550" s="216"/>
      <c r="O1550" s="216"/>
      <c r="P1550" s="217"/>
      <c r="Q1550" s="2"/>
    </row>
    <row r="1551" spans="1:256" x14ac:dyDescent="0.2">
      <c r="A1551" s="224" t="s">
        <v>878</v>
      </c>
      <c r="B1551" s="225"/>
      <c r="C1551" s="225"/>
      <c r="D1551" s="225"/>
      <c r="E1551" s="225"/>
      <c r="F1551" s="225"/>
      <c r="G1551" s="225"/>
      <c r="H1551" s="225"/>
      <c r="I1551" s="225"/>
      <c r="J1551" s="226"/>
      <c r="K1551" s="27"/>
      <c r="L1551" s="70" t="s">
        <v>875</v>
      </c>
      <c r="M1551" s="67" t="s">
        <v>61</v>
      </c>
      <c r="N1551" s="213"/>
      <c r="O1551" s="214"/>
      <c r="P1551" s="26"/>
      <c r="Q1551" s="2"/>
    </row>
    <row r="1552" spans="1:256" ht="5" customHeight="1" x14ac:dyDescent="0.2">
      <c r="A1552" s="47"/>
      <c r="B1552" s="21"/>
      <c r="C1552" s="21"/>
      <c r="D1552" s="21"/>
      <c r="E1552" s="21"/>
      <c r="F1552" s="10"/>
      <c r="G1552" s="10"/>
      <c r="H1552" s="10"/>
      <c r="I1552" s="10"/>
      <c r="J1552" s="180"/>
      <c r="K1552" s="10"/>
      <c r="L1552" s="10"/>
      <c r="M1552" s="10"/>
      <c r="N1552" s="10"/>
      <c r="O1552" s="10"/>
      <c r="P1552" s="28"/>
      <c r="Q1552" s="2"/>
    </row>
    <row r="1553" spans="1:17" ht="5" customHeight="1" x14ac:dyDescent="0.2">
      <c r="A1553" s="49"/>
      <c r="B1553" s="24"/>
      <c r="C1553" s="24"/>
      <c r="D1553" s="24"/>
      <c r="E1553" s="24"/>
      <c r="F1553" s="29"/>
      <c r="G1553" s="29"/>
      <c r="H1553" s="29"/>
      <c r="I1553" s="29"/>
      <c r="J1553" s="183"/>
      <c r="K1553" s="29"/>
      <c r="L1553" s="29"/>
      <c r="M1553" s="29"/>
      <c r="N1553" s="29"/>
      <c r="O1553" s="29"/>
      <c r="P1553" s="30"/>
      <c r="Q1553" s="2"/>
    </row>
    <row r="1554" spans="1:17" ht="15" customHeight="1" x14ac:dyDescent="0.25">
      <c r="A1554" s="61"/>
      <c r="B1554" s="22"/>
      <c r="C1554" s="22"/>
      <c r="D1554" s="22"/>
      <c r="E1554" s="22"/>
      <c r="F1554" s="40"/>
      <c r="G1554" s="40"/>
      <c r="H1554" s="40"/>
      <c r="I1554" s="40"/>
      <c r="J1554" s="176"/>
      <c r="K1554" s="218" t="s">
        <v>897</v>
      </c>
      <c r="L1554" s="219"/>
      <c r="M1554" s="219"/>
      <c r="N1554" s="219"/>
      <c r="O1554" s="219"/>
      <c r="P1554" s="220"/>
      <c r="Q1554" s="2"/>
    </row>
    <row r="1555" spans="1:17" x14ac:dyDescent="0.2">
      <c r="A1555" s="221" t="s">
        <v>880</v>
      </c>
      <c r="B1555" s="222"/>
      <c r="C1555" s="222"/>
      <c r="D1555" s="222"/>
      <c r="E1555" s="222"/>
      <c r="F1555" s="222"/>
      <c r="G1555" s="222"/>
      <c r="H1555" s="222"/>
      <c r="I1555" s="222"/>
      <c r="J1555" s="223"/>
      <c r="K1555" s="40"/>
      <c r="L1555" s="70" t="s">
        <v>883</v>
      </c>
      <c r="M1555" s="67" t="s">
        <v>61</v>
      </c>
      <c r="N1555" s="213"/>
      <c r="O1555" s="214"/>
      <c r="P1555" s="41"/>
      <c r="Q1555" s="2"/>
    </row>
    <row r="1556" spans="1:17" ht="5" customHeight="1" x14ac:dyDescent="0.2">
      <c r="A1556" s="50"/>
      <c r="B1556" s="25"/>
      <c r="C1556" s="25"/>
      <c r="D1556" s="25"/>
      <c r="E1556" s="25"/>
      <c r="F1556" s="31"/>
      <c r="G1556" s="31"/>
      <c r="H1556" s="31"/>
      <c r="I1556" s="31"/>
      <c r="J1556" s="177"/>
      <c r="K1556" s="31"/>
      <c r="L1556" s="31"/>
      <c r="M1556" s="31"/>
      <c r="N1556" s="31"/>
      <c r="O1556" s="31"/>
      <c r="P1556" s="32"/>
      <c r="Q1556" s="2"/>
    </row>
    <row r="1557" spans="1:17" ht="5" customHeight="1" x14ac:dyDescent="0.2">
      <c r="A1557" s="48"/>
      <c r="B1557" s="23"/>
      <c r="C1557" s="23"/>
      <c r="D1557" s="23"/>
      <c r="E1557" s="23"/>
      <c r="F1557" s="33"/>
      <c r="G1557" s="33"/>
      <c r="H1557" s="33"/>
      <c r="I1557" s="33"/>
      <c r="J1557" s="178"/>
      <c r="K1557" s="33"/>
      <c r="L1557" s="33"/>
      <c r="M1557" s="33"/>
      <c r="N1557" s="33"/>
      <c r="O1557" s="33"/>
      <c r="P1557" s="34"/>
      <c r="Q1557" s="2"/>
    </row>
    <row r="1558" spans="1:17" ht="15" customHeight="1" x14ac:dyDescent="0.25">
      <c r="A1558" s="141"/>
      <c r="B1558" s="20"/>
      <c r="C1558" s="20"/>
      <c r="D1558" s="20"/>
      <c r="E1558" s="20"/>
      <c r="F1558" s="27"/>
      <c r="G1558" s="27"/>
      <c r="H1558" s="27"/>
      <c r="I1558" s="27"/>
      <c r="J1558" s="179"/>
      <c r="K1558" s="215" t="s">
        <v>897</v>
      </c>
      <c r="L1558" s="216"/>
      <c r="M1558" s="216"/>
      <c r="N1558" s="216"/>
      <c r="O1558" s="216"/>
      <c r="P1558" s="217"/>
      <c r="Q1558" s="2"/>
    </row>
    <row r="1559" spans="1:17" x14ac:dyDescent="0.2">
      <c r="A1559" s="224" t="s">
        <v>263</v>
      </c>
      <c r="B1559" s="225"/>
      <c r="C1559" s="225"/>
      <c r="D1559" s="225"/>
      <c r="E1559" s="225"/>
      <c r="F1559" s="225"/>
      <c r="G1559" s="225"/>
      <c r="H1559" s="225"/>
      <c r="I1559" s="225"/>
      <c r="J1559" s="226"/>
      <c r="K1559" s="27"/>
      <c r="L1559" s="70" t="s">
        <v>884</v>
      </c>
      <c r="M1559" s="67" t="s">
        <v>61</v>
      </c>
      <c r="N1559" s="213"/>
      <c r="O1559" s="214"/>
      <c r="P1559" s="26"/>
      <c r="Q1559" s="2"/>
    </row>
    <row r="1560" spans="1:17" ht="5" customHeight="1" x14ac:dyDescent="0.2">
      <c r="A1560" s="47"/>
      <c r="B1560" s="21"/>
      <c r="C1560" s="21"/>
      <c r="D1560" s="21"/>
      <c r="E1560" s="21"/>
      <c r="F1560" s="10"/>
      <c r="G1560" s="10"/>
      <c r="H1560" s="10"/>
      <c r="I1560" s="10"/>
      <c r="J1560" s="180"/>
      <c r="K1560" s="10"/>
      <c r="L1560" s="10"/>
      <c r="M1560" s="10"/>
      <c r="N1560" s="10"/>
      <c r="O1560" s="10"/>
      <c r="P1560" s="28"/>
      <c r="Q1560" s="2"/>
    </row>
    <row r="1561" spans="1:17" ht="5" customHeight="1" x14ac:dyDescent="0.2">
      <c r="A1561" s="49"/>
      <c r="B1561" s="24"/>
      <c r="C1561" s="24"/>
      <c r="D1561" s="24"/>
      <c r="E1561" s="24"/>
      <c r="F1561" s="29"/>
      <c r="G1561" s="29"/>
      <c r="H1561" s="29"/>
      <c r="I1561" s="29"/>
      <c r="J1561" s="183"/>
      <c r="K1561" s="29"/>
      <c r="L1561" s="29"/>
      <c r="M1561" s="29"/>
      <c r="N1561" s="29"/>
      <c r="O1561" s="29"/>
      <c r="P1561" s="30"/>
      <c r="Q1561" s="2"/>
    </row>
    <row r="1562" spans="1:17" ht="15" customHeight="1" x14ac:dyDescent="0.25">
      <c r="A1562" s="61"/>
      <c r="B1562" s="22"/>
      <c r="C1562" s="22"/>
      <c r="D1562" s="22"/>
      <c r="E1562" s="22"/>
      <c r="F1562" s="40"/>
      <c r="G1562" s="40"/>
      <c r="H1562" s="40"/>
      <c r="I1562" s="40"/>
      <c r="J1562" s="176"/>
      <c r="K1562" s="218" t="s">
        <v>897</v>
      </c>
      <c r="L1562" s="219"/>
      <c r="M1562" s="219"/>
      <c r="N1562" s="219"/>
      <c r="O1562" s="219"/>
      <c r="P1562" s="220"/>
      <c r="Q1562" s="2"/>
    </row>
    <row r="1563" spans="1:17" x14ac:dyDescent="0.2">
      <c r="A1563" s="221" t="s">
        <v>262</v>
      </c>
      <c r="B1563" s="222"/>
      <c r="C1563" s="222"/>
      <c r="D1563" s="222"/>
      <c r="E1563" s="222"/>
      <c r="F1563" s="222"/>
      <c r="G1563" s="222"/>
      <c r="H1563" s="222"/>
      <c r="I1563" s="222"/>
      <c r="J1563" s="223"/>
      <c r="K1563" s="40"/>
      <c r="L1563" s="70" t="s">
        <v>885</v>
      </c>
      <c r="M1563" s="67" t="s">
        <v>61</v>
      </c>
      <c r="N1563" s="213"/>
      <c r="O1563" s="214"/>
      <c r="P1563" s="41"/>
      <c r="Q1563" s="2"/>
    </row>
    <row r="1564" spans="1:17" ht="5" customHeight="1" x14ac:dyDescent="0.2">
      <c r="A1564" s="50"/>
      <c r="B1564" s="25"/>
      <c r="C1564" s="25"/>
      <c r="D1564" s="25"/>
      <c r="E1564" s="25"/>
      <c r="F1564" s="31"/>
      <c r="G1564" s="31"/>
      <c r="H1564" s="31"/>
      <c r="I1564" s="31"/>
      <c r="J1564" s="177"/>
      <c r="K1564" s="31"/>
      <c r="L1564" s="31"/>
      <c r="M1564" s="31"/>
      <c r="N1564" s="31"/>
      <c r="O1564" s="31"/>
      <c r="P1564" s="32"/>
      <c r="Q1564" s="2"/>
    </row>
    <row r="1565" spans="1:17" ht="5" customHeight="1" x14ac:dyDescent="0.2">
      <c r="A1565" s="48"/>
      <c r="B1565" s="23"/>
      <c r="C1565" s="23"/>
      <c r="D1565" s="23"/>
      <c r="E1565" s="23"/>
      <c r="F1565" s="33"/>
      <c r="G1565" s="33"/>
      <c r="H1565" s="33"/>
      <c r="I1565" s="33"/>
      <c r="J1565" s="178"/>
      <c r="K1565" s="33"/>
      <c r="L1565" s="33"/>
      <c r="M1565" s="33"/>
      <c r="N1565" s="33"/>
      <c r="O1565" s="33"/>
      <c r="P1565" s="34"/>
      <c r="Q1565" s="2"/>
    </row>
    <row r="1566" spans="1:17" ht="15" customHeight="1" x14ac:dyDescent="0.25">
      <c r="A1566" s="141"/>
      <c r="B1566" s="20"/>
      <c r="C1566" s="20"/>
      <c r="D1566" s="20"/>
      <c r="E1566" s="20"/>
      <c r="F1566" s="27"/>
      <c r="G1566" s="27"/>
      <c r="H1566" s="27"/>
      <c r="I1566" s="27"/>
      <c r="J1566" s="179"/>
      <c r="K1566" s="215" t="s">
        <v>897</v>
      </c>
      <c r="L1566" s="216"/>
      <c r="M1566" s="216"/>
      <c r="N1566" s="216"/>
      <c r="O1566" s="216"/>
      <c r="P1566" s="217"/>
      <c r="Q1566" s="2"/>
    </row>
    <row r="1567" spans="1:17" x14ac:dyDescent="0.2">
      <c r="A1567" s="224" t="s">
        <v>696</v>
      </c>
      <c r="B1567" s="225"/>
      <c r="C1567" s="225"/>
      <c r="D1567" s="225"/>
      <c r="E1567" s="225"/>
      <c r="F1567" s="225"/>
      <c r="G1567" s="225"/>
      <c r="H1567" s="225"/>
      <c r="I1567" s="225"/>
      <c r="J1567" s="226"/>
      <c r="K1567" s="27"/>
      <c r="L1567" s="70" t="s">
        <v>886</v>
      </c>
      <c r="M1567" s="67" t="s">
        <v>61</v>
      </c>
      <c r="N1567" s="213"/>
      <c r="O1567" s="214"/>
      <c r="P1567" s="26"/>
      <c r="Q1567" s="2"/>
    </row>
    <row r="1568" spans="1:17" ht="5" customHeight="1" x14ac:dyDescent="0.2">
      <c r="A1568" s="47"/>
      <c r="B1568" s="21"/>
      <c r="C1568" s="21"/>
      <c r="D1568" s="21"/>
      <c r="E1568" s="21"/>
      <c r="F1568" s="10"/>
      <c r="G1568" s="10"/>
      <c r="H1568" s="10"/>
      <c r="I1568" s="10"/>
      <c r="J1568" s="180"/>
      <c r="K1568" s="10"/>
      <c r="L1568" s="10"/>
      <c r="M1568" s="10"/>
      <c r="N1568" s="10"/>
      <c r="O1568" s="10"/>
      <c r="P1568" s="28"/>
      <c r="Q1568" s="2"/>
    </row>
    <row r="1569" spans="1:17" ht="5" customHeight="1" x14ac:dyDescent="0.2">
      <c r="A1569" s="49"/>
      <c r="B1569" s="24"/>
      <c r="C1569" s="24"/>
      <c r="D1569" s="24"/>
      <c r="E1569" s="24"/>
      <c r="F1569" s="29"/>
      <c r="G1569" s="29"/>
      <c r="H1569" s="29"/>
      <c r="I1569" s="29"/>
      <c r="J1569" s="183"/>
      <c r="K1569" s="29"/>
      <c r="L1569" s="29"/>
      <c r="M1569" s="29"/>
      <c r="N1569" s="29"/>
      <c r="O1569" s="29"/>
      <c r="P1569" s="30"/>
      <c r="Q1569" s="2"/>
    </row>
    <row r="1570" spans="1:17" ht="15" customHeight="1" x14ac:dyDescent="0.25">
      <c r="A1570" s="61"/>
      <c r="B1570" s="22"/>
      <c r="C1570" s="22"/>
      <c r="D1570" s="22"/>
      <c r="E1570" s="22"/>
      <c r="F1570" s="40"/>
      <c r="G1570" s="40"/>
      <c r="H1570" s="40"/>
      <c r="I1570" s="40"/>
      <c r="J1570" s="176"/>
      <c r="K1570" s="218" t="s">
        <v>897</v>
      </c>
      <c r="L1570" s="219"/>
      <c r="M1570" s="219"/>
      <c r="N1570" s="219"/>
      <c r="O1570" s="219"/>
      <c r="P1570" s="220"/>
      <c r="Q1570" s="2"/>
    </row>
    <row r="1571" spans="1:17" x14ac:dyDescent="0.2">
      <c r="A1571" s="221" t="s">
        <v>881</v>
      </c>
      <c r="B1571" s="222"/>
      <c r="C1571" s="222"/>
      <c r="D1571" s="222"/>
      <c r="E1571" s="222"/>
      <c r="F1571" s="222"/>
      <c r="G1571" s="222"/>
      <c r="H1571" s="222"/>
      <c r="I1571" s="222"/>
      <c r="J1571" s="223"/>
      <c r="K1571" s="40"/>
      <c r="L1571" s="70" t="s">
        <v>887</v>
      </c>
      <c r="M1571" s="67" t="s">
        <v>61</v>
      </c>
      <c r="N1571" s="213"/>
      <c r="O1571" s="214"/>
      <c r="P1571" s="41"/>
      <c r="Q1571" s="2"/>
    </row>
    <row r="1572" spans="1:17" ht="5" customHeight="1" x14ac:dyDescent="0.2">
      <c r="A1572" s="50"/>
      <c r="B1572" s="25"/>
      <c r="C1572" s="25"/>
      <c r="D1572" s="25"/>
      <c r="E1572" s="25"/>
      <c r="F1572" s="31"/>
      <c r="G1572" s="31"/>
      <c r="H1572" s="31"/>
      <c r="I1572" s="31"/>
      <c r="J1572" s="177"/>
      <c r="K1572" s="31"/>
      <c r="L1572" s="31"/>
      <c r="M1572" s="31"/>
      <c r="N1572" s="31"/>
      <c r="O1572" s="31"/>
      <c r="P1572" s="32"/>
      <c r="Q1572" s="2"/>
    </row>
    <row r="1573" spans="1:17" ht="5" customHeight="1" x14ac:dyDescent="0.2">
      <c r="A1573" s="48"/>
      <c r="B1573" s="23"/>
      <c r="C1573" s="23"/>
      <c r="D1573" s="23"/>
      <c r="E1573" s="23"/>
      <c r="F1573" s="33"/>
      <c r="G1573" s="33"/>
      <c r="H1573" s="33"/>
      <c r="I1573" s="33"/>
      <c r="J1573" s="178"/>
      <c r="K1573" s="33"/>
      <c r="L1573" s="33"/>
      <c r="M1573" s="33"/>
      <c r="N1573" s="33"/>
      <c r="O1573" s="33"/>
      <c r="P1573" s="34"/>
      <c r="Q1573" s="2"/>
    </row>
    <row r="1574" spans="1:17" ht="15" customHeight="1" x14ac:dyDescent="0.25">
      <c r="A1574" s="141"/>
      <c r="B1574" s="20"/>
      <c r="C1574" s="20"/>
      <c r="D1574" s="20"/>
      <c r="E1574" s="20"/>
      <c r="F1574" s="27"/>
      <c r="G1574" s="27"/>
      <c r="H1574" s="27"/>
      <c r="I1574" s="27"/>
      <c r="J1574" s="179"/>
      <c r="K1574" s="215" t="s">
        <v>897</v>
      </c>
      <c r="L1574" s="216"/>
      <c r="M1574" s="216"/>
      <c r="N1574" s="216"/>
      <c r="O1574" s="216"/>
      <c r="P1574" s="217"/>
      <c r="Q1574" s="2"/>
    </row>
    <row r="1575" spans="1:17" x14ac:dyDescent="0.2">
      <c r="A1575" s="224" t="s">
        <v>882</v>
      </c>
      <c r="B1575" s="225"/>
      <c r="C1575" s="225"/>
      <c r="D1575" s="225"/>
      <c r="E1575" s="225"/>
      <c r="F1575" s="225"/>
      <c r="G1575" s="225"/>
      <c r="H1575" s="225"/>
      <c r="I1575" s="225"/>
      <c r="J1575" s="226"/>
      <c r="K1575" s="27"/>
      <c r="L1575" s="70" t="s">
        <v>889</v>
      </c>
      <c r="M1575" s="67" t="s">
        <v>61</v>
      </c>
      <c r="N1575" s="213"/>
      <c r="O1575" s="214"/>
      <c r="P1575" s="26"/>
      <c r="Q1575" s="2"/>
    </row>
    <row r="1576" spans="1:17" ht="5" customHeight="1" x14ac:dyDescent="0.2">
      <c r="A1576" s="47"/>
      <c r="B1576" s="21"/>
      <c r="C1576" s="21"/>
      <c r="D1576" s="21"/>
      <c r="E1576" s="21"/>
      <c r="F1576" s="10"/>
      <c r="G1576" s="10"/>
      <c r="H1576" s="10"/>
      <c r="I1576" s="10"/>
      <c r="J1576" s="180"/>
      <c r="K1576" s="10"/>
      <c r="L1576" s="10"/>
      <c r="M1576" s="10"/>
      <c r="N1576" s="10"/>
      <c r="O1576" s="10"/>
      <c r="P1576" s="28"/>
      <c r="Q1576" s="2"/>
    </row>
    <row r="1577" spans="1:17" ht="5" customHeight="1" x14ac:dyDescent="0.2">
      <c r="A1577" s="49"/>
      <c r="B1577" s="24"/>
      <c r="C1577" s="24"/>
      <c r="D1577" s="24"/>
      <c r="E1577" s="24"/>
      <c r="F1577" s="29"/>
      <c r="G1577" s="29"/>
      <c r="H1577" s="29"/>
      <c r="I1577" s="29"/>
      <c r="J1577" s="183"/>
      <c r="K1577" s="29"/>
      <c r="L1577" s="29"/>
      <c r="M1577" s="29"/>
      <c r="N1577" s="29"/>
      <c r="O1577" s="29"/>
      <c r="P1577" s="30"/>
      <c r="Q1577" s="2"/>
    </row>
    <row r="1578" spans="1:17" ht="15" customHeight="1" x14ac:dyDescent="0.25">
      <c r="A1578" s="61"/>
      <c r="B1578" s="22"/>
      <c r="C1578" s="22"/>
      <c r="D1578" s="22"/>
      <c r="E1578" s="22"/>
      <c r="F1578" s="40"/>
      <c r="G1578" s="40"/>
      <c r="H1578" s="40"/>
      <c r="I1578" s="40"/>
      <c r="J1578" s="176"/>
      <c r="K1578" s="218" t="s">
        <v>897</v>
      </c>
      <c r="L1578" s="219"/>
      <c r="M1578" s="219"/>
      <c r="N1578" s="219"/>
      <c r="O1578" s="219"/>
      <c r="P1578" s="220"/>
      <c r="Q1578" s="2"/>
    </row>
    <row r="1579" spans="1:17" x14ac:dyDescent="0.2">
      <c r="A1579" s="221" t="s">
        <v>690</v>
      </c>
      <c r="B1579" s="222"/>
      <c r="C1579" s="222"/>
      <c r="D1579" s="222"/>
      <c r="E1579" s="222"/>
      <c r="F1579" s="222"/>
      <c r="G1579" s="222"/>
      <c r="H1579" s="222"/>
      <c r="I1579" s="222"/>
      <c r="J1579" s="223"/>
      <c r="K1579" s="40"/>
      <c r="L1579" s="70" t="s">
        <v>888</v>
      </c>
      <c r="M1579" s="67" t="s">
        <v>61</v>
      </c>
      <c r="N1579" s="213"/>
      <c r="O1579" s="214"/>
      <c r="P1579" s="41"/>
      <c r="Q1579" s="2"/>
    </row>
    <row r="1580" spans="1:17" ht="5" customHeight="1" x14ac:dyDescent="0.2">
      <c r="A1580" s="50"/>
      <c r="B1580" s="25"/>
      <c r="C1580" s="25"/>
      <c r="D1580" s="25"/>
      <c r="E1580" s="25"/>
      <c r="F1580" s="31"/>
      <c r="G1580" s="31"/>
      <c r="H1580" s="31"/>
      <c r="I1580" s="31"/>
      <c r="J1580" s="177"/>
      <c r="K1580" s="31"/>
      <c r="L1580" s="31"/>
      <c r="M1580" s="31"/>
      <c r="N1580" s="31"/>
      <c r="O1580" s="31"/>
      <c r="P1580" s="32"/>
      <c r="Q1580" s="2"/>
    </row>
    <row r="1581" spans="1:17" x14ac:dyDescent="0.2">
      <c r="Q1581" s="2"/>
    </row>
    <row r="1582" spans="1:17" x14ac:dyDescent="0.2">
      <c r="A1582" s="238" t="s">
        <v>874</v>
      </c>
      <c r="B1582" s="239"/>
      <c r="C1582" s="212"/>
      <c r="D1582" s="212"/>
      <c r="E1582" s="72"/>
      <c r="F1582" s="238"/>
      <c r="G1582" s="238"/>
      <c r="H1582" s="238"/>
      <c r="I1582" s="238"/>
      <c r="J1582" s="238"/>
      <c r="K1582" s="238"/>
      <c r="L1582" s="238"/>
      <c r="M1582" s="238"/>
      <c r="N1582" s="238"/>
      <c r="O1582" s="238"/>
      <c r="P1582" s="238"/>
      <c r="Q1582" s="38"/>
    </row>
    <row r="1583" spans="1:17" ht="5" customHeight="1" x14ac:dyDescent="0.2">
      <c r="A1583" s="140"/>
      <c r="B1583" s="152"/>
      <c r="C1583" s="51"/>
      <c r="D1583" s="51"/>
      <c r="E1583" s="72"/>
      <c r="F1583" s="140"/>
      <c r="G1583" s="140"/>
      <c r="H1583" s="140"/>
      <c r="I1583" s="140"/>
      <c r="J1583" s="140"/>
      <c r="K1583" s="140"/>
      <c r="L1583" s="140"/>
      <c r="M1583" s="140"/>
      <c r="N1583" s="140"/>
      <c r="O1583" s="140"/>
      <c r="P1583" s="140"/>
      <c r="Q1583" s="38"/>
    </row>
    <row r="1584" spans="1:17" ht="5" customHeight="1" x14ac:dyDescent="0.2">
      <c r="A1584" s="48"/>
      <c r="B1584" s="23"/>
      <c r="C1584" s="23"/>
      <c r="D1584" s="23"/>
      <c r="E1584" s="23"/>
      <c r="F1584" s="33"/>
      <c r="G1584" s="33"/>
      <c r="H1584" s="33"/>
      <c r="I1584" s="33"/>
      <c r="J1584" s="178"/>
      <c r="K1584" s="33"/>
      <c r="L1584" s="33"/>
      <c r="M1584" s="33"/>
      <c r="N1584" s="33"/>
      <c r="O1584" s="33"/>
      <c r="P1584" s="34"/>
      <c r="Q1584" s="2"/>
    </row>
    <row r="1585" spans="1:17" ht="15" customHeight="1" x14ac:dyDescent="0.25">
      <c r="A1585" s="141"/>
      <c r="B1585" s="20"/>
      <c r="C1585" s="20"/>
      <c r="D1585" s="20"/>
      <c r="E1585" s="20"/>
      <c r="F1585" s="27"/>
      <c r="G1585" s="27"/>
      <c r="H1585" s="27"/>
      <c r="I1585" s="27"/>
      <c r="J1585" s="179"/>
      <c r="K1585" s="215" t="s">
        <v>897</v>
      </c>
      <c r="L1585" s="216"/>
      <c r="M1585" s="216"/>
      <c r="N1585" s="216"/>
      <c r="O1585" s="216"/>
      <c r="P1585" s="217"/>
      <c r="Q1585" s="2"/>
    </row>
    <row r="1586" spans="1:17" x14ac:dyDescent="0.2">
      <c r="A1586" s="224" t="s">
        <v>878</v>
      </c>
      <c r="B1586" s="225"/>
      <c r="C1586" s="225"/>
      <c r="D1586" s="225"/>
      <c r="E1586" s="225"/>
      <c r="F1586" s="225"/>
      <c r="G1586" s="225"/>
      <c r="H1586" s="225"/>
      <c r="I1586" s="225"/>
      <c r="J1586" s="226"/>
      <c r="K1586" s="27"/>
      <c r="L1586" s="70" t="s">
        <v>876</v>
      </c>
      <c r="M1586" s="67" t="s">
        <v>61</v>
      </c>
      <c r="N1586" s="213"/>
      <c r="O1586" s="214"/>
      <c r="P1586" s="26"/>
      <c r="Q1586" s="2"/>
    </row>
    <row r="1587" spans="1:17" ht="5" customHeight="1" x14ac:dyDescent="0.2">
      <c r="A1587" s="47"/>
      <c r="B1587" s="21"/>
      <c r="C1587" s="21"/>
      <c r="D1587" s="21"/>
      <c r="E1587" s="21"/>
      <c r="F1587" s="10"/>
      <c r="G1587" s="10"/>
      <c r="H1587" s="10"/>
      <c r="I1587" s="10"/>
      <c r="J1587" s="180"/>
      <c r="K1587" s="10"/>
      <c r="L1587" s="10"/>
      <c r="M1587" s="10"/>
      <c r="N1587" s="10"/>
      <c r="O1587" s="10"/>
      <c r="P1587" s="28"/>
      <c r="Q1587" s="2"/>
    </row>
    <row r="1588" spans="1:17" ht="5" customHeight="1" x14ac:dyDescent="0.2">
      <c r="A1588" s="49"/>
      <c r="B1588" s="24"/>
      <c r="C1588" s="24"/>
      <c r="D1588" s="24"/>
      <c r="E1588" s="24"/>
      <c r="F1588" s="29"/>
      <c r="G1588" s="29"/>
      <c r="H1588" s="29"/>
      <c r="I1588" s="29"/>
      <c r="J1588" s="183"/>
      <c r="K1588" s="29"/>
      <c r="L1588" s="29"/>
      <c r="M1588" s="29"/>
      <c r="N1588" s="29"/>
      <c r="O1588" s="29"/>
      <c r="P1588" s="30"/>
      <c r="Q1588" s="2"/>
    </row>
    <row r="1589" spans="1:17" ht="15" customHeight="1" x14ac:dyDescent="0.25">
      <c r="A1589" s="61"/>
      <c r="B1589" s="22"/>
      <c r="C1589" s="22"/>
      <c r="D1589" s="22"/>
      <c r="E1589" s="22"/>
      <c r="F1589" s="40"/>
      <c r="G1589" s="40"/>
      <c r="H1589" s="40"/>
      <c r="I1589" s="40"/>
      <c r="J1589" s="176"/>
      <c r="K1589" s="218" t="s">
        <v>897</v>
      </c>
      <c r="L1589" s="219"/>
      <c r="M1589" s="219"/>
      <c r="N1589" s="219"/>
      <c r="O1589" s="219"/>
      <c r="P1589" s="220"/>
      <c r="Q1589" s="2"/>
    </row>
    <row r="1590" spans="1:17" x14ac:dyDescent="0.2">
      <c r="A1590" s="221" t="s">
        <v>880</v>
      </c>
      <c r="B1590" s="222"/>
      <c r="C1590" s="222"/>
      <c r="D1590" s="222"/>
      <c r="E1590" s="222"/>
      <c r="F1590" s="222"/>
      <c r="G1590" s="222"/>
      <c r="H1590" s="222"/>
      <c r="I1590" s="222"/>
      <c r="J1590" s="223"/>
      <c r="K1590" s="40"/>
      <c r="L1590" s="70" t="s">
        <v>890</v>
      </c>
      <c r="M1590" s="67" t="s">
        <v>61</v>
      </c>
      <c r="N1590" s="213"/>
      <c r="O1590" s="214"/>
      <c r="P1590" s="41"/>
      <c r="Q1590" s="2"/>
    </row>
    <row r="1591" spans="1:17" ht="5" customHeight="1" x14ac:dyDescent="0.2">
      <c r="A1591" s="50"/>
      <c r="B1591" s="25"/>
      <c r="C1591" s="25"/>
      <c r="D1591" s="25"/>
      <c r="E1591" s="25"/>
      <c r="F1591" s="31"/>
      <c r="G1591" s="31"/>
      <c r="H1591" s="31"/>
      <c r="I1591" s="31"/>
      <c r="J1591" s="177"/>
      <c r="K1591" s="31"/>
      <c r="L1591" s="31"/>
      <c r="M1591" s="31"/>
      <c r="N1591" s="31"/>
      <c r="O1591" s="31"/>
      <c r="P1591" s="32"/>
      <c r="Q1591" s="2"/>
    </row>
    <row r="1592" spans="1:17" ht="5" customHeight="1" x14ac:dyDescent="0.2">
      <c r="A1592" s="48"/>
      <c r="B1592" s="23"/>
      <c r="C1592" s="23"/>
      <c r="D1592" s="23"/>
      <c r="E1592" s="23"/>
      <c r="F1592" s="33"/>
      <c r="G1592" s="33"/>
      <c r="H1592" s="33"/>
      <c r="I1592" s="33"/>
      <c r="J1592" s="178"/>
      <c r="K1592" s="33"/>
      <c r="L1592" s="33"/>
      <c r="M1592" s="33"/>
      <c r="N1592" s="33"/>
      <c r="O1592" s="33"/>
      <c r="P1592" s="34"/>
      <c r="Q1592" s="2"/>
    </row>
    <row r="1593" spans="1:17" ht="15" customHeight="1" x14ac:dyDescent="0.25">
      <c r="A1593" s="141"/>
      <c r="B1593" s="20"/>
      <c r="C1593" s="20"/>
      <c r="D1593" s="20"/>
      <c r="E1593" s="20"/>
      <c r="F1593" s="27"/>
      <c r="G1593" s="27"/>
      <c r="H1593" s="27"/>
      <c r="I1593" s="27"/>
      <c r="J1593" s="179"/>
      <c r="K1593" s="215" t="s">
        <v>897</v>
      </c>
      <c r="L1593" s="216"/>
      <c r="M1593" s="216"/>
      <c r="N1593" s="216"/>
      <c r="O1593" s="216"/>
      <c r="P1593" s="217"/>
      <c r="Q1593" s="2"/>
    </row>
    <row r="1594" spans="1:17" x14ac:dyDescent="0.2">
      <c r="A1594" s="224" t="s">
        <v>263</v>
      </c>
      <c r="B1594" s="225"/>
      <c r="C1594" s="225"/>
      <c r="D1594" s="225"/>
      <c r="E1594" s="225"/>
      <c r="F1594" s="225"/>
      <c r="G1594" s="225"/>
      <c r="H1594" s="225"/>
      <c r="I1594" s="225"/>
      <c r="J1594" s="226"/>
      <c r="K1594" s="27"/>
      <c r="L1594" s="70" t="s">
        <v>891</v>
      </c>
      <c r="M1594" s="67" t="s">
        <v>61</v>
      </c>
      <c r="N1594" s="213"/>
      <c r="O1594" s="214"/>
      <c r="P1594" s="26"/>
      <c r="Q1594" s="2"/>
    </row>
    <row r="1595" spans="1:17" ht="5" customHeight="1" x14ac:dyDescent="0.2">
      <c r="A1595" s="47"/>
      <c r="B1595" s="21"/>
      <c r="C1595" s="21"/>
      <c r="D1595" s="21"/>
      <c r="E1595" s="21"/>
      <c r="F1595" s="10"/>
      <c r="G1595" s="10"/>
      <c r="H1595" s="10"/>
      <c r="I1595" s="10"/>
      <c r="J1595" s="180"/>
      <c r="K1595" s="10"/>
      <c r="L1595" s="10"/>
      <c r="M1595" s="10"/>
      <c r="N1595" s="10"/>
      <c r="O1595" s="10"/>
      <c r="P1595" s="28"/>
      <c r="Q1595" s="2"/>
    </row>
    <row r="1596" spans="1:17" ht="5" customHeight="1" x14ac:dyDescent="0.2">
      <c r="A1596" s="49"/>
      <c r="B1596" s="24"/>
      <c r="C1596" s="24"/>
      <c r="D1596" s="24"/>
      <c r="E1596" s="24"/>
      <c r="F1596" s="29"/>
      <c r="G1596" s="29"/>
      <c r="H1596" s="29"/>
      <c r="I1596" s="29"/>
      <c r="J1596" s="183"/>
      <c r="K1596" s="29"/>
      <c r="L1596" s="29"/>
      <c r="M1596" s="29"/>
      <c r="N1596" s="29"/>
      <c r="O1596" s="29"/>
      <c r="P1596" s="30"/>
      <c r="Q1596" s="2"/>
    </row>
    <row r="1597" spans="1:17" ht="15" customHeight="1" x14ac:dyDescent="0.25">
      <c r="A1597" s="61"/>
      <c r="B1597" s="22"/>
      <c r="C1597" s="22"/>
      <c r="D1597" s="22"/>
      <c r="E1597" s="22"/>
      <c r="F1597" s="40"/>
      <c r="G1597" s="40"/>
      <c r="H1597" s="40"/>
      <c r="I1597" s="40"/>
      <c r="J1597" s="176"/>
      <c r="K1597" s="218" t="s">
        <v>897</v>
      </c>
      <c r="L1597" s="219"/>
      <c r="M1597" s="219"/>
      <c r="N1597" s="219"/>
      <c r="O1597" s="219"/>
      <c r="P1597" s="220"/>
      <c r="Q1597" s="2"/>
    </row>
    <row r="1598" spans="1:17" x14ac:dyDescent="0.2">
      <c r="A1598" s="221" t="s">
        <v>262</v>
      </c>
      <c r="B1598" s="222"/>
      <c r="C1598" s="222"/>
      <c r="D1598" s="222"/>
      <c r="E1598" s="222"/>
      <c r="F1598" s="222"/>
      <c r="G1598" s="222"/>
      <c r="H1598" s="222"/>
      <c r="I1598" s="222"/>
      <c r="J1598" s="223"/>
      <c r="K1598" s="40"/>
      <c r="L1598" s="70" t="s">
        <v>892</v>
      </c>
      <c r="M1598" s="67" t="s">
        <v>61</v>
      </c>
      <c r="N1598" s="213"/>
      <c r="O1598" s="214"/>
      <c r="P1598" s="41"/>
      <c r="Q1598" s="2"/>
    </row>
    <row r="1599" spans="1:17" ht="5" customHeight="1" x14ac:dyDescent="0.2">
      <c r="A1599" s="50"/>
      <c r="B1599" s="25"/>
      <c r="C1599" s="25"/>
      <c r="D1599" s="25"/>
      <c r="E1599" s="25"/>
      <c r="F1599" s="31"/>
      <c r="G1599" s="31"/>
      <c r="H1599" s="31"/>
      <c r="I1599" s="31"/>
      <c r="J1599" s="177"/>
      <c r="K1599" s="31"/>
      <c r="L1599" s="31"/>
      <c r="M1599" s="31"/>
      <c r="N1599" s="31"/>
      <c r="O1599" s="31"/>
      <c r="P1599" s="32"/>
      <c r="Q1599" s="2"/>
    </row>
    <row r="1600" spans="1:17" ht="5" customHeight="1" x14ac:dyDescent="0.2">
      <c r="A1600" s="48"/>
      <c r="B1600" s="23"/>
      <c r="C1600" s="23"/>
      <c r="D1600" s="23"/>
      <c r="E1600" s="23"/>
      <c r="F1600" s="33"/>
      <c r="G1600" s="33"/>
      <c r="H1600" s="33"/>
      <c r="I1600" s="33"/>
      <c r="J1600" s="178"/>
      <c r="K1600" s="33"/>
      <c r="L1600" s="33"/>
      <c r="M1600" s="33"/>
      <c r="N1600" s="33"/>
      <c r="O1600" s="33"/>
      <c r="P1600" s="34"/>
      <c r="Q1600" s="2"/>
    </row>
    <row r="1601" spans="1:17" ht="15" customHeight="1" x14ac:dyDescent="0.25">
      <c r="A1601" s="141"/>
      <c r="B1601" s="20"/>
      <c r="C1601" s="20"/>
      <c r="D1601" s="20"/>
      <c r="E1601" s="20"/>
      <c r="F1601" s="27"/>
      <c r="G1601" s="27"/>
      <c r="H1601" s="27"/>
      <c r="I1601" s="27"/>
      <c r="J1601" s="179"/>
      <c r="K1601" s="215" t="s">
        <v>897</v>
      </c>
      <c r="L1601" s="216"/>
      <c r="M1601" s="216"/>
      <c r="N1601" s="216"/>
      <c r="O1601" s="216"/>
      <c r="P1601" s="217"/>
      <c r="Q1601" s="2"/>
    </row>
    <row r="1602" spans="1:17" x14ac:dyDescent="0.2">
      <c r="A1602" s="224" t="s">
        <v>696</v>
      </c>
      <c r="B1602" s="225"/>
      <c r="C1602" s="225"/>
      <c r="D1602" s="225"/>
      <c r="E1602" s="225"/>
      <c r="F1602" s="225"/>
      <c r="G1602" s="225"/>
      <c r="H1602" s="225"/>
      <c r="I1602" s="225"/>
      <c r="J1602" s="226"/>
      <c r="K1602" s="27"/>
      <c r="L1602" s="70" t="s">
        <v>893</v>
      </c>
      <c r="M1602" s="67" t="s">
        <v>61</v>
      </c>
      <c r="N1602" s="213"/>
      <c r="O1602" s="214"/>
      <c r="P1602" s="26"/>
      <c r="Q1602" s="2"/>
    </row>
    <row r="1603" spans="1:17" ht="5" customHeight="1" x14ac:dyDescent="0.2">
      <c r="A1603" s="47"/>
      <c r="B1603" s="21"/>
      <c r="C1603" s="21"/>
      <c r="D1603" s="21"/>
      <c r="E1603" s="21"/>
      <c r="F1603" s="10"/>
      <c r="G1603" s="10"/>
      <c r="H1603" s="10"/>
      <c r="I1603" s="10"/>
      <c r="J1603" s="180"/>
      <c r="K1603" s="10"/>
      <c r="L1603" s="10"/>
      <c r="M1603" s="10"/>
      <c r="N1603" s="10"/>
      <c r="O1603" s="10"/>
      <c r="P1603" s="28"/>
      <c r="Q1603" s="2"/>
    </row>
    <row r="1604" spans="1:17" ht="5" customHeight="1" x14ac:dyDescent="0.2">
      <c r="A1604" s="49"/>
      <c r="B1604" s="24"/>
      <c r="C1604" s="24"/>
      <c r="D1604" s="24"/>
      <c r="E1604" s="24"/>
      <c r="F1604" s="29"/>
      <c r="G1604" s="29"/>
      <c r="H1604" s="29"/>
      <c r="I1604" s="29"/>
      <c r="J1604" s="183"/>
      <c r="K1604" s="29"/>
      <c r="L1604" s="29"/>
      <c r="M1604" s="29"/>
      <c r="N1604" s="29"/>
      <c r="O1604" s="29"/>
      <c r="P1604" s="30"/>
      <c r="Q1604" s="2"/>
    </row>
    <row r="1605" spans="1:17" ht="15" customHeight="1" x14ac:dyDescent="0.25">
      <c r="A1605" s="61"/>
      <c r="B1605" s="22"/>
      <c r="C1605" s="22"/>
      <c r="D1605" s="22"/>
      <c r="E1605" s="22"/>
      <c r="F1605" s="40"/>
      <c r="G1605" s="40"/>
      <c r="H1605" s="40"/>
      <c r="I1605" s="40"/>
      <c r="J1605" s="176"/>
      <c r="K1605" s="218" t="s">
        <v>897</v>
      </c>
      <c r="L1605" s="219"/>
      <c r="M1605" s="219"/>
      <c r="N1605" s="219"/>
      <c r="O1605" s="219"/>
      <c r="P1605" s="220"/>
      <c r="Q1605" s="2"/>
    </row>
    <row r="1606" spans="1:17" x14ac:dyDescent="0.2">
      <c r="A1606" s="221" t="s">
        <v>881</v>
      </c>
      <c r="B1606" s="222"/>
      <c r="C1606" s="222"/>
      <c r="D1606" s="222"/>
      <c r="E1606" s="222"/>
      <c r="F1606" s="222"/>
      <c r="G1606" s="222"/>
      <c r="H1606" s="222"/>
      <c r="I1606" s="222"/>
      <c r="J1606" s="223"/>
      <c r="K1606" s="40"/>
      <c r="L1606" s="70" t="s">
        <v>894</v>
      </c>
      <c r="M1606" s="67" t="s">
        <v>61</v>
      </c>
      <c r="N1606" s="213"/>
      <c r="O1606" s="214"/>
      <c r="P1606" s="41"/>
      <c r="Q1606" s="2"/>
    </row>
    <row r="1607" spans="1:17" ht="5" customHeight="1" x14ac:dyDescent="0.2">
      <c r="A1607" s="50"/>
      <c r="B1607" s="25"/>
      <c r="C1607" s="25"/>
      <c r="D1607" s="25"/>
      <c r="E1607" s="25"/>
      <c r="F1607" s="31"/>
      <c r="G1607" s="31"/>
      <c r="H1607" s="31"/>
      <c r="I1607" s="31"/>
      <c r="J1607" s="177"/>
      <c r="K1607" s="31"/>
      <c r="L1607" s="31"/>
      <c r="M1607" s="31"/>
      <c r="N1607" s="31"/>
      <c r="O1607" s="31"/>
      <c r="P1607" s="32"/>
      <c r="Q1607" s="2"/>
    </row>
    <row r="1608" spans="1:17" ht="5" customHeight="1" x14ac:dyDescent="0.2">
      <c r="A1608" s="48"/>
      <c r="B1608" s="23"/>
      <c r="C1608" s="23"/>
      <c r="D1608" s="23"/>
      <c r="E1608" s="23"/>
      <c r="F1608" s="33"/>
      <c r="G1608" s="33"/>
      <c r="H1608" s="33"/>
      <c r="I1608" s="33"/>
      <c r="J1608" s="178"/>
      <c r="K1608" s="33"/>
      <c r="L1608" s="33"/>
      <c r="M1608" s="33"/>
      <c r="N1608" s="33"/>
      <c r="O1608" s="33"/>
      <c r="P1608" s="34"/>
      <c r="Q1608" s="2"/>
    </row>
    <row r="1609" spans="1:17" ht="15" customHeight="1" x14ac:dyDescent="0.25">
      <c r="A1609" s="141"/>
      <c r="B1609" s="20"/>
      <c r="C1609" s="20"/>
      <c r="D1609" s="20"/>
      <c r="E1609" s="20"/>
      <c r="F1609" s="27"/>
      <c r="G1609" s="27"/>
      <c r="H1609" s="27"/>
      <c r="I1609" s="27"/>
      <c r="J1609" s="179"/>
      <c r="K1609" s="215" t="s">
        <v>897</v>
      </c>
      <c r="L1609" s="216"/>
      <c r="M1609" s="216"/>
      <c r="N1609" s="216"/>
      <c r="O1609" s="216"/>
      <c r="P1609" s="217"/>
      <c r="Q1609" s="2"/>
    </row>
    <row r="1610" spans="1:17" x14ac:dyDescent="0.2">
      <c r="A1610" s="224" t="s">
        <v>882</v>
      </c>
      <c r="B1610" s="225"/>
      <c r="C1610" s="225"/>
      <c r="D1610" s="225"/>
      <c r="E1610" s="225"/>
      <c r="F1610" s="225"/>
      <c r="G1610" s="225"/>
      <c r="H1610" s="225"/>
      <c r="I1610" s="225"/>
      <c r="J1610" s="226"/>
      <c r="K1610" s="27"/>
      <c r="L1610" s="70" t="s">
        <v>895</v>
      </c>
      <c r="M1610" s="67" t="s">
        <v>61</v>
      </c>
      <c r="N1610" s="213"/>
      <c r="O1610" s="214"/>
      <c r="P1610" s="26"/>
      <c r="Q1610" s="2"/>
    </row>
    <row r="1611" spans="1:17" ht="5" customHeight="1" x14ac:dyDescent="0.2">
      <c r="A1611" s="47"/>
      <c r="B1611" s="21"/>
      <c r="C1611" s="21"/>
      <c r="D1611" s="21"/>
      <c r="E1611" s="21"/>
      <c r="F1611" s="10"/>
      <c r="G1611" s="10"/>
      <c r="H1611" s="10"/>
      <c r="I1611" s="10"/>
      <c r="J1611" s="180"/>
      <c r="K1611" s="10"/>
      <c r="L1611" s="10"/>
      <c r="M1611" s="10"/>
      <c r="N1611" s="10"/>
      <c r="O1611" s="10"/>
      <c r="P1611" s="28"/>
      <c r="Q1611" s="2"/>
    </row>
    <row r="1612" spans="1:17" ht="5" customHeight="1" x14ac:dyDescent="0.2">
      <c r="A1612" s="49"/>
      <c r="B1612" s="24"/>
      <c r="C1612" s="24"/>
      <c r="D1612" s="24"/>
      <c r="E1612" s="24"/>
      <c r="F1612" s="29"/>
      <c r="G1612" s="29"/>
      <c r="H1612" s="29"/>
      <c r="I1612" s="29"/>
      <c r="J1612" s="183"/>
      <c r="K1612" s="29"/>
      <c r="L1612" s="29"/>
      <c r="M1612" s="29"/>
      <c r="N1612" s="29"/>
      <c r="O1612" s="29"/>
      <c r="P1612" s="30"/>
      <c r="Q1612" s="2"/>
    </row>
    <row r="1613" spans="1:17" ht="15" customHeight="1" x14ac:dyDescent="0.25">
      <c r="A1613" s="61"/>
      <c r="B1613" s="22"/>
      <c r="C1613" s="22"/>
      <c r="D1613" s="22"/>
      <c r="E1613" s="22"/>
      <c r="F1613" s="40"/>
      <c r="G1613" s="40"/>
      <c r="H1613" s="40"/>
      <c r="I1613" s="40"/>
      <c r="J1613" s="176"/>
      <c r="K1613" s="218" t="s">
        <v>897</v>
      </c>
      <c r="L1613" s="219"/>
      <c r="M1613" s="219"/>
      <c r="N1613" s="219"/>
      <c r="O1613" s="219"/>
      <c r="P1613" s="220"/>
      <c r="Q1613" s="2"/>
    </row>
    <row r="1614" spans="1:17" x14ac:dyDescent="0.2">
      <c r="A1614" s="221" t="s">
        <v>690</v>
      </c>
      <c r="B1614" s="222"/>
      <c r="C1614" s="222"/>
      <c r="D1614" s="222"/>
      <c r="E1614" s="222"/>
      <c r="F1614" s="222"/>
      <c r="G1614" s="222"/>
      <c r="H1614" s="222"/>
      <c r="I1614" s="222"/>
      <c r="J1614" s="223"/>
      <c r="K1614" s="40"/>
      <c r="L1614" s="70" t="s">
        <v>896</v>
      </c>
      <c r="M1614" s="67" t="s">
        <v>61</v>
      </c>
      <c r="N1614" s="213"/>
      <c r="O1614" s="214"/>
      <c r="P1614" s="41"/>
      <c r="Q1614" s="2"/>
    </row>
    <row r="1615" spans="1:17" ht="5" customHeight="1" x14ac:dyDescent="0.2">
      <c r="A1615" s="50"/>
      <c r="B1615" s="25"/>
      <c r="C1615" s="25"/>
      <c r="D1615" s="25"/>
      <c r="E1615" s="25"/>
      <c r="F1615" s="31"/>
      <c r="G1615" s="31"/>
      <c r="H1615" s="31"/>
      <c r="I1615" s="31"/>
      <c r="J1615" s="177"/>
      <c r="K1615" s="31"/>
      <c r="L1615" s="31"/>
      <c r="M1615" s="31"/>
      <c r="N1615" s="31"/>
      <c r="O1615" s="31"/>
      <c r="P1615" s="32"/>
      <c r="Q1615" s="2"/>
    </row>
    <row r="1616" spans="1:17" x14ac:dyDescent="0.2">
      <c r="Q1616" s="38"/>
    </row>
    <row r="1617" spans="1:17" x14ac:dyDescent="0.2">
      <c r="A1617" s="238" t="s">
        <v>877</v>
      </c>
      <c r="B1617" s="239"/>
      <c r="C1617" s="212"/>
      <c r="D1617" s="212"/>
      <c r="E1617" s="72"/>
      <c r="F1617" s="238"/>
      <c r="G1617" s="238"/>
      <c r="H1617" s="238"/>
      <c r="I1617" s="238"/>
      <c r="J1617" s="238"/>
      <c r="K1617" s="238"/>
      <c r="L1617" s="238"/>
      <c r="M1617" s="238"/>
      <c r="N1617" s="238"/>
      <c r="O1617" s="238"/>
      <c r="P1617" s="238"/>
      <c r="Q1617" s="38"/>
    </row>
    <row r="1618" spans="1:17" ht="5" customHeight="1" x14ac:dyDescent="0.2">
      <c r="A1618" s="140"/>
      <c r="B1618" s="152"/>
      <c r="C1618" s="51"/>
      <c r="D1618" s="51"/>
      <c r="E1618" s="72"/>
      <c r="F1618" s="140"/>
      <c r="G1618" s="140"/>
      <c r="H1618" s="140"/>
      <c r="I1618" s="140"/>
      <c r="J1618" s="140"/>
      <c r="K1618" s="140"/>
      <c r="L1618" s="140"/>
      <c r="M1618" s="140"/>
      <c r="N1618" s="140"/>
      <c r="O1618" s="140"/>
      <c r="P1618" s="140"/>
      <c r="Q1618" s="38"/>
    </row>
    <row r="1619" spans="1:17" ht="5" customHeight="1" x14ac:dyDescent="0.2">
      <c r="A1619" s="48"/>
      <c r="B1619" s="23"/>
      <c r="C1619" s="23"/>
      <c r="D1619" s="23"/>
      <c r="E1619" s="23"/>
      <c r="F1619" s="33"/>
      <c r="G1619" s="33"/>
      <c r="H1619" s="33"/>
      <c r="I1619" s="33"/>
      <c r="J1619" s="178"/>
      <c r="K1619" s="33"/>
      <c r="L1619" s="33"/>
      <c r="M1619" s="33"/>
      <c r="N1619" s="33"/>
      <c r="O1619" s="33"/>
      <c r="P1619" s="34"/>
      <c r="Q1619" s="2"/>
    </row>
    <row r="1620" spans="1:17" x14ac:dyDescent="0.2">
      <c r="A1620" s="224" t="s">
        <v>984</v>
      </c>
      <c r="B1620" s="225"/>
      <c r="C1620" s="225"/>
      <c r="D1620" s="225"/>
      <c r="E1620" s="225"/>
      <c r="F1620" s="225"/>
      <c r="G1620" s="225"/>
      <c r="H1620" s="225"/>
      <c r="I1620" s="225"/>
      <c r="J1620" s="226"/>
      <c r="K1620" s="27"/>
      <c r="L1620" s="70" t="s">
        <v>879</v>
      </c>
      <c r="M1620" s="67" t="s">
        <v>61</v>
      </c>
      <c r="N1620" s="213">
        <f>SUM(N1555,N1590)</f>
        <v>0</v>
      </c>
      <c r="O1620" s="214"/>
      <c r="P1620" s="26"/>
      <c r="Q1620" s="2"/>
    </row>
    <row r="1621" spans="1:17" ht="5" customHeight="1" x14ac:dyDescent="0.2">
      <c r="A1621" s="47"/>
      <c r="B1621" s="21"/>
      <c r="C1621" s="21"/>
      <c r="D1621" s="21"/>
      <c r="E1621" s="21"/>
      <c r="F1621" s="10"/>
      <c r="G1621" s="10"/>
      <c r="H1621" s="10"/>
      <c r="I1621" s="10"/>
      <c r="J1621" s="180"/>
      <c r="K1621" s="10"/>
      <c r="L1621" s="10"/>
      <c r="M1621" s="10"/>
      <c r="N1621" s="10"/>
      <c r="O1621" s="10"/>
      <c r="P1621" s="28"/>
      <c r="Q1621" s="2"/>
    </row>
    <row r="1622" spans="1:17" ht="5" customHeight="1" x14ac:dyDescent="0.2">
      <c r="A1622" s="49"/>
      <c r="B1622" s="24"/>
      <c r="C1622" s="24"/>
      <c r="D1622" s="24"/>
      <c r="E1622" s="24"/>
      <c r="F1622" s="29"/>
      <c r="G1622" s="29"/>
      <c r="H1622" s="29"/>
      <c r="I1622" s="29"/>
      <c r="J1622" s="183"/>
      <c r="K1622" s="29"/>
      <c r="L1622" s="29"/>
      <c r="M1622" s="29"/>
      <c r="N1622" s="29"/>
      <c r="O1622" s="29"/>
      <c r="P1622" s="30"/>
      <c r="Q1622" s="2"/>
    </row>
    <row r="1623" spans="1:17" x14ac:dyDescent="0.2">
      <c r="A1623" s="221" t="s">
        <v>625</v>
      </c>
      <c r="B1623" s="222"/>
      <c r="C1623" s="222"/>
      <c r="D1623" s="222"/>
      <c r="E1623" s="222"/>
      <c r="F1623" s="222"/>
      <c r="G1623" s="222"/>
      <c r="H1623" s="222"/>
      <c r="I1623" s="222"/>
      <c r="J1623" s="223"/>
      <c r="K1623" s="40"/>
      <c r="L1623" s="70" t="s">
        <v>901</v>
      </c>
      <c r="M1623" s="67" t="s">
        <v>61</v>
      </c>
      <c r="N1623" s="213">
        <f>SUM(N1559,N1594)</f>
        <v>0</v>
      </c>
      <c r="O1623" s="214"/>
      <c r="P1623" s="41"/>
      <c r="Q1623" s="2"/>
    </row>
    <row r="1624" spans="1:17" ht="5" customHeight="1" x14ac:dyDescent="0.2">
      <c r="A1624" s="50"/>
      <c r="B1624" s="25"/>
      <c r="C1624" s="25"/>
      <c r="D1624" s="25"/>
      <c r="E1624" s="25"/>
      <c r="F1624" s="31"/>
      <c r="G1624" s="31"/>
      <c r="H1624" s="31"/>
      <c r="I1624" s="31"/>
      <c r="J1624" s="177"/>
      <c r="K1624" s="31"/>
      <c r="L1624" s="31"/>
      <c r="M1624" s="31"/>
      <c r="N1624" s="31"/>
      <c r="O1624" s="31"/>
      <c r="P1624" s="32"/>
      <c r="Q1624" s="2"/>
    </row>
    <row r="1625" spans="1:17" ht="5" customHeight="1" x14ac:dyDescent="0.2">
      <c r="A1625" s="48"/>
      <c r="B1625" s="23"/>
      <c r="C1625" s="23"/>
      <c r="D1625" s="23"/>
      <c r="E1625" s="23"/>
      <c r="F1625" s="33"/>
      <c r="G1625" s="33"/>
      <c r="H1625" s="33"/>
      <c r="I1625" s="33"/>
      <c r="J1625" s="178"/>
      <c r="K1625" s="33"/>
      <c r="L1625" s="33"/>
      <c r="M1625" s="33"/>
      <c r="N1625" s="33"/>
      <c r="O1625" s="33"/>
      <c r="P1625" s="34"/>
      <c r="Q1625" s="2"/>
    </row>
    <row r="1626" spans="1:17" x14ac:dyDescent="0.2">
      <c r="A1626" s="224" t="s">
        <v>898</v>
      </c>
      <c r="B1626" s="225"/>
      <c r="C1626" s="225"/>
      <c r="D1626" s="225"/>
      <c r="E1626" s="225"/>
      <c r="F1626" s="225"/>
      <c r="G1626" s="225"/>
      <c r="H1626" s="225"/>
      <c r="I1626" s="225"/>
      <c r="J1626" s="226"/>
      <c r="K1626" s="27"/>
      <c r="L1626" s="70" t="s">
        <v>902</v>
      </c>
      <c r="M1626" s="67" t="s">
        <v>61</v>
      </c>
      <c r="N1626" s="213">
        <f>SUM(N1563,N1598)</f>
        <v>0</v>
      </c>
      <c r="O1626" s="214"/>
      <c r="P1626" s="26"/>
      <c r="Q1626" s="2"/>
    </row>
    <row r="1627" spans="1:17" ht="5" customHeight="1" x14ac:dyDescent="0.2">
      <c r="A1627" s="47"/>
      <c r="B1627" s="21"/>
      <c r="C1627" s="21"/>
      <c r="D1627" s="21"/>
      <c r="E1627" s="21"/>
      <c r="F1627" s="10"/>
      <c r="G1627" s="10"/>
      <c r="H1627" s="10"/>
      <c r="I1627" s="10"/>
      <c r="J1627" s="180"/>
      <c r="K1627" s="10"/>
      <c r="L1627" s="10"/>
      <c r="M1627" s="10"/>
      <c r="N1627" s="10"/>
      <c r="O1627" s="10"/>
      <c r="P1627" s="28"/>
      <c r="Q1627" s="2"/>
    </row>
    <row r="1628" spans="1:17" ht="5" customHeight="1" x14ac:dyDescent="0.2">
      <c r="A1628" s="49"/>
      <c r="B1628" s="24"/>
      <c r="C1628" s="24"/>
      <c r="D1628" s="24"/>
      <c r="E1628" s="24"/>
      <c r="F1628" s="29"/>
      <c r="G1628" s="29"/>
      <c r="H1628" s="29"/>
      <c r="I1628" s="29"/>
      <c r="J1628" s="183"/>
      <c r="K1628" s="29"/>
      <c r="L1628" s="29"/>
      <c r="M1628" s="29"/>
      <c r="N1628" s="29"/>
      <c r="O1628" s="29"/>
      <c r="P1628" s="30"/>
      <c r="Q1628" s="2"/>
    </row>
    <row r="1629" spans="1:17" x14ac:dyDescent="0.2">
      <c r="A1629" s="221" t="s">
        <v>899</v>
      </c>
      <c r="B1629" s="222"/>
      <c r="C1629" s="222"/>
      <c r="D1629" s="222"/>
      <c r="E1629" s="222"/>
      <c r="F1629" s="222"/>
      <c r="G1629" s="222"/>
      <c r="H1629" s="222"/>
      <c r="I1629" s="222"/>
      <c r="J1629" s="223"/>
      <c r="K1629" s="40"/>
      <c r="L1629" s="70" t="s">
        <v>903</v>
      </c>
      <c r="M1629" s="67" t="s">
        <v>61</v>
      </c>
      <c r="N1629" s="213">
        <f>SUM(N1567,N1602)</f>
        <v>0</v>
      </c>
      <c r="O1629" s="214"/>
      <c r="P1629" s="41"/>
      <c r="Q1629" s="2"/>
    </row>
    <row r="1630" spans="1:17" ht="5" customHeight="1" x14ac:dyDescent="0.2">
      <c r="A1630" s="50"/>
      <c r="B1630" s="25"/>
      <c r="C1630" s="25"/>
      <c r="D1630" s="25"/>
      <c r="E1630" s="25"/>
      <c r="F1630" s="31"/>
      <c r="G1630" s="31"/>
      <c r="H1630" s="31"/>
      <c r="I1630" s="31"/>
      <c r="J1630" s="177"/>
      <c r="K1630" s="31"/>
      <c r="L1630" s="31"/>
      <c r="M1630" s="31"/>
      <c r="N1630" s="31"/>
      <c r="O1630" s="31"/>
      <c r="P1630" s="32"/>
      <c r="Q1630" s="2"/>
    </row>
    <row r="1631" spans="1:17" ht="5" customHeight="1" x14ac:dyDescent="0.2">
      <c r="A1631" s="48"/>
      <c r="B1631" s="23"/>
      <c r="C1631" s="23"/>
      <c r="D1631" s="23"/>
      <c r="E1631" s="23"/>
      <c r="F1631" s="33"/>
      <c r="G1631" s="33"/>
      <c r="H1631" s="33"/>
      <c r="I1631" s="33"/>
      <c r="J1631" s="178"/>
      <c r="K1631" s="33"/>
      <c r="L1631" s="33"/>
      <c r="M1631" s="33"/>
      <c r="N1631" s="33"/>
      <c r="O1631" s="33"/>
      <c r="P1631" s="34"/>
      <c r="Q1631" s="2"/>
    </row>
    <row r="1632" spans="1:17" x14ac:dyDescent="0.2">
      <c r="A1632" s="224" t="s">
        <v>774</v>
      </c>
      <c r="B1632" s="225"/>
      <c r="C1632" s="225"/>
      <c r="D1632" s="225"/>
      <c r="E1632" s="225"/>
      <c r="F1632" s="225"/>
      <c r="G1632" s="225"/>
      <c r="H1632" s="225"/>
      <c r="I1632" s="225"/>
      <c r="J1632" s="226"/>
      <c r="K1632" s="27"/>
      <c r="L1632" s="70" t="s">
        <v>904</v>
      </c>
      <c r="M1632" s="67" t="s">
        <v>61</v>
      </c>
      <c r="N1632" s="213">
        <f>SUM(N1571,N1606)</f>
        <v>0</v>
      </c>
      <c r="O1632" s="214"/>
      <c r="P1632" s="26"/>
      <c r="Q1632" s="2"/>
    </row>
    <row r="1633" spans="1:256" ht="5" customHeight="1" x14ac:dyDescent="0.2">
      <c r="A1633" s="47"/>
      <c r="B1633" s="21"/>
      <c r="C1633" s="21"/>
      <c r="D1633" s="21"/>
      <c r="E1633" s="21"/>
      <c r="F1633" s="10"/>
      <c r="G1633" s="10"/>
      <c r="H1633" s="10"/>
      <c r="I1633" s="10"/>
      <c r="J1633" s="180"/>
      <c r="K1633" s="10"/>
      <c r="L1633" s="10"/>
      <c r="M1633" s="10"/>
      <c r="N1633" s="10"/>
      <c r="O1633" s="10"/>
      <c r="P1633" s="28"/>
      <c r="Q1633" s="2"/>
    </row>
    <row r="1634" spans="1:256" ht="5" customHeight="1" x14ac:dyDescent="0.2">
      <c r="A1634" s="49"/>
      <c r="B1634" s="24"/>
      <c r="C1634" s="24"/>
      <c r="D1634" s="24"/>
      <c r="E1634" s="24"/>
      <c r="F1634" s="29"/>
      <c r="G1634" s="29"/>
      <c r="H1634" s="29"/>
      <c r="I1634" s="29"/>
      <c r="J1634" s="183"/>
      <c r="K1634" s="29"/>
      <c r="L1634" s="29"/>
      <c r="M1634" s="29"/>
      <c r="N1634" s="29"/>
      <c r="O1634" s="29"/>
      <c r="P1634" s="30"/>
      <c r="Q1634" s="2"/>
    </row>
    <row r="1635" spans="1:256" x14ac:dyDescent="0.2">
      <c r="A1635" s="221" t="s">
        <v>900</v>
      </c>
      <c r="B1635" s="222"/>
      <c r="C1635" s="222"/>
      <c r="D1635" s="222"/>
      <c r="E1635" s="222"/>
      <c r="F1635" s="222"/>
      <c r="G1635" s="222"/>
      <c r="H1635" s="222"/>
      <c r="I1635" s="222"/>
      <c r="J1635" s="223"/>
      <c r="K1635" s="40"/>
      <c r="L1635" s="70" t="s">
        <v>905</v>
      </c>
      <c r="M1635" s="67" t="s">
        <v>61</v>
      </c>
      <c r="N1635" s="213">
        <f>SUM(N1575,N1610)</f>
        <v>0</v>
      </c>
      <c r="O1635" s="214"/>
      <c r="P1635" s="41"/>
      <c r="Q1635" s="2"/>
    </row>
    <row r="1636" spans="1:256" ht="5" customHeight="1" x14ac:dyDescent="0.2">
      <c r="A1636" s="50"/>
      <c r="B1636" s="25"/>
      <c r="C1636" s="25"/>
      <c r="D1636" s="25"/>
      <c r="E1636" s="25"/>
      <c r="F1636" s="31"/>
      <c r="G1636" s="31"/>
      <c r="H1636" s="31"/>
      <c r="I1636" s="31"/>
      <c r="J1636" s="177"/>
      <c r="K1636" s="31"/>
      <c r="L1636" s="31"/>
      <c r="M1636" s="31"/>
      <c r="N1636" s="31"/>
      <c r="O1636" s="31"/>
      <c r="P1636" s="32"/>
      <c r="Q1636" s="2"/>
    </row>
    <row r="1637" spans="1:256" ht="5" customHeight="1" x14ac:dyDescent="0.2">
      <c r="A1637" s="48"/>
      <c r="B1637" s="23"/>
      <c r="C1637" s="23"/>
      <c r="D1637" s="23"/>
      <c r="E1637" s="23"/>
      <c r="F1637" s="33"/>
      <c r="G1637" s="33"/>
      <c r="H1637" s="33"/>
      <c r="I1637" s="33"/>
      <c r="J1637" s="178"/>
      <c r="K1637" s="33"/>
      <c r="L1637" s="33"/>
      <c r="M1637" s="33"/>
      <c r="N1637" s="33"/>
      <c r="O1637" s="33"/>
      <c r="P1637" s="34"/>
      <c r="Q1637" s="2"/>
    </row>
    <row r="1638" spans="1:256" x14ac:dyDescent="0.2">
      <c r="A1638" s="224" t="s">
        <v>985</v>
      </c>
      <c r="B1638" s="225"/>
      <c r="C1638" s="225"/>
      <c r="D1638" s="225"/>
      <c r="E1638" s="225"/>
      <c r="F1638" s="225"/>
      <c r="G1638" s="225"/>
      <c r="H1638" s="225"/>
      <c r="I1638" s="225"/>
      <c r="J1638" s="226"/>
      <c r="K1638" s="27"/>
      <c r="L1638" s="70" t="s">
        <v>906</v>
      </c>
      <c r="M1638" s="67" t="s">
        <v>61</v>
      </c>
      <c r="N1638" s="213">
        <f>SUM(N1579,N1614)</f>
        <v>0</v>
      </c>
      <c r="O1638" s="214"/>
      <c r="P1638" s="26"/>
      <c r="Q1638" s="2"/>
    </row>
    <row r="1639" spans="1:256" ht="5" customHeight="1" x14ac:dyDescent="0.2">
      <c r="A1639" s="47"/>
      <c r="B1639" s="21"/>
      <c r="C1639" s="21"/>
      <c r="D1639" s="21"/>
      <c r="E1639" s="21"/>
      <c r="F1639" s="10"/>
      <c r="G1639" s="10"/>
      <c r="H1639" s="10"/>
      <c r="I1639" s="10"/>
      <c r="J1639" s="180"/>
      <c r="K1639" s="10"/>
      <c r="L1639" s="10"/>
      <c r="M1639" s="10"/>
      <c r="N1639" s="10"/>
      <c r="O1639" s="10"/>
      <c r="P1639" s="28"/>
      <c r="Q1639" s="2"/>
    </row>
    <row r="1640" spans="1:256" x14ac:dyDescent="0.2">
      <c r="Q1640" s="2"/>
    </row>
    <row r="1642" spans="1:256" ht="16" x14ac:dyDescent="0.2">
      <c r="A1642" s="231" t="s">
        <v>651</v>
      </c>
      <c r="B1642" s="232"/>
      <c r="C1642" s="232"/>
      <c r="D1642" s="232"/>
      <c r="F1642" s="233"/>
      <c r="G1642" s="233"/>
      <c r="H1642" s="233"/>
      <c r="I1642" s="233"/>
      <c r="J1642" s="233"/>
      <c r="K1642" s="233"/>
      <c r="L1642" s="233"/>
      <c r="M1642" s="233"/>
      <c r="N1642" s="233"/>
      <c r="O1642" s="233"/>
      <c r="P1642" s="233"/>
      <c r="Q1642" s="233"/>
    </row>
    <row r="1643" spans="1:256" ht="5" customHeight="1" x14ac:dyDescent="0.2"/>
    <row r="1644" spans="1:256" x14ac:dyDescent="0.2">
      <c r="A1644" s="234" t="s">
        <v>658</v>
      </c>
      <c r="B1644" s="235"/>
      <c r="C1644" s="235"/>
      <c r="D1644" s="235"/>
      <c r="E1644" s="236"/>
      <c r="F1644" s="236"/>
      <c r="G1644" s="236"/>
      <c r="H1644" s="236"/>
      <c r="I1644" s="236"/>
      <c r="J1644" s="236"/>
      <c r="K1644" s="236"/>
      <c r="L1644" s="236"/>
      <c r="M1644" s="236"/>
      <c r="N1644" s="236"/>
      <c r="O1644" s="236"/>
      <c r="P1644" s="236"/>
      <c r="Q1644" s="237"/>
    </row>
    <row r="1645" spans="1:256" ht="5" customHeight="1" x14ac:dyDescent="0.2">
      <c r="A1645" s="194"/>
      <c r="B1645" s="194"/>
      <c r="C1645" s="194"/>
      <c r="D1645" s="194"/>
      <c r="E1645" s="194"/>
      <c r="F1645" s="194"/>
      <c r="G1645" s="194"/>
      <c r="H1645" s="194"/>
      <c r="I1645" s="194"/>
      <c r="J1645" s="194"/>
      <c r="K1645" s="194"/>
      <c r="L1645" s="194"/>
      <c r="M1645" s="194"/>
      <c r="N1645" s="194"/>
      <c r="O1645" s="194"/>
      <c r="P1645" s="194"/>
      <c r="Q1645" s="196"/>
    </row>
    <row r="1646" spans="1:256" ht="15" customHeight="1" x14ac:dyDescent="0.2">
      <c r="A1646" s="211" t="s">
        <v>663</v>
      </c>
      <c r="B1646" s="212"/>
      <c r="C1646" s="212"/>
      <c r="D1646" s="212"/>
      <c r="E1646" s="212"/>
      <c r="F1646" s="212"/>
      <c r="G1646" s="212"/>
      <c r="H1646" s="212"/>
      <c r="I1646" s="212"/>
      <c r="J1646" s="212"/>
      <c r="K1646" s="212"/>
      <c r="L1646" s="212"/>
      <c r="M1646" s="212"/>
      <c r="N1646" s="212"/>
      <c r="O1646" s="212"/>
      <c r="P1646" s="212"/>
      <c r="Q1646" s="38"/>
      <c r="R1646" s="51"/>
      <c r="S1646" s="51"/>
      <c r="T1646" s="51"/>
      <c r="U1646" s="51"/>
      <c r="V1646" s="51"/>
      <c r="W1646" s="51"/>
      <c r="X1646" s="51"/>
      <c r="Y1646" s="51"/>
      <c r="Z1646" s="51"/>
      <c r="AA1646" s="51"/>
      <c r="AB1646" s="51"/>
      <c r="AC1646" s="51"/>
      <c r="AD1646" s="51"/>
      <c r="AE1646" s="51"/>
      <c r="AF1646" s="51"/>
      <c r="AG1646" s="211"/>
      <c r="AH1646" s="212"/>
      <c r="AI1646" s="212"/>
      <c r="AJ1646" s="212"/>
      <c r="AK1646" s="212"/>
      <c r="AL1646" s="212"/>
      <c r="AM1646" s="212"/>
      <c r="AN1646" s="212"/>
      <c r="AO1646" s="212"/>
      <c r="AP1646" s="212"/>
      <c r="AQ1646" s="212"/>
      <c r="AR1646" s="212"/>
      <c r="AS1646" s="212"/>
      <c r="AT1646" s="212"/>
      <c r="AU1646" s="212"/>
      <c r="AV1646" s="212"/>
      <c r="AW1646" s="211"/>
      <c r="AX1646" s="212"/>
      <c r="AY1646" s="212"/>
      <c r="AZ1646" s="212"/>
      <c r="BA1646" s="212"/>
      <c r="BB1646" s="212"/>
      <c r="BC1646" s="212"/>
      <c r="BD1646" s="212"/>
      <c r="BE1646" s="212"/>
      <c r="BF1646" s="212"/>
      <c r="BG1646" s="212"/>
      <c r="BH1646" s="212"/>
      <c r="BI1646" s="212"/>
      <c r="BJ1646" s="212"/>
      <c r="BK1646" s="212"/>
      <c r="BL1646" s="212"/>
      <c r="BM1646" s="211"/>
      <c r="BN1646" s="212"/>
      <c r="BO1646" s="212"/>
      <c r="BP1646" s="212"/>
      <c r="BQ1646" s="212"/>
      <c r="BR1646" s="212"/>
      <c r="BS1646" s="212"/>
      <c r="BT1646" s="212"/>
      <c r="BU1646" s="212"/>
      <c r="BV1646" s="212"/>
      <c r="BW1646" s="212"/>
      <c r="BX1646" s="212"/>
      <c r="BY1646" s="212"/>
      <c r="BZ1646" s="212"/>
      <c r="CA1646" s="212"/>
      <c r="CB1646" s="212"/>
      <c r="CC1646" s="211"/>
      <c r="CD1646" s="212"/>
      <c r="CE1646" s="212"/>
      <c r="CF1646" s="212"/>
      <c r="CG1646" s="212"/>
      <c r="CH1646" s="212"/>
      <c r="CI1646" s="212"/>
      <c r="CJ1646" s="212"/>
      <c r="CK1646" s="212"/>
      <c r="CL1646" s="212"/>
      <c r="CM1646" s="212"/>
      <c r="CN1646" s="212"/>
      <c r="CO1646" s="212"/>
      <c r="CP1646" s="212"/>
      <c r="CQ1646" s="212"/>
      <c r="CR1646" s="212"/>
      <c r="CS1646" s="211"/>
      <c r="CT1646" s="212"/>
      <c r="CU1646" s="212"/>
      <c r="CV1646" s="212"/>
      <c r="CW1646" s="212"/>
      <c r="CX1646" s="212"/>
      <c r="CY1646" s="212"/>
      <c r="CZ1646" s="212"/>
      <c r="DA1646" s="212"/>
      <c r="DB1646" s="212"/>
      <c r="DC1646" s="212"/>
      <c r="DD1646" s="212"/>
      <c r="DE1646" s="212"/>
      <c r="DF1646" s="212"/>
      <c r="DG1646" s="212"/>
      <c r="DH1646" s="212"/>
      <c r="DI1646" s="211"/>
      <c r="DJ1646" s="212"/>
      <c r="DK1646" s="212"/>
      <c r="DL1646" s="212"/>
      <c r="DM1646" s="212"/>
      <c r="DN1646" s="212"/>
      <c r="DO1646" s="212"/>
      <c r="DP1646" s="212"/>
      <c r="DQ1646" s="212"/>
      <c r="DR1646" s="212"/>
      <c r="DS1646" s="212"/>
      <c r="DT1646" s="212"/>
      <c r="DU1646" s="212"/>
      <c r="DV1646" s="212"/>
      <c r="DW1646" s="212"/>
      <c r="DX1646" s="212"/>
      <c r="DY1646" s="211"/>
      <c r="DZ1646" s="212"/>
      <c r="EA1646" s="212"/>
      <c r="EB1646" s="212"/>
      <c r="EC1646" s="212"/>
      <c r="ED1646" s="212"/>
      <c r="EE1646" s="212"/>
      <c r="EF1646" s="212"/>
      <c r="EG1646" s="212"/>
      <c r="EH1646" s="212"/>
      <c r="EI1646" s="212"/>
      <c r="EJ1646" s="212"/>
      <c r="EK1646" s="212"/>
      <c r="EL1646" s="212"/>
      <c r="EM1646" s="212"/>
      <c r="EN1646" s="212"/>
      <c r="EO1646" s="211"/>
      <c r="EP1646" s="212"/>
      <c r="EQ1646" s="212"/>
      <c r="ER1646" s="212"/>
      <c r="ES1646" s="212"/>
      <c r="ET1646" s="212"/>
      <c r="EU1646" s="212"/>
      <c r="EV1646" s="212"/>
      <c r="EW1646" s="212"/>
      <c r="EX1646" s="212"/>
      <c r="EY1646" s="212"/>
      <c r="EZ1646" s="212"/>
      <c r="FA1646" s="212"/>
      <c r="FB1646" s="212"/>
      <c r="FC1646" s="212"/>
      <c r="FD1646" s="212"/>
      <c r="FE1646" s="211"/>
      <c r="FF1646" s="212"/>
      <c r="FG1646" s="212"/>
      <c r="FH1646" s="212"/>
      <c r="FI1646" s="212"/>
      <c r="FJ1646" s="212"/>
      <c r="FK1646" s="212"/>
      <c r="FL1646" s="212"/>
      <c r="FM1646" s="212"/>
      <c r="FN1646" s="212"/>
      <c r="FO1646" s="212"/>
      <c r="FP1646" s="212"/>
      <c r="FQ1646" s="212"/>
      <c r="FR1646" s="212"/>
      <c r="FS1646" s="212"/>
      <c r="FT1646" s="212"/>
      <c r="FU1646" s="211"/>
      <c r="FV1646" s="212"/>
      <c r="FW1646" s="212"/>
      <c r="FX1646" s="212"/>
      <c r="FY1646" s="212"/>
      <c r="FZ1646" s="212"/>
      <c r="GA1646" s="212"/>
      <c r="GB1646" s="212"/>
      <c r="GC1646" s="212"/>
      <c r="GD1646" s="212"/>
      <c r="GE1646" s="212"/>
      <c r="GF1646" s="212"/>
      <c r="GG1646" s="212"/>
      <c r="GH1646" s="212"/>
      <c r="GI1646" s="212"/>
      <c r="GJ1646" s="212"/>
      <c r="GK1646" s="211"/>
      <c r="GL1646" s="212"/>
      <c r="GM1646" s="212"/>
      <c r="GN1646" s="212"/>
      <c r="GO1646" s="212"/>
      <c r="GP1646" s="212"/>
      <c r="GQ1646" s="212"/>
      <c r="GR1646" s="212"/>
      <c r="GS1646" s="212"/>
      <c r="GT1646" s="212"/>
      <c r="GU1646" s="212"/>
      <c r="GV1646" s="212"/>
      <c r="GW1646" s="212"/>
      <c r="GX1646" s="212"/>
      <c r="GY1646" s="212"/>
      <c r="GZ1646" s="212"/>
      <c r="HA1646" s="211"/>
      <c r="HB1646" s="212"/>
      <c r="HC1646" s="212"/>
      <c r="HD1646" s="212"/>
      <c r="HE1646" s="212"/>
      <c r="HF1646" s="212"/>
      <c r="HG1646" s="212"/>
      <c r="HH1646" s="212"/>
      <c r="HI1646" s="212"/>
      <c r="HJ1646" s="212"/>
      <c r="HK1646" s="212"/>
      <c r="HL1646" s="212"/>
      <c r="HM1646" s="212"/>
      <c r="HN1646" s="212"/>
      <c r="HO1646" s="212"/>
      <c r="HP1646" s="212"/>
      <c r="HQ1646" s="211"/>
      <c r="HR1646" s="212"/>
      <c r="HS1646" s="212"/>
      <c r="HT1646" s="212"/>
      <c r="HU1646" s="212"/>
      <c r="HV1646" s="212"/>
      <c r="HW1646" s="212"/>
      <c r="HX1646" s="212"/>
      <c r="HY1646" s="212"/>
      <c r="HZ1646" s="212"/>
      <c r="IA1646" s="212"/>
      <c r="IB1646" s="212"/>
      <c r="IC1646" s="212"/>
      <c r="ID1646" s="212"/>
      <c r="IE1646" s="212"/>
      <c r="IF1646" s="212"/>
      <c r="IG1646" s="211"/>
      <c r="IH1646" s="212"/>
      <c r="II1646" s="212"/>
      <c r="IJ1646" s="212"/>
      <c r="IK1646" s="212"/>
      <c r="IL1646" s="212"/>
      <c r="IM1646" s="212"/>
      <c r="IN1646" s="212"/>
      <c r="IO1646" s="212"/>
      <c r="IP1646" s="212"/>
      <c r="IQ1646" s="212"/>
      <c r="IR1646" s="212"/>
      <c r="IS1646" s="212"/>
      <c r="IT1646" s="212"/>
      <c r="IU1646" s="212"/>
      <c r="IV1646" s="212"/>
    </row>
    <row r="1647" spans="1:256" x14ac:dyDescent="0.2">
      <c r="N1647" s="195"/>
      <c r="Q1647" s="38"/>
    </row>
    <row r="1648" spans="1:256" ht="5" customHeight="1" x14ac:dyDescent="0.2">
      <c r="A1648" s="48"/>
      <c r="B1648" s="23"/>
      <c r="C1648" s="23"/>
      <c r="D1648" s="23"/>
      <c r="E1648" s="23"/>
      <c r="F1648" s="33"/>
      <c r="G1648" s="33"/>
      <c r="H1648" s="33"/>
      <c r="I1648" s="33"/>
      <c r="J1648" s="178"/>
      <c r="K1648" s="33"/>
      <c r="L1648" s="33"/>
      <c r="M1648" s="33"/>
      <c r="N1648" s="33"/>
      <c r="O1648" s="33"/>
      <c r="P1648" s="34"/>
      <c r="Q1648" s="2"/>
    </row>
    <row r="1649" spans="1:17" x14ac:dyDescent="0.2">
      <c r="A1649" s="224" t="s">
        <v>880</v>
      </c>
      <c r="B1649" s="225"/>
      <c r="C1649" s="225"/>
      <c r="D1649" s="225"/>
      <c r="E1649" s="225"/>
      <c r="F1649" s="225"/>
      <c r="G1649" s="225"/>
      <c r="H1649" s="225"/>
      <c r="I1649" s="225"/>
      <c r="J1649" s="226"/>
      <c r="K1649" s="27"/>
      <c r="L1649" s="70" t="s">
        <v>664</v>
      </c>
      <c r="M1649" s="67" t="s">
        <v>61</v>
      </c>
      <c r="N1649" s="213">
        <f>ROUND([3]Schedule!$G$1,D2)</f>
        <v>0</v>
      </c>
      <c r="O1649" s="214"/>
      <c r="P1649" s="26"/>
      <c r="Q1649" s="2"/>
    </row>
    <row r="1650" spans="1:17" ht="5" customHeight="1" x14ac:dyDescent="0.2">
      <c r="A1650" s="47"/>
      <c r="B1650" s="21"/>
      <c r="C1650" s="21"/>
      <c r="D1650" s="21"/>
      <c r="E1650" s="21"/>
      <c r="F1650" s="10"/>
      <c r="G1650" s="10"/>
      <c r="H1650" s="10"/>
      <c r="I1650" s="10"/>
      <c r="J1650" s="180"/>
      <c r="K1650" s="10"/>
      <c r="L1650" s="10"/>
      <c r="M1650" s="10"/>
      <c r="N1650" s="10"/>
      <c r="O1650" s="10"/>
      <c r="P1650" s="28"/>
      <c r="Q1650" s="2"/>
    </row>
    <row r="1651" spans="1:17" x14ac:dyDescent="0.2">
      <c r="Q1651" s="38"/>
    </row>
    <row r="1652" spans="1:17" ht="30.75" customHeight="1" x14ac:dyDescent="0.25">
      <c r="A1652" s="218" t="s">
        <v>907</v>
      </c>
      <c r="B1652" s="219"/>
      <c r="C1652" s="219"/>
      <c r="D1652" s="219"/>
      <c r="E1652" s="219"/>
      <c r="F1652" s="219"/>
      <c r="G1652" s="219"/>
      <c r="H1652" s="219"/>
      <c r="I1652" s="219"/>
      <c r="J1652" s="219"/>
      <c r="K1652" s="219"/>
      <c r="L1652" s="219"/>
      <c r="M1652" s="219"/>
      <c r="N1652" s="219"/>
      <c r="O1652" s="219"/>
      <c r="P1652" s="219"/>
      <c r="Q1652" s="2"/>
    </row>
    <row r="1653" spans="1:17" ht="15" customHeight="1" x14ac:dyDescent="0.25">
      <c r="A1653" s="193"/>
      <c r="B1653" s="193"/>
      <c r="C1653" s="193"/>
      <c r="D1653" s="193"/>
      <c r="E1653" s="193"/>
      <c r="F1653" s="193"/>
      <c r="G1653" s="193"/>
      <c r="H1653" s="193"/>
      <c r="I1653" s="193"/>
      <c r="J1653" s="193"/>
      <c r="K1653" s="193"/>
      <c r="L1653" s="193"/>
      <c r="M1653" s="193"/>
      <c r="N1653" s="193"/>
      <c r="O1653" s="193"/>
      <c r="P1653" s="193"/>
      <c r="Q1653" s="2"/>
    </row>
    <row r="1654" spans="1:17" ht="30.75" customHeight="1" x14ac:dyDescent="0.25">
      <c r="A1654" s="218" t="s">
        <v>986</v>
      </c>
      <c r="B1654" s="219"/>
      <c r="C1654" s="219"/>
      <c r="D1654" s="219"/>
      <c r="E1654" s="219"/>
      <c r="F1654" s="219"/>
      <c r="G1654" s="219"/>
      <c r="H1654" s="219"/>
      <c r="I1654" s="219"/>
      <c r="J1654" s="219"/>
      <c r="K1654" s="219"/>
      <c r="L1654" s="219"/>
      <c r="M1654" s="219"/>
      <c r="N1654" s="219"/>
      <c r="O1654" s="219"/>
      <c r="P1654" s="219"/>
      <c r="Q1654" s="2"/>
    </row>
    <row r="1655" spans="1:17" ht="5" customHeight="1" x14ac:dyDescent="0.2">
      <c r="A1655" s="48"/>
      <c r="B1655" s="23"/>
      <c r="C1655" s="23"/>
      <c r="D1655" s="23"/>
      <c r="E1655" s="23"/>
      <c r="F1655" s="33"/>
      <c r="G1655" s="33"/>
      <c r="H1655" s="33"/>
      <c r="I1655" s="33"/>
      <c r="J1655" s="178"/>
      <c r="K1655" s="33"/>
      <c r="L1655" s="33"/>
      <c r="M1655" s="33"/>
      <c r="N1655" s="33"/>
      <c r="O1655" s="33"/>
      <c r="P1655" s="34"/>
      <c r="Q1655" s="2"/>
    </row>
    <row r="1656" spans="1:17" x14ac:dyDescent="0.2">
      <c r="A1656" s="224" t="s">
        <v>786</v>
      </c>
      <c r="B1656" s="225"/>
      <c r="C1656" s="225"/>
      <c r="D1656" s="225"/>
      <c r="E1656" s="225"/>
      <c r="F1656" s="225"/>
      <c r="G1656" s="225"/>
      <c r="H1656" s="225"/>
      <c r="I1656" s="225"/>
      <c r="J1656" s="226"/>
      <c r="K1656" s="27"/>
      <c r="L1656" s="70" t="s">
        <v>518</v>
      </c>
      <c r="M1656" s="67" t="s">
        <v>61</v>
      </c>
      <c r="N1656" s="213">
        <v>50000</v>
      </c>
      <c r="O1656" s="214"/>
      <c r="P1656" s="26"/>
      <c r="Q1656" s="2"/>
    </row>
    <row r="1657" spans="1:17" ht="5" customHeight="1" x14ac:dyDescent="0.2">
      <c r="A1657" s="47"/>
      <c r="B1657" s="21"/>
      <c r="C1657" s="21"/>
      <c r="D1657" s="21"/>
      <c r="E1657" s="21"/>
      <c r="F1657" s="10"/>
      <c r="G1657" s="10"/>
      <c r="H1657" s="10"/>
      <c r="I1657" s="10"/>
      <c r="J1657" s="180"/>
      <c r="K1657" s="10"/>
      <c r="L1657" s="10"/>
      <c r="M1657" s="10"/>
      <c r="N1657" s="10"/>
      <c r="O1657" s="10"/>
      <c r="P1657" s="28"/>
      <c r="Q1657" s="2"/>
    </row>
    <row r="1658" spans="1:17" ht="15" customHeight="1" x14ac:dyDescent="0.25">
      <c r="A1658" s="193"/>
      <c r="B1658" s="193"/>
      <c r="C1658" s="193"/>
      <c r="D1658" s="193"/>
      <c r="E1658" s="193"/>
      <c r="F1658" s="193"/>
      <c r="G1658" s="193"/>
      <c r="H1658" s="193"/>
      <c r="I1658" s="193"/>
      <c r="J1658" s="193"/>
      <c r="K1658" s="193"/>
      <c r="L1658" s="193"/>
      <c r="M1658" s="193"/>
      <c r="N1658" s="193"/>
      <c r="O1658" s="193"/>
      <c r="P1658" s="193"/>
      <c r="Q1658" s="2"/>
    </row>
    <row r="1659" spans="1:17" x14ac:dyDescent="0.2">
      <c r="A1659" s="238" t="s">
        <v>672</v>
      </c>
      <c r="B1659" s="239"/>
      <c r="C1659" s="212"/>
      <c r="D1659" s="212"/>
      <c r="E1659" s="72"/>
      <c r="F1659" s="238"/>
      <c r="G1659" s="238"/>
      <c r="H1659" s="238"/>
      <c r="I1659" s="238"/>
      <c r="J1659" s="238"/>
      <c r="K1659" s="238"/>
      <c r="L1659" s="238"/>
      <c r="M1659" s="238"/>
      <c r="N1659" s="238"/>
      <c r="O1659" s="238"/>
      <c r="P1659" s="238"/>
      <c r="Q1659" s="38"/>
    </row>
    <row r="1660" spans="1:17" ht="5" customHeight="1" x14ac:dyDescent="0.2">
      <c r="A1660" s="140"/>
      <c r="B1660" s="152"/>
      <c r="C1660" s="51"/>
      <c r="D1660" s="51"/>
      <c r="E1660" s="72"/>
      <c r="F1660" s="140"/>
      <c r="G1660" s="140"/>
      <c r="H1660" s="140"/>
      <c r="I1660" s="140"/>
      <c r="J1660" s="140"/>
      <c r="K1660" s="140"/>
      <c r="L1660" s="140"/>
      <c r="M1660" s="140"/>
      <c r="N1660" s="140"/>
      <c r="O1660" s="140"/>
      <c r="P1660" s="140"/>
      <c r="Q1660" s="38"/>
    </row>
    <row r="1661" spans="1:17" ht="5" customHeight="1" x14ac:dyDescent="0.2">
      <c r="A1661" s="48"/>
      <c r="B1661" s="23"/>
      <c r="C1661" s="23"/>
      <c r="D1661" s="23"/>
      <c r="E1661" s="23"/>
      <c r="F1661" s="33"/>
      <c r="G1661" s="33"/>
      <c r="H1661" s="33"/>
      <c r="I1661" s="33"/>
      <c r="J1661" s="178"/>
      <c r="K1661" s="33"/>
      <c r="L1661" s="33"/>
      <c r="M1661" s="33"/>
      <c r="N1661" s="33"/>
      <c r="O1661" s="33"/>
      <c r="P1661" s="34"/>
      <c r="Q1661" s="2"/>
    </row>
    <row r="1662" spans="1:17" ht="15" customHeight="1" x14ac:dyDescent="0.25">
      <c r="A1662" s="141"/>
      <c r="B1662" s="20"/>
      <c r="C1662" s="20"/>
      <c r="D1662" s="20"/>
      <c r="E1662" s="20"/>
      <c r="F1662" s="27"/>
      <c r="G1662" s="27"/>
      <c r="H1662" s="27"/>
      <c r="I1662" s="27"/>
      <c r="J1662" s="179"/>
      <c r="K1662" s="260" t="s">
        <v>449</v>
      </c>
      <c r="L1662" s="261"/>
      <c r="M1662" s="261"/>
      <c r="N1662" s="261"/>
      <c r="O1662" s="261"/>
      <c r="P1662" s="262"/>
      <c r="Q1662" s="2"/>
    </row>
    <row r="1663" spans="1:17" x14ac:dyDescent="0.2">
      <c r="A1663" s="224" t="s">
        <v>669</v>
      </c>
      <c r="B1663" s="225"/>
      <c r="C1663" s="225"/>
      <c r="D1663" s="225"/>
      <c r="E1663" s="225"/>
      <c r="F1663" s="225"/>
      <c r="G1663" s="225"/>
      <c r="H1663" s="225"/>
      <c r="I1663" s="225"/>
      <c r="J1663" s="226"/>
      <c r="K1663" s="27"/>
      <c r="L1663" s="70" t="s">
        <v>665</v>
      </c>
      <c r="M1663" s="67" t="s">
        <v>61</v>
      </c>
      <c r="N1663" s="213"/>
      <c r="O1663" s="214"/>
      <c r="P1663" s="26"/>
      <c r="Q1663" s="2"/>
    </row>
    <row r="1664" spans="1:17" ht="5" customHeight="1" x14ac:dyDescent="0.2">
      <c r="A1664" s="47"/>
      <c r="B1664" s="21"/>
      <c r="C1664" s="21"/>
      <c r="D1664" s="21"/>
      <c r="E1664" s="21"/>
      <c r="F1664" s="10"/>
      <c r="G1664" s="10"/>
      <c r="H1664" s="10"/>
      <c r="I1664" s="10"/>
      <c r="J1664" s="180"/>
      <c r="K1664" s="10"/>
      <c r="L1664" s="10"/>
      <c r="M1664" s="10"/>
      <c r="N1664" s="10"/>
      <c r="O1664" s="10"/>
      <c r="P1664" s="28"/>
      <c r="Q1664" s="2"/>
    </row>
    <row r="1665" spans="1:17" ht="5" customHeight="1" x14ac:dyDescent="0.2">
      <c r="A1665" s="49"/>
      <c r="B1665" s="24"/>
      <c r="C1665" s="24"/>
      <c r="D1665" s="24"/>
      <c r="E1665" s="24"/>
      <c r="F1665" s="29"/>
      <c r="G1665" s="29"/>
      <c r="H1665" s="29"/>
      <c r="I1665" s="29"/>
      <c r="J1665" s="183"/>
      <c r="K1665" s="29"/>
      <c r="L1665" s="29"/>
      <c r="M1665" s="29"/>
      <c r="N1665" s="29"/>
      <c r="O1665" s="29"/>
      <c r="P1665" s="30"/>
      <c r="Q1665" s="2"/>
    </row>
    <row r="1666" spans="1:17" ht="15" customHeight="1" x14ac:dyDescent="0.25">
      <c r="A1666" s="61"/>
      <c r="B1666" s="22"/>
      <c r="C1666" s="22"/>
      <c r="D1666" s="22"/>
      <c r="E1666" s="22"/>
      <c r="F1666" s="40"/>
      <c r="G1666" s="40"/>
      <c r="H1666" s="40"/>
      <c r="I1666" s="40"/>
      <c r="J1666" s="176"/>
      <c r="K1666" s="252" t="s">
        <v>449</v>
      </c>
      <c r="L1666" s="253"/>
      <c r="M1666" s="253"/>
      <c r="N1666" s="253"/>
      <c r="O1666" s="253"/>
      <c r="P1666" s="254"/>
      <c r="Q1666" s="2"/>
    </row>
    <row r="1667" spans="1:17" x14ac:dyDescent="0.2">
      <c r="A1667" s="221" t="s">
        <v>670</v>
      </c>
      <c r="B1667" s="222"/>
      <c r="C1667" s="222"/>
      <c r="D1667" s="222"/>
      <c r="E1667" s="222"/>
      <c r="F1667" s="222"/>
      <c r="G1667" s="222"/>
      <c r="H1667" s="222"/>
      <c r="I1667" s="222"/>
      <c r="J1667" s="223"/>
      <c r="K1667" s="40"/>
      <c r="L1667" s="70" t="s">
        <v>666</v>
      </c>
      <c r="M1667" s="67" t="s">
        <v>61</v>
      </c>
      <c r="N1667" s="213"/>
      <c r="O1667" s="214"/>
      <c r="P1667" s="41"/>
      <c r="Q1667" s="2"/>
    </row>
    <row r="1668" spans="1:17" ht="5" customHeight="1" x14ac:dyDescent="0.2">
      <c r="A1668" s="50"/>
      <c r="B1668" s="25"/>
      <c r="C1668" s="25"/>
      <c r="D1668" s="25"/>
      <c r="E1668" s="25"/>
      <c r="F1668" s="31"/>
      <c r="G1668" s="31"/>
      <c r="H1668" s="31"/>
      <c r="I1668" s="31"/>
      <c r="J1668" s="177"/>
      <c r="K1668" s="31"/>
      <c r="L1668" s="31"/>
      <c r="M1668" s="31"/>
      <c r="N1668" s="31"/>
      <c r="O1668" s="31"/>
      <c r="P1668" s="32"/>
      <c r="Q1668" s="2"/>
    </row>
    <row r="1669" spans="1:17" ht="5" customHeight="1" x14ac:dyDescent="0.2">
      <c r="A1669" s="48"/>
      <c r="B1669" s="23"/>
      <c r="C1669" s="23"/>
      <c r="D1669" s="23"/>
      <c r="E1669" s="23"/>
      <c r="F1669" s="33"/>
      <c r="G1669" s="33"/>
      <c r="H1669" s="33"/>
      <c r="I1669" s="33"/>
      <c r="J1669" s="178"/>
      <c r="K1669" s="33"/>
      <c r="L1669" s="33"/>
      <c r="M1669" s="33"/>
      <c r="N1669" s="33"/>
      <c r="O1669" s="33"/>
      <c r="P1669" s="34"/>
      <c r="Q1669" s="2"/>
    </row>
    <row r="1670" spans="1:17" ht="15" customHeight="1" x14ac:dyDescent="0.25">
      <c r="A1670" s="141"/>
      <c r="B1670" s="20"/>
      <c r="C1670" s="20"/>
      <c r="D1670" s="20"/>
      <c r="E1670" s="20"/>
      <c r="F1670" s="27"/>
      <c r="G1670" s="27"/>
      <c r="H1670" s="27"/>
      <c r="I1670" s="27"/>
      <c r="J1670" s="179"/>
      <c r="K1670" s="260" t="s">
        <v>449</v>
      </c>
      <c r="L1670" s="261"/>
      <c r="M1670" s="261"/>
      <c r="N1670" s="261"/>
      <c r="O1670" s="261"/>
      <c r="P1670" s="262"/>
      <c r="Q1670" s="2"/>
    </row>
    <row r="1671" spans="1:17" x14ac:dyDescent="0.2">
      <c r="A1671" s="224" t="s">
        <v>908</v>
      </c>
      <c r="B1671" s="225"/>
      <c r="C1671" s="225"/>
      <c r="D1671" s="225"/>
      <c r="E1671" s="225"/>
      <c r="F1671" s="225"/>
      <c r="G1671" s="225"/>
      <c r="H1671" s="225"/>
      <c r="I1671" s="225"/>
      <c r="J1671" s="226"/>
      <c r="K1671" s="27"/>
      <c r="L1671" s="207" t="s">
        <v>667</v>
      </c>
      <c r="M1671" s="186" t="s">
        <v>61</v>
      </c>
      <c r="N1671" s="242">
        <f>SUM(N1663,N1667)</f>
        <v>0</v>
      </c>
      <c r="O1671" s="243"/>
      <c r="P1671" s="26"/>
      <c r="Q1671" s="2"/>
    </row>
    <row r="1672" spans="1:17" ht="5" customHeight="1" x14ac:dyDescent="0.2">
      <c r="A1672" s="47"/>
      <c r="B1672" s="21"/>
      <c r="C1672" s="21"/>
      <c r="D1672" s="21"/>
      <c r="E1672" s="21"/>
      <c r="F1672" s="10"/>
      <c r="G1672" s="10"/>
      <c r="H1672" s="10"/>
      <c r="I1672" s="10"/>
      <c r="J1672" s="180"/>
      <c r="K1672" s="10"/>
      <c r="L1672" s="10"/>
      <c r="M1672" s="10"/>
      <c r="N1672" s="10"/>
      <c r="O1672" s="10"/>
      <c r="P1672" s="28"/>
      <c r="Q1672" s="2"/>
    </row>
    <row r="1673" spans="1:17" ht="5" customHeight="1" x14ac:dyDescent="0.2">
      <c r="A1673" s="49"/>
      <c r="B1673" s="24"/>
      <c r="C1673" s="24"/>
      <c r="D1673" s="24"/>
      <c r="E1673" s="24"/>
      <c r="F1673" s="29"/>
      <c r="G1673" s="29"/>
      <c r="H1673" s="29"/>
      <c r="I1673" s="29"/>
      <c r="J1673" s="183"/>
      <c r="K1673" s="29"/>
      <c r="L1673" s="29"/>
      <c r="M1673" s="29"/>
      <c r="N1673" s="29"/>
      <c r="O1673" s="29"/>
      <c r="P1673" s="30"/>
      <c r="Q1673" s="2"/>
    </row>
    <row r="1674" spans="1:17" x14ac:dyDescent="0.2">
      <c r="A1674" s="221" t="s">
        <v>671</v>
      </c>
      <c r="B1674" s="222"/>
      <c r="C1674" s="222"/>
      <c r="D1674" s="222"/>
      <c r="E1674" s="222"/>
      <c r="F1674" s="222"/>
      <c r="G1674" s="222"/>
      <c r="H1674" s="222"/>
      <c r="I1674" s="222"/>
      <c r="J1674" s="223"/>
      <c r="K1674" s="40"/>
      <c r="L1674" s="70" t="s">
        <v>668</v>
      </c>
      <c r="M1674" s="67" t="s">
        <v>61</v>
      </c>
      <c r="N1674" s="213">
        <f>ROUND([1]CorporationTax!$F$79,D2)</f>
        <v>0</v>
      </c>
      <c r="O1674" s="214"/>
      <c r="P1674" s="41"/>
      <c r="Q1674" s="2"/>
    </row>
    <row r="1675" spans="1:17" ht="5" customHeight="1" x14ac:dyDescent="0.2">
      <c r="A1675" s="50"/>
      <c r="B1675" s="25"/>
      <c r="C1675" s="25"/>
      <c r="D1675" s="25"/>
      <c r="E1675" s="25"/>
      <c r="F1675" s="31"/>
      <c r="G1675" s="31"/>
      <c r="H1675" s="31"/>
      <c r="I1675" s="31"/>
      <c r="J1675" s="177"/>
      <c r="K1675" s="31"/>
      <c r="L1675" s="31"/>
      <c r="M1675" s="31"/>
      <c r="N1675" s="31"/>
      <c r="O1675" s="31"/>
      <c r="P1675" s="32"/>
      <c r="Q1675" s="2"/>
    </row>
    <row r="1676" spans="1:17" x14ac:dyDescent="0.2">
      <c r="Q1676" s="2"/>
    </row>
    <row r="1677" spans="1:17" x14ac:dyDescent="0.2">
      <c r="A1677" s="238" t="s">
        <v>673</v>
      </c>
      <c r="B1677" s="239"/>
      <c r="C1677" s="212"/>
      <c r="D1677" s="212"/>
      <c r="Q1677" s="2"/>
    </row>
    <row r="1678" spans="1:17" ht="5" customHeight="1" x14ac:dyDescent="0.2">
      <c r="Q1678" s="2"/>
    </row>
    <row r="1679" spans="1:17" ht="5" customHeight="1" x14ac:dyDescent="0.2">
      <c r="A1679" s="48"/>
      <c r="B1679" s="23"/>
      <c r="C1679" s="23"/>
      <c r="D1679" s="23"/>
      <c r="E1679" s="23"/>
      <c r="F1679" s="33"/>
      <c r="G1679" s="33"/>
      <c r="H1679" s="33"/>
      <c r="I1679" s="33"/>
      <c r="J1679" s="178"/>
      <c r="K1679" s="33"/>
      <c r="L1679" s="33"/>
      <c r="M1679" s="33"/>
      <c r="N1679" s="33"/>
      <c r="O1679" s="33"/>
      <c r="P1679" s="34"/>
      <c r="Q1679" s="2"/>
    </row>
    <row r="1680" spans="1:17" x14ac:dyDescent="0.2">
      <c r="A1680" s="224" t="s">
        <v>674</v>
      </c>
      <c r="B1680" s="225"/>
      <c r="C1680" s="225"/>
      <c r="D1680" s="225"/>
      <c r="E1680" s="225"/>
      <c r="F1680" s="225"/>
      <c r="G1680" s="225"/>
      <c r="H1680" s="225"/>
      <c r="I1680" s="225"/>
      <c r="J1680" s="226"/>
      <c r="K1680" s="27"/>
      <c r="L1680" s="70" t="s">
        <v>675</v>
      </c>
      <c r="M1680" s="67" t="s">
        <v>61</v>
      </c>
      <c r="N1680" s="213">
        <f>ROUND([1]CorporationTax!$I$79,D2)</f>
        <v>0</v>
      </c>
      <c r="O1680" s="214"/>
      <c r="P1680" s="26"/>
      <c r="Q1680" s="2"/>
    </row>
    <row r="1681" spans="1:17" ht="5" customHeight="1" x14ac:dyDescent="0.2">
      <c r="A1681" s="47"/>
      <c r="B1681" s="21"/>
      <c r="C1681" s="21"/>
      <c r="D1681" s="21"/>
      <c r="E1681" s="21"/>
      <c r="F1681" s="10"/>
      <c r="G1681" s="10"/>
      <c r="H1681" s="10"/>
      <c r="I1681" s="10"/>
      <c r="J1681" s="180"/>
      <c r="K1681" s="10"/>
      <c r="L1681" s="10"/>
      <c r="M1681" s="10"/>
      <c r="N1681" s="10"/>
      <c r="O1681" s="10"/>
      <c r="P1681" s="28"/>
      <c r="Q1681" s="2"/>
    </row>
    <row r="1682" spans="1:17" x14ac:dyDescent="0.2">
      <c r="Q1682" s="2"/>
    </row>
    <row r="1683" spans="1:17" x14ac:dyDescent="0.2">
      <c r="A1683" s="238" t="s">
        <v>676</v>
      </c>
      <c r="B1683" s="239"/>
      <c r="C1683" s="212"/>
      <c r="D1683" s="212"/>
      <c r="N1683" s="195"/>
      <c r="Q1683" s="2"/>
    </row>
    <row r="1684" spans="1:17" ht="5" customHeight="1" x14ac:dyDescent="0.2">
      <c r="Q1684" s="2"/>
    </row>
    <row r="1685" spans="1:17" ht="5" customHeight="1" x14ac:dyDescent="0.2">
      <c r="A1685" s="48"/>
      <c r="B1685" s="23"/>
      <c r="C1685" s="23"/>
      <c r="D1685" s="23"/>
      <c r="E1685" s="23"/>
      <c r="F1685" s="33"/>
      <c r="G1685" s="33"/>
      <c r="H1685" s="33"/>
      <c r="I1685" s="33"/>
      <c r="J1685" s="178"/>
      <c r="K1685" s="33"/>
      <c r="L1685" s="33"/>
      <c r="M1685" s="33"/>
      <c r="N1685" s="33"/>
      <c r="O1685" s="33"/>
      <c r="P1685" s="34"/>
      <c r="Q1685" s="2"/>
    </row>
    <row r="1686" spans="1:17" x14ac:dyDescent="0.2">
      <c r="A1686" s="224" t="s">
        <v>677</v>
      </c>
      <c r="B1686" s="225"/>
      <c r="C1686" s="225"/>
      <c r="D1686" s="225"/>
      <c r="E1686" s="225"/>
      <c r="F1686" s="225"/>
      <c r="G1686" s="225"/>
      <c r="H1686" s="225"/>
      <c r="I1686" s="225"/>
      <c r="J1686" s="226"/>
      <c r="K1686" s="27"/>
      <c r="L1686" s="70" t="s">
        <v>678</v>
      </c>
      <c r="M1686" s="67" t="s">
        <v>61</v>
      </c>
      <c r="N1686" s="213">
        <f>MAX([1]CorporationTax!$I$18,0)</f>
        <v>0</v>
      </c>
      <c r="O1686" s="214"/>
      <c r="P1686" s="26"/>
      <c r="Q1686" s="2"/>
    </row>
    <row r="1687" spans="1:17" ht="5" customHeight="1" x14ac:dyDescent="0.2">
      <c r="A1687" s="47"/>
      <c r="B1687" s="21"/>
      <c r="C1687" s="21"/>
      <c r="D1687" s="21"/>
      <c r="E1687" s="21"/>
      <c r="F1687" s="10"/>
      <c r="G1687" s="10"/>
      <c r="H1687" s="10"/>
      <c r="I1687" s="10"/>
      <c r="J1687" s="180"/>
      <c r="K1687" s="10"/>
      <c r="L1687" s="10"/>
      <c r="M1687" s="10"/>
      <c r="N1687" s="10"/>
      <c r="O1687" s="10"/>
      <c r="P1687" s="28"/>
      <c r="Q1687" s="2"/>
    </row>
    <row r="1688" spans="1:17" x14ac:dyDescent="0.2">
      <c r="Q1688" s="2"/>
    </row>
    <row r="1689" spans="1:17" x14ac:dyDescent="0.2">
      <c r="A1689" s="238" t="s">
        <v>679</v>
      </c>
      <c r="B1689" s="239"/>
      <c r="C1689" s="212"/>
      <c r="D1689" s="212"/>
      <c r="Q1689" s="2"/>
    </row>
    <row r="1690" spans="1:17" x14ac:dyDescent="0.2">
      <c r="Q1690" s="2"/>
    </row>
    <row r="1691" spans="1:17" ht="5" customHeight="1" x14ac:dyDescent="0.2">
      <c r="A1691" s="48"/>
      <c r="B1691" s="23"/>
      <c r="C1691" s="23"/>
      <c r="D1691" s="23"/>
      <c r="E1691" s="23"/>
      <c r="F1691" s="33"/>
      <c r="G1691" s="33"/>
      <c r="H1691" s="33"/>
      <c r="I1691" s="33"/>
      <c r="J1691" s="178"/>
      <c r="K1691" s="33"/>
      <c r="L1691" s="33"/>
      <c r="M1691" s="33"/>
      <c r="N1691" s="33"/>
      <c r="O1691" s="33"/>
      <c r="P1691" s="34"/>
      <c r="Q1691" s="2"/>
    </row>
    <row r="1692" spans="1:17" ht="15" customHeight="1" x14ac:dyDescent="0.25">
      <c r="A1692" s="141"/>
      <c r="B1692" s="20"/>
      <c r="C1692" s="20"/>
      <c r="D1692" s="20"/>
      <c r="E1692" s="20"/>
      <c r="F1692" s="27"/>
      <c r="G1692" s="27"/>
      <c r="H1692" s="27"/>
      <c r="I1692" s="27"/>
      <c r="J1692" s="179"/>
      <c r="K1692" s="260" t="s">
        <v>449</v>
      </c>
      <c r="L1692" s="261"/>
      <c r="M1692" s="261"/>
      <c r="N1692" s="261"/>
      <c r="O1692" s="261"/>
      <c r="P1692" s="262"/>
      <c r="Q1692" s="2"/>
    </row>
    <row r="1693" spans="1:17" x14ac:dyDescent="0.2">
      <c r="A1693" s="224" t="s">
        <v>692</v>
      </c>
      <c r="B1693" s="225"/>
      <c r="C1693" s="225"/>
      <c r="D1693" s="225"/>
      <c r="E1693" s="225"/>
      <c r="F1693" s="225"/>
      <c r="G1693" s="225"/>
      <c r="H1693" s="225"/>
      <c r="I1693" s="225"/>
      <c r="J1693" s="226"/>
      <c r="K1693" s="27"/>
      <c r="L1693" s="70" t="s">
        <v>680</v>
      </c>
      <c r="M1693" s="67" t="s">
        <v>61</v>
      </c>
      <c r="N1693" s="213"/>
      <c r="O1693" s="214"/>
      <c r="P1693" s="26"/>
      <c r="Q1693" s="2"/>
    </row>
    <row r="1694" spans="1:17" ht="5" customHeight="1" x14ac:dyDescent="0.2">
      <c r="A1694" s="47"/>
      <c r="B1694" s="21"/>
      <c r="C1694" s="21"/>
      <c r="D1694" s="21"/>
      <c r="E1694" s="21"/>
      <c r="F1694" s="10"/>
      <c r="G1694" s="10"/>
      <c r="H1694" s="10"/>
      <c r="I1694" s="10"/>
      <c r="J1694" s="180"/>
      <c r="K1694" s="10"/>
      <c r="L1694" s="10"/>
      <c r="M1694" s="10"/>
      <c r="N1694" s="10"/>
      <c r="O1694" s="10"/>
      <c r="P1694" s="28"/>
      <c r="Q1694" s="2"/>
    </row>
    <row r="1695" spans="1:17" ht="5" customHeight="1" x14ac:dyDescent="0.2">
      <c r="A1695" s="49"/>
      <c r="B1695" s="24"/>
      <c r="C1695" s="24"/>
      <c r="D1695" s="24"/>
      <c r="E1695" s="24"/>
      <c r="F1695" s="29"/>
      <c r="G1695" s="29"/>
      <c r="H1695" s="29"/>
      <c r="I1695" s="29"/>
      <c r="J1695" s="183"/>
      <c r="K1695" s="29"/>
      <c r="L1695" s="29"/>
      <c r="M1695" s="29"/>
      <c r="N1695" s="29"/>
      <c r="O1695" s="29"/>
      <c r="P1695" s="30"/>
      <c r="Q1695" s="2"/>
    </row>
    <row r="1696" spans="1:17" ht="15" customHeight="1" x14ac:dyDescent="0.25">
      <c r="A1696" s="61"/>
      <c r="B1696" s="22"/>
      <c r="C1696" s="22"/>
      <c r="D1696" s="22"/>
      <c r="E1696" s="22"/>
      <c r="F1696" s="40"/>
      <c r="G1696" s="40"/>
      <c r="H1696" s="40"/>
      <c r="I1696" s="40"/>
      <c r="J1696" s="176"/>
      <c r="K1696" s="252" t="s">
        <v>449</v>
      </c>
      <c r="L1696" s="253"/>
      <c r="M1696" s="253"/>
      <c r="N1696" s="253"/>
      <c r="O1696" s="253"/>
      <c r="P1696" s="254"/>
      <c r="Q1696" s="2"/>
    </row>
    <row r="1697" spans="1:17" x14ac:dyDescent="0.2">
      <c r="A1697" s="221" t="s">
        <v>693</v>
      </c>
      <c r="B1697" s="222"/>
      <c r="C1697" s="222"/>
      <c r="D1697" s="222"/>
      <c r="E1697" s="222"/>
      <c r="F1697" s="222"/>
      <c r="G1697" s="222"/>
      <c r="H1697" s="222"/>
      <c r="I1697" s="222"/>
      <c r="J1697" s="223"/>
      <c r="K1697" s="40"/>
      <c r="L1697" s="70" t="s">
        <v>681</v>
      </c>
      <c r="M1697" s="67" t="s">
        <v>61</v>
      </c>
      <c r="N1697" s="213"/>
      <c r="O1697" s="214"/>
      <c r="P1697" s="41"/>
      <c r="Q1697" s="2"/>
    </row>
    <row r="1698" spans="1:17" ht="5" customHeight="1" x14ac:dyDescent="0.2">
      <c r="A1698" s="50"/>
      <c r="B1698" s="25"/>
      <c r="C1698" s="25"/>
      <c r="D1698" s="25"/>
      <c r="E1698" s="25"/>
      <c r="F1698" s="31"/>
      <c r="G1698" s="31"/>
      <c r="H1698" s="31"/>
      <c r="I1698" s="31"/>
      <c r="J1698" s="177"/>
      <c r="K1698" s="31"/>
      <c r="L1698" s="31"/>
      <c r="M1698" s="31"/>
      <c r="N1698" s="31"/>
      <c r="O1698" s="31"/>
      <c r="P1698" s="32"/>
      <c r="Q1698" s="2"/>
    </row>
    <row r="1699" spans="1:17" ht="5" customHeight="1" x14ac:dyDescent="0.2">
      <c r="A1699" s="48"/>
      <c r="B1699" s="23"/>
      <c r="C1699" s="23"/>
      <c r="D1699" s="23"/>
      <c r="E1699" s="23"/>
      <c r="F1699" s="33"/>
      <c r="G1699" s="33"/>
      <c r="H1699" s="33"/>
      <c r="I1699" s="33"/>
      <c r="J1699" s="178"/>
      <c r="K1699" s="33"/>
      <c r="L1699" s="33"/>
      <c r="M1699" s="33"/>
      <c r="N1699" s="33"/>
      <c r="O1699" s="33"/>
      <c r="P1699" s="34"/>
      <c r="Q1699" s="2"/>
    </row>
    <row r="1700" spans="1:17" ht="15" customHeight="1" x14ac:dyDescent="0.25">
      <c r="A1700" s="141"/>
      <c r="B1700" s="20"/>
      <c r="C1700" s="20"/>
      <c r="D1700" s="20"/>
      <c r="E1700" s="20"/>
      <c r="F1700" s="27"/>
      <c r="G1700" s="27"/>
      <c r="H1700" s="27"/>
      <c r="I1700" s="27"/>
      <c r="J1700" s="179"/>
      <c r="K1700" s="260" t="s">
        <v>449</v>
      </c>
      <c r="L1700" s="261"/>
      <c r="M1700" s="261"/>
      <c r="N1700" s="261"/>
      <c r="O1700" s="261"/>
      <c r="P1700" s="262"/>
      <c r="Q1700" s="2"/>
    </row>
    <row r="1701" spans="1:17" x14ac:dyDescent="0.2">
      <c r="A1701" s="224" t="s">
        <v>691</v>
      </c>
      <c r="B1701" s="225"/>
      <c r="C1701" s="225"/>
      <c r="D1701" s="225"/>
      <c r="E1701" s="225"/>
      <c r="F1701" s="225"/>
      <c r="G1701" s="225"/>
      <c r="H1701" s="225"/>
      <c r="I1701" s="225"/>
      <c r="J1701" s="226"/>
      <c r="K1701" s="27"/>
      <c r="L1701" s="207" t="s">
        <v>682</v>
      </c>
      <c r="M1701" s="197" t="s">
        <v>61</v>
      </c>
      <c r="N1701" s="242">
        <f>SUM(N1693,N1697)</f>
        <v>0</v>
      </c>
      <c r="O1701" s="243"/>
      <c r="P1701" s="26"/>
      <c r="Q1701" s="2"/>
    </row>
    <row r="1702" spans="1:17" ht="5" customHeight="1" x14ac:dyDescent="0.2">
      <c r="A1702" s="47"/>
      <c r="B1702" s="21"/>
      <c r="C1702" s="21"/>
      <c r="D1702" s="21"/>
      <c r="E1702" s="21"/>
      <c r="F1702" s="10"/>
      <c r="G1702" s="10"/>
      <c r="H1702" s="10"/>
      <c r="I1702" s="10"/>
      <c r="J1702" s="180"/>
      <c r="K1702" s="10"/>
      <c r="L1702" s="10"/>
      <c r="M1702" s="10"/>
      <c r="N1702" s="10"/>
      <c r="O1702" s="10"/>
      <c r="P1702" s="28"/>
      <c r="Q1702" s="2"/>
    </row>
    <row r="1703" spans="1:17" ht="5" customHeight="1" x14ac:dyDescent="0.2">
      <c r="A1703" s="49"/>
      <c r="B1703" s="24"/>
      <c r="C1703" s="24"/>
      <c r="D1703" s="24"/>
      <c r="E1703" s="24"/>
      <c r="F1703" s="29"/>
      <c r="G1703" s="29"/>
      <c r="H1703" s="29"/>
      <c r="I1703" s="29"/>
      <c r="J1703" s="183"/>
      <c r="K1703" s="29"/>
      <c r="L1703" s="29"/>
      <c r="M1703" s="29"/>
      <c r="N1703" s="29"/>
      <c r="O1703" s="29"/>
      <c r="P1703" s="30"/>
      <c r="Q1703" s="2"/>
    </row>
    <row r="1704" spans="1:17" x14ac:dyDescent="0.2">
      <c r="A1704" s="221" t="s">
        <v>694</v>
      </c>
      <c r="B1704" s="222"/>
      <c r="C1704" s="222"/>
      <c r="D1704" s="222"/>
      <c r="E1704" s="222"/>
      <c r="F1704" s="222"/>
      <c r="G1704" s="222"/>
      <c r="H1704" s="222"/>
      <c r="I1704" s="222"/>
      <c r="J1704" s="223"/>
      <c r="K1704" s="40"/>
      <c r="L1704" s="70" t="s">
        <v>683</v>
      </c>
      <c r="M1704" s="67" t="s">
        <v>61</v>
      </c>
      <c r="N1704" s="213">
        <f>MIN(N1656,N1680)</f>
        <v>0</v>
      </c>
      <c r="O1704" s="214"/>
      <c r="P1704" s="41"/>
      <c r="Q1704" s="2"/>
    </row>
    <row r="1705" spans="1:17" ht="5" customHeight="1" x14ac:dyDescent="0.2">
      <c r="A1705" s="50"/>
      <c r="B1705" s="25"/>
      <c r="C1705" s="25"/>
      <c r="D1705" s="25"/>
      <c r="E1705" s="25"/>
      <c r="F1705" s="31"/>
      <c r="G1705" s="31"/>
      <c r="H1705" s="31"/>
      <c r="I1705" s="31"/>
      <c r="J1705" s="177"/>
      <c r="K1705" s="31"/>
      <c r="L1705" s="31"/>
      <c r="M1705" s="31"/>
      <c r="N1705" s="31"/>
      <c r="O1705" s="31"/>
      <c r="P1705" s="32"/>
      <c r="Q1705" s="2"/>
    </row>
    <row r="1706" spans="1:17" ht="5" customHeight="1" x14ac:dyDescent="0.2">
      <c r="A1706" s="48"/>
      <c r="B1706" s="23"/>
      <c r="C1706" s="23"/>
      <c r="D1706" s="23"/>
      <c r="E1706" s="23"/>
      <c r="F1706" s="33"/>
      <c r="G1706" s="33"/>
      <c r="H1706" s="33"/>
      <c r="I1706" s="33"/>
      <c r="J1706" s="178"/>
      <c r="K1706" s="33"/>
      <c r="L1706" s="33"/>
      <c r="M1706" s="33"/>
      <c r="N1706" s="33"/>
      <c r="O1706" s="33"/>
      <c r="P1706" s="34"/>
      <c r="Q1706" s="2"/>
    </row>
    <row r="1707" spans="1:17" x14ac:dyDescent="0.2">
      <c r="A1707" s="224" t="s">
        <v>695</v>
      </c>
      <c r="B1707" s="225"/>
      <c r="C1707" s="225"/>
      <c r="D1707" s="225"/>
      <c r="E1707" s="225"/>
      <c r="F1707" s="225"/>
      <c r="G1707" s="225"/>
      <c r="H1707" s="225"/>
      <c r="I1707" s="225"/>
      <c r="J1707" s="226"/>
      <c r="K1707" s="27"/>
      <c r="L1707" s="70" t="s">
        <v>684</v>
      </c>
      <c r="M1707" s="67" t="s">
        <v>61</v>
      </c>
      <c r="N1707" s="213">
        <f>ROUND([1]CorporationTax!$I$17,D2)</f>
        <v>0</v>
      </c>
      <c r="O1707" s="214"/>
      <c r="P1707" s="26"/>
      <c r="Q1707" s="2"/>
    </row>
    <row r="1708" spans="1:17" ht="5" customHeight="1" x14ac:dyDescent="0.2">
      <c r="A1708" s="47"/>
      <c r="B1708" s="21"/>
      <c r="C1708" s="21"/>
      <c r="D1708" s="21"/>
      <c r="E1708" s="21"/>
      <c r="F1708" s="10"/>
      <c r="G1708" s="10"/>
      <c r="H1708" s="10"/>
      <c r="I1708" s="10"/>
      <c r="J1708" s="180"/>
      <c r="K1708" s="10"/>
      <c r="L1708" s="10"/>
      <c r="M1708" s="10"/>
      <c r="N1708" s="10"/>
      <c r="O1708" s="10"/>
      <c r="P1708" s="28"/>
      <c r="Q1708" s="2"/>
    </row>
    <row r="1709" spans="1:17" ht="5" customHeight="1" x14ac:dyDescent="0.2">
      <c r="A1709" s="49"/>
      <c r="B1709" s="24"/>
      <c r="C1709" s="24"/>
      <c r="D1709" s="24"/>
      <c r="E1709" s="24"/>
      <c r="F1709" s="29"/>
      <c r="G1709" s="29"/>
      <c r="H1709" s="29"/>
      <c r="I1709" s="29"/>
      <c r="J1709" s="183"/>
      <c r="K1709" s="29"/>
      <c r="L1709" s="29"/>
      <c r="M1709" s="29"/>
      <c r="N1709" s="29"/>
      <c r="O1709" s="29"/>
      <c r="P1709" s="30"/>
      <c r="Q1709" s="2"/>
    </row>
    <row r="1710" spans="1:17" x14ac:dyDescent="0.2">
      <c r="A1710" s="221" t="s">
        <v>696</v>
      </c>
      <c r="B1710" s="222"/>
      <c r="C1710" s="222"/>
      <c r="D1710" s="222"/>
      <c r="E1710" s="222"/>
      <c r="F1710" s="222"/>
      <c r="G1710" s="222"/>
      <c r="H1710" s="222"/>
      <c r="I1710" s="222"/>
      <c r="J1710" s="223"/>
      <c r="K1710" s="40"/>
      <c r="L1710" s="70" t="s">
        <v>685</v>
      </c>
      <c r="M1710" s="130" t="s">
        <v>61</v>
      </c>
      <c r="N1710" s="240">
        <f>IF([1]CorporationTax!$K$102&lt;0,ROUND([1]CorporationTax!$K$102,D2),0)</f>
        <v>0</v>
      </c>
      <c r="O1710" s="241"/>
      <c r="P1710" s="41"/>
      <c r="Q1710" s="2"/>
    </row>
    <row r="1711" spans="1:17" ht="5" customHeight="1" x14ac:dyDescent="0.2">
      <c r="A1711" s="50"/>
      <c r="B1711" s="25"/>
      <c r="C1711" s="25"/>
      <c r="D1711" s="25"/>
      <c r="E1711" s="25"/>
      <c r="F1711" s="31"/>
      <c r="G1711" s="31"/>
      <c r="H1711" s="31"/>
      <c r="I1711" s="31"/>
      <c r="J1711" s="177"/>
      <c r="K1711" s="31"/>
      <c r="L1711" s="31"/>
      <c r="M1711" s="31"/>
      <c r="N1711" s="31"/>
      <c r="O1711" s="31"/>
      <c r="P1711" s="32"/>
      <c r="Q1711" s="2"/>
    </row>
    <row r="1712" spans="1:17" ht="5" customHeight="1" x14ac:dyDescent="0.2">
      <c r="A1712" s="48"/>
      <c r="B1712" s="23"/>
      <c r="C1712" s="23"/>
      <c r="D1712" s="23"/>
      <c r="E1712" s="23"/>
      <c r="F1712" s="33"/>
      <c r="G1712" s="33"/>
      <c r="H1712" s="33"/>
      <c r="I1712" s="33"/>
      <c r="J1712" s="178"/>
      <c r="K1712" s="33"/>
      <c r="L1712" s="33"/>
      <c r="M1712" s="33"/>
      <c r="N1712" s="33"/>
      <c r="O1712" s="33"/>
      <c r="P1712" s="34"/>
      <c r="Q1712" s="2"/>
    </row>
    <row r="1713" spans="1:17" x14ac:dyDescent="0.2">
      <c r="A1713" s="244" t="s">
        <v>697</v>
      </c>
      <c r="B1713" s="245"/>
      <c r="C1713" s="245"/>
      <c r="D1713" s="245"/>
      <c r="E1713" s="245"/>
      <c r="F1713" s="245"/>
      <c r="G1713" s="245"/>
      <c r="H1713" s="245"/>
      <c r="I1713" s="245"/>
      <c r="J1713" s="246"/>
      <c r="K1713" s="27"/>
      <c r="L1713" s="70" t="s">
        <v>686</v>
      </c>
      <c r="M1713" s="197" t="s">
        <v>61</v>
      </c>
      <c r="N1713" s="242">
        <f>SUM(N1704,N1707,N1710)</f>
        <v>0</v>
      </c>
      <c r="O1713" s="243"/>
      <c r="P1713" s="26"/>
      <c r="Q1713" s="2"/>
    </row>
    <row r="1714" spans="1:17" ht="5" customHeight="1" x14ac:dyDescent="0.2">
      <c r="A1714" s="47"/>
      <c r="B1714" s="21"/>
      <c r="C1714" s="21"/>
      <c r="D1714" s="21"/>
      <c r="E1714" s="21"/>
      <c r="F1714" s="10"/>
      <c r="G1714" s="10"/>
      <c r="H1714" s="10"/>
      <c r="I1714" s="10"/>
      <c r="J1714" s="180"/>
      <c r="K1714" s="10"/>
      <c r="L1714" s="10"/>
      <c r="M1714" s="10"/>
      <c r="N1714" s="10"/>
      <c r="O1714" s="10"/>
      <c r="P1714" s="28"/>
      <c r="Q1714" s="2"/>
    </row>
    <row r="1715" spans="1:17" ht="5" customHeight="1" x14ac:dyDescent="0.2">
      <c r="A1715" s="49"/>
      <c r="B1715" s="24"/>
      <c r="C1715" s="24"/>
      <c r="D1715" s="24"/>
      <c r="E1715" s="24"/>
      <c r="F1715" s="29"/>
      <c r="G1715" s="29"/>
      <c r="H1715" s="29"/>
      <c r="I1715" s="29"/>
      <c r="J1715" s="183"/>
      <c r="K1715" s="29"/>
      <c r="L1715" s="29"/>
      <c r="M1715" s="29"/>
      <c r="N1715" s="29"/>
      <c r="O1715" s="29"/>
      <c r="P1715" s="30"/>
      <c r="Q1715" s="2"/>
    </row>
    <row r="1716" spans="1:17" x14ac:dyDescent="0.2">
      <c r="A1716" s="247" t="s">
        <v>881</v>
      </c>
      <c r="B1716" s="248"/>
      <c r="C1716" s="248"/>
      <c r="D1716" s="248"/>
      <c r="E1716" s="248"/>
      <c r="F1716" s="248"/>
      <c r="G1716" s="248"/>
      <c r="H1716" s="248"/>
      <c r="I1716" s="248"/>
      <c r="J1716" s="249"/>
      <c r="K1716" s="40"/>
      <c r="L1716" s="70" t="s">
        <v>687</v>
      </c>
      <c r="M1716" s="67" t="s">
        <v>61</v>
      </c>
      <c r="N1716" s="213">
        <f>N1686</f>
        <v>0</v>
      </c>
      <c r="O1716" s="214"/>
      <c r="P1716" s="41"/>
      <c r="Q1716" s="2"/>
    </row>
    <row r="1717" spans="1:17" ht="5" customHeight="1" x14ac:dyDescent="0.2">
      <c r="A1717" s="50"/>
      <c r="B1717" s="25"/>
      <c r="C1717" s="25"/>
      <c r="D1717" s="25"/>
      <c r="E1717" s="25"/>
      <c r="F1717" s="31"/>
      <c r="G1717" s="31"/>
      <c r="H1717" s="31"/>
      <c r="I1717" s="31"/>
      <c r="J1717" s="177"/>
      <c r="K1717" s="31"/>
      <c r="L1717" s="31"/>
      <c r="M1717" s="31"/>
      <c r="N1717" s="31"/>
      <c r="O1717" s="31"/>
      <c r="P1717" s="32"/>
      <c r="Q1717" s="2"/>
    </row>
    <row r="1718" spans="1:17" x14ac:dyDescent="0.2">
      <c r="Q1718" s="2"/>
    </row>
    <row r="1719" spans="1:17" x14ac:dyDescent="0.2">
      <c r="A1719" s="238" t="s">
        <v>689</v>
      </c>
      <c r="B1719" s="239"/>
      <c r="C1719" s="212"/>
      <c r="D1719" s="212"/>
      <c r="Q1719" s="2"/>
    </row>
    <row r="1720" spans="1:17" ht="5" customHeight="1" x14ac:dyDescent="0.2">
      <c r="Q1720" s="2"/>
    </row>
    <row r="1721" spans="1:17" ht="5" customHeight="1" x14ac:dyDescent="0.2">
      <c r="A1721" s="48"/>
      <c r="B1721" s="23"/>
      <c r="C1721" s="23"/>
      <c r="D1721" s="23"/>
      <c r="E1721" s="23"/>
      <c r="F1721" s="33"/>
      <c r="G1721" s="33"/>
      <c r="H1721" s="33"/>
      <c r="I1721" s="33"/>
      <c r="J1721" s="178"/>
      <c r="K1721" s="33"/>
      <c r="L1721" s="33"/>
      <c r="M1721" s="33"/>
      <c r="N1721" s="33"/>
      <c r="O1721" s="33"/>
      <c r="P1721" s="34"/>
      <c r="Q1721" s="2"/>
    </row>
    <row r="1722" spans="1:17" x14ac:dyDescent="0.2">
      <c r="A1722" s="224" t="s">
        <v>690</v>
      </c>
      <c r="B1722" s="225"/>
      <c r="C1722" s="225"/>
      <c r="D1722" s="225"/>
      <c r="E1722" s="225"/>
      <c r="F1722" s="225"/>
      <c r="G1722" s="225"/>
      <c r="H1722" s="225"/>
      <c r="I1722" s="225"/>
      <c r="J1722" s="226"/>
      <c r="K1722" s="27"/>
      <c r="L1722" s="70" t="s">
        <v>688</v>
      </c>
      <c r="M1722" s="197" t="s">
        <v>61</v>
      </c>
      <c r="N1722" s="242">
        <f>N1649+SUM(N1663,N1667,N1671,N1674)-SUM(N1713,N1716)</f>
        <v>0</v>
      </c>
      <c r="O1722" s="243"/>
      <c r="P1722" s="26"/>
      <c r="Q1722" s="2"/>
    </row>
    <row r="1723" spans="1:17" ht="5" customHeight="1" x14ac:dyDescent="0.2">
      <c r="A1723" s="47"/>
      <c r="B1723" s="21"/>
      <c r="C1723" s="21"/>
      <c r="D1723" s="21"/>
      <c r="E1723" s="21"/>
      <c r="F1723" s="10"/>
      <c r="G1723" s="10"/>
      <c r="H1723" s="10"/>
      <c r="I1723" s="10"/>
      <c r="J1723" s="180"/>
      <c r="K1723" s="10"/>
      <c r="L1723" s="10"/>
      <c r="M1723" s="10"/>
      <c r="N1723" s="10"/>
      <c r="O1723" s="10"/>
      <c r="P1723" s="28"/>
      <c r="Q1723" s="2"/>
    </row>
    <row r="1724" spans="1:17" x14ac:dyDescent="0.2">
      <c r="Q1724" s="2"/>
    </row>
    <row r="1726" spans="1:17" ht="16" x14ac:dyDescent="0.2">
      <c r="A1726" s="231" t="s">
        <v>651</v>
      </c>
      <c r="B1726" s="232"/>
      <c r="C1726" s="232"/>
      <c r="D1726" s="232"/>
      <c r="F1726" s="233"/>
      <c r="G1726" s="233"/>
      <c r="H1726" s="233"/>
      <c r="I1726" s="233"/>
      <c r="J1726" s="233"/>
      <c r="K1726" s="233"/>
      <c r="L1726" s="233"/>
      <c r="M1726" s="233"/>
      <c r="N1726" s="233"/>
      <c r="O1726" s="233"/>
      <c r="P1726" s="233"/>
      <c r="Q1726" s="233"/>
    </row>
    <row r="1727" spans="1:17" ht="5" customHeight="1" x14ac:dyDescent="0.2"/>
    <row r="1728" spans="1:17" x14ac:dyDescent="0.2">
      <c r="A1728" s="234" t="s">
        <v>698</v>
      </c>
      <c r="B1728" s="235"/>
      <c r="C1728" s="235"/>
      <c r="D1728" s="235"/>
      <c r="E1728" s="236"/>
      <c r="F1728" s="236"/>
      <c r="G1728" s="236"/>
      <c r="H1728" s="236"/>
      <c r="I1728" s="236"/>
      <c r="J1728" s="236"/>
      <c r="K1728" s="236"/>
      <c r="L1728" s="236"/>
      <c r="M1728" s="236"/>
      <c r="N1728" s="236"/>
      <c r="O1728" s="236"/>
      <c r="P1728" s="236"/>
      <c r="Q1728" s="237"/>
    </row>
    <row r="1729" spans="1:256" ht="5" customHeight="1" x14ac:dyDescent="0.2">
      <c r="A1729" s="194"/>
      <c r="B1729" s="194"/>
      <c r="C1729" s="194"/>
      <c r="D1729" s="194"/>
      <c r="E1729" s="194"/>
      <c r="F1729" s="194"/>
      <c r="G1729" s="194"/>
      <c r="H1729" s="194"/>
      <c r="I1729" s="37"/>
      <c r="J1729" s="37"/>
      <c r="K1729" s="37"/>
      <c r="L1729" s="37"/>
      <c r="M1729" s="37"/>
      <c r="N1729" s="37"/>
      <c r="O1729" s="37"/>
      <c r="P1729" s="37"/>
      <c r="Q1729" s="38"/>
    </row>
    <row r="1730" spans="1:256" ht="15" customHeight="1" x14ac:dyDescent="0.2">
      <c r="A1730" s="211" t="s">
        <v>699</v>
      </c>
      <c r="B1730" s="212"/>
      <c r="C1730" s="212"/>
      <c r="D1730" s="212"/>
      <c r="E1730" s="212"/>
      <c r="F1730" s="212"/>
      <c r="G1730" s="212"/>
      <c r="H1730" s="212"/>
      <c r="I1730" s="212"/>
      <c r="J1730" s="212"/>
      <c r="K1730" s="212"/>
      <c r="L1730" s="212"/>
      <c r="M1730" s="212"/>
      <c r="N1730" s="212"/>
      <c r="O1730" s="212"/>
      <c r="P1730" s="212"/>
      <c r="Q1730" s="38"/>
      <c r="R1730" s="51"/>
      <c r="S1730" s="51"/>
      <c r="T1730" s="51"/>
      <c r="U1730" s="51"/>
      <c r="V1730" s="51"/>
      <c r="W1730" s="51"/>
      <c r="X1730" s="51"/>
      <c r="Y1730" s="51"/>
      <c r="Z1730" s="51"/>
      <c r="AA1730" s="51"/>
      <c r="AB1730" s="51"/>
      <c r="AC1730" s="51"/>
      <c r="AD1730" s="51"/>
      <c r="AE1730" s="51"/>
      <c r="AF1730" s="51"/>
      <c r="AG1730" s="211"/>
      <c r="AH1730" s="212"/>
      <c r="AI1730" s="212"/>
      <c r="AJ1730" s="212"/>
      <c r="AK1730" s="212"/>
      <c r="AL1730" s="212"/>
      <c r="AM1730" s="212"/>
      <c r="AN1730" s="212"/>
      <c r="AO1730" s="212"/>
      <c r="AP1730" s="212"/>
      <c r="AQ1730" s="212"/>
      <c r="AR1730" s="212"/>
      <c r="AS1730" s="212"/>
      <c r="AT1730" s="212"/>
      <c r="AU1730" s="212"/>
      <c r="AV1730" s="212"/>
      <c r="AW1730" s="211"/>
      <c r="AX1730" s="212"/>
      <c r="AY1730" s="212"/>
      <c r="AZ1730" s="212"/>
      <c r="BA1730" s="212"/>
      <c r="BB1730" s="212"/>
      <c r="BC1730" s="212"/>
      <c r="BD1730" s="212"/>
      <c r="BE1730" s="212"/>
      <c r="BF1730" s="212"/>
      <c r="BG1730" s="212"/>
      <c r="BH1730" s="212"/>
      <c r="BI1730" s="212"/>
      <c r="BJ1730" s="212"/>
      <c r="BK1730" s="212"/>
      <c r="BL1730" s="212"/>
      <c r="BM1730" s="211"/>
      <c r="BN1730" s="212"/>
      <c r="BO1730" s="212"/>
      <c r="BP1730" s="212"/>
      <c r="BQ1730" s="212"/>
      <c r="BR1730" s="212"/>
      <c r="BS1730" s="212"/>
      <c r="BT1730" s="212"/>
      <c r="BU1730" s="212"/>
      <c r="BV1730" s="212"/>
      <c r="BW1730" s="212"/>
      <c r="BX1730" s="212"/>
      <c r="BY1730" s="212"/>
      <c r="BZ1730" s="212"/>
      <c r="CA1730" s="212"/>
      <c r="CB1730" s="212"/>
      <c r="CC1730" s="211"/>
      <c r="CD1730" s="212"/>
      <c r="CE1730" s="212"/>
      <c r="CF1730" s="212"/>
      <c r="CG1730" s="212"/>
      <c r="CH1730" s="212"/>
      <c r="CI1730" s="212"/>
      <c r="CJ1730" s="212"/>
      <c r="CK1730" s="212"/>
      <c r="CL1730" s="212"/>
      <c r="CM1730" s="212"/>
      <c r="CN1730" s="212"/>
      <c r="CO1730" s="212"/>
      <c r="CP1730" s="212"/>
      <c r="CQ1730" s="212"/>
      <c r="CR1730" s="212"/>
      <c r="CS1730" s="211"/>
      <c r="CT1730" s="212"/>
      <c r="CU1730" s="212"/>
      <c r="CV1730" s="212"/>
      <c r="CW1730" s="212"/>
      <c r="CX1730" s="212"/>
      <c r="CY1730" s="212"/>
      <c r="CZ1730" s="212"/>
      <c r="DA1730" s="212"/>
      <c r="DB1730" s="212"/>
      <c r="DC1730" s="212"/>
      <c r="DD1730" s="212"/>
      <c r="DE1730" s="212"/>
      <c r="DF1730" s="212"/>
      <c r="DG1730" s="212"/>
      <c r="DH1730" s="212"/>
      <c r="DI1730" s="211"/>
      <c r="DJ1730" s="212"/>
      <c r="DK1730" s="212"/>
      <c r="DL1730" s="212"/>
      <c r="DM1730" s="212"/>
      <c r="DN1730" s="212"/>
      <c r="DO1730" s="212"/>
      <c r="DP1730" s="212"/>
      <c r="DQ1730" s="212"/>
      <c r="DR1730" s="212"/>
      <c r="DS1730" s="212"/>
      <c r="DT1730" s="212"/>
      <c r="DU1730" s="212"/>
      <c r="DV1730" s="212"/>
      <c r="DW1730" s="212"/>
      <c r="DX1730" s="212"/>
      <c r="DY1730" s="211"/>
      <c r="DZ1730" s="212"/>
      <c r="EA1730" s="212"/>
      <c r="EB1730" s="212"/>
      <c r="EC1730" s="212"/>
      <c r="ED1730" s="212"/>
      <c r="EE1730" s="212"/>
      <c r="EF1730" s="212"/>
      <c r="EG1730" s="212"/>
      <c r="EH1730" s="212"/>
      <c r="EI1730" s="212"/>
      <c r="EJ1730" s="212"/>
      <c r="EK1730" s="212"/>
      <c r="EL1730" s="212"/>
      <c r="EM1730" s="212"/>
      <c r="EN1730" s="212"/>
      <c r="EO1730" s="211"/>
      <c r="EP1730" s="212"/>
      <c r="EQ1730" s="212"/>
      <c r="ER1730" s="212"/>
      <c r="ES1730" s="212"/>
      <c r="ET1730" s="212"/>
      <c r="EU1730" s="212"/>
      <c r="EV1730" s="212"/>
      <c r="EW1730" s="212"/>
      <c r="EX1730" s="212"/>
      <c r="EY1730" s="212"/>
      <c r="EZ1730" s="212"/>
      <c r="FA1730" s="212"/>
      <c r="FB1730" s="212"/>
      <c r="FC1730" s="212"/>
      <c r="FD1730" s="212"/>
      <c r="FE1730" s="211"/>
      <c r="FF1730" s="212"/>
      <c r="FG1730" s="212"/>
      <c r="FH1730" s="212"/>
      <c r="FI1730" s="212"/>
      <c r="FJ1730" s="212"/>
      <c r="FK1730" s="212"/>
      <c r="FL1730" s="212"/>
      <c r="FM1730" s="212"/>
      <c r="FN1730" s="212"/>
      <c r="FO1730" s="212"/>
      <c r="FP1730" s="212"/>
      <c r="FQ1730" s="212"/>
      <c r="FR1730" s="212"/>
      <c r="FS1730" s="212"/>
      <c r="FT1730" s="212"/>
      <c r="FU1730" s="211"/>
      <c r="FV1730" s="212"/>
      <c r="FW1730" s="212"/>
      <c r="FX1730" s="212"/>
      <c r="FY1730" s="212"/>
      <c r="FZ1730" s="212"/>
      <c r="GA1730" s="212"/>
      <c r="GB1730" s="212"/>
      <c r="GC1730" s="212"/>
      <c r="GD1730" s="212"/>
      <c r="GE1730" s="212"/>
      <c r="GF1730" s="212"/>
      <c r="GG1730" s="212"/>
      <c r="GH1730" s="212"/>
      <c r="GI1730" s="212"/>
      <c r="GJ1730" s="212"/>
      <c r="GK1730" s="211"/>
      <c r="GL1730" s="212"/>
      <c r="GM1730" s="212"/>
      <c r="GN1730" s="212"/>
      <c r="GO1730" s="212"/>
      <c r="GP1730" s="212"/>
      <c r="GQ1730" s="212"/>
      <c r="GR1730" s="212"/>
      <c r="GS1730" s="212"/>
      <c r="GT1730" s="212"/>
      <c r="GU1730" s="212"/>
      <c r="GV1730" s="212"/>
      <c r="GW1730" s="212"/>
      <c r="GX1730" s="212"/>
      <c r="GY1730" s="212"/>
      <c r="GZ1730" s="212"/>
      <c r="HA1730" s="211"/>
      <c r="HB1730" s="212"/>
      <c r="HC1730" s="212"/>
      <c r="HD1730" s="212"/>
      <c r="HE1730" s="212"/>
      <c r="HF1730" s="212"/>
      <c r="HG1730" s="212"/>
      <c r="HH1730" s="212"/>
      <c r="HI1730" s="212"/>
      <c r="HJ1730" s="212"/>
      <c r="HK1730" s="212"/>
      <c r="HL1730" s="212"/>
      <c r="HM1730" s="212"/>
      <c r="HN1730" s="212"/>
      <c r="HO1730" s="212"/>
      <c r="HP1730" s="212"/>
      <c r="HQ1730" s="211"/>
      <c r="HR1730" s="212"/>
      <c r="HS1730" s="212"/>
      <c r="HT1730" s="212"/>
      <c r="HU1730" s="212"/>
      <c r="HV1730" s="212"/>
      <c r="HW1730" s="212"/>
      <c r="HX1730" s="212"/>
      <c r="HY1730" s="212"/>
      <c r="HZ1730" s="212"/>
      <c r="IA1730" s="212"/>
      <c r="IB1730" s="212"/>
      <c r="IC1730" s="212"/>
      <c r="ID1730" s="212"/>
      <c r="IE1730" s="212"/>
      <c r="IF1730" s="212"/>
      <c r="IG1730" s="211"/>
      <c r="IH1730" s="212"/>
      <c r="II1730" s="212"/>
      <c r="IJ1730" s="212"/>
      <c r="IK1730" s="212"/>
      <c r="IL1730" s="212"/>
      <c r="IM1730" s="212"/>
      <c r="IN1730" s="212"/>
      <c r="IO1730" s="212"/>
      <c r="IP1730" s="212"/>
      <c r="IQ1730" s="212"/>
      <c r="IR1730" s="212"/>
      <c r="IS1730" s="212"/>
      <c r="IT1730" s="212"/>
      <c r="IU1730" s="212"/>
      <c r="IV1730" s="212"/>
    </row>
    <row r="1731" spans="1:256" x14ac:dyDescent="0.2">
      <c r="Q1731" s="38"/>
    </row>
    <row r="1732" spans="1:256" x14ac:dyDescent="0.2">
      <c r="A1732" s="238" t="s">
        <v>700</v>
      </c>
      <c r="B1732" s="239"/>
      <c r="C1732" s="212"/>
      <c r="D1732" s="212"/>
      <c r="E1732" s="72"/>
      <c r="F1732" s="238"/>
      <c r="G1732" s="238"/>
      <c r="H1732" s="238"/>
      <c r="I1732" s="238"/>
      <c r="J1732" s="238"/>
      <c r="K1732" s="238"/>
      <c r="L1732" s="238"/>
      <c r="M1732" s="238"/>
      <c r="N1732" s="238"/>
      <c r="O1732" s="238"/>
      <c r="P1732" s="238"/>
      <c r="Q1732" s="38"/>
    </row>
    <row r="1733" spans="1:256" ht="5" customHeight="1" x14ac:dyDescent="0.2">
      <c r="A1733" s="140"/>
      <c r="B1733" s="152"/>
      <c r="C1733" s="51"/>
      <c r="D1733" s="51"/>
      <c r="E1733" s="72"/>
      <c r="F1733" s="140"/>
      <c r="G1733" s="140"/>
      <c r="H1733" s="140"/>
      <c r="I1733" s="140"/>
      <c r="J1733" s="140"/>
      <c r="K1733" s="140"/>
      <c r="L1733" s="140"/>
      <c r="M1733" s="140"/>
      <c r="N1733" s="140"/>
      <c r="O1733" s="140"/>
      <c r="P1733" s="140"/>
      <c r="Q1733" s="38"/>
    </row>
    <row r="1734" spans="1:256" ht="5" customHeight="1" x14ac:dyDescent="0.2">
      <c r="A1734" s="48"/>
      <c r="B1734" s="23"/>
      <c r="C1734" s="23"/>
      <c r="D1734" s="23"/>
      <c r="E1734" s="23"/>
      <c r="F1734" s="33"/>
      <c r="G1734" s="33"/>
      <c r="H1734" s="33"/>
      <c r="I1734" s="33"/>
      <c r="J1734" s="178"/>
      <c r="K1734" s="33"/>
      <c r="L1734" s="33"/>
      <c r="M1734" s="33"/>
      <c r="N1734" s="33"/>
      <c r="O1734" s="33"/>
      <c r="P1734" s="34"/>
      <c r="Q1734" s="2"/>
    </row>
    <row r="1735" spans="1:256" x14ac:dyDescent="0.2">
      <c r="A1735" s="224" t="s">
        <v>714</v>
      </c>
      <c r="B1735" s="225"/>
      <c r="C1735" s="225"/>
      <c r="D1735" s="225"/>
      <c r="E1735" s="225"/>
      <c r="F1735" s="225"/>
      <c r="G1735" s="225"/>
      <c r="H1735" s="225"/>
      <c r="I1735" s="225"/>
      <c r="J1735" s="226"/>
      <c r="K1735" s="27"/>
      <c r="L1735" s="70" t="s">
        <v>707</v>
      </c>
      <c r="M1735" s="186" t="s">
        <v>61</v>
      </c>
      <c r="N1735" s="242">
        <f>N1713</f>
        <v>0</v>
      </c>
      <c r="O1735" s="243"/>
      <c r="P1735" s="26"/>
      <c r="Q1735" s="2"/>
    </row>
    <row r="1736" spans="1:256" ht="5" customHeight="1" x14ac:dyDescent="0.2">
      <c r="A1736" s="47"/>
      <c r="B1736" s="21"/>
      <c r="C1736" s="21"/>
      <c r="D1736" s="21"/>
      <c r="E1736" s="21"/>
      <c r="F1736" s="10"/>
      <c r="G1736" s="10"/>
      <c r="H1736" s="10"/>
      <c r="I1736" s="10"/>
      <c r="J1736" s="180"/>
      <c r="K1736" s="10"/>
      <c r="L1736" s="10"/>
      <c r="M1736" s="10"/>
      <c r="N1736" s="10"/>
      <c r="O1736" s="10"/>
      <c r="P1736" s="28"/>
      <c r="Q1736" s="2"/>
    </row>
    <row r="1737" spans="1:256" ht="5" customHeight="1" x14ac:dyDescent="0.2">
      <c r="A1737" s="49"/>
      <c r="B1737" s="24"/>
      <c r="C1737" s="24"/>
      <c r="D1737" s="24"/>
      <c r="E1737" s="24"/>
      <c r="F1737" s="29"/>
      <c r="G1737" s="29"/>
      <c r="H1737" s="29"/>
      <c r="I1737" s="29"/>
      <c r="J1737" s="183"/>
      <c r="K1737" s="29"/>
      <c r="L1737" s="29"/>
      <c r="M1737" s="29"/>
      <c r="N1737" s="29"/>
      <c r="O1737" s="29"/>
      <c r="P1737" s="30"/>
      <c r="Q1737" s="2"/>
    </row>
    <row r="1738" spans="1:256" x14ac:dyDescent="0.2">
      <c r="A1738" s="221" t="s">
        <v>701</v>
      </c>
      <c r="B1738" s="222"/>
      <c r="C1738" s="222"/>
      <c r="D1738" s="222"/>
      <c r="E1738" s="222"/>
      <c r="F1738" s="222"/>
      <c r="G1738" s="222"/>
      <c r="H1738" s="222"/>
      <c r="I1738" s="222"/>
      <c r="J1738" s="223"/>
      <c r="K1738" s="40"/>
      <c r="L1738" s="70" t="s">
        <v>708</v>
      </c>
      <c r="M1738" s="107" t="s">
        <v>61</v>
      </c>
      <c r="N1738" s="240">
        <f>ROUND([1]CorporationTax!$I$16,D2)</f>
        <v>0</v>
      </c>
      <c r="O1738" s="241"/>
      <c r="P1738" s="41"/>
      <c r="Q1738" s="2"/>
    </row>
    <row r="1739" spans="1:256" ht="5" customHeight="1" x14ac:dyDescent="0.2">
      <c r="A1739" s="50"/>
      <c r="B1739" s="25"/>
      <c r="C1739" s="25"/>
      <c r="D1739" s="25"/>
      <c r="E1739" s="25"/>
      <c r="F1739" s="31"/>
      <c r="G1739" s="31"/>
      <c r="H1739" s="31"/>
      <c r="I1739" s="31"/>
      <c r="J1739" s="177"/>
      <c r="K1739" s="31"/>
      <c r="L1739" s="31"/>
      <c r="M1739" s="31"/>
      <c r="N1739" s="31"/>
      <c r="O1739" s="31"/>
      <c r="P1739" s="32"/>
      <c r="Q1739" s="2"/>
    </row>
    <row r="1740" spans="1:256" ht="5" customHeight="1" x14ac:dyDescent="0.2">
      <c r="A1740" s="48"/>
      <c r="B1740" s="23"/>
      <c r="C1740" s="23"/>
      <c r="D1740" s="23"/>
      <c r="E1740" s="23"/>
      <c r="F1740" s="33"/>
      <c r="G1740" s="33"/>
      <c r="H1740" s="33"/>
      <c r="I1740" s="33"/>
      <c r="J1740" s="178"/>
      <c r="K1740" s="33"/>
      <c r="L1740" s="33"/>
      <c r="M1740" s="33"/>
      <c r="N1740" s="33"/>
      <c r="O1740" s="33"/>
      <c r="P1740" s="34"/>
      <c r="Q1740" s="2"/>
    </row>
    <row r="1741" spans="1:256" x14ac:dyDescent="0.2">
      <c r="A1741" s="224" t="s">
        <v>702</v>
      </c>
      <c r="B1741" s="225"/>
      <c r="C1741" s="225"/>
      <c r="D1741" s="225"/>
      <c r="E1741" s="225"/>
      <c r="F1741" s="225"/>
      <c r="G1741" s="225"/>
      <c r="H1741" s="225"/>
      <c r="I1741" s="225"/>
      <c r="J1741" s="226"/>
      <c r="K1741" s="27"/>
      <c r="L1741" s="70" t="s">
        <v>709</v>
      </c>
      <c r="M1741" s="186" t="s">
        <v>61</v>
      </c>
      <c r="N1741" s="242">
        <f>SUM(N1735,N1738)</f>
        <v>0</v>
      </c>
      <c r="O1741" s="243"/>
      <c r="P1741" s="26"/>
      <c r="Q1741" s="2"/>
    </row>
    <row r="1742" spans="1:256" ht="5" customHeight="1" x14ac:dyDescent="0.2">
      <c r="A1742" s="47"/>
      <c r="B1742" s="21"/>
      <c r="C1742" s="21"/>
      <c r="D1742" s="21"/>
      <c r="E1742" s="21"/>
      <c r="F1742" s="10"/>
      <c r="G1742" s="10"/>
      <c r="H1742" s="10"/>
      <c r="I1742" s="10"/>
      <c r="J1742" s="180"/>
      <c r="K1742" s="10"/>
      <c r="L1742" s="10"/>
      <c r="M1742" s="10"/>
      <c r="N1742" s="10"/>
      <c r="O1742" s="10"/>
      <c r="P1742" s="28"/>
      <c r="Q1742" s="2"/>
    </row>
    <row r="1743" spans="1:256" x14ac:dyDescent="0.2">
      <c r="Q1743" s="38"/>
    </row>
    <row r="1744" spans="1:256" x14ac:dyDescent="0.2">
      <c r="A1744" s="238" t="s">
        <v>703</v>
      </c>
      <c r="B1744" s="239"/>
      <c r="C1744" s="212"/>
      <c r="D1744" s="212"/>
      <c r="E1744" s="72"/>
      <c r="F1744" s="238"/>
      <c r="G1744" s="238"/>
      <c r="H1744" s="238"/>
      <c r="I1744" s="238"/>
      <c r="J1744" s="238"/>
      <c r="K1744" s="238"/>
      <c r="L1744" s="238"/>
      <c r="M1744" s="238"/>
      <c r="N1744" s="238"/>
      <c r="O1744" s="238"/>
      <c r="P1744" s="238"/>
      <c r="Q1744" s="38"/>
    </row>
    <row r="1745" spans="1:17" ht="5" customHeight="1" x14ac:dyDescent="0.2">
      <c r="A1745" s="140"/>
      <c r="B1745" s="152"/>
      <c r="C1745" s="51"/>
      <c r="D1745" s="51"/>
      <c r="E1745" s="72"/>
      <c r="F1745" s="140"/>
      <c r="G1745" s="140"/>
      <c r="H1745" s="140"/>
      <c r="I1745" s="140"/>
      <c r="J1745" s="140"/>
      <c r="K1745" s="140"/>
      <c r="L1745" s="140"/>
      <c r="M1745" s="140"/>
      <c r="N1745" s="140"/>
      <c r="O1745" s="140"/>
      <c r="P1745" s="140"/>
      <c r="Q1745" s="38"/>
    </row>
    <row r="1746" spans="1:17" ht="5" customHeight="1" x14ac:dyDescent="0.2">
      <c r="A1746" s="48"/>
      <c r="B1746" s="23"/>
      <c r="C1746" s="23"/>
      <c r="D1746" s="23"/>
      <c r="E1746" s="23"/>
      <c r="F1746" s="33"/>
      <c r="G1746" s="33"/>
      <c r="H1746" s="33"/>
      <c r="I1746" s="33"/>
      <c r="J1746" s="178"/>
      <c r="K1746" s="33"/>
      <c r="L1746" s="33"/>
      <c r="M1746" s="33"/>
      <c r="N1746" s="33"/>
      <c r="O1746" s="33"/>
      <c r="P1746" s="34"/>
      <c r="Q1746" s="2"/>
    </row>
    <row r="1747" spans="1:17" x14ac:dyDescent="0.2">
      <c r="A1747" s="224" t="s">
        <v>714</v>
      </c>
      <c r="B1747" s="225"/>
      <c r="C1747" s="225"/>
      <c r="D1747" s="225"/>
      <c r="E1747" s="225"/>
      <c r="F1747" s="225"/>
      <c r="G1747" s="225"/>
      <c r="H1747" s="225"/>
      <c r="I1747" s="225"/>
      <c r="J1747" s="226"/>
      <c r="K1747" s="27"/>
      <c r="L1747" s="70" t="s">
        <v>710</v>
      </c>
      <c r="M1747" s="186" t="s">
        <v>61</v>
      </c>
      <c r="N1747" s="242">
        <f>N1716</f>
        <v>0</v>
      </c>
      <c r="O1747" s="243"/>
      <c r="P1747" s="26"/>
      <c r="Q1747" s="2"/>
    </row>
    <row r="1748" spans="1:17" ht="5" customHeight="1" x14ac:dyDescent="0.2">
      <c r="A1748" s="47"/>
      <c r="B1748" s="21"/>
      <c r="C1748" s="21"/>
      <c r="D1748" s="21"/>
      <c r="E1748" s="21"/>
      <c r="F1748" s="10"/>
      <c r="G1748" s="10"/>
      <c r="H1748" s="10"/>
      <c r="I1748" s="10"/>
      <c r="J1748" s="180"/>
      <c r="K1748" s="10"/>
      <c r="L1748" s="10"/>
      <c r="M1748" s="10"/>
      <c r="N1748" s="10"/>
      <c r="O1748" s="10"/>
      <c r="P1748" s="28"/>
      <c r="Q1748" s="2"/>
    </row>
    <row r="1749" spans="1:17" ht="5" customHeight="1" x14ac:dyDescent="0.2">
      <c r="A1749" s="49"/>
      <c r="B1749" s="24"/>
      <c r="C1749" s="24"/>
      <c r="D1749" s="24"/>
      <c r="E1749" s="24"/>
      <c r="F1749" s="29"/>
      <c r="G1749" s="29"/>
      <c r="H1749" s="29"/>
      <c r="I1749" s="29"/>
      <c r="J1749" s="183"/>
      <c r="K1749" s="29"/>
      <c r="L1749" s="29"/>
      <c r="M1749" s="29"/>
      <c r="N1749" s="29"/>
      <c r="O1749" s="29"/>
      <c r="P1749" s="30"/>
      <c r="Q1749" s="2"/>
    </row>
    <row r="1750" spans="1:17" ht="30.75" customHeight="1" x14ac:dyDescent="0.25">
      <c r="A1750" s="250" t="s">
        <v>909</v>
      </c>
      <c r="B1750" s="251"/>
      <c r="C1750" s="251"/>
      <c r="D1750" s="251"/>
      <c r="E1750" s="251"/>
      <c r="F1750" s="251"/>
      <c r="G1750" s="251"/>
      <c r="H1750" s="251"/>
      <c r="I1750" s="251"/>
      <c r="J1750" s="251"/>
      <c r="K1750" s="251"/>
      <c r="L1750" s="251"/>
      <c r="M1750" s="251"/>
      <c r="N1750" s="251"/>
      <c r="O1750" s="251"/>
      <c r="P1750" s="281"/>
      <c r="Q1750" s="2"/>
    </row>
    <row r="1751" spans="1:17" x14ac:dyDescent="0.2">
      <c r="A1751" s="221" t="s">
        <v>701</v>
      </c>
      <c r="B1751" s="222"/>
      <c r="C1751" s="222"/>
      <c r="D1751" s="222"/>
      <c r="E1751" s="222"/>
      <c r="F1751" s="222"/>
      <c r="G1751" s="222"/>
      <c r="H1751" s="222"/>
      <c r="I1751" s="222"/>
      <c r="J1751" s="223"/>
      <c r="K1751" s="40"/>
      <c r="L1751" s="70" t="s">
        <v>711</v>
      </c>
      <c r="M1751" s="107" t="s">
        <v>61</v>
      </c>
      <c r="N1751" s="240">
        <f>IF([1]CorporationTax!$K$102&gt;0,ROUND([1]CorporationTax!$K$102,D2),0)</f>
        <v>0</v>
      </c>
      <c r="O1751" s="241"/>
      <c r="P1751" s="41"/>
      <c r="Q1751" s="2"/>
    </row>
    <row r="1752" spans="1:17" ht="5" customHeight="1" x14ac:dyDescent="0.2">
      <c r="A1752" s="50"/>
      <c r="B1752" s="25"/>
      <c r="C1752" s="25"/>
      <c r="D1752" s="25"/>
      <c r="E1752" s="25"/>
      <c r="F1752" s="31"/>
      <c r="G1752" s="31"/>
      <c r="H1752" s="31"/>
      <c r="I1752" s="31"/>
      <c r="J1752" s="177"/>
      <c r="K1752" s="31"/>
      <c r="L1752" s="31"/>
      <c r="M1752" s="31"/>
      <c r="N1752" s="31"/>
      <c r="O1752" s="31"/>
      <c r="P1752" s="32"/>
      <c r="Q1752" s="2"/>
    </row>
    <row r="1753" spans="1:17" ht="5" customHeight="1" x14ac:dyDescent="0.2">
      <c r="A1753" s="48"/>
      <c r="B1753" s="23"/>
      <c r="C1753" s="23"/>
      <c r="D1753" s="23"/>
      <c r="E1753" s="23"/>
      <c r="F1753" s="33"/>
      <c r="G1753" s="33"/>
      <c r="H1753" s="33"/>
      <c r="I1753" s="33"/>
      <c r="J1753" s="178"/>
      <c r="K1753" s="33"/>
      <c r="L1753" s="33"/>
      <c r="M1753" s="33"/>
      <c r="N1753" s="33"/>
      <c r="O1753" s="33"/>
      <c r="P1753" s="34"/>
      <c r="Q1753" s="2"/>
    </row>
    <row r="1754" spans="1:17" x14ac:dyDescent="0.2">
      <c r="A1754" s="224" t="s">
        <v>704</v>
      </c>
      <c r="B1754" s="225"/>
      <c r="C1754" s="225"/>
      <c r="D1754" s="225"/>
      <c r="E1754" s="225"/>
      <c r="F1754" s="225"/>
      <c r="G1754" s="225"/>
      <c r="H1754" s="225"/>
      <c r="I1754" s="225"/>
      <c r="J1754" s="226"/>
      <c r="K1754" s="27"/>
      <c r="L1754" s="70" t="s">
        <v>712</v>
      </c>
      <c r="M1754" s="186" t="s">
        <v>61</v>
      </c>
      <c r="N1754" s="242">
        <f>SUM(N1747,N1751)</f>
        <v>0</v>
      </c>
      <c r="O1754" s="243"/>
      <c r="P1754" s="26"/>
      <c r="Q1754" s="2"/>
    </row>
    <row r="1755" spans="1:17" ht="5" customHeight="1" x14ac:dyDescent="0.2">
      <c r="A1755" s="47"/>
      <c r="B1755" s="21"/>
      <c r="C1755" s="21"/>
      <c r="D1755" s="21"/>
      <c r="E1755" s="21"/>
      <c r="F1755" s="10"/>
      <c r="G1755" s="10"/>
      <c r="H1755" s="10"/>
      <c r="I1755" s="10"/>
      <c r="J1755" s="180"/>
      <c r="K1755" s="10"/>
      <c r="L1755" s="10"/>
      <c r="M1755" s="10"/>
      <c r="N1755" s="10"/>
      <c r="O1755" s="10"/>
      <c r="P1755" s="28"/>
      <c r="Q1755" s="2"/>
    </row>
    <row r="1756" spans="1:17" x14ac:dyDescent="0.2">
      <c r="Q1756" s="2"/>
    </row>
    <row r="1757" spans="1:17" x14ac:dyDescent="0.2">
      <c r="A1757" s="238" t="s">
        <v>705</v>
      </c>
      <c r="B1757" s="239"/>
      <c r="C1757" s="212"/>
      <c r="D1757" s="212"/>
      <c r="Q1757" s="2"/>
    </row>
    <row r="1758" spans="1:17" ht="5" customHeight="1" x14ac:dyDescent="0.2">
      <c r="Q1758" s="2"/>
    </row>
    <row r="1759" spans="1:17" ht="5" customHeight="1" x14ac:dyDescent="0.2">
      <c r="A1759" s="48"/>
      <c r="B1759" s="23"/>
      <c r="C1759" s="23"/>
      <c r="D1759" s="23"/>
      <c r="E1759" s="23"/>
      <c r="F1759" s="33"/>
      <c r="G1759" s="33"/>
      <c r="H1759" s="33"/>
      <c r="I1759" s="33"/>
      <c r="J1759" s="178"/>
      <c r="K1759" s="33"/>
      <c r="L1759" s="33"/>
      <c r="M1759" s="33"/>
      <c r="N1759" s="33"/>
      <c r="O1759" s="33"/>
      <c r="P1759" s="34"/>
      <c r="Q1759" s="2"/>
    </row>
    <row r="1760" spans="1:17" x14ac:dyDescent="0.2">
      <c r="A1760" s="224" t="s">
        <v>706</v>
      </c>
      <c r="B1760" s="225"/>
      <c r="C1760" s="225"/>
      <c r="D1760" s="225"/>
      <c r="E1760" s="225"/>
      <c r="F1760" s="225"/>
      <c r="G1760" s="225"/>
      <c r="H1760" s="225"/>
      <c r="I1760" s="225"/>
      <c r="J1760" s="226"/>
      <c r="K1760" s="27"/>
      <c r="L1760" s="70" t="s">
        <v>713</v>
      </c>
      <c r="M1760" s="186" t="s">
        <v>61</v>
      </c>
      <c r="N1760" s="242">
        <f>N1741-N1754</f>
        <v>0</v>
      </c>
      <c r="O1760" s="243"/>
      <c r="P1760" s="26"/>
      <c r="Q1760" s="2"/>
    </row>
    <row r="1761" spans="1:17" ht="5" customHeight="1" x14ac:dyDescent="0.2">
      <c r="A1761" s="47"/>
      <c r="B1761" s="21"/>
      <c r="C1761" s="21"/>
      <c r="D1761" s="21"/>
      <c r="E1761" s="21"/>
      <c r="F1761" s="10"/>
      <c r="G1761" s="10"/>
      <c r="H1761" s="10"/>
      <c r="I1761" s="10"/>
      <c r="J1761" s="180"/>
      <c r="K1761" s="10"/>
      <c r="L1761" s="10"/>
      <c r="M1761" s="10"/>
      <c r="N1761" s="10"/>
      <c r="O1761" s="10"/>
      <c r="P1761" s="28"/>
      <c r="Q1761" s="2"/>
    </row>
    <row r="1762" spans="1:17" x14ac:dyDescent="0.2">
      <c r="Q1762" s="2"/>
    </row>
    <row r="1764" spans="1:17" ht="16" x14ac:dyDescent="0.2">
      <c r="A1764" s="231" t="s">
        <v>651</v>
      </c>
      <c r="B1764" s="232"/>
      <c r="C1764" s="232"/>
      <c r="D1764" s="232"/>
      <c r="F1764" s="233"/>
      <c r="G1764" s="233"/>
      <c r="H1764" s="233"/>
      <c r="I1764" s="233"/>
      <c r="J1764" s="233"/>
      <c r="K1764" s="233"/>
      <c r="L1764" s="233"/>
      <c r="M1764" s="233"/>
      <c r="N1764" s="233"/>
      <c r="O1764" s="233"/>
      <c r="P1764" s="233"/>
      <c r="Q1764" s="233"/>
    </row>
    <row r="1765" spans="1:17" ht="5" customHeight="1" x14ac:dyDescent="0.2"/>
    <row r="1766" spans="1:17" x14ac:dyDescent="0.2">
      <c r="A1766" s="234" t="s">
        <v>617</v>
      </c>
      <c r="B1766" s="235"/>
      <c r="C1766" s="235"/>
      <c r="D1766" s="235"/>
      <c r="E1766" s="236"/>
      <c r="F1766" s="236"/>
      <c r="G1766" s="236"/>
      <c r="H1766" s="236"/>
      <c r="I1766" s="236"/>
      <c r="J1766" s="236"/>
      <c r="K1766" s="236"/>
      <c r="L1766" s="236"/>
      <c r="M1766" s="236"/>
      <c r="N1766" s="236"/>
      <c r="O1766" s="236"/>
      <c r="P1766" s="236"/>
      <c r="Q1766" s="237"/>
    </row>
    <row r="1767" spans="1:17" ht="5" customHeight="1" x14ac:dyDescent="0.2">
      <c r="A1767" s="194"/>
      <c r="B1767" s="194"/>
      <c r="C1767" s="194"/>
      <c r="D1767" s="194"/>
      <c r="E1767" s="194"/>
      <c r="F1767" s="194"/>
      <c r="G1767" s="194"/>
      <c r="H1767" s="194"/>
      <c r="I1767" s="37"/>
      <c r="J1767" s="37"/>
      <c r="K1767" s="37"/>
      <c r="L1767" s="37"/>
      <c r="M1767" s="37"/>
      <c r="N1767" s="37"/>
      <c r="O1767" s="37"/>
      <c r="P1767" s="37"/>
      <c r="Q1767" s="38"/>
    </row>
    <row r="1768" spans="1:17" ht="26.25" customHeight="1" x14ac:dyDescent="0.2">
      <c r="A1768" s="211" t="s">
        <v>715</v>
      </c>
      <c r="B1768" s="212"/>
      <c r="C1768" s="212"/>
      <c r="D1768" s="212"/>
      <c r="E1768" s="212"/>
      <c r="F1768" s="212"/>
      <c r="G1768" s="212"/>
      <c r="H1768" s="212"/>
      <c r="I1768" s="212"/>
      <c r="J1768" s="212"/>
      <c r="K1768" s="212"/>
      <c r="L1768" s="212"/>
      <c r="M1768" s="212"/>
      <c r="N1768" s="212"/>
      <c r="O1768" s="212"/>
      <c r="P1768" s="212"/>
      <c r="Q1768" s="38"/>
    </row>
    <row r="1769" spans="1:17" ht="26.25" customHeight="1" x14ac:dyDescent="0.2">
      <c r="A1769" s="95"/>
      <c r="B1769" s="51"/>
      <c r="C1769" s="51"/>
      <c r="D1769" s="51"/>
      <c r="E1769" s="51"/>
      <c r="F1769" s="51"/>
      <c r="G1769" s="51"/>
      <c r="H1769" s="51"/>
      <c r="I1769" s="51"/>
      <c r="J1769" s="51"/>
      <c r="K1769" s="51"/>
      <c r="L1769" s="51"/>
      <c r="M1769" s="51"/>
      <c r="N1769" s="51"/>
      <c r="O1769" s="51"/>
      <c r="P1769" s="51"/>
      <c r="Q1769" s="38"/>
    </row>
    <row r="1770" spans="1:17" x14ac:dyDescent="0.2">
      <c r="A1770" s="238" t="s">
        <v>619</v>
      </c>
      <c r="B1770" s="239"/>
      <c r="C1770" s="212"/>
      <c r="D1770" s="212"/>
      <c r="E1770" s="72"/>
      <c r="F1770" s="238"/>
      <c r="G1770" s="238"/>
      <c r="H1770" s="238"/>
      <c r="I1770" s="238"/>
      <c r="J1770" s="238"/>
      <c r="K1770" s="238"/>
      <c r="L1770" s="238"/>
      <c r="M1770" s="238"/>
      <c r="N1770" s="238"/>
      <c r="O1770" s="238"/>
      <c r="P1770" s="238"/>
      <c r="Q1770" s="38"/>
    </row>
    <row r="1771" spans="1:17" x14ac:dyDescent="0.2">
      <c r="A1771" s="140"/>
      <c r="B1771" s="152"/>
      <c r="C1771" s="51"/>
      <c r="D1771" s="51"/>
      <c r="E1771" s="72"/>
      <c r="F1771" s="140"/>
      <c r="G1771" s="140"/>
      <c r="H1771" s="140"/>
      <c r="I1771" s="140"/>
      <c r="J1771" s="140"/>
      <c r="K1771" s="140"/>
      <c r="L1771" s="140"/>
      <c r="M1771" s="140"/>
      <c r="N1771" s="140"/>
      <c r="O1771" s="140"/>
      <c r="P1771" s="140"/>
      <c r="Q1771" s="38"/>
    </row>
    <row r="1772" spans="1:17" ht="5" customHeight="1" x14ac:dyDescent="0.2">
      <c r="A1772" s="48"/>
      <c r="B1772" s="23"/>
      <c r="C1772" s="23"/>
      <c r="D1772" s="23"/>
      <c r="E1772" s="23"/>
      <c r="F1772" s="33"/>
      <c r="G1772" s="33"/>
      <c r="H1772" s="33"/>
      <c r="I1772" s="33"/>
      <c r="J1772" s="34"/>
      <c r="K1772" s="33"/>
      <c r="L1772" s="33"/>
      <c r="M1772" s="33"/>
      <c r="N1772" s="33"/>
      <c r="O1772" s="33"/>
      <c r="P1772" s="34"/>
      <c r="Q1772" s="2"/>
    </row>
    <row r="1773" spans="1:17" x14ac:dyDescent="0.2">
      <c r="A1773" s="279" t="s">
        <v>620</v>
      </c>
      <c r="B1773" s="280"/>
      <c r="C1773" s="280"/>
      <c r="D1773" s="280"/>
      <c r="E1773" s="280"/>
      <c r="F1773" s="280"/>
      <c r="G1773" s="280"/>
      <c r="H1773" s="280"/>
      <c r="I1773" s="280"/>
      <c r="J1773" s="26"/>
      <c r="K1773" s="27"/>
      <c r="L1773" s="70" t="s">
        <v>716</v>
      </c>
      <c r="M1773" s="186" t="s">
        <v>61</v>
      </c>
      <c r="N1773" s="242">
        <f>N1441</f>
        <v>0</v>
      </c>
      <c r="O1773" s="243"/>
      <c r="P1773" s="26"/>
      <c r="Q1773" s="2"/>
    </row>
    <row r="1774" spans="1:17" ht="5" customHeight="1" x14ac:dyDescent="0.2">
      <c r="A1774" s="47"/>
      <c r="B1774" s="21"/>
      <c r="C1774" s="21"/>
      <c r="D1774" s="21"/>
      <c r="E1774" s="21"/>
      <c r="F1774" s="10"/>
      <c r="G1774" s="10"/>
      <c r="H1774" s="10"/>
      <c r="I1774" s="10"/>
      <c r="J1774" s="28"/>
      <c r="K1774" s="10"/>
      <c r="L1774" s="10"/>
      <c r="M1774" s="10"/>
      <c r="N1774" s="10"/>
      <c r="O1774" s="10"/>
      <c r="P1774" s="28"/>
      <c r="Q1774" s="2"/>
    </row>
    <row r="1775" spans="1:17" ht="15" customHeight="1" x14ac:dyDescent="0.2">
      <c r="A1775" s="211"/>
      <c r="B1775" s="212"/>
      <c r="C1775" s="212"/>
      <c r="D1775" s="212"/>
      <c r="E1775" s="212"/>
      <c r="F1775" s="212"/>
      <c r="G1775" s="212"/>
      <c r="H1775" s="212"/>
      <c r="I1775" s="212"/>
      <c r="J1775" s="212"/>
      <c r="K1775" s="212"/>
      <c r="L1775" s="212"/>
      <c r="M1775" s="212"/>
      <c r="N1775" s="212"/>
      <c r="O1775" s="212"/>
      <c r="P1775" s="212"/>
      <c r="Q1775" s="38"/>
    </row>
    <row r="1776" spans="1:17" x14ac:dyDescent="0.2">
      <c r="A1776" s="238" t="s">
        <v>622</v>
      </c>
      <c r="B1776" s="239"/>
      <c r="C1776" s="212"/>
      <c r="D1776" s="212"/>
      <c r="E1776" s="72"/>
      <c r="F1776" s="238"/>
      <c r="G1776" s="238"/>
      <c r="H1776" s="238"/>
      <c r="I1776" s="238"/>
      <c r="J1776" s="238"/>
      <c r="K1776" s="238"/>
      <c r="L1776" s="238"/>
      <c r="M1776" s="238"/>
      <c r="N1776" s="238"/>
      <c r="O1776" s="238"/>
      <c r="P1776" s="238"/>
      <c r="Q1776" s="38"/>
    </row>
    <row r="1777" spans="1:17" ht="5" customHeight="1" x14ac:dyDescent="0.2">
      <c r="A1777" s="140"/>
      <c r="B1777" s="152"/>
      <c r="C1777" s="51"/>
      <c r="D1777" s="51"/>
      <c r="E1777" s="72"/>
      <c r="F1777" s="140"/>
      <c r="G1777" s="140"/>
      <c r="H1777" s="140"/>
      <c r="I1777" s="140"/>
      <c r="J1777" s="140"/>
      <c r="K1777" s="140"/>
      <c r="L1777" s="140"/>
      <c r="M1777" s="140"/>
      <c r="N1777" s="140"/>
      <c r="O1777" s="140"/>
      <c r="P1777" s="140"/>
      <c r="Q1777" s="38"/>
    </row>
    <row r="1778" spans="1:17" ht="15" customHeight="1" x14ac:dyDescent="0.2">
      <c r="A1778" s="211" t="s">
        <v>717</v>
      </c>
      <c r="B1778" s="212"/>
      <c r="C1778" s="212"/>
      <c r="D1778" s="212"/>
      <c r="E1778" s="212"/>
      <c r="F1778" s="212"/>
      <c r="G1778" s="212"/>
      <c r="H1778" s="212"/>
      <c r="I1778" s="212"/>
      <c r="J1778" s="212"/>
      <c r="K1778" s="212"/>
      <c r="L1778" s="212"/>
      <c r="M1778" s="212"/>
      <c r="N1778" s="212"/>
      <c r="O1778" s="212"/>
      <c r="P1778" s="37"/>
      <c r="Q1778" s="38"/>
    </row>
    <row r="1779" spans="1:17" x14ac:dyDescent="0.2">
      <c r="A1779" s="140"/>
      <c r="B1779" s="152"/>
      <c r="C1779" s="51"/>
      <c r="D1779" s="51"/>
      <c r="E1779" s="72"/>
      <c r="F1779" s="140"/>
      <c r="G1779" s="140"/>
      <c r="H1779" s="140"/>
      <c r="I1779" s="140"/>
      <c r="J1779" s="140"/>
      <c r="K1779" s="140"/>
      <c r="L1779" s="140"/>
      <c r="M1779" s="140"/>
      <c r="N1779" s="140"/>
      <c r="O1779" s="140"/>
      <c r="P1779" s="140"/>
      <c r="Q1779" s="38"/>
    </row>
    <row r="1780" spans="1:17" ht="5" customHeight="1" x14ac:dyDescent="0.2">
      <c r="A1780" s="48"/>
      <c r="B1780" s="23"/>
      <c r="C1780" s="23"/>
      <c r="D1780" s="23"/>
      <c r="E1780" s="23"/>
      <c r="F1780" s="33"/>
      <c r="G1780" s="33"/>
      <c r="H1780" s="33"/>
      <c r="I1780" s="33"/>
      <c r="J1780" s="178"/>
      <c r="K1780" s="33"/>
      <c r="L1780" s="33"/>
      <c r="M1780" s="33"/>
      <c r="N1780" s="33"/>
      <c r="O1780" s="33"/>
      <c r="P1780" s="34"/>
      <c r="Q1780" s="2"/>
    </row>
    <row r="1781" spans="1:17" x14ac:dyDescent="0.2">
      <c r="A1781" s="224" t="s">
        <v>596</v>
      </c>
      <c r="B1781" s="225"/>
      <c r="C1781" s="225"/>
      <c r="D1781" s="225"/>
      <c r="E1781" s="225"/>
      <c r="F1781" s="225"/>
      <c r="G1781" s="225"/>
      <c r="H1781" s="225"/>
      <c r="I1781" s="225"/>
      <c r="J1781" s="226"/>
      <c r="K1781" s="27"/>
      <c r="L1781" s="70" t="s">
        <v>719</v>
      </c>
      <c r="M1781" s="186" t="s">
        <v>61</v>
      </c>
      <c r="N1781" s="242">
        <f>N1449</f>
        <v>0</v>
      </c>
      <c r="O1781" s="243"/>
      <c r="P1781" s="26"/>
      <c r="Q1781" s="2"/>
    </row>
    <row r="1782" spans="1:17" ht="5" customHeight="1" x14ac:dyDescent="0.2">
      <c r="A1782" s="47"/>
      <c r="B1782" s="21"/>
      <c r="C1782" s="21"/>
      <c r="D1782" s="21"/>
      <c r="E1782" s="21"/>
      <c r="F1782" s="10"/>
      <c r="G1782" s="10"/>
      <c r="H1782" s="10"/>
      <c r="I1782" s="10"/>
      <c r="J1782" s="180"/>
      <c r="K1782" s="10"/>
      <c r="L1782" s="10"/>
      <c r="M1782" s="10"/>
      <c r="N1782" s="10"/>
      <c r="O1782" s="10"/>
      <c r="P1782" s="28"/>
      <c r="Q1782" s="2"/>
    </row>
    <row r="1783" spans="1:17" ht="5" customHeight="1" x14ac:dyDescent="0.2">
      <c r="A1783" s="49"/>
      <c r="B1783" s="24"/>
      <c r="C1783" s="24"/>
      <c r="D1783" s="24"/>
      <c r="E1783" s="24"/>
      <c r="F1783" s="29"/>
      <c r="G1783" s="29"/>
      <c r="H1783" s="29"/>
      <c r="I1783" s="29"/>
      <c r="J1783" s="183"/>
      <c r="K1783" s="29"/>
      <c r="L1783" s="29"/>
      <c r="M1783" s="29"/>
      <c r="N1783" s="29"/>
      <c r="O1783" s="29"/>
      <c r="P1783" s="30"/>
      <c r="Q1783" s="2"/>
    </row>
    <row r="1784" spans="1:17" x14ac:dyDescent="0.2">
      <c r="A1784" s="221" t="s">
        <v>640</v>
      </c>
      <c r="B1784" s="222"/>
      <c r="C1784" s="222"/>
      <c r="D1784" s="222"/>
      <c r="E1784" s="222"/>
      <c r="F1784" s="222"/>
      <c r="G1784" s="222"/>
      <c r="H1784" s="222"/>
      <c r="I1784" s="222"/>
      <c r="J1784" s="223"/>
      <c r="K1784" s="40"/>
      <c r="L1784" s="70" t="s">
        <v>720</v>
      </c>
      <c r="M1784" s="107" t="s">
        <v>61</v>
      </c>
      <c r="N1784" s="240">
        <f>N1453</f>
        <v>0</v>
      </c>
      <c r="O1784" s="241"/>
      <c r="P1784" s="41"/>
      <c r="Q1784" s="2"/>
    </row>
    <row r="1785" spans="1:17" ht="5" customHeight="1" x14ac:dyDescent="0.2">
      <c r="A1785" s="50"/>
      <c r="B1785" s="25"/>
      <c r="C1785" s="25"/>
      <c r="D1785" s="25"/>
      <c r="E1785" s="25"/>
      <c r="F1785" s="31"/>
      <c r="G1785" s="31"/>
      <c r="H1785" s="31"/>
      <c r="I1785" s="31"/>
      <c r="J1785" s="177"/>
      <c r="K1785" s="31"/>
      <c r="L1785" s="31"/>
      <c r="M1785" s="31"/>
      <c r="N1785" s="31"/>
      <c r="O1785" s="31"/>
      <c r="P1785" s="32"/>
      <c r="Q1785" s="2"/>
    </row>
    <row r="1786" spans="1:17" ht="5" customHeight="1" x14ac:dyDescent="0.2">
      <c r="A1786" s="48"/>
      <c r="B1786" s="23"/>
      <c r="C1786" s="23"/>
      <c r="D1786" s="23"/>
      <c r="E1786" s="23"/>
      <c r="F1786" s="33"/>
      <c r="G1786" s="33"/>
      <c r="H1786" s="33"/>
      <c r="I1786" s="33"/>
      <c r="J1786" s="178"/>
      <c r="K1786" s="33"/>
      <c r="L1786" s="33"/>
      <c r="M1786" s="33"/>
      <c r="N1786" s="33"/>
      <c r="O1786" s="33"/>
      <c r="P1786" s="34"/>
      <c r="Q1786" s="2"/>
    </row>
    <row r="1787" spans="1:17" x14ac:dyDescent="0.2">
      <c r="A1787" s="224" t="s">
        <v>597</v>
      </c>
      <c r="B1787" s="225"/>
      <c r="C1787" s="225"/>
      <c r="D1787" s="225"/>
      <c r="E1787" s="225"/>
      <c r="F1787" s="225"/>
      <c r="G1787" s="225"/>
      <c r="H1787" s="225"/>
      <c r="I1787" s="225"/>
      <c r="J1787" s="226"/>
      <c r="K1787" s="27"/>
      <c r="L1787" s="70" t="s">
        <v>721</v>
      </c>
      <c r="M1787" s="186" t="s">
        <v>61</v>
      </c>
      <c r="N1787" s="242">
        <f>N1457</f>
        <v>0</v>
      </c>
      <c r="O1787" s="243"/>
      <c r="P1787" s="26"/>
      <c r="Q1787" s="2"/>
    </row>
    <row r="1788" spans="1:17" ht="5" customHeight="1" x14ac:dyDescent="0.2">
      <c r="A1788" s="47"/>
      <c r="B1788" s="21"/>
      <c r="C1788" s="21"/>
      <c r="D1788" s="21"/>
      <c r="E1788" s="21"/>
      <c r="F1788" s="10"/>
      <c r="G1788" s="10"/>
      <c r="H1788" s="10"/>
      <c r="I1788" s="10"/>
      <c r="J1788" s="180"/>
      <c r="K1788" s="10"/>
      <c r="L1788" s="10"/>
      <c r="M1788" s="10"/>
      <c r="N1788" s="10"/>
      <c r="O1788" s="10"/>
      <c r="P1788" s="28"/>
      <c r="Q1788" s="2"/>
    </row>
    <row r="1789" spans="1:17" ht="5" customHeight="1" x14ac:dyDescent="0.2">
      <c r="A1789" s="49"/>
      <c r="B1789" s="24"/>
      <c r="C1789" s="24"/>
      <c r="D1789" s="24"/>
      <c r="E1789" s="24"/>
      <c r="F1789" s="29"/>
      <c r="G1789" s="29"/>
      <c r="H1789" s="29"/>
      <c r="I1789" s="29"/>
      <c r="J1789" s="183"/>
      <c r="K1789" s="29"/>
      <c r="L1789" s="29"/>
      <c r="M1789" s="29"/>
      <c r="N1789" s="29"/>
      <c r="O1789" s="29"/>
      <c r="P1789" s="30"/>
      <c r="Q1789" s="2"/>
    </row>
    <row r="1790" spans="1:17" x14ac:dyDescent="0.2">
      <c r="A1790" s="221" t="s">
        <v>641</v>
      </c>
      <c r="B1790" s="222"/>
      <c r="C1790" s="222"/>
      <c r="D1790" s="222"/>
      <c r="E1790" s="222"/>
      <c r="F1790" s="222"/>
      <c r="G1790" s="222"/>
      <c r="H1790" s="222"/>
      <c r="I1790" s="222"/>
      <c r="J1790" s="223"/>
      <c r="K1790" s="40"/>
      <c r="L1790" s="70" t="s">
        <v>722</v>
      </c>
      <c r="M1790" s="107" t="s">
        <v>61</v>
      </c>
      <c r="N1790" s="240">
        <f>N1461</f>
        <v>0</v>
      </c>
      <c r="O1790" s="241"/>
      <c r="P1790" s="41"/>
      <c r="Q1790" s="2"/>
    </row>
    <row r="1791" spans="1:17" ht="5" customHeight="1" x14ac:dyDescent="0.2">
      <c r="A1791" s="50"/>
      <c r="B1791" s="25"/>
      <c r="C1791" s="25"/>
      <c r="D1791" s="25"/>
      <c r="E1791" s="25"/>
      <c r="F1791" s="31"/>
      <c r="G1791" s="31"/>
      <c r="H1791" s="31"/>
      <c r="I1791" s="31"/>
      <c r="J1791" s="177"/>
      <c r="K1791" s="31"/>
      <c r="L1791" s="31"/>
      <c r="M1791" s="31"/>
      <c r="N1791" s="31"/>
      <c r="O1791" s="31"/>
      <c r="P1791" s="32"/>
      <c r="Q1791" s="2"/>
    </row>
    <row r="1792" spans="1:17" ht="5" customHeight="1" x14ac:dyDescent="0.2">
      <c r="A1792" s="48"/>
      <c r="B1792" s="23"/>
      <c r="C1792" s="23"/>
      <c r="D1792" s="23"/>
      <c r="E1792" s="23"/>
      <c r="F1792" s="33"/>
      <c r="G1792" s="33"/>
      <c r="H1792" s="33"/>
      <c r="I1792" s="33"/>
      <c r="J1792" s="178"/>
      <c r="K1792" s="33"/>
      <c r="L1792" s="33"/>
      <c r="M1792" s="33"/>
      <c r="N1792" s="33"/>
      <c r="O1792" s="33"/>
      <c r="P1792" s="34"/>
      <c r="Q1792" s="2"/>
    </row>
    <row r="1793" spans="1:17" x14ac:dyDescent="0.2">
      <c r="A1793" s="224" t="s">
        <v>642</v>
      </c>
      <c r="B1793" s="225"/>
      <c r="C1793" s="225"/>
      <c r="D1793" s="225"/>
      <c r="E1793" s="225"/>
      <c r="F1793" s="225"/>
      <c r="G1793" s="225"/>
      <c r="H1793" s="225"/>
      <c r="I1793" s="225"/>
      <c r="J1793" s="226"/>
      <c r="K1793" s="27"/>
      <c r="L1793" s="70" t="s">
        <v>726</v>
      </c>
      <c r="M1793" s="186" t="s">
        <v>61</v>
      </c>
      <c r="N1793" s="242">
        <f>N1464</f>
        <v>0</v>
      </c>
      <c r="O1793" s="243"/>
      <c r="P1793" s="26"/>
      <c r="Q1793" s="2"/>
    </row>
    <row r="1794" spans="1:17" ht="5" customHeight="1" x14ac:dyDescent="0.2">
      <c r="A1794" s="47"/>
      <c r="B1794" s="21"/>
      <c r="C1794" s="21"/>
      <c r="D1794" s="21"/>
      <c r="E1794" s="21"/>
      <c r="F1794" s="10"/>
      <c r="G1794" s="10"/>
      <c r="H1794" s="10"/>
      <c r="I1794" s="10"/>
      <c r="J1794" s="180"/>
      <c r="K1794" s="10"/>
      <c r="L1794" s="10"/>
      <c r="M1794" s="10"/>
      <c r="N1794" s="10"/>
      <c r="O1794" s="10"/>
      <c r="P1794" s="28"/>
      <c r="Q1794" s="2"/>
    </row>
    <row r="1795" spans="1:17" ht="5" customHeight="1" x14ac:dyDescent="0.2">
      <c r="A1795" s="49"/>
      <c r="B1795" s="24"/>
      <c r="C1795" s="24"/>
      <c r="D1795" s="24"/>
      <c r="E1795" s="24"/>
      <c r="F1795" s="29"/>
      <c r="G1795" s="29"/>
      <c r="H1795" s="29"/>
      <c r="I1795" s="29"/>
      <c r="J1795" s="183"/>
      <c r="K1795" s="29"/>
      <c r="L1795" s="29"/>
      <c r="M1795" s="29"/>
      <c r="N1795" s="29"/>
      <c r="O1795" s="29"/>
      <c r="P1795" s="30"/>
      <c r="Q1795" s="2"/>
    </row>
    <row r="1796" spans="1:17" x14ac:dyDescent="0.2">
      <c r="A1796" s="221" t="s">
        <v>643</v>
      </c>
      <c r="B1796" s="222"/>
      <c r="C1796" s="222"/>
      <c r="D1796" s="222"/>
      <c r="E1796" s="222"/>
      <c r="F1796" s="222"/>
      <c r="G1796" s="222"/>
      <c r="H1796" s="222"/>
      <c r="I1796" s="222"/>
      <c r="J1796" s="223"/>
      <c r="K1796" s="40"/>
      <c r="L1796" s="70" t="s">
        <v>723</v>
      </c>
      <c r="M1796" s="107" t="s">
        <v>61</v>
      </c>
      <c r="N1796" s="240">
        <f>N1468</f>
        <v>0</v>
      </c>
      <c r="O1796" s="241"/>
      <c r="P1796" s="41"/>
      <c r="Q1796" s="2"/>
    </row>
    <row r="1797" spans="1:17" ht="5" customHeight="1" x14ac:dyDescent="0.2">
      <c r="A1797" s="50"/>
      <c r="B1797" s="25"/>
      <c r="C1797" s="25"/>
      <c r="D1797" s="25"/>
      <c r="E1797" s="25"/>
      <c r="F1797" s="31"/>
      <c r="G1797" s="31"/>
      <c r="H1797" s="31"/>
      <c r="I1797" s="31"/>
      <c r="J1797" s="177"/>
      <c r="K1797" s="31"/>
      <c r="L1797" s="31"/>
      <c r="M1797" s="31"/>
      <c r="N1797" s="31"/>
      <c r="O1797" s="31"/>
      <c r="P1797" s="32"/>
      <c r="Q1797" s="2"/>
    </row>
    <row r="1798" spans="1:17" ht="5" customHeight="1" x14ac:dyDescent="0.2">
      <c r="A1798" s="48"/>
      <c r="B1798" s="23"/>
      <c r="C1798" s="23"/>
      <c r="D1798" s="23"/>
      <c r="E1798" s="23"/>
      <c r="F1798" s="33"/>
      <c r="G1798" s="33"/>
      <c r="H1798" s="33"/>
      <c r="I1798" s="33"/>
      <c r="J1798" s="178"/>
      <c r="K1798" s="33"/>
      <c r="L1798" s="33"/>
      <c r="M1798" s="33"/>
      <c r="N1798" s="33"/>
      <c r="O1798" s="33"/>
      <c r="P1798" s="34"/>
      <c r="Q1798" s="2"/>
    </row>
    <row r="1799" spans="1:17" x14ac:dyDescent="0.2">
      <c r="A1799" s="224" t="s">
        <v>644</v>
      </c>
      <c r="B1799" s="225"/>
      <c r="C1799" s="225"/>
      <c r="D1799" s="225"/>
      <c r="E1799" s="225"/>
      <c r="F1799" s="225"/>
      <c r="G1799" s="225"/>
      <c r="H1799" s="225"/>
      <c r="I1799" s="225"/>
      <c r="J1799" s="226"/>
      <c r="K1799" s="27"/>
      <c r="L1799" s="70" t="s">
        <v>724</v>
      </c>
      <c r="M1799" s="186" t="s">
        <v>61</v>
      </c>
      <c r="N1799" s="242">
        <f>N1472</f>
        <v>0</v>
      </c>
      <c r="O1799" s="243"/>
      <c r="P1799" s="26"/>
      <c r="Q1799" s="2"/>
    </row>
    <row r="1800" spans="1:17" ht="5" customHeight="1" x14ac:dyDescent="0.2">
      <c r="A1800" s="47"/>
      <c r="B1800" s="21"/>
      <c r="C1800" s="21"/>
      <c r="D1800" s="21"/>
      <c r="E1800" s="21"/>
      <c r="F1800" s="10"/>
      <c r="G1800" s="10"/>
      <c r="H1800" s="10"/>
      <c r="I1800" s="10"/>
      <c r="J1800" s="180"/>
      <c r="K1800" s="10"/>
      <c r="L1800" s="10"/>
      <c r="M1800" s="10"/>
      <c r="N1800" s="10"/>
      <c r="O1800" s="10"/>
      <c r="P1800" s="28"/>
      <c r="Q1800" s="2"/>
    </row>
    <row r="1801" spans="1:17" ht="5" customHeight="1" x14ac:dyDescent="0.25">
      <c r="A1801" s="49"/>
      <c r="B1801" s="24"/>
      <c r="C1801" s="24"/>
      <c r="D1801" s="24"/>
      <c r="E1801" s="24"/>
      <c r="F1801" s="29"/>
      <c r="G1801" s="29"/>
      <c r="H1801" s="29"/>
      <c r="I1801" s="29"/>
      <c r="J1801" s="183"/>
      <c r="K1801" s="29"/>
      <c r="L1801" s="219"/>
      <c r="M1801" s="219"/>
      <c r="N1801" s="219"/>
      <c r="O1801" s="219"/>
      <c r="P1801" s="30"/>
      <c r="Q1801" s="2"/>
    </row>
    <row r="1802" spans="1:17" x14ac:dyDescent="0.2">
      <c r="A1802" s="221" t="s">
        <v>718</v>
      </c>
      <c r="B1802" s="222"/>
      <c r="C1802" s="222"/>
      <c r="D1802" s="222"/>
      <c r="E1802" s="222"/>
      <c r="F1802" s="222"/>
      <c r="G1802" s="222"/>
      <c r="H1802" s="222"/>
      <c r="I1802" s="222"/>
      <c r="J1802" s="223"/>
      <c r="K1802" s="40"/>
      <c r="L1802" s="70" t="s">
        <v>725</v>
      </c>
      <c r="M1802" s="107" t="s">
        <v>61</v>
      </c>
      <c r="N1802" s="240">
        <f>N1754</f>
        <v>0</v>
      </c>
      <c r="O1802" s="241"/>
      <c r="P1802" s="41"/>
      <c r="Q1802" s="2"/>
    </row>
    <row r="1803" spans="1:17" ht="5" customHeight="1" x14ac:dyDescent="0.2">
      <c r="A1803" s="50"/>
      <c r="B1803" s="25"/>
      <c r="C1803" s="25"/>
      <c r="D1803" s="25"/>
      <c r="E1803" s="25"/>
      <c r="F1803" s="31"/>
      <c r="G1803" s="31"/>
      <c r="H1803" s="31"/>
      <c r="I1803" s="31"/>
      <c r="J1803" s="177"/>
      <c r="K1803" s="31"/>
      <c r="L1803" s="31"/>
      <c r="M1803" s="31"/>
      <c r="N1803" s="31"/>
      <c r="O1803" s="31"/>
      <c r="P1803" s="32"/>
      <c r="Q1803" s="2"/>
    </row>
    <row r="1804" spans="1:17" ht="5" customHeight="1" x14ac:dyDescent="0.2">
      <c r="A1804" s="48"/>
      <c r="B1804" s="23"/>
      <c r="C1804" s="23"/>
      <c r="D1804" s="23"/>
      <c r="E1804" s="23"/>
      <c r="F1804" s="33"/>
      <c r="G1804" s="33"/>
      <c r="H1804" s="33"/>
      <c r="I1804" s="33"/>
      <c r="J1804" s="34"/>
      <c r="K1804" s="33"/>
      <c r="L1804" s="33"/>
      <c r="M1804" s="33"/>
      <c r="N1804" s="33"/>
      <c r="O1804" s="33"/>
      <c r="P1804" s="34"/>
      <c r="Q1804" s="2"/>
    </row>
    <row r="1805" spans="1:17" x14ac:dyDescent="0.2">
      <c r="A1805" s="279" t="s">
        <v>625</v>
      </c>
      <c r="B1805" s="280"/>
      <c r="C1805" s="280"/>
      <c r="D1805" s="280"/>
      <c r="E1805" s="280"/>
      <c r="F1805" s="280"/>
      <c r="G1805" s="280"/>
      <c r="H1805" s="280"/>
      <c r="I1805" s="280"/>
      <c r="J1805" s="26"/>
      <c r="K1805" s="27"/>
      <c r="L1805" s="70" t="s">
        <v>727</v>
      </c>
      <c r="M1805" s="186" t="s">
        <v>61</v>
      </c>
      <c r="N1805" s="242">
        <f>SUM(N1781,N1784,N1787,N1790,N1793,N1796,N1799,N1802)</f>
        <v>0</v>
      </c>
      <c r="O1805" s="243"/>
      <c r="P1805" s="26"/>
      <c r="Q1805" s="2"/>
    </row>
    <row r="1806" spans="1:17" ht="5" customHeight="1" x14ac:dyDescent="0.2">
      <c r="A1806" s="47"/>
      <c r="B1806" s="21"/>
      <c r="C1806" s="21"/>
      <c r="D1806" s="21"/>
      <c r="E1806" s="21"/>
      <c r="F1806" s="10"/>
      <c r="G1806" s="10"/>
      <c r="H1806" s="10"/>
      <c r="I1806" s="10"/>
      <c r="J1806" s="28"/>
      <c r="K1806" s="10"/>
      <c r="L1806" s="10"/>
      <c r="M1806" s="10"/>
      <c r="N1806" s="10"/>
      <c r="O1806" s="10"/>
      <c r="P1806" s="28"/>
      <c r="Q1806" s="2"/>
    </row>
    <row r="1807" spans="1:17" x14ac:dyDescent="0.2">
      <c r="Q1807" s="2"/>
    </row>
    <row r="1808" spans="1:17" x14ac:dyDescent="0.2">
      <c r="A1808" s="238" t="s">
        <v>626</v>
      </c>
      <c r="B1808" s="239"/>
      <c r="C1808" s="212"/>
      <c r="D1808" s="212"/>
      <c r="E1808" s="72"/>
      <c r="F1808" s="238"/>
      <c r="G1808" s="238"/>
      <c r="H1808" s="238"/>
      <c r="I1808" s="238"/>
      <c r="J1808" s="238"/>
      <c r="K1808" s="238"/>
      <c r="L1808" s="238"/>
      <c r="M1808" s="238"/>
      <c r="N1808" s="238"/>
      <c r="O1808" s="238"/>
      <c r="P1808" s="238"/>
      <c r="Q1808" s="38"/>
    </row>
    <row r="1809" spans="1:17" ht="5" customHeight="1" x14ac:dyDescent="0.2">
      <c r="A1809" s="140"/>
      <c r="B1809" s="152"/>
      <c r="C1809" s="51"/>
      <c r="D1809" s="51"/>
      <c r="E1809" s="72"/>
      <c r="F1809" s="140"/>
      <c r="G1809" s="140"/>
      <c r="H1809" s="140"/>
      <c r="I1809" s="140"/>
      <c r="J1809" s="140"/>
      <c r="K1809" s="140"/>
      <c r="L1809" s="140"/>
      <c r="M1809" s="140"/>
      <c r="N1809" s="140"/>
      <c r="O1809" s="140"/>
      <c r="P1809" s="140"/>
      <c r="Q1809" s="38"/>
    </row>
    <row r="1810" spans="1:17" ht="15" customHeight="1" x14ac:dyDescent="0.2">
      <c r="A1810" s="211" t="s">
        <v>739</v>
      </c>
      <c r="B1810" s="212"/>
      <c r="C1810" s="212"/>
      <c r="D1810" s="212"/>
      <c r="E1810" s="212"/>
      <c r="F1810" s="212"/>
      <c r="G1810" s="212"/>
      <c r="H1810" s="212"/>
      <c r="I1810" s="212"/>
      <c r="J1810" s="212"/>
      <c r="K1810" s="212"/>
      <c r="L1810" s="212"/>
      <c r="M1810" s="212"/>
      <c r="N1810" s="212"/>
      <c r="O1810" s="212"/>
      <c r="P1810" s="37"/>
      <c r="Q1810" s="38"/>
    </row>
    <row r="1811" spans="1:17" x14ac:dyDescent="0.2">
      <c r="A1811" s="140"/>
      <c r="B1811" s="152"/>
      <c r="C1811" s="51"/>
      <c r="D1811" s="51"/>
      <c r="E1811" s="72"/>
      <c r="F1811" s="140"/>
      <c r="G1811" s="140"/>
      <c r="H1811" s="140"/>
      <c r="I1811" s="140"/>
      <c r="J1811" s="140"/>
      <c r="K1811" s="140"/>
      <c r="L1811" s="140"/>
      <c r="M1811" s="140"/>
      <c r="N1811" s="140"/>
      <c r="O1811" s="140"/>
      <c r="P1811" s="140"/>
      <c r="Q1811" s="38"/>
    </row>
    <row r="1812" spans="1:17" ht="5" customHeight="1" x14ac:dyDescent="0.2">
      <c r="A1812" s="48"/>
      <c r="B1812" s="23"/>
      <c r="C1812" s="23"/>
      <c r="D1812" s="23"/>
      <c r="E1812" s="23"/>
      <c r="F1812" s="33"/>
      <c r="G1812" s="33"/>
      <c r="H1812" s="33"/>
      <c r="I1812" s="33"/>
      <c r="J1812" s="178"/>
      <c r="K1812" s="33"/>
      <c r="L1812" s="33"/>
      <c r="M1812" s="33"/>
      <c r="N1812" s="33"/>
      <c r="O1812" s="33"/>
      <c r="P1812" s="34"/>
      <c r="Q1812" s="2"/>
    </row>
    <row r="1813" spans="1:17" x14ac:dyDescent="0.2">
      <c r="A1813" s="224" t="s">
        <v>645</v>
      </c>
      <c r="B1813" s="225"/>
      <c r="C1813" s="225"/>
      <c r="D1813" s="225"/>
      <c r="E1813" s="225"/>
      <c r="F1813" s="225"/>
      <c r="G1813" s="225"/>
      <c r="H1813" s="225"/>
      <c r="I1813" s="225"/>
      <c r="J1813" s="226"/>
      <c r="K1813" s="27"/>
      <c r="L1813" s="70" t="s">
        <v>729</v>
      </c>
      <c r="M1813" s="186" t="s">
        <v>61</v>
      </c>
      <c r="N1813" s="242">
        <f>N1484</f>
        <v>0</v>
      </c>
      <c r="O1813" s="243"/>
      <c r="P1813" s="26"/>
      <c r="Q1813" s="2"/>
    </row>
    <row r="1814" spans="1:17" ht="5" customHeight="1" x14ac:dyDescent="0.2">
      <c r="A1814" s="47"/>
      <c r="B1814" s="21"/>
      <c r="C1814" s="21"/>
      <c r="D1814" s="21"/>
      <c r="E1814" s="21"/>
      <c r="F1814" s="10"/>
      <c r="G1814" s="10"/>
      <c r="H1814" s="10"/>
      <c r="I1814" s="10"/>
      <c r="J1814" s="180"/>
      <c r="K1814" s="10"/>
      <c r="L1814" s="10"/>
      <c r="M1814" s="10"/>
      <c r="N1814" s="10"/>
      <c r="O1814" s="10"/>
      <c r="P1814" s="28"/>
      <c r="Q1814" s="2"/>
    </row>
    <row r="1815" spans="1:17" ht="5" customHeight="1" x14ac:dyDescent="0.2">
      <c r="A1815" s="49"/>
      <c r="B1815" s="24"/>
      <c r="C1815" s="24"/>
      <c r="D1815" s="24"/>
      <c r="E1815" s="24"/>
      <c r="F1815" s="29"/>
      <c r="G1815" s="29"/>
      <c r="H1815" s="29"/>
      <c r="I1815" s="29"/>
      <c r="J1815" s="183"/>
      <c r="K1815" s="29"/>
      <c r="L1815" s="29"/>
      <c r="M1815" s="29"/>
      <c r="N1815" s="29"/>
      <c r="O1815" s="29"/>
      <c r="P1815" s="30"/>
      <c r="Q1815" s="2"/>
    </row>
    <row r="1816" spans="1:17" x14ac:dyDescent="0.2">
      <c r="A1816" s="221" t="s">
        <v>646</v>
      </c>
      <c r="B1816" s="222"/>
      <c r="C1816" s="222"/>
      <c r="D1816" s="222"/>
      <c r="E1816" s="222"/>
      <c r="F1816" s="222"/>
      <c r="G1816" s="222"/>
      <c r="H1816" s="222"/>
      <c r="I1816" s="222"/>
      <c r="J1816" s="223"/>
      <c r="K1816" s="40"/>
      <c r="L1816" s="70" t="s">
        <v>731</v>
      </c>
      <c r="M1816" s="107" t="s">
        <v>61</v>
      </c>
      <c r="N1816" s="240">
        <f>N1488</f>
        <v>0</v>
      </c>
      <c r="O1816" s="241"/>
      <c r="P1816" s="41"/>
      <c r="Q1816" s="2"/>
    </row>
    <row r="1817" spans="1:17" ht="5" customHeight="1" x14ac:dyDescent="0.2">
      <c r="A1817" s="50"/>
      <c r="B1817" s="25"/>
      <c r="C1817" s="25"/>
      <c r="D1817" s="25"/>
      <c r="E1817" s="25"/>
      <c r="F1817" s="31"/>
      <c r="G1817" s="31"/>
      <c r="H1817" s="31"/>
      <c r="I1817" s="31"/>
      <c r="J1817" s="177"/>
      <c r="K1817" s="31"/>
      <c r="L1817" s="31"/>
      <c r="M1817" s="31"/>
      <c r="N1817" s="31"/>
      <c r="O1817" s="31"/>
      <c r="P1817" s="32"/>
      <c r="Q1817" s="2"/>
    </row>
    <row r="1818" spans="1:17" ht="5" customHeight="1" x14ac:dyDescent="0.2">
      <c r="A1818" s="48"/>
      <c r="B1818" s="23"/>
      <c r="C1818" s="23"/>
      <c r="D1818" s="23"/>
      <c r="E1818" s="23"/>
      <c r="F1818" s="33"/>
      <c r="G1818" s="33"/>
      <c r="H1818" s="33"/>
      <c r="I1818" s="33"/>
      <c r="J1818" s="178"/>
      <c r="K1818" s="33"/>
      <c r="L1818" s="33"/>
      <c r="M1818" s="33"/>
      <c r="N1818" s="33"/>
      <c r="O1818" s="33"/>
      <c r="P1818" s="34"/>
      <c r="Q1818" s="2"/>
    </row>
    <row r="1819" spans="1:17" x14ac:dyDescent="0.2">
      <c r="A1819" s="224" t="s">
        <v>647</v>
      </c>
      <c r="B1819" s="225"/>
      <c r="C1819" s="225"/>
      <c r="D1819" s="225"/>
      <c r="E1819" s="225"/>
      <c r="F1819" s="225"/>
      <c r="G1819" s="225"/>
      <c r="H1819" s="225"/>
      <c r="I1819" s="225"/>
      <c r="J1819" s="226"/>
      <c r="K1819" s="27"/>
      <c r="L1819" s="70" t="s">
        <v>730</v>
      </c>
      <c r="M1819" s="186" t="s">
        <v>61</v>
      </c>
      <c r="N1819" s="242">
        <f>N1491</f>
        <v>0</v>
      </c>
      <c r="O1819" s="243"/>
      <c r="P1819" s="26"/>
      <c r="Q1819" s="2"/>
    </row>
    <row r="1820" spans="1:17" ht="5" customHeight="1" x14ac:dyDescent="0.2">
      <c r="A1820" s="47"/>
      <c r="B1820" s="21"/>
      <c r="C1820" s="21"/>
      <c r="D1820" s="21"/>
      <c r="E1820" s="21"/>
      <c r="F1820" s="10"/>
      <c r="G1820" s="10"/>
      <c r="H1820" s="10"/>
      <c r="I1820" s="10"/>
      <c r="J1820" s="180"/>
      <c r="K1820" s="10"/>
      <c r="L1820" s="10"/>
      <c r="M1820" s="10"/>
      <c r="N1820" s="10"/>
      <c r="O1820" s="10"/>
      <c r="P1820" s="28"/>
      <c r="Q1820" s="2"/>
    </row>
    <row r="1821" spans="1:17" ht="5" customHeight="1" x14ac:dyDescent="0.2">
      <c r="A1821" s="49"/>
      <c r="B1821" s="24"/>
      <c r="C1821" s="24"/>
      <c r="D1821" s="24"/>
      <c r="E1821" s="24"/>
      <c r="F1821" s="29"/>
      <c r="G1821" s="29"/>
      <c r="H1821" s="29"/>
      <c r="I1821" s="29"/>
      <c r="J1821" s="183"/>
      <c r="K1821" s="29"/>
      <c r="L1821" s="29"/>
      <c r="M1821" s="29"/>
      <c r="N1821" s="29"/>
      <c r="O1821" s="29"/>
      <c r="P1821" s="30"/>
      <c r="Q1821" s="2"/>
    </row>
    <row r="1822" spans="1:17" x14ac:dyDescent="0.2">
      <c r="A1822" s="221" t="s">
        <v>728</v>
      </c>
      <c r="B1822" s="222"/>
      <c r="C1822" s="222"/>
      <c r="D1822" s="222"/>
      <c r="E1822" s="222"/>
      <c r="F1822" s="222"/>
      <c r="G1822" s="222"/>
      <c r="H1822" s="222"/>
      <c r="I1822" s="222"/>
      <c r="J1822" s="223"/>
      <c r="K1822" s="40"/>
      <c r="L1822" s="70" t="s">
        <v>732</v>
      </c>
      <c r="M1822" s="107" t="s">
        <v>61</v>
      </c>
      <c r="N1822" s="240">
        <f>N1741</f>
        <v>0</v>
      </c>
      <c r="O1822" s="241"/>
      <c r="P1822" s="41"/>
      <c r="Q1822" s="2"/>
    </row>
    <row r="1823" spans="1:17" ht="5" customHeight="1" x14ac:dyDescent="0.2">
      <c r="A1823" s="50"/>
      <c r="B1823" s="25"/>
      <c r="C1823" s="25"/>
      <c r="D1823" s="25"/>
      <c r="E1823" s="25"/>
      <c r="F1823" s="31"/>
      <c r="G1823" s="31"/>
      <c r="H1823" s="31"/>
      <c r="I1823" s="31"/>
      <c r="J1823" s="177"/>
      <c r="K1823" s="31"/>
      <c r="L1823" s="31"/>
      <c r="M1823" s="31"/>
      <c r="N1823" s="31"/>
      <c r="O1823" s="31"/>
      <c r="P1823" s="32"/>
      <c r="Q1823" s="2"/>
    </row>
    <row r="1824" spans="1:17" ht="5" customHeight="1" x14ac:dyDescent="0.2">
      <c r="A1824" s="48"/>
      <c r="B1824" s="23"/>
      <c r="C1824" s="23"/>
      <c r="D1824" s="23"/>
      <c r="E1824" s="23"/>
      <c r="F1824" s="33"/>
      <c r="G1824" s="33"/>
      <c r="H1824" s="33"/>
      <c r="I1824" s="33"/>
      <c r="J1824" s="34"/>
      <c r="K1824" s="33"/>
      <c r="L1824" s="33"/>
      <c r="M1824" s="33"/>
      <c r="N1824" s="33"/>
      <c r="O1824" s="33"/>
      <c r="P1824" s="34"/>
      <c r="Q1824" s="2"/>
    </row>
    <row r="1825" spans="1:17" x14ac:dyDescent="0.2">
      <c r="A1825" s="279" t="s">
        <v>625</v>
      </c>
      <c r="B1825" s="280"/>
      <c r="C1825" s="280"/>
      <c r="D1825" s="280"/>
      <c r="E1825" s="280"/>
      <c r="F1825" s="280"/>
      <c r="G1825" s="280"/>
      <c r="H1825" s="280"/>
      <c r="I1825" s="280"/>
      <c r="J1825" s="26"/>
      <c r="K1825" s="27"/>
      <c r="L1825" s="70" t="s">
        <v>733</v>
      </c>
      <c r="M1825" s="186" t="s">
        <v>61</v>
      </c>
      <c r="N1825" s="242">
        <f>SUM(N1813,N1816,N1819,N1822)</f>
        <v>0</v>
      </c>
      <c r="O1825" s="243"/>
      <c r="P1825" s="26"/>
      <c r="Q1825" s="2"/>
    </row>
    <row r="1826" spans="1:17" ht="5" customHeight="1" x14ac:dyDescent="0.2">
      <c r="A1826" s="47"/>
      <c r="B1826" s="21"/>
      <c r="C1826" s="21"/>
      <c r="D1826" s="21"/>
      <c r="E1826" s="21"/>
      <c r="F1826" s="10"/>
      <c r="G1826" s="10"/>
      <c r="H1826" s="10"/>
      <c r="I1826" s="10"/>
      <c r="J1826" s="28"/>
      <c r="K1826" s="10"/>
      <c r="L1826" s="10"/>
      <c r="M1826" s="10"/>
      <c r="N1826" s="10"/>
      <c r="O1826" s="10"/>
      <c r="P1826" s="28"/>
      <c r="Q1826" s="2"/>
    </row>
    <row r="1827" spans="1:17" x14ac:dyDescent="0.2">
      <c r="Q1827" s="2"/>
    </row>
    <row r="1828" spans="1:17" x14ac:dyDescent="0.2">
      <c r="A1828" s="238" t="s">
        <v>738</v>
      </c>
      <c r="B1828" s="239"/>
      <c r="C1828" s="212"/>
      <c r="D1828" s="212"/>
      <c r="E1828" s="72"/>
      <c r="F1828" s="238"/>
      <c r="G1828" s="238"/>
      <c r="H1828" s="238"/>
      <c r="I1828" s="238"/>
      <c r="J1828" s="238"/>
      <c r="K1828" s="238"/>
      <c r="L1828" s="238"/>
      <c r="M1828" s="238"/>
      <c r="N1828" s="238"/>
      <c r="O1828" s="238"/>
      <c r="P1828" s="238"/>
      <c r="Q1828" s="38"/>
    </row>
    <row r="1829" spans="1:17" ht="5" customHeight="1" x14ac:dyDescent="0.2">
      <c r="A1829" s="140"/>
      <c r="B1829" s="152"/>
      <c r="C1829" s="51"/>
      <c r="D1829" s="51"/>
      <c r="E1829" s="72"/>
      <c r="F1829" s="140"/>
      <c r="G1829" s="140"/>
      <c r="H1829" s="140"/>
      <c r="I1829" s="140"/>
      <c r="J1829" s="140"/>
      <c r="K1829" s="140"/>
      <c r="L1829" s="140"/>
      <c r="M1829" s="140"/>
      <c r="N1829" s="140"/>
      <c r="O1829" s="140"/>
      <c r="P1829" s="140"/>
      <c r="Q1829" s="38"/>
    </row>
    <row r="1830" spans="1:17" ht="5" customHeight="1" x14ac:dyDescent="0.2">
      <c r="A1830" s="48"/>
      <c r="B1830" s="23"/>
      <c r="C1830" s="23"/>
      <c r="D1830" s="23"/>
      <c r="E1830" s="23"/>
      <c r="F1830" s="33"/>
      <c r="G1830" s="33"/>
      <c r="H1830" s="33"/>
      <c r="I1830" s="33"/>
      <c r="J1830" s="34"/>
      <c r="K1830" s="33"/>
      <c r="L1830" s="33"/>
      <c r="M1830" s="33"/>
      <c r="N1830" s="33"/>
      <c r="O1830" s="33"/>
      <c r="P1830" s="34"/>
      <c r="Q1830" s="2"/>
    </row>
    <row r="1831" spans="1:17" x14ac:dyDescent="0.2">
      <c r="A1831" s="279" t="s">
        <v>734</v>
      </c>
      <c r="B1831" s="280"/>
      <c r="C1831" s="280"/>
      <c r="D1831" s="280"/>
      <c r="E1831" s="280"/>
      <c r="F1831" s="280"/>
      <c r="G1831" s="280"/>
      <c r="H1831" s="280"/>
      <c r="I1831" s="280"/>
      <c r="J1831" s="26"/>
      <c r="K1831" s="27"/>
      <c r="L1831" s="70" t="s">
        <v>737</v>
      </c>
      <c r="M1831" s="186" t="s">
        <v>61</v>
      </c>
      <c r="N1831" s="242">
        <f>IF(N1773+N1805-N1825&gt;=0,N1773+N1805-N1825,0)</f>
        <v>0</v>
      </c>
      <c r="O1831" s="243"/>
      <c r="P1831" s="26"/>
      <c r="Q1831" s="2"/>
    </row>
    <row r="1832" spans="1:17" ht="5" customHeight="1" x14ac:dyDescent="0.2">
      <c r="A1832" s="47"/>
      <c r="B1832" s="21"/>
      <c r="C1832" s="21"/>
      <c r="D1832" s="21"/>
      <c r="E1832" s="21"/>
      <c r="F1832" s="10"/>
      <c r="G1832" s="10"/>
      <c r="H1832" s="10"/>
      <c r="I1832" s="10"/>
      <c r="J1832" s="28"/>
      <c r="K1832" s="10"/>
      <c r="L1832" s="10"/>
      <c r="M1832" s="10"/>
      <c r="N1832" s="10"/>
      <c r="O1832" s="10"/>
      <c r="P1832" s="28"/>
      <c r="Q1832" s="2"/>
    </row>
    <row r="1833" spans="1:17" ht="5" customHeight="1" x14ac:dyDescent="0.2">
      <c r="A1833" s="48"/>
      <c r="B1833" s="23"/>
      <c r="C1833" s="23"/>
      <c r="D1833" s="23"/>
      <c r="E1833" s="23"/>
      <c r="F1833" s="33"/>
      <c r="G1833" s="33"/>
      <c r="H1833" s="33"/>
      <c r="I1833" s="33"/>
      <c r="J1833" s="34"/>
      <c r="K1833" s="33"/>
      <c r="L1833" s="33"/>
      <c r="M1833" s="33"/>
      <c r="N1833" s="33"/>
      <c r="O1833" s="33"/>
      <c r="P1833" s="34"/>
      <c r="Q1833" s="2"/>
    </row>
    <row r="1834" spans="1:17" x14ac:dyDescent="0.2">
      <c r="A1834" s="279" t="s">
        <v>735</v>
      </c>
      <c r="B1834" s="280"/>
      <c r="C1834" s="280"/>
      <c r="D1834" s="280"/>
      <c r="E1834" s="280"/>
      <c r="F1834" s="280"/>
      <c r="G1834" s="280"/>
      <c r="H1834" s="280"/>
      <c r="I1834" s="280"/>
      <c r="J1834" s="26"/>
      <c r="K1834" s="27"/>
      <c r="L1834" s="70" t="s">
        <v>736</v>
      </c>
      <c r="M1834" s="186" t="s">
        <v>61</v>
      </c>
      <c r="N1834" s="242">
        <f>-IF(N1773+N1805-N1825&lt;0,N1773+N1805-N1825,0)</f>
        <v>0</v>
      </c>
      <c r="O1834" s="243"/>
      <c r="P1834" s="26"/>
      <c r="Q1834" s="2"/>
    </row>
    <row r="1835" spans="1:17" ht="5" customHeight="1" x14ac:dyDescent="0.2">
      <c r="A1835" s="47"/>
      <c r="B1835" s="21"/>
      <c r="C1835" s="21"/>
      <c r="D1835" s="21"/>
      <c r="E1835" s="21"/>
      <c r="F1835" s="10"/>
      <c r="G1835" s="10"/>
      <c r="H1835" s="10"/>
      <c r="I1835" s="10"/>
      <c r="J1835" s="28"/>
      <c r="K1835" s="10"/>
      <c r="L1835" s="10"/>
      <c r="M1835" s="10"/>
      <c r="N1835" s="10"/>
      <c r="O1835" s="10"/>
      <c r="P1835" s="28"/>
      <c r="Q1835" s="2"/>
    </row>
    <row r="1836" spans="1:17" x14ac:dyDescent="0.2">
      <c r="Q1836" s="2"/>
    </row>
    <row r="1838" spans="1:17" ht="16" x14ac:dyDescent="0.2">
      <c r="A1838" s="231" t="s">
        <v>740</v>
      </c>
      <c r="B1838" s="232"/>
      <c r="C1838" s="232"/>
      <c r="D1838" s="232"/>
      <c r="F1838" s="233" t="s">
        <v>12</v>
      </c>
      <c r="G1838" s="233"/>
      <c r="H1838" s="233"/>
      <c r="I1838" s="233"/>
      <c r="J1838" s="233"/>
      <c r="K1838" s="233"/>
      <c r="L1838" s="233"/>
      <c r="M1838" s="233"/>
      <c r="N1838" s="233"/>
      <c r="O1838" s="233"/>
      <c r="P1838" s="233"/>
      <c r="Q1838" s="233"/>
    </row>
    <row r="1839" spans="1:17" ht="5" customHeight="1" x14ac:dyDescent="0.2">
      <c r="A1839" s="1"/>
      <c r="B1839" s="1"/>
      <c r="C1839" s="1"/>
      <c r="D1839" s="1"/>
      <c r="E1839" s="1"/>
      <c r="F1839" s="1"/>
      <c r="G1839" s="1"/>
      <c r="H1839" s="1"/>
      <c r="I1839" s="1"/>
      <c r="J1839" s="1"/>
      <c r="K1839" s="1"/>
      <c r="L1839" s="1"/>
      <c r="M1839" s="1"/>
      <c r="N1839" s="1"/>
      <c r="O1839" s="1"/>
      <c r="P1839" s="1"/>
      <c r="Q1839" s="1"/>
    </row>
    <row r="1840" spans="1:17" x14ac:dyDescent="0.2">
      <c r="A1840" s="272"/>
      <c r="B1840" s="273"/>
      <c r="C1840" s="273"/>
      <c r="D1840" s="273"/>
      <c r="E1840" s="273"/>
      <c r="F1840" s="273"/>
      <c r="G1840" s="273"/>
      <c r="H1840" s="273"/>
      <c r="I1840" s="273"/>
      <c r="J1840" s="273"/>
      <c r="K1840" s="273"/>
      <c r="L1840" s="273"/>
      <c r="M1840" s="273"/>
      <c r="N1840" s="273"/>
      <c r="O1840" s="273"/>
      <c r="P1840" s="273"/>
      <c r="Q1840" s="274"/>
    </row>
    <row r="1841" spans="1:17" ht="15" customHeight="1" x14ac:dyDescent="0.25">
      <c r="A1841" s="252" t="s">
        <v>742</v>
      </c>
      <c r="B1841" s="253"/>
      <c r="C1841" s="253"/>
      <c r="D1841" s="253"/>
      <c r="E1841" s="253"/>
      <c r="F1841" s="253"/>
      <c r="G1841" s="253"/>
      <c r="H1841" s="253"/>
      <c r="I1841" s="253"/>
      <c r="J1841" s="253"/>
      <c r="K1841" s="253"/>
      <c r="L1841" s="253"/>
      <c r="M1841" s="253"/>
      <c r="N1841" s="253"/>
      <c r="O1841" s="253"/>
      <c r="P1841" s="253"/>
      <c r="Q1841" s="2"/>
    </row>
    <row r="1842" spans="1:17" ht="27.75" customHeight="1" x14ac:dyDescent="0.2">
      <c r="A1842" s="266" t="s">
        <v>741</v>
      </c>
      <c r="B1842" s="266"/>
      <c r="C1842" s="266"/>
      <c r="D1842" s="266"/>
      <c r="E1842" s="266"/>
      <c r="F1842" s="266"/>
      <c r="G1842" s="266"/>
      <c r="H1842" s="266"/>
      <c r="I1842" s="266"/>
      <c r="J1842" s="58" t="s">
        <v>31</v>
      </c>
      <c r="K1842" s="59"/>
      <c r="L1842" s="263" t="s">
        <v>29</v>
      </c>
      <c r="M1842" s="264"/>
      <c r="N1842" s="60" t="s">
        <v>32</v>
      </c>
      <c r="O1842" s="59" t="s">
        <v>30</v>
      </c>
      <c r="Q1842" s="38"/>
    </row>
    <row r="1843" spans="1:17" x14ac:dyDescent="0.2">
      <c r="Q1843" s="38"/>
    </row>
    <row r="1844" spans="1:17" ht="5" customHeight="1" x14ac:dyDescent="0.2">
      <c r="A1844" s="48"/>
      <c r="B1844" s="23"/>
      <c r="C1844" s="23"/>
      <c r="D1844" s="23"/>
      <c r="E1844" s="23"/>
      <c r="F1844" s="33"/>
      <c r="G1844" s="33"/>
      <c r="H1844" s="33"/>
      <c r="I1844" s="33"/>
      <c r="J1844" s="178"/>
      <c r="K1844" s="33"/>
      <c r="L1844" s="33"/>
      <c r="M1844" s="33"/>
      <c r="N1844" s="33"/>
      <c r="O1844" s="33"/>
      <c r="P1844" s="34"/>
      <c r="Q1844" s="2"/>
    </row>
    <row r="1845" spans="1:17" x14ac:dyDescent="0.2">
      <c r="A1845" s="224" t="s">
        <v>751</v>
      </c>
      <c r="B1845" s="225"/>
      <c r="C1845" s="225"/>
      <c r="D1845" s="225"/>
      <c r="E1845" s="225"/>
      <c r="F1845" s="225"/>
      <c r="G1845" s="225"/>
      <c r="H1845" s="225"/>
      <c r="I1845" s="225"/>
      <c r="J1845" s="226"/>
      <c r="K1845" s="27"/>
      <c r="L1845" s="70" t="s">
        <v>743</v>
      </c>
      <c r="M1845" s="67" t="s">
        <v>61</v>
      </c>
      <c r="N1845" s="213">
        <f>ROUND([1]OpenAccounts!$Q$5,D2)</f>
        <v>0</v>
      </c>
      <c r="O1845" s="214"/>
      <c r="P1845" s="26"/>
      <c r="Q1845" s="2"/>
    </row>
    <row r="1846" spans="1:17" ht="5" customHeight="1" x14ac:dyDescent="0.2">
      <c r="A1846" s="47"/>
      <c r="B1846" s="21"/>
      <c r="C1846" s="21"/>
      <c r="D1846" s="21"/>
      <c r="E1846" s="21"/>
      <c r="F1846" s="10"/>
      <c r="G1846" s="10"/>
      <c r="H1846" s="10"/>
      <c r="I1846" s="10"/>
      <c r="J1846" s="180"/>
      <c r="K1846" s="10"/>
      <c r="L1846" s="10"/>
      <c r="M1846" s="10"/>
      <c r="N1846" s="10"/>
      <c r="O1846" s="10"/>
      <c r="P1846" s="28"/>
      <c r="Q1846" s="2"/>
    </row>
    <row r="1847" spans="1:17" ht="5" customHeight="1" x14ac:dyDescent="0.2">
      <c r="A1847" s="49"/>
      <c r="B1847" s="24"/>
      <c r="C1847" s="24"/>
      <c r="D1847" s="24"/>
      <c r="E1847" s="24"/>
      <c r="F1847" s="29"/>
      <c r="G1847" s="29"/>
      <c r="H1847" s="29"/>
      <c r="I1847" s="29"/>
      <c r="J1847" s="183"/>
      <c r="K1847" s="29"/>
      <c r="L1847" s="29"/>
      <c r="M1847" s="29"/>
      <c r="N1847" s="29"/>
      <c r="O1847" s="29"/>
      <c r="P1847" s="30"/>
      <c r="Q1847" s="2"/>
    </row>
    <row r="1848" spans="1:17" x14ac:dyDescent="0.2">
      <c r="A1848" s="221" t="s">
        <v>734</v>
      </c>
      <c r="B1848" s="222"/>
      <c r="C1848" s="222"/>
      <c r="D1848" s="222"/>
      <c r="E1848" s="222"/>
      <c r="F1848" s="222"/>
      <c r="G1848" s="222"/>
      <c r="H1848" s="222"/>
      <c r="I1848" s="222"/>
      <c r="J1848" s="223"/>
      <c r="K1848" s="40"/>
      <c r="L1848" s="70" t="s">
        <v>744</v>
      </c>
      <c r="M1848" s="107" t="s">
        <v>61</v>
      </c>
      <c r="N1848" s="240">
        <f>N1831</f>
        <v>0</v>
      </c>
      <c r="O1848" s="241"/>
      <c r="P1848" s="41"/>
      <c r="Q1848" s="2"/>
    </row>
    <row r="1849" spans="1:17" ht="5" customHeight="1" x14ac:dyDescent="0.2">
      <c r="A1849" s="50"/>
      <c r="B1849" s="25"/>
      <c r="C1849" s="25"/>
      <c r="D1849" s="25"/>
      <c r="E1849" s="25"/>
      <c r="F1849" s="31"/>
      <c r="G1849" s="31"/>
      <c r="H1849" s="31"/>
      <c r="I1849" s="31"/>
      <c r="J1849" s="177"/>
      <c r="K1849" s="31"/>
      <c r="L1849" s="31"/>
      <c r="M1849" s="31"/>
      <c r="N1849" s="31"/>
      <c r="O1849" s="31"/>
      <c r="P1849" s="32"/>
      <c r="Q1849" s="2"/>
    </row>
    <row r="1850" spans="1:17" ht="5" customHeight="1" x14ac:dyDescent="0.2">
      <c r="A1850" s="48"/>
      <c r="B1850" s="23"/>
      <c r="C1850" s="23"/>
      <c r="D1850" s="23"/>
      <c r="E1850" s="23"/>
      <c r="F1850" s="33"/>
      <c r="G1850" s="33"/>
      <c r="H1850" s="33"/>
      <c r="I1850" s="33"/>
      <c r="J1850" s="178"/>
      <c r="K1850" s="33"/>
      <c r="L1850" s="33"/>
      <c r="M1850" s="33"/>
      <c r="N1850" s="33"/>
      <c r="O1850" s="33"/>
      <c r="P1850" s="34"/>
      <c r="Q1850" s="2"/>
    </row>
    <row r="1851" spans="1:17" x14ac:dyDescent="0.2">
      <c r="A1851" s="224" t="s">
        <v>752</v>
      </c>
      <c r="B1851" s="225"/>
      <c r="C1851" s="225"/>
      <c r="D1851" s="225"/>
      <c r="E1851" s="225"/>
      <c r="F1851" s="225"/>
      <c r="G1851" s="225"/>
      <c r="H1851" s="225"/>
      <c r="I1851" s="225"/>
      <c r="J1851" s="226"/>
      <c r="K1851" s="27"/>
      <c r="L1851" s="70" t="s">
        <v>745</v>
      </c>
      <c r="M1851" s="186" t="s">
        <v>61</v>
      </c>
      <c r="N1851" s="242">
        <f>MIN(N1845,N1848)</f>
        <v>0</v>
      </c>
      <c r="O1851" s="243"/>
      <c r="P1851" s="26"/>
      <c r="Q1851" s="2"/>
    </row>
    <row r="1852" spans="1:17" ht="5" customHeight="1" x14ac:dyDescent="0.2">
      <c r="A1852" s="47"/>
      <c r="B1852" s="21"/>
      <c r="C1852" s="21"/>
      <c r="D1852" s="21"/>
      <c r="E1852" s="21"/>
      <c r="F1852" s="10"/>
      <c r="G1852" s="10"/>
      <c r="H1852" s="10"/>
      <c r="I1852" s="10"/>
      <c r="J1852" s="180"/>
      <c r="K1852" s="10"/>
      <c r="L1852" s="10"/>
      <c r="M1852" s="10"/>
      <c r="N1852" s="10"/>
      <c r="O1852" s="10"/>
      <c r="P1852" s="28"/>
      <c r="Q1852" s="2"/>
    </row>
    <row r="1853" spans="1:17" ht="5" customHeight="1" x14ac:dyDescent="0.2">
      <c r="A1853" s="49"/>
      <c r="B1853" s="24"/>
      <c r="C1853" s="24"/>
      <c r="D1853" s="24"/>
      <c r="E1853" s="24"/>
      <c r="F1853" s="29"/>
      <c r="G1853" s="29"/>
      <c r="H1853" s="29"/>
      <c r="I1853" s="29"/>
      <c r="J1853" s="183"/>
      <c r="K1853" s="29"/>
      <c r="L1853" s="29"/>
      <c r="M1853" s="29"/>
      <c r="N1853" s="29"/>
      <c r="O1853" s="29"/>
      <c r="P1853" s="30"/>
      <c r="Q1853" s="2"/>
    </row>
    <row r="1854" spans="1:17" x14ac:dyDescent="0.2">
      <c r="A1854" s="221" t="s">
        <v>753</v>
      </c>
      <c r="B1854" s="222"/>
      <c r="C1854" s="222"/>
      <c r="D1854" s="222"/>
      <c r="E1854" s="222"/>
      <c r="F1854" s="222"/>
      <c r="G1854" s="222"/>
      <c r="H1854" s="222"/>
      <c r="I1854" s="222"/>
      <c r="J1854" s="223"/>
      <c r="K1854" s="40"/>
      <c r="L1854" s="70" t="s">
        <v>746</v>
      </c>
      <c r="M1854" s="107" t="s">
        <v>61</v>
      </c>
      <c r="N1854" s="240">
        <f>MAX(N1848-N1851,0)</f>
        <v>0</v>
      </c>
      <c r="O1854" s="241"/>
      <c r="P1854" s="41"/>
      <c r="Q1854" s="2"/>
    </row>
    <row r="1855" spans="1:17" ht="5" customHeight="1" x14ac:dyDescent="0.2">
      <c r="A1855" s="50"/>
      <c r="B1855" s="25"/>
      <c r="C1855" s="25"/>
      <c r="D1855" s="25"/>
      <c r="E1855" s="25"/>
      <c r="F1855" s="31"/>
      <c r="G1855" s="31"/>
      <c r="H1855" s="31"/>
      <c r="I1855" s="31"/>
      <c r="J1855" s="177"/>
      <c r="K1855" s="31"/>
      <c r="L1855" s="31"/>
      <c r="M1855" s="31"/>
      <c r="N1855" s="31"/>
      <c r="O1855" s="31"/>
      <c r="P1855" s="32"/>
      <c r="Q1855" s="2"/>
    </row>
    <row r="1856" spans="1:17" x14ac:dyDescent="0.2">
      <c r="Q1856" s="2"/>
    </row>
    <row r="1857" spans="1:17" ht="30" customHeight="1" x14ac:dyDescent="0.25">
      <c r="A1857" s="252" t="s">
        <v>754</v>
      </c>
      <c r="B1857" s="253"/>
      <c r="C1857" s="253"/>
      <c r="D1857" s="253"/>
      <c r="E1857" s="253"/>
      <c r="F1857" s="253"/>
      <c r="G1857" s="253"/>
      <c r="H1857" s="253"/>
      <c r="I1857" s="253"/>
      <c r="J1857" s="253"/>
      <c r="K1857" s="253"/>
      <c r="L1857" s="253"/>
      <c r="M1857" s="253"/>
      <c r="N1857" s="253"/>
      <c r="O1857" s="253"/>
      <c r="P1857" s="253"/>
      <c r="Q1857" s="2"/>
    </row>
    <row r="1858" spans="1:17" ht="27.75" customHeight="1" x14ac:dyDescent="0.2">
      <c r="A1858" s="266" t="s">
        <v>750</v>
      </c>
      <c r="B1858" s="266"/>
      <c r="C1858" s="266"/>
      <c r="D1858" s="266"/>
      <c r="E1858" s="266"/>
      <c r="F1858" s="266"/>
      <c r="G1858" s="266"/>
      <c r="H1858" s="266"/>
      <c r="I1858" s="266"/>
      <c r="J1858" s="58" t="s">
        <v>31</v>
      </c>
      <c r="K1858" s="59"/>
      <c r="L1858" s="263" t="s">
        <v>29</v>
      </c>
      <c r="M1858" s="264"/>
      <c r="N1858" s="60" t="s">
        <v>32</v>
      </c>
      <c r="O1858" s="59" t="s">
        <v>30</v>
      </c>
      <c r="Q1858" s="38"/>
    </row>
    <row r="1859" spans="1:17" x14ac:dyDescent="0.2">
      <c r="Q1859" s="2"/>
    </row>
    <row r="1860" spans="1:17" ht="5" customHeight="1" x14ac:dyDescent="0.2">
      <c r="A1860" s="48"/>
      <c r="B1860" s="23"/>
      <c r="C1860" s="23"/>
      <c r="D1860" s="23"/>
      <c r="E1860" s="23"/>
      <c r="F1860" s="33"/>
      <c r="G1860" s="33"/>
      <c r="H1860" s="33"/>
      <c r="I1860" s="33"/>
      <c r="J1860" s="178"/>
      <c r="K1860" s="33"/>
      <c r="L1860" s="33"/>
      <c r="M1860" s="33"/>
      <c r="N1860" s="33"/>
      <c r="O1860" s="33"/>
      <c r="P1860" s="34"/>
      <c r="Q1860" s="2"/>
    </row>
    <row r="1861" spans="1:17" x14ac:dyDescent="0.2">
      <c r="A1861" s="224" t="s">
        <v>762</v>
      </c>
      <c r="B1861" s="225"/>
      <c r="C1861" s="225"/>
      <c r="D1861" s="225"/>
      <c r="E1861" s="225"/>
      <c r="F1861" s="225"/>
      <c r="G1861" s="225"/>
      <c r="H1861" s="225"/>
      <c r="I1861" s="225"/>
      <c r="J1861" s="226"/>
      <c r="K1861" s="27"/>
      <c r="L1861" s="70" t="s">
        <v>764</v>
      </c>
      <c r="M1861" s="67"/>
      <c r="N1861" s="275"/>
      <c r="O1861" s="276"/>
      <c r="P1861" s="26"/>
      <c r="Q1861" s="2"/>
    </row>
    <row r="1862" spans="1:17" ht="5" customHeight="1" x14ac:dyDescent="0.2">
      <c r="A1862" s="47"/>
      <c r="B1862" s="21"/>
      <c r="C1862" s="21"/>
      <c r="D1862" s="21"/>
      <c r="E1862" s="21"/>
      <c r="F1862" s="10"/>
      <c r="G1862" s="10"/>
      <c r="H1862" s="10"/>
      <c r="I1862" s="10"/>
      <c r="J1862" s="180"/>
      <c r="K1862" s="10"/>
      <c r="L1862" s="10"/>
      <c r="M1862" s="10"/>
      <c r="N1862" s="10"/>
      <c r="O1862" s="10"/>
      <c r="P1862" s="28"/>
      <c r="Q1862" s="2"/>
    </row>
    <row r="1863" spans="1:17" ht="5" customHeight="1" x14ac:dyDescent="0.2">
      <c r="A1863" s="49"/>
      <c r="B1863" s="24"/>
      <c r="C1863" s="24"/>
      <c r="D1863" s="24"/>
      <c r="E1863" s="24"/>
      <c r="F1863" s="29"/>
      <c r="G1863" s="29"/>
      <c r="H1863" s="29"/>
      <c r="I1863" s="29"/>
      <c r="J1863" s="183"/>
      <c r="K1863" s="29"/>
      <c r="L1863" s="29"/>
      <c r="M1863" s="29"/>
      <c r="N1863" s="29"/>
      <c r="O1863" s="29"/>
      <c r="P1863" s="30"/>
      <c r="Q1863" s="2"/>
    </row>
    <row r="1864" spans="1:17" x14ac:dyDescent="0.2">
      <c r="A1864" s="221" t="s">
        <v>763</v>
      </c>
      <c r="B1864" s="222"/>
      <c r="C1864" s="222"/>
      <c r="D1864" s="222"/>
      <c r="E1864" s="222"/>
      <c r="F1864" s="222"/>
      <c r="G1864" s="222"/>
      <c r="H1864" s="222"/>
      <c r="I1864" s="222"/>
      <c r="J1864" s="223"/>
      <c r="K1864" s="40"/>
      <c r="L1864" s="70" t="s">
        <v>765</v>
      </c>
      <c r="M1864" s="67" t="s">
        <v>61</v>
      </c>
      <c r="N1864" s="213"/>
      <c r="O1864" s="214"/>
      <c r="P1864" s="41"/>
      <c r="Q1864" s="2"/>
    </row>
    <row r="1865" spans="1:17" ht="5" customHeight="1" x14ac:dyDescent="0.2">
      <c r="A1865" s="50"/>
      <c r="B1865" s="25"/>
      <c r="C1865" s="25"/>
      <c r="D1865" s="25"/>
      <c r="E1865" s="25"/>
      <c r="F1865" s="31"/>
      <c r="G1865" s="31"/>
      <c r="H1865" s="31"/>
      <c r="I1865" s="31"/>
      <c r="J1865" s="177"/>
      <c r="K1865" s="31"/>
      <c r="L1865" s="31"/>
      <c r="M1865" s="31"/>
      <c r="N1865" s="31"/>
      <c r="O1865" s="31"/>
      <c r="P1865" s="32"/>
      <c r="Q1865" s="2"/>
    </row>
    <row r="1866" spans="1:17" ht="5" customHeight="1" x14ac:dyDescent="0.2">
      <c r="A1866" s="48"/>
      <c r="B1866" s="23"/>
      <c r="C1866" s="23"/>
      <c r="D1866" s="23"/>
      <c r="E1866" s="23"/>
      <c r="F1866" s="33"/>
      <c r="G1866" s="33"/>
      <c r="H1866" s="33"/>
      <c r="I1866" s="33"/>
      <c r="J1866" s="198"/>
      <c r="K1866" s="33"/>
      <c r="L1866" s="33"/>
      <c r="M1866" s="33"/>
      <c r="N1866" s="33"/>
      <c r="O1866" s="33"/>
      <c r="P1866" s="34"/>
      <c r="Q1866" s="2"/>
    </row>
    <row r="1867" spans="1:17" x14ac:dyDescent="0.2">
      <c r="A1867" s="277" t="s">
        <v>748</v>
      </c>
      <c r="B1867" s="278"/>
      <c r="C1867" s="278"/>
      <c r="D1867" s="278"/>
      <c r="E1867" s="278"/>
      <c r="F1867" s="278"/>
      <c r="G1867" s="278"/>
      <c r="H1867" s="278"/>
      <c r="I1867" s="278"/>
      <c r="J1867" s="278"/>
      <c r="K1867" s="27"/>
      <c r="L1867" s="166"/>
      <c r="M1867" s="197"/>
      <c r="N1867" s="242"/>
      <c r="O1867" s="243"/>
      <c r="P1867" s="26"/>
      <c r="Q1867" s="2"/>
    </row>
    <row r="1868" spans="1:17" ht="5" customHeight="1" x14ac:dyDescent="0.2">
      <c r="A1868" s="47"/>
      <c r="B1868" s="21"/>
      <c r="C1868" s="21"/>
      <c r="D1868" s="21"/>
      <c r="E1868" s="21"/>
      <c r="F1868" s="10"/>
      <c r="G1868" s="10"/>
      <c r="H1868" s="10"/>
      <c r="I1868" s="10"/>
      <c r="J1868" s="199"/>
      <c r="K1868" s="10"/>
      <c r="L1868" s="10"/>
      <c r="M1868" s="10"/>
      <c r="N1868" s="10"/>
      <c r="O1868" s="10"/>
      <c r="P1868" s="28"/>
      <c r="Q1868" s="2"/>
    </row>
    <row r="1869" spans="1:17" ht="5" customHeight="1" x14ac:dyDescent="0.2">
      <c r="A1869" s="48"/>
      <c r="B1869" s="23"/>
      <c r="C1869" s="23"/>
      <c r="D1869" s="23"/>
      <c r="E1869" s="23"/>
      <c r="F1869" s="33"/>
      <c r="G1869" s="33"/>
      <c r="H1869" s="33"/>
      <c r="I1869" s="33"/>
      <c r="J1869" s="178"/>
      <c r="K1869" s="33"/>
      <c r="L1869" s="33"/>
      <c r="M1869" s="33"/>
      <c r="N1869" s="33"/>
      <c r="O1869" s="33"/>
      <c r="P1869" s="34"/>
      <c r="Q1869" s="2"/>
    </row>
    <row r="1870" spans="1:17" x14ac:dyDescent="0.2">
      <c r="A1870" s="224" t="s">
        <v>749</v>
      </c>
      <c r="B1870" s="225"/>
      <c r="C1870" s="225"/>
      <c r="D1870" s="225"/>
      <c r="E1870" s="225"/>
      <c r="F1870" s="225"/>
      <c r="G1870" s="225"/>
      <c r="H1870" s="225"/>
      <c r="I1870" s="225"/>
      <c r="J1870" s="226"/>
      <c r="K1870" s="27"/>
      <c r="L1870" s="70" t="s">
        <v>747</v>
      </c>
      <c r="M1870" s="186" t="s">
        <v>61</v>
      </c>
      <c r="N1870" s="242">
        <f>N1845-N1851</f>
        <v>0</v>
      </c>
      <c r="O1870" s="243"/>
      <c r="P1870" s="26"/>
      <c r="Q1870" s="2"/>
    </row>
    <row r="1871" spans="1:17" ht="5" customHeight="1" x14ac:dyDescent="0.2">
      <c r="A1871" s="47"/>
      <c r="B1871" s="21"/>
      <c r="C1871" s="21"/>
      <c r="D1871" s="21"/>
      <c r="E1871" s="21"/>
      <c r="F1871" s="10"/>
      <c r="G1871" s="10"/>
      <c r="H1871" s="10"/>
      <c r="I1871" s="10"/>
      <c r="J1871" s="180"/>
      <c r="K1871" s="10"/>
      <c r="L1871" s="10"/>
      <c r="M1871" s="10"/>
      <c r="N1871" s="10"/>
      <c r="O1871" s="10"/>
      <c r="P1871" s="28"/>
      <c r="Q1871" s="2"/>
    </row>
    <row r="1872" spans="1:17" x14ac:dyDescent="0.2">
      <c r="Q1872" s="2"/>
    </row>
    <row r="1874" spans="1:17" ht="16" x14ac:dyDescent="0.2">
      <c r="A1874" s="231" t="s">
        <v>755</v>
      </c>
      <c r="B1874" s="232"/>
      <c r="C1874" s="232"/>
      <c r="D1874" s="232"/>
      <c r="F1874" s="233" t="s">
        <v>12</v>
      </c>
      <c r="G1874" s="233"/>
      <c r="H1874" s="233"/>
      <c r="I1874" s="233"/>
      <c r="J1874" s="233"/>
      <c r="K1874" s="233"/>
      <c r="L1874" s="233"/>
      <c r="M1874" s="233"/>
      <c r="N1874" s="233"/>
      <c r="O1874" s="233"/>
      <c r="P1874" s="233"/>
      <c r="Q1874" s="233"/>
    </row>
    <row r="1875" spans="1:17" ht="5" customHeight="1" x14ac:dyDescent="0.2">
      <c r="A1875" s="1"/>
      <c r="B1875" s="1"/>
      <c r="C1875" s="1"/>
      <c r="D1875" s="1"/>
      <c r="E1875" s="1"/>
      <c r="F1875" s="1"/>
      <c r="G1875" s="1"/>
      <c r="H1875" s="1"/>
      <c r="I1875" s="1"/>
      <c r="J1875" s="1"/>
      <c r="K1875" s="1"/>
      <c r="L1875" s="1"/>
      <c r="M1875" s="1"/>
      <c r="N1875" s="1"/>
      <c r="O1875" s="1"/>
      <c r="P1875" s="1"/>
      <c r="Q1875" s="1"/>
    </row>
    <row r="1876" spans="1:17" x14ac:dyDescent="0.2">
      <c r="A1876" s="272"/>
      <c r="B1876" s="273"/>
      <c r="C1876" s="273"/>
      <c r="D1876" s="273"/>
      <c r="E1876" s="273"/>
      <c r="F1876" s="273"/>
      <c r="G1876" s="273"/>
      <c r="H1876" s="273"/>
      <c r="I1876" s="273"/>
      <c r="J1876" s="273"/>
      <c r="K1876" s="273"/>
      <c r="L1876" s="273"/>
      <c r="M1876" s="273"/>
      <c r="N1876" s="273"/>
      <c r="O1876" s="273"/>
      <c r="P1876" s="273"/>
      <c r="Q1876" s="274"/>
    </row>
    <row r="1877" spans="1:17" x14ac:dyDescent="0.2">
      <c r="Q1877" s="38"/>
    </row>
    <row r="1878" spans="1:17" ht="5" customHeight="1" x14ac:dyDescent="0.2">
      <c r="A1878" s="48"/>
      <c r="B1878" s="23"/>
      <c r="C1878" s="23"/>
      <c r="D1878" s="23"/>
      <c r="E1878" s="23"/>
      <c r="F1878" s="33"/>
      <c r="G1878" s="33"/>
      <c r="H1878" s="33"/>
      <c r="I1878" s="33"/>
      <c r="J1878" s="178"/>
      <c r="K1878" s="33"/>
      <c r="L1878" s="33"/>
      <c r="M1878" s="33"/>
      <c r="N1878" s="33"/>
      <c r="O1878" s="33"/>
      <c r="P1878" s="34"/>
      <c r="Q1878" s="2"/>
    </row>
    <row r="1879" spans="1:17" x14ac:dyDescent="0.2">
      <c r="A1879" s="224" t="s">
        <v>759</v>
      </c>
      <c r="B1879" s="225"/>
      <c r="C1879" s="225"/>
      <c r="D1879" s="225"/>
      <c r="E1879" s="225"/>
      <c r="F1879" s="225"/>
      <c r="G1879" s="225"/>
      <c r="H1879" s="225"/>
      <c r="I1879" s="225"/>
      <c r="J1879" s="226"/>
      <c r="K1879" s="27"/>
      <c r="L1879" s="70" t="s">
        <v>756</v>
      </c>
      <c r="M1879" s="186" t="s">
        <v>61</v>
      </c>
      <c r="N1879" s="242">
        <f>N1831</f>
        <v>0</v>
      </c>
      <c r="O1879" s="243"/>
      <c r="P1879" s="26"/>
      <c r="Q1879" s="2"/>
    </row>
    <row r="1880" spans="1:17" ht="5" customHeight="1" x14ac:dyDescent="0.2">
      <c r="A1880" s="47"/>
      <c r="B1880" s="21"/>
      <c r="C1880" s="21"/>
      <c r="D1880" s="21"/>
      <c r="E1880" s="21"/>
      <c r="F1880" s="10"/>
      <c r="G1880" s="10"/>
      <c r="H1880" s="10"/>
      <c r="I1880" s="10"/>
      <c r="J1880" s="180"/>
      <c r="K1880" s="10"/>
      <c r="L1880" s="10"/>
      <c r="M1880" s="10"/>
      <c r="N1880" s="10"/>
      <c r="O1880" s="10"/>
      <c r="P1880" s="28"/>
      <c r="Q1880" s="2"/>
    </row>
    <row r="1881" spans="1:17" ht="5" customHeight="1" x14ac:dyDescent="0.2">
      <c r="A1881" s="49"/>
      <c r="B1881" s="24"/>
      <c r="C1881" s="24"/>
      <c r="D1881" s="24"/>
      <c r="E1881" s="24"/>
      <c r="F1881" s="29"/>
      <c r="G1881" s="29"/>
      <c r="H1881" s="29"/>
      <c r="I1881" s="29"/>
      <c r="J1881" s="183"/>
      <c r="K1881" s="29"/>
      <c r="L1881" s="29"/>
      <c r="M1881" s="29"/>
      <c r="N1881" s="29"/>
      <c r="O1881" s="29"/>
      <c r="P1881" s="30"/>
      <c r="Q1881" s="2"/>
    </row>
    <row r="1882" spans="1:17" x14ac:dyDescent="0.2">
      <c r="A1882" s="221" t="s">
        <v>752</v>
      </c>
      <c r="B1882" s="222"/>
      <c r="C1882" s="222"/>
      <c r="D1882" s="222"/>
      <c r="E1882" s="222"/>
      <c r="F1882" s="222"/>
      <c r="G1882" s="222"/>
      <c r="H1882" s="222"/>
      <c r="I1882" s="222"/>
      <c r="J1882" s="223"/>
      <c r="K1882" s="40"/>
      <c r="L1882" s="70" t="s">
        <v>912</v>
      </c>
      <c r="M1882" s="130" t="s">
        <v>61</v>
      </c>
      <c r="N1882" s="240">
        <f>N1851</f>
        <v>0</v>
      </c>
      <c r="O1882" s="241"/>
      <c r="P1882" s="41"/>
      <c r="Q1882" s="2"/>
    </row>
    <row r="1883" spans="1:17" ht="5" customHeight="1" x14ac:dyDescent="0.2">
      <c r="A1883" s="50"/>
      <c r="B1883" s="25"/>
      <c r="C1883" s="25"/>
      <c r="D1883" s="25"/>
      <c r="E1883" s="25"/>
      <c r="F1883" s="31"/>
      <c r="G1883" s="31"/>
      <c r="H1883" s="31"/>
      <c r="I1883" s="31"/>
      <c r="J1883" s="177"/>
      <c r="K1883" s="31"/>
      <c r="L1883" s="31"/>
      <c r="M1883" s="31"/>
      <c r="N1883" s="31"/>
      <c r="O1883" s="31"/>
      <c r="P1883" s="32"/>
      <c r="Q1883" s="2"/>
    </row>
    <row r="1884" spans="1:17" ht="5" customHeight="1" x14ac:dyDescent="0.2">
      <c r="A1884" s="48"/>
      <c r="B1884" s="23"/>
      <c r="C1884" s="23"/>
      <c r="D1884" s="23"/>
      <c r="E1884" s="23"/>
      <c r="F1884" s="33"/>
      <c r="G1884" s="33"/>
      <c r="H1884" s="33"/>
      <c r="I1884" s="33"/>
      <c r="J1884" s="178"/>
      <c r="K1884" s="33"/>
      <c r="L1884" s="33"/>
      <c r="M1884" s="33"/>
      <c r="N1884" s="33"/>
      <c r="O1884" s="33"/>
      <c r="P1884" s="34"/>
      <c r="Q1884" s="2"/>
    </row>
    <row r="1885" spans="1:17" x14ac:dyDescent="0.2">
      <c r="A1885" s="224" t="s">
        <v>753</v>
      </c>
      <c r="B1885" s="225"/>
      <c r="C1885" s="225"/>
      <c r="D1885" s="225"/>
      <c r="E1885" s="225"/>
      <c r="F1885" s="225"/>
      <c r="G1885" s="225"/>
      <c r="H1885" s="225"/>
      <c r="I1885" s="225"/>
      <c r="J1885" s="226"/>
      <c r="K1885" s="27"/>
      <c r="L1885" s="70" t="s">
        <v>913</v>
      </c>
      <c r="M1885" s="186" t="s">
        <v>61</v>
      </c>
      <c r="N1885" s="242">
        <f>N1879-N1882</f>
        <v>0</v>
      </c>
      <c r="O1885" s="243"/>
      <c r="P1885" s="26"/>
      <c r="Q1885" s="2"/>
    </row>
    <row r="1886" spans="1:17" ht="5" customHeight="1" x14ac:dyDescent="0.2">
      <c r="A1886" s="47"/>
      <c r="B1886" s="21"/>
      <c r="C1886" s="21"/>
      <c r="D1886" s="21"/>
      <c r="E1886" s="21"/>
      <c r="F1886" s="10"/>
      <c r="G1886" s="10"/>
      <c r="H1886" s="10"/>
      <c r="I1886" s="10"/>
      <c r="J1886" s="180"/>
      <c r="K1886" s="10"/>
      <c r="L1886" s="10"/>
      <c r="M1886" s="10"/>
      <c r="N1886" s="10"/>
      <c r="O1886" s="10"/>
      <c r="P1886" s="28"/>
      <c r="Q1886" s="2"/>
    </row>
    <row r="1887" spans="1:17" ht="5" customHeight="1" x14ac:dyDescent="0.2">
      <c r="A1887" s="49"/>
      <c r="B1887" s="24"/>
      <c r="C1887" s="24"/>
      <c r="D1887" s="24"/>
      <c r="E1887" s="24"/>
      <c r="F1887" s="29"/>
      <c r="G1887" s="29"/>
      <c r="H1887" s="29"/>
      <c r="I1887" s="29"/>
      <c r="J1887" s="183"/>
      <c r="K1887" s="29"/>
      <c r="L1887" s="29"/>
      <c r="M1887" s="29"/>
      <c r="N1887" s="29"/>
      <c r="O1887" s="29"/>
      <c r="P1887" s="30"/>
      <c r="Q1887" s="2"/>
    </row>
    <row r="1888" spans="1:17" x14ac:dyDescent="0.2">
      <c r="A1888" s="221" t="s">
        <v>612</v>
      </c>
      <c r="B1888" s="222"/>
      <c r="C1888" s="222"/>
      <c r="D1888" s="222"/>
      <c r="E1888" s="222"/>
      <c r="F1888" s="222"/>
      <c r="G1888" s="222"/>
      <c r="H1888" s="222"/>
      <c r="I1888" s="222"/>
      <c r="J1888" s="223"/>
      <c r="K1888" s="40"/>
      <c r="L1888" s="70" t="s">
        <v>757</v>
      </c>
      <c r="M1888" s="107" t="s">
        <v>61</v>
      </c>
      <c r="N1888" s="240">
        <f>N1819</f>
        <v>0</v>
      </c>
      <c r="O1888" s="241"/>
      <c r="P1888" s="41"/>
      <c r="Q1888" s="2"/>
    </row>
    <row r="1889" spans="1:17" ht="5" customHeight="1" x14ac:dyDescent="0.2">
      <c r="A1889" s="50"/>
      <c r="B1889" s="25"/>
      <c r="C1889" s="25"/>
      <c r="D1889" s="25"/>
      <c r="E1889" s="25"/>
      <c r="F1889" s="31"/>
      <c r="G1889" s="31"/>
      <c r="H1889" s="31"/>
      <c r="I1889" s="31"/>
      <c r="J1889" s="177"/>
      <c r="K1889" s="31"/>
      <c r="L1889" s="31"/>
      <c r="M1889" s="31"/>
      <c r="N1889" s="31"/>
      <c r="O1889" s="31"/>
      <c r="P1889" s="32"/>
      <c r="Q1889" s="2"/>
    </row>
    <row r="1890" spans="1:17" ht="5" customHeight="1" x14ac:dyDescent="0.2">
      <c r="A1890" s="48"/>
      <c r="B1890" s="23"/>
      <c r="C1890" s="23"/>
      <c r="D1890" s="23"/>
      <c r="E1890" s="23"/>
      <c r="F1890" s="33"/>
      <c r="G1890" s="33"/>
      <c r="H1890" s="33"/>
      <c r="I1890" s="33"/>
      <c r="J1890" s="178"/>
      <c r="K1890" s="33"/>
      <c r="L1890" s="33"/>
      <c r="M1890" s="33"/>
      <c r="N1890" s="33"/>
      <c r="O1890" s="33"/>
      <c r="P1890" s="34"/>
      <c r="Q1890" s="2"/>
    </row>
    <row r="1891" spans="1:17" x14ac:dyDescent="0.2">
      <c r="A1891" s="244" t="s">
        <v>760</v>
      </c>
      <c r="B1891" s="245"/>
      <c r="C1891" s="245"/>
      <c r="D1891" s="245"/>
      <c r="E1891" s="245"/>
      <c r="F1891" s="245"/>
      <c r="G1891" s="245"/>
      <c r="H1891" s="245"/>
      <c r="I1891" s="245"/>
      <c r="J1891" s="246"/>
      <c r="K1891" s="27"/>
      <c r="L1891" s="70" t="s">
        <v>758</v>
      </c>
      <c r="M1891" s="186" t="s">
        <v>61</v>
      </c>
      <c r="N1891" s="242">
        <f>SUM(N1885,N1888)</f>
        <v>0</v>
      </c>
      <c r="O1891" s="243"/>
      <c r="P1891" s="26"/>
      <c r="Q1891" s="2"/>
    </row>
    <row r="1892" spans="1:17" ht="5" customHeight="1" x14ac:dyDescent="0.2">
      <c r="A1892" s="47"/>
      <c r="B1892" s="21"/>
      <c r="C1892" s="21"/>
      <c r="D1892" s="21"/>
      <c r="E1892" s="21"/>
      <c r="F1892" s="10"/>
      <c r="G1892" s="10"/>
      <c r="H1892" s="10"/>
      <c r="I1892" s="10"/>
      <c r="J1892" s="180"/>
      <c r="K1892" s="10"/>
      <c r="L1892" s="10"/>
      <c r="M1892" s="10"/>
      <c r="N1892" s="10"/>
      <c r="O1892" s="10"/>
      <c r="P1892" s="28"/>
      <c r="Q1892" s="2"/>
    </row>
    <row r="1893" spans="1:17" ht="5" customHeight="1" x14ac:dyDescent="0.2">
      <c r="A1893" s="49"/>
      <c r="B1893" s="24"/>
      <c r="C1893" s="24"/>
      <c r="D1893" s="24"/>
      <c r="E1893" s="24"/>
      <c r="F1893" s="29"/>
      <c r="G1893" s="29"/>
      <c r="H1893" s="29"/>
      <c r="I1893" s="29"/>
      <c r="J1893" s="183"/>
      <c r="K1893" s="29"/>
      <c r="L1893" s="29"/>
      <c r="M1893" s="29"/>
      <c r="N1893" s="29"/>
      <c r="O1893" s="29"/>
      <c r="P1893" s="30"/>
      <c r="Q1893" s="2"/>
    </row>
    <row r="1894" spans="1:17" x14ac:dyDescent="0.2">
      <c r="A1894" s="221" t="s">
        <v>910</v>
      </c>
      <c r="B1894" s="222"/>
      <c r="C1894" s="222"/>
      <c r="D1894" s="222"/>
      <c r="E1894" s="222"/>
      <c r="F1894" s="222"/>
      <c r="G1894" s="222"/>
      <c r="H1894" s="222"/>
      <c r="I1894" s="222"/>
      <c r="J1894" s="223"/>
      <c r="K1894" s="40"/>
      <c r="L1894" s="70" t="s">
        <v>911</v>
      </c>
      <c r="M1894" s="107" t="s">
        <v>61</v>
      </c>
      <c r="N1894" s="240">
        <f>SUM(N1834,N1864)</f>
        <v>0</v>
      </c>
      <c r="O1894" s="241"/>
      <c r="P1894" s="41"/>
      <c r="Q1894" s="2"/>
    </row>
    <row r="1895" spans="1:17" ht="5" customHeight="1" x14ac:dyDescent="0.2">
      <c r="A1895" s="50"/>
      <c r="B1895" s="25"/>
      <c r="C1895" s="25"/>
      <c r="D1895" s="25"/>
      <c r="E1895" s="25"/>
      <c r="F1895" s="31"/>
      <c r="G1895" s="31"/>
      <c r="H1895" s="31"/>
      <c r="I1895" s="31"/>
      <c r="J1895" s="177"/>
      <c r="K1895" s="31"/>
      <c r="L1895" s="31"/>
      <c r="M1895" s="31"/>
      <c r="N1895" s="31"/>
      <c r="O1895" s="31"/>
      <c r="P1895" s="32"/>
      <c r="Q1895" s="2"/>
    </row>
    <row r="1896" spans="1:17" x14ac:dyDescent="0.2">
      <c r="Q1896" s="2"/>
    </row>
    <row r="1897" spans="1:17" x14ac:dyDescent="0.2">
      <c r="Q1897" s="2"/>
    </row>
    <row r="1898" spans="1:17" ht="5" customHeight="1" x14ac:dyDescent="0.2">
      <c r="A1898" s="48"/>
      <c r="B1898" s="23"/>
      <c r="C1898" s="23"/>
      <c r="D1898" s="23"/>
      <c r="E1898" s="23"/>
      <c r="F1898" s="33"/>
      <c r="G1898" s="33"/>
      <c r="H1898" s="33"/>
      <c r="I1898" s="33"/>
      <c r="J1898" s="178"/>
      <c r="K1898" s="33"/>
      <c r="L1898" s="33"/>
      <c r="M1898" s="33"/>
      <c r="N1898" s="33"/>
      <c r="O1898" s="33"/>
      <c r="P1898" s="34"/>
      <c r="Q1898" s="2"/>
    </row>
    <row r="1899" spans="1:17" x14ac:dyDescent="0.2">
      <c r="A1899" s="244" t="s">
        <v>760</v>
      </c>
      <c r="B1899" s="245"/>
      <c r="C1899" s="245"/>
      <c r="D1899" s="245"/>
      <c r="E1899" s="245"/>
      <c r="F1899" s="245"/>
      <c r="G1899" s="245"/>
      <c r="H1899" s="245"/>
      <c r="I1899" s="245"/>
      <c r="J1899" s="246"/>
      <c r="K1899" s="27"/>
      <c r="L1899" s="70" t="s">
        <v>761</v>
      </c>
      <c r="M1899" s="186" t="s">
        <v>61</v>
      </c>
      <c r="N1899" s="242">
        <f>MAX(N1891-N1894,0)</f>
        <v>0</v>
      </c>
      <c r="O1899" s="243"/>
      <c r="P1899" s="26"/>
      <c r="Q1899" s="2"/>
    </row>
    <row r="1900" spans="1:17" ht="5" customHeight="1" x14ac:dyDescent="0.2">
      <c r="A1900" s="47"/>
      <c r="B1900" s="21"/>
      <c r="C1900" s="21"/>
      <c r="D1900" s="21"/>
      <c r="E1900" s="21"/>
      <c r="F1900" s="10"/>
      <c r="G1900" s="10"/>
      <c r="H1900" s="10"/>
      <c r="I1900" s="10"/>
      <c r="J1900" s="180"/>
      <c r="K1900" s="10"/>
      <c r="L1900" s="10"/>
      <c r="M1900" s="10"/>
      <c r="N1900" s="10"/>
      <c r="O1900" s="10"/>
      <c r="P1900" s="28"/>
      <c r="Q1900" s="2"/>
    </row>
    <row r="1901" spans="1:17" x14ac:dyDescent="0.2">
      <c r="Q1901" s="2"/>
    </row>
    <row r="1903" spans="1:17" ht="16" x14ac:dyDescent="0.2">
      <c r="A1903" s="231" t="s">
        <v>766</v>
      </c>
      <c r="B1903" s="232"/>
      <c r="C1903" s="232"/>
      <c r="D1903" s="232"/>
      <c r="F1903" s="233"/>
      <c r="G1903" s="233"/>
      <c r="H1903" s="233"/>
      <c r="I1903" s="233"/>
      <c r="J1903" s="233"/>
      <c r="K1903" s="233"/>
      <c r="L1903" s="233"/>
      <c r="M1903" s="233"/>
      <c r="N1903" s="233"/>
      <c r="O1903" s="233"/>
      <c r="P1903" s="233"/>
      <c r="Q1903" s="233"/>
    </row>
    <row r="1904" spans="1:17" ht="5" customHeight="1" x14ac:dyDescent="0.2">
      <c r="A1904" s="1"/>
      <c r="B1904" s="1"/>
      <c r="C1904" s="1"/>
      <c r="D1904" s="1"/>
      <c r="E1904" s="1"/>
      <c r="F1904" s="1"/>
      <c r="G1904" s="1"/>
      <c r="H1904" s="1"/>
      <c r="I1904" s="1"/>
      <c r="J1904" s="1"/>
      <c r="K1904" s="1"/>
      <c r="L1904" s="1"/>
      <c r="M1904" s="1"/>
      <c r="N1904" s="1"/>
      <c r="O1904" s="1"/>
      <c r="P1904" s="1"/>
      <c r="Q1904" s="1"/>
    </row>
    <row r="1905" spans="1:17" x14ac:dyDescent="0.2">
      <c r="Q1905" s="38"/>
    </row>
    <row r="1906" spans="1:17" ht="26.25" customHeight="1" x14ac:dyDescent="0.2">
      <c r="A1906" s="211" t="s">
        <v>767</v>
      </c>
      <c r="B1906" s="212"/>
      <c r="C1906" s="212"/>
      <c r="D1906" s="212"/>
      <c r="E1906" s="212"/>
      <c r="F1906" s="212"/>
      <c r="G1906" s="212"/>
      <c r="H1906" s="212"/>
      <c r="I1906" s="212"/>
      <c r="J1906" s="212"/>
      <c r="K1906" s="212"/>
      <c r="L1906" s="212"/>
      <c r="M1906" s="212"/>
      <c r="N1906" s="212"/>
      <c r="O1906" s="212"/>
      <c r="P1906" s="37"/>
      <c r="Q1906" s="38"/>
    </row>
    <row r="1907" spans="1:17" x14ac:dyDescent="0.2">
      <c r="Q1907" s="38"/>
    </row>
    <row r="1908" spans="1:17" ht="15" customHeight="1" x14ac:dyDescent="0.2">
      <c r="A1908" s="211" t="s">
        <v>768</v>
      </c>
      <c r="B1908" s="212"/>
      <c r="C1908" s="212"/>
      <c r="D1908" s="212"/>
      <c r="E1908" s="212"/>
      <c r="F1908" s="212"/>
      <c r="G1908" s="212"/>
      <c r="H1908" s="212"/>
      <c r="I1908" s="212"/>
      <c r="J1908" s="212"/>
      <c r="K1908" s="212"/>
      <c r="L1908" s="212"/>
      <c r="M1908" s="212"/>
      <c r="N1908" s="212"/>
      <c r="O1908" s="212"/>
      <c r="P1908" s="37"/>
      <c r="Q1908" s="38"/>
    </row>
    <row r="1909" spans="1:17" x14ac:dyDescent="0.2">
      <c r="Q1909" s="38"/>
    </row>
    <row r="1911" spans="1:17" ht="16" x14ac:dyDescent="0.2">
      <c r="A1911" s="231" t="s">
        <v>766</v>
      </c>
      <c r="B1911" s="232"/>
      <c r="C1911" s="232"/>
      <c r="D1911" s="232"/>
      <c r="F1911" s="233"/>
      <c r="G1911" s="233"/>
      <c r="H1911" s="233"/>
      <c r="I1911" s="233"/>
      <c r="J1911" s="233"/>
      <c r="K1911" s="233"/>
      <c r="L1911" s="233"/>
      <c r="M1911" s="233"/>
      <c r="N1911" s="233"/>
      <c r="O1911" s="233"/>
      <c r="P1911" s="233"/>
      <c r="Q1911" s="233"/>
    </row>
    <row r="1912" spans="1:17" ht="5" customHeight="1" x14ac:dyDescent="0.2">
      <c r="A1912" s="1"/>
      <c r="B1912" s="1"/>
      <c r="C1912" s="1"/>
      <c r="D1912" s="1"/>
      <c r="E1912" s="1"/>
      <c r="F1912" s="1"/>
      <c r="G1912" s="1"/>
      <c r="H1912" s="1"/>
      <c r="I1912" s="1"/>
      <c r="J1912" s="1"/>
      <c r="K1912" s="1"/>
      <c r="L1912" s="1"/>
      <c r="M1912" s="1"/>
      <c r="N1912" s="1"/>
      <c r="O1912" s="1"/>
      <c r="P1912" s="1"/>
      <c r="Q1912" s="1"/>
    </row>
    <row r="1913" spans="1:17" x14ac:dyDescent="0.2">
      <c r="A1913" s="234" t="s">
        <v>920</v>
      </c>
      <c r="B1913" s="235"/>
      <c r="C1913" s="235"/>
      <c r="D1913" s="235"/>
      <c r="E1913" s="236"/>
      <c r="F1913" s="236"/>
      <c r="G1913" s="236"/>
      <c r="H1913" s="236"/>
      <c r="I1913" s="236"/>
      <c r="J1913" s="236"/>
      <c r="K1913" s="236"/>
      <c r="L1913" s="236"/>
      <c r="M1913" s="236"/>
      <c r="N1913" s="236"/>
      <c r="O1913" s="236"/>
      <c r="P1913" s="236"/>
      <c r="Q1913" s="237"/>
    </row>
    <row r="1914" spans="1:17" x14ac:dyDescent="0.2">
      <c r="Q1914" s="38"/>
    </row>
    <row r="1915" spans="1:17" ht="26.25" customHeight="1" x14ac:dyDescent="0.2">
      <c r="A1915" s="211" t="s">
        <v>921</v>
      </c>
      <c r="B1915" s="212"/>
      <c r="C1915" s="212"/>
      <c r="D1915" s="212"/>
      <c r="E1915" s="212"/>
      <c r="F1915" s="212"/>
      <c r="G1915" s="212"/>
      <c r="H1915" s="212"/>
      <c r="I1915" s="212"/>
      <c r="J1915" s="212"/>
      <c r="K1915" s="212"/>
      <c r="L1915" s="212"/>
      <c r="M1915" s="212"/>
      <c r="N1915" s="212"/>
      <c r="O1915" s="212"/>
      <c r="P1915" s="37"/>
      <c r="Q1915" s="38"/>
    </row>
    <row r="1916" spans="1:17" x14ac:dyDescent="0.2">
      <c r="Q1916" s="38"/>
    </row>
    <row r="1917" spans="1:17" ht="5" customHeight="1" x14ac:dyDescent="0.2">
      <c r="A1917" s="48"/>
      <c r="B1917" s="23"/>
      <c r="C1917" s="23"/>
      <c r="D1917" s="23"/>
      <c r="E1917" s="23"/>
      <c r="F1917" s="33"/>
      <c r="G1917" s="33"/>
      <c r="H1917" s="33"/>
      <c r="I1917" s="33"/>
      <c r="J1917" s="178"/>
      <c r="K1917" s="33"/>
      <c r="L1917" s="33"/>
      <c r="M1917" s="33"/>
      <c r="N1917" s="33"/>
      <c r="O1917" s="33"/>
      <c r="P1917" s="34"/>
      <c r="Q1917" s="2"/>
    </row>
    <row r="1918" spans="1:17" x14ac:dyDescent="0.2">
      <c r="A1918" s="224" t="s">
        <v>751</v>
      </c>
      <c r="B1918" s="225"/>
      <c r="C1918" s="225"/>
      <c r="D1918" s="225"/>
      <c r="E1918" s="225"/>
      <c r="F1918" s="225"/>
      <c r="G1918" s="225"/>
      <c r="H1918" s="225"/>
      <c r="I1918" s="225"/>
      <c r="J1918" s="226"/>
      <c r="K1918" s="27"/>
      <c r="L1918" s="70" t="s">
        <v>922</v>
      </c>
      <c r="M1918" s="186" t="s">
        <v>61</v>
      </c>
      <c r="N1918" s="242">
        <f>N1845</f>
        <v>0</v>
      </c>
      <c r="O1918" s="243"/>
      <c r="P1918" s="26"/>
      <c r="Q1918" s="2"/>
    </row>
    <row r="1919" spans="1:17" ht="5" customHeight="1" x14ac:dyDescent="0.2">
      <c r="A1919" s="47"/>
      <c r="B1919" s="21"/>
      <c r="C1919" s="21"/>
      <c r="D1919" s="21"/>
      <c r="E1919" s="21"/>
      <c r="F1919" s="10"/>
      <c r="G1919" s="10"/>
      <c r="H1919" s="10"/>
      <c r="I1919" s="10"/>
      <c r="J1919" s="180"/>
      <c r="K1919" s="10"/>
      <c r="L1919" s="10"/>
      <c r="M1919" s="10"/>
      <c r="N1919" s="10"/>
      <c r="O1919" s="10"/>
      <c r="P1919" s="28"/>
      <c r="Q1919" s="2"/>
    </row>
    <row r="1920" spans="1:17" ht="5" customHeight="1" x14ac:dyDescent="0.2">
      <c r="A1920" s="49"/>
      <c r="B1920" s="24"/>
      <c r="C1920" s="24"/>
      <c r="D1920" s="24"/>
      <c r="E1920" s="24"/>
      <c r="F1920" s="29"/>
      <c r="G1920" s="29"/>
      <c r="H1920" s="29"/>
      <c r="I1920" s="29"/>
      <c r="J1920" s="183"/>
      <c r="K1920" s="29"/>
      <c r="L1920" s="29"/>
      <c r="M1920" s="29"/>
      <c r="N1920" s="29"/>
      <c r="O1920" s="29"/>
      <c r="P1920" s="30"/>
      <c r="Q1920" s="2"/>
    </row>
    <row r="1921" spans="1:17" x14ac:dyDescent="0.2">
      <c r="A1921" s="221" t="s">
        <v>929</v>
      </c>
      <c r="B1921" s="222"/>
      <c r="C1921" s="222"/>
      <c r="D1921" s="222"/>
      <c r="E1921" s="222"/>
      <c r="F1921" s="222"/>
      <c r="G1921" s="222"/>
      <c r="H1921" s="222"/>
      <c r="I1921" s="222"/>
      <c r="J1921" s="223"/>
      <c r="K1921" s="40"/>
      <c r="L1921" s="70" t="s">
        <v>923</v>
      </c>
      <c r="M1921" s="107" t="s">
        <v>61</v>
      </c>
      <c r="N1921" s="240">
        <f>N1834</f>
        <v>0</v>
      </c>
      <c r="O1921" s="241"/>
      <c r="P1921" s="41"/>
      <c r="Q1921" s="2"/>
    </row>
    <row r="1922" spans="1:17" ht="5" customHeight="1" x14ac:dyDescent="0.2">
      <c r="A1922" s="50"/>
      <c r="B1922" s="25"/>
      <c r="C1922" s="25"/>
      <c r="D1922" s="25"/>
      <c r="E1922" s="25"/>
      <c r="F1922" s="31"/>
      <c r="G1922" s="31"/>
      <c r="H1922" s="31"/>
      <c r="I1922" s="31"/>
      <c r="J1922" s="177"/>
      <c r="K1922" s="31"/>
      <c r="L1922" s="31"/>
      <c r="M1922" s="31"/>
      <c r="N1922" s="31"/>
      <c r="O1922" s="31"/>
      <c r="P1922" s="32"/>
      <c r="Q1922" s="2"/>
    </row>
    <row r="1923" spans="1:17" ht="5" customHeight="1" x14ac:dyDescent="0.2">
      <c r="A1923" s="48"/>
      <c r="B1923" s="23"/>
      <c r="C1923" s="23"/>
      <c r="D1923" s="23"/>
      <c r="E1923" s="23"/>
      <c r="F1923" s="33"/>
      <c r="G1923" s="33"/>
      <c r="H1923" s="33"/>
      <c r="I1923" s="33"/>
      <c r="J1923" s="178"/>
      <c r="K1923" s="33"/>
      <c r="L1923" s="33"/>
      <c r="M1923" s="33"/>
      <c r="N1923" s="33"/>
      <c r="O1923" s="33"/>
      <c r="P1923" s="34"/>
      <c r="Q1923" s="2"/>
    </row>
    <row r="1924" spans="1:17" x14ac:dyDescent="0.2">
      <c r="A1924" s="224" t="s">
        <v>930</v>
      </c>
      <c r="B1924" s="225"/>
      <c r="C1924" s="225"/>
      <c r="D1924" s="225"/>
      <c r="E1924" s="225"/>
      <c r="F1924" s="225"/>
      <c r="G1924" s="225"/>
      <c r="H1924" s="225"/>
      <c r="I1924" s="225"/>
      <c r="J1924" s="226"/>
      <c r="K1924" s="27"/>
      <c r="L1924" s="70" t="s">
        <v>924</v>
      </c>
      <c r="M1924" s="186" t="s">
        <v>61</v>
      </c>
      <c r="N1924" s="242">
        <f>N1864</f>
        <v>0</v>
      </c>
      <c r="O1924" s="243"/>
      <c r="P1924" s="26"/>
      <c r="Q1924" s="2"/>
    </row>
    <row r="1925" spans="1:17" ht="5" customHeight="1" x14ac:dyDescent="0.2">
      <c r="A1925" s="47"/>
      <c r="B1925" s="21"/>
      <c r="C1925" s="21"/>
      <c r="D1925" s="21"/>
      <c r="E1925" s="21"/>
      <c r="F1925" s="10"/>
      <c r="G1925" s="10"/>
      <c r="H1925" s="10"/>
      <c r="I1925" s="10"/>
      <c r="J1925" s="180"/>
      <c r="K1925" s="10"/>
      <c r="L1925" s="10"/>
      <c r="M1925" s="10"/>
      <c r="N1925" s="10"/>
      <c r="O1925" s="10"/>
      <c r="P1925" s="28"/>
      <c r="Q1925" s="2"/>
    </row>
    <row r="1926" spans="1:17" ht="5" customHeight="1" x14ac:dyDescent="0.2">
      <c r="A1926" s="49"/>
      <c r="B1926" s="24"/>
      <c r="C1926" s="24"/>
      <c r="D1926" s="24"/>
      <c r="E1926" s="24"/>
      <c r="F1926" s="29"/>
      <c r="G1926" s="29"/>
      <c r="H1926" s="29"/>
      <c r="I1926" s="29"/>
      <c r="J1926" s="183"/>
      <c r="K1926" s="29"/>
      <c r="L1926" s="29"/>
      <c r="M1926" s="29"/>
      <c r="N1926" s="29"/>
      <c r="O1926" s="29"/>
      <c r="P1926" s="30"/>
      <c r="Q1926" s="2"/>
    </row>
    <row r="1927" spans="1:17" ht="15" customHeight="1" x14ac:dyDescent="0.25">
      <c r="A1927" s="61"/>
      <c r="B1927" s="22"/>
      <c r="C1927" s="22"/>
      <c r="D1927" s="22"/>
      <c r="E1927" s="22"/>
      <c r="F1927" s="40"/>
      <c r="G1927" s="40"/>
      <c r="H1927" s="40"/>
      <c r="I1927" s="40"/>
      <c r="J1927" s="176"/>
      <c r="K1927" s="252" t="s">
        <v>449</v>
      </c>
      <c r="L1927" s="253"/>
      <c r="M1927" s="253"/>
      <c r="N1927" s="253"/>
      <c r="O1927" s="253"/>
      <c r="P1927" s="254"/>
      <c r="Q1927" s="2"/>
    </row>
    <row r="1928" spans="1:17" x14ac:dyDescent="0.2">
      <c r="A1928" s="221" t="s">
        <v>932</v>
      </c>
      <c r="B1928" s="222"/>
      <c r="C1928" s="222"/>
      <c r="D1928" s="222"/>
      <c r="E1928" s="222"/>
      <c r="F1928" s="222"/>
      <c r="G1928" s="222"/>
      <c r="H1928" s="222"/>
      <c r="I1928" s="222"/>
      <c r="J1928" s="223"/>
      <c r="K1928" s="40"/>
      <c r="L1928" s="70" t="s">
        <v>925</v>
      </c>
      <c r="M1928" s="107" t="s">
        <v>61</v>
      </c>
      <c r="N1928" s="240"/>
      <c r="O1928" s="241"/>
      <c r="P1928" s="41"/>
      <c r="Q1928" s="2"/>
    </row>
    <row r="1929" spans="1:17" ht="5" customHeight="1" x14ac:dyDescent="0.2">
      <c r="A1929" s="50"/>
      <c r="B1929" s="25"/>
      <c r="C1929" s="25"/>
      <c r="D1929" s="25"/>
      <c r="E1929" s="25"/>
      <c r="F1929" s="31"/>
      <c r="G1929" s="31"/>
      <c r="H1929" s="31"/>
      <c r="I1929" s="31"/>
      <c r="J1929" s="177"/>
      <c r="K1929" s="31"/>
      <c r="L1929" s="31"/>
      <c r="M1929" s="31"/>
      <c r="N1929" s="31"/>
      <c r="O1929" s="31"/>
      <c r="P1929" s="32"/>
      <c r="Q1929" s="2"/>
    </row>
    <row r="1930" spans="1:17" ht="5" customHeight="1" x14ac:dyDescent="0.2">
      <c r="A1930" s="48"/>
      <c r="B1930" s="23"/>
      <c r="C1930" s="23"/>
      <c r="D1930" s="23"/>
      <c r="E1930" s="23"/>
      <c r="F1930" s="33"/>
      <c r="G1930" s="33"/>
      <c r="H1930" s="33"/>
      <c r="I1930" s="33"/>
      <c r="J1930" s="178"/>
      <c r="K1930" s="33"/>
      <c r="L1930" s="33"/>
      <c r="M1930" s="33"/>
      <c r="N1930" s="33"/>
      <c r="O1930" s="33"/>
      <c r="P1930" s="34"/>
      <c r="Q1930" s="2"/>
    </row>
    <row r="1931" spans="1:17" x14ac:dyDescent="0.2">
      <c r="A1931" s="224" t="s">
        <v>987</v>
      </c>
      <c r="B1931" s="225"/>
      <c r="C1931" s="225"/>
      <c r="D1931" s="225"/>
      <c r="E1931" s="225"/>
      <c r="F1931" s="225"/>
      <c r="G1931" s="225"/>
      <c r="H1931" s="225"/>
      <c r="I1931" s="225"/>
      <c r="J1931" s="226"/>
      <c r="K1931" s="27"/>
      <c r="L1931" s="70" t="s">
        <v>926</v>
      </c>
      <c r="M1931" s="186" t="s">
        <v>61</v>
      </c>
      <c r="N1931" s="242">
        <f>N1882</f>
        <v>0</v>
      </c>
      <c r="O1931" s="243"/>
      <c r="P1931" s="26"/>
      <c r="Q1931" s="2"/>
    </row>
    <row r="1932" spans="1:17" ht="5" customHeight="1" x14ac:dyDescent="0.2">
      <c r="A1932" s="47"/>
      <c r="B1932" s="21"/>
      <c r="C1932" s="21"/>
      <c r="D1932" s="21"/>
      <c r="E1932" s="21"/>
      <c r="F1932" s="10"/>
      <c r="G1932" s="10"/>
      <c r="H1932" s="10"/>
      <c r="I1932" s="10"/>
      <c r="J1932" s="180"/>
      <c r="K1932" s="10"/>
      <c r="L1932" s="10"/>
      <c r="M1932" s="10"/>
      <c r="N1932" s="10"/>
      <c r="O1932" s="10"/>
      <c r="P1932" s="28"/>
      <c r="Q1932" s="2"/>
    </row>
    <row r="1933" spans="1:17" ht="5" customHeight="1" x14ac:dyDescent="0.2">
      <c r="A1933" s="49"/>
      <c r="B1933" s="24"/>
      <c r="C1933" s="24"/>
      <c r="D1933" s="24"/>
      <c r="E1933" s="24"/>
      <c r="F1933" s="29"/>
      <c r="G1933" s="29"/>
      <c r="H1933" s="29"/>
      <c r="I1933" s="29"/>
      <c r="J1933" s="183"/>
      <c r="K1933" s="29"/>
      <c r="L1933" s="29"/>
      <c r="M1933" s="29"/>
      <c r="N1933" s="29"/>
      <c r="O1933" s="29"/>
      <c r="P1933" s="30"/>
      <c r="Q1933" s="2"/>
    </row>
    <row r="1934" spans="1:17" x14ac:dyDescent="0.2">
      <c r="A1934" s="221" t="s">
        <v>931</v>
      </c>
      <c r="B1934" s="222"/>
      <c r="C1934" s="222"/>
      <c r="D1934" s="222"/>
      <c r="E1934" s="222"/>
      <c r="F1934" s="222"/>
      <c r="G1934" s="222"/>
      <c r="H1934" s="222"/>
      <c r="I1934" s="222"/>
      <c r="J1934" s="223"/>
      <c r="K1934" s="40"/>
      <c r="L1934" s="70" t="s">
        <v>927</v>
      </c>
      <c r="M1934" s="107" t="s">
        <v>61</v>
      </c>
      <c r="N1934" s="240">
        <f>N1894</f>
        <v>0</v>
      </c>
      <c r="O1934" s="241"/>
      <c r="P1934" s="41"/>
      <c r="Q1934" s="2"/>
    </row>
    <row r="1935" spans="1:17" ht="5" customHeight="1" x14ac:dyDescent="0.2">
      <c r="A1935" s="50"/>
      <c r="B1935" s="25"/>
      <c r="C1935" s="25"/>
      <c r="D1935" s="25"/>
      <c r="E1935" s="25"/>
      <c r="F1935" s="31"/>
      <c r="G1935" s="31"/>
      <c r="H1935" s="31"/>
      <c r="I1935" s="31"/>
      <c r="J1935" s="177"/>
      <c r="K1935" s="31"/>
      <c r="L1935" s="31"/>
      <c r="M1935" s="31"/>
      <c r="N1935" s="31"/>
      <c r="O1935" s="31"/>
      <c r="P1935" s="32"/>
      <c r="Q1935" s="2"/>
    </row>
    <row r="1936" spans="1:17" ht="5" customHeight="1" x14ac:dyDescent="0.2">
      <c r="A1936" s="48"/>
      <c r="B1936" s="23"/>
      <c r="C1936" s="23"/>
      <c r="D1936" s="23"/>
      <c r="E1936" s="23"/>
      <c r="F1936" s="33"/>
      <c r="G1936" s="33"/>
      <c r="H1936" s="33"/>
      <c r="I1936" s="33"/>
      <c r="J1936" s="178"/>
      <c r="K1936" s="33"/>
      <c r="L1936" s="33"/>
      <c r="M1936" s="33"/>
      <c r="N1936" s="33"/>
      <c r="O1936" s="33"/>
      <c r="P1936" s="34"/>
      <c r="Q1936" s="2"/>
    </row>
    <row r="1937" spans="1:17" x14ac:dyDescent="0.2">
      <c r="A1937" s="224" t="s">
        <v>749</v>
      </c>
      <c r="B1937" s="225"/>
      <c r="C1937" s="225"/>
      <c r="D1937" s="225"/>
      <c r="E1937" s="225"/>
      <c r="F1937" s="225"/>
      <c r="G1937" s="225"/>
      <c r="H1937" s="225"/>
      <c r="I1937" s="225"/>
      <c r="J1937" s="226"/>
      <c r="K1937" s="27"/>
      <c r="L1937" s="70" t="s">
        <v>928</v>
      </c>
      <c r="M1937" s="186" t="s">
        <v>61</v>
      </c>
      <c r="N1937" s="242">
        <f>N1870</f>
        <v>0</v>
      </c>
      <c r="O1937" s="243"/>
      <c r="P1937" s="26"/>
      <c r="Q1937" s="2"/>
    </row>
    <row r="1938" spans="1:17" ht="5" customHeight="1" x14ac:dyDescent="0.2">
      <c r="A1938" s="47"/>
      <c r="B1938" s="21"/>
      <c r="C1938" s="21"/>
      <c r="D1938" s="21"/>
      <c r="E1938" s="21"/>
      <c r="F1938" s="10"/>
      <c r="G1938" s="10"/>
      <c r="H1938" s="10"/>
      <c r="I1938" s="10"/>
      <c r="J1938" s="180"/>
      <c r="K1938" s="10"/>
      <c r="L1938" s="10"/>
      <c r="M1938" s="10"/>
      <c r="N1938" s="10"/>
      <c r="O1938" s="10"/>
      <c r="P1938" s="28"/>
      <c r="Q1938" s="2"/>
    </row>
    <row r="1939" spans="1:17" x14ac:dyDescent="0.2">
      <c r="Q1939" s="2"/>
    </row>
    <row r="1941" spans="1:17" ht="16" x14ac:dyDescent="0.2">
      <c r="A1941" s="231" t="s">
        <v>766</v>
      </c>
      <c r="B1941" s="232"/>
      <c r="C1941" s="232"/>
      <c r="D1941" s="232"/>
      <c r="F1941" s="233"/>
      <c r="G1941" s="233"/>
      <c r="H1941" s="233"/>
      <c r="I1941" s="233"/>
      <c r="J1941" s="233"/>
      <c r="K1941" s="233"/>
      <c r="L1941" s="233"/>
      <c r="M1941" s="233"/>
      <c r="N1941" s="233"/>
      <c r="O1941" s="233"/>
      <c r="P1941" s="233"/>
      <c r="Q1941" s="233"/>
    </row>
    <row r="1942" spans="1:17" ht="5" customHeight="1" x14ac:dyDescent="0.2">
      <c r="A1942" s="1"/>
      <c r="B1942" s="1"/>
      <c r="C1942" s="1"/>
      <c r="D1942" s="1"/>
      <c r="E1942" s="1"/>
      <c r="F1942" s="1"/>
      <c r="G1942" s="1"/>
      <c r="H1942" s="1"/>
      <c r="I1942" s="1"/>
      <c r="J1942" s="1"/>
      <c r="K1942" s="1"/>
      <c r="L1942" s="1"/>
      <c r="M1942" s="1"/>
      <c r="N1942" s="1"/>
      <c r="O1942" s="1"/>
      <c r="P1942" s="1"/>
      <c r="Q1942" s="1"/>
    </row>
    <row r="1943" spans="1:17" x14ac:dyDescent="0.2">
      <c r="A1943" s="234" t="s">
        <v>651</v>
      </c>
      <c r="B1943" s="235"/>
      <c r="C1943" s="235"/>
      <c r="D1943" s="235"/>
      <c r="E1943" s="236"/>
      <c r="F1943" s="236"/>
      <c r="G1943" s="236"/>
      <c r="H1943" s="236"/>
      <c r="I1943" s="236"/>
      <c r="J1943" s="236"/>
      <c r="K1943" s="236"/>
      <c r="L1943" s="236"/>
      <c r="M1943" s="236"/>
      <c r="N1943" s="236"/>
      <c r="O1943" s="236"/>
      <c r="P1943" s="236"/>
      <c r="Q1943" s="237"/>
    </row>
    <row r="1944" spans="1:17" x14ac:dyDescent="0.2">
      <c r="Q1944" s="38"/>
    </row>
    <row r="1945" spans="1:17" ht="26.25" customHeight="1" x14ac:dyDescent="0.2">
      <c r="A1945" s="211" t="s">
        <v>769</v>
      </c>
      <c r="B1945" s="212"/>
      <c r="C1945" s="212"/>
      <c r="D1945" s="212"/>
      <c r="E1945" s="212"/>
      <c r="F1945" s="212"/>
      <c r="G1945" s="212"/>
      <c r="H1945" s="212"/>
      <c r="I1945" s="212"/>
      <c r="J1945" s="212"/>
      <c r="K1945" s="212"/>
      <c r="L1945" s="212"/>
      <c r="M1945" s="212"/>
      <c r="N1945" s="212"/>
      <c r="O1945" s="212"/>
      <c r="P1945" s="37"/>
      <c r="Q1945" s="38"/>
    </row>
    <row r="1946" spans="1:17" ht="15" customHeight="1" x14ac:dyDescent="0.2">
      <c r="A1946" s="95"/>
      <c r="B1946" s="51"/>
      <c r="C1946" s="51"/>
      <c r="D1946" s="51"/>
      <c r="E1946" s="51"/>
      <c r="F1946" s="51"/>
      <c r="G1946" s="51"/>
      <c r="H1946" s="51"/>
      <c r="I1946" s="51"/>
      <c r="J1946" s="51"/>
      <c r="K1946" s="51"/>
      <c r="L1946" s="51"/>
      <c r="M1946" s="51"/>
      <c r="N1946" s="51"/>
      <c r="O1946" s="51"/>
      <c r="P1946" s="37"/>
      <c r="Q1946" s="38"/>
    </row>
    <row r="1947" spans="1:17" ht="5" customHeight="1" x14ac:dyDescent="0.2"/>
    <row r="1948" spans="1:17" x14ac:dyDescent="0.2">
      <c r="A1948" s="234" t="s">
        <v>770</v>
      </c>
      <c r="B1948" s="235"/>
      <c r="C1948" s="235"/>
      <c r="D1948" s="235"/>
      <c r="E1948" s="236"/>
      <c r="F1948" s="236"/>
      <c r="G1948" s="236"/>
      <c r="H1948" s="236"/>
      <c r="I1948" s="236"/>
      <c r="J1948" s="236"/>
      <c r="K1948" s="236"/>
      <c r="L1948" s="236"/>
      <c r="M1948" s="236"/>
      <c r="N1948" s="236"/>
      <c r="O1948" s="236"/>
      <c r="P1948" s="236"/>
      <c r="Q1948" s="237"/>
    </row>
    <row r="1949" spans="1:17" x14ac:dyDescent="0.2">
      <c r="Q1949" s="38"/>
    </row>
    <row r="1950" spans="1:17" x14ac:dyDescent="0.2">
      <c r="Q1950" s="38"/>
    </row>
    <row r="1951" spans="1:17" x14ac:dyDescent="0.2">
      <c r="A1951" s="238" t="s">
        <v>655</v>
      </c>
      <c r="B1951" s="239"/>
      <c r="C1951" s="212"/>
      <c r="D1951" s="212"/>
      <c r="E1951" s="72"/>
      <c r="F1951" s="238"/>
      <c r="G1951" s="238"/>
      <c r="H1951" s="238"/>
      <c r="I1951" s="238"/>
      <c r="J1951" s="238"/>
      <c r="K1951" s="238"/>
      <c r="L1951" s="238"/>
      <c r="M1951" s="238"/>
      <c r="N1951" s="238"/>
      <c r="O1951" s="238"/>
      <c r="P1951" s="238"/>
      <c r="Q1951" s="38"/>
    </row>
    <row r="1952" spans="1:17" ht="5" customHeight="1" x14ac:dyDescent="0.2">
      <c r="Q1952" s="38"/>
    </row>
    <row r="1953" spans="1:17" ht="5" customHeight="1" x14ac:dyDescent="0.2">
      <c r="A1953" s="48"/>
      <c r="B1953" s="23"/>
      <c r="C1953" s="23"/>
      <c r="D1953" s="23"/>
      <c r="E1953" s="23"/>
      <c r="F1953" s="33"/>
      <c r="G1953" s="33"/>
      <c r="H1953" s="33"/>
      <c r="I1953" s="33"/>
      <c r="J1953" s="178"/>
      <c r="K1953" s="33"/>
      <c r="L1953" s="33"/>
      <c r="M1953" s="33"/>
      <c r="N1953" s="33"/>
      <c r="O1953" s="33"/>
      <c r="P1953" s="34"/>
      <c r="Q1953" s="2"/>
    </row>
    <row r="1954" spans="1:17" x14ac:dyDescent="0.2">
      <c r="A1954" s="224" t="s">
        <v>772</v>
      </c>
      <c r="B1954" s="225"/>
      <c r="C1954" s="225"/>
      <c r="D1954" s="225"/>
      <c r="E1954" s="225"/>
      <c r="F1954" s="225"/>
      <c r="G1954" s="225"/>
      <c r="H1954" s="225"/>
      <c r="I1954" s="225"/>
      <c r="J1954" s="226"/>
      <c r="K1954" s="27"/>
      <c r="L1954" s="70" t="s">
        <v>775</v>
      </c>
      <c r="M1954" s="186" t="s">
        <v>61</v>
      </c>
      <c r="N1954" s="242">
        <f>N1751</f>
        <v>0</v>
      </c>
      <c r="O1954" s="243"/>
      <c r="P1954" s="26"/>
      <c r="Q1954" s="2"/>
    </row>
    <row r="1955" spans="1:17" ht="5" customHeight="1" x14ac:dyDescent="0.2">
      <c r="A1955" s="47"/>
      <c r="B1955" s="21"/>
      <c r="C1955" s="21"/>
      <c r="D1955" s="21"/>
      <c r="E1955" s="21"/>
      <c r="F1955" s="10"/>
      <c r="G1955" s="10"/>
      <c r="H1955" s="10"/>
      <c r="I1955" s="10"/>
      <c r="J1955" s="180"/>
      <c r="K1955" s="10"/>
      <c r="L1955" s="10"/>
      <c r="M1955" s="10"/>
      <c r="N1955" s="10"/>
      <c r="O1955" s="10"/>
      <c r="P1955" s="28"/>
      <c r="Q1955" s="2"/>
    </row>
    <row r="1956" spans="1:17" ht="5" customHeight="1" x14ac:dyDescent="0.2">
      <c r="A1956" s="49"/>
      <c r="B1956" s="24"/>
      <c r="C1956" s="24"/>
      <c r="D1956" s="24"/>
      <c r="E1956" s="24"/>
      <c r="F1956" s="29"/>
      <c r="G1956" s="29"/>
      <c r="H1956" s="29"/>
      <c r="I1956" s="29"/>
      <c r="J1956" s="183"/>
      <c r="K1956" s="29"/>
      <c r="L1956" s="29"/>
      <c r="M1956" s="29"/>
      <c r="N1956" s="29"/>
      <c r="O1956" s="29"/>
      <c r="P1956" s="30"/>
      <c r="Q1956" s="2"/>
    </row>
    <row r="1957" spans="1:17" x14ac:dyDescent="0.2">
      <c r="A1957" s="221" t="s">
        <v>773</v>
      </c>
      <c r="B1957" s="222"/>
      <c r="C1957" s="222"/>
      <c r="D1957" s="222"/>
      <c r="E1957" s="222"/>
      <c r="F1957" s="222"/>
      <c r="G1957" s="222"/>
      <c r="H1957" s="222"/>
      <c r="I1957" s="222"/>
      <c r="J1957" s="223"/>
      <c r="K1957" s="40"/>
      <c r="L1957" s="70" t="s">
        <v>776</v>
      </c>
      <c r="M1957" s="107" t="s">
        <v>61</v>
      </c>
      <c r="N1957" s="240">
        <f>N1738</f>
        <v>0</v>
      </c>
      <c r="O1957" s="241"/>
      <c r="P1957" s="41"/>
      <c r="Q1957" s="2"/>
    </row>
    <row r="1958" spans="1:17" ht="5" customHeight="1" x14ac:dyDescent="0.2">
      <c r="A1958" s="50"/>
      <c r="B1958" s="25"/>
      <c r="C1958" s="25"/>
      <c r="D1958" s="25"/>
      <c r="E1958" s="25"/>
      <c r="F1958" s="31"/>
      <c r="G1958" s="31"/>
      <c r="H1958" s="31"/>
      <c r="I1958" s="31"/>
      <c r="J1958" s="177"/>
      <c r="K1958" s="31"/>
      <c r="L1958" s="31"/>
      <c r="M1958" s="31"/>
      <c r="N1958" s="31"/>
      <c r="O1958" s="31"/>
      <c r="P1958" s="32"/>
      <c r="Q1958" s="2"/>
    </row>
    <row r="1959" spans="1:17" ht="5" customHeight="1" x14ac:dyDescent="0.2">
      <c r="A1959" s="48"/>
      <c r="B1959" s="23"/>
      <c r="C1959" s="23"/>
      <c r="D1959" s="23"/>
      <c r="E1959" s="23"/>
      <c r="F1959" s="33"/>
      <c r="G1959" s="33"/>
      <c r="H1959" s="33"/>
      <c r="I1959" s="33"/>
      <c r="J1959" s="178"/>
      <c r="K1959" s="33"/>
      <c r="L1959" s="33"/>
      <c r="M1959" s="33"/>
      <c r="N1959" s="33"/>
      <c r="O1959" s="33"/>
      <c r="P1959" s="34"/>
      <c r="Q1959" s="2"/>
    </row>
    <row r="1960" spans="1:17" x14ac:dyDescent="0.2">
      <c r="A1960" s="224" t="s">
        <v>774</v>
      </c>
      <c r="B1960" s="225"/>
      <c r="C1960" s="225"/>
      <c r="D1960" s="225"/>
      <c r="E1960" s="225"/>
      <c r="F1960" s="225"/>
      <c r="G1960" s="225"/>
      <c r="H1960" s="225"/>
      <c r="I1960" s="225"/>
      <c r="J1960" s="226"/>
      <c r="K1960" s="27"/>
      <c r="L1960" s="70" t="s">
        <v>777</v>
      </c>
      <c r="M1960" s="186" t="s">
        <v>61</v>
      </c>
      <c r="N1960" s="242">
        <f>N1954</f>
        <v>0</v>
      </c>
      <c r="O1960" s="243"/>
      <c r="P1960" s="26"/>
      <c r="Q1960" s="2"/>
    </row>
    <row r="1961" spans="1:17" ht="5" customHeight="1" x14ac:dyDescent="0.2">
      <c r="A1961" s="47"/>
      <c r="B1961" s="21"/>
      <c r="C1961" s="21"/>
      <c r="D1961" s="21"/>
      <c r="E1961" s="21"/>
      <c r="F1961" s="10"/>
      <c r="G1961" s="10"/>
      <c r="H1961" s="10"/>
      <c r="I1961" s="10"/>
      <c r="J1961" s="180"/>
      <c r="K1961" s="10"/>
      <c r="L1961" s="10"/>
      <c r="M1961" s="10"/>
      <c r="N1961" s="10"/>
      <c r="O1961" s="10"/>
      <c r="P1961" s="28"/>
      <c r="Q1961" s="2"/>
    </row>
    <row r="1962" spans="1:17" ht="5" customHeight="1" x14ac:dyDescent="0.2">
      <c r="A1962" s="49"/>
      <c r="B1962" s="24"/>
      <c r="C1962" s="24"/>
      <c r="D1962" s="24"/>
      <c r="E1962" s="24"/>
      <c r="F1962" s="29"/>
      <c r="G1962" s="29"/>
      <c r="H1962" s="29"/>
      <c r="I1962" s="29"/>
      <c r="J1962" s="183"/>
      <c r="K1962" s="29"/>
      <c r="L1962" s="29"/>
      <c r="M1962" s="29"/>
      <c r="N1962" s="29"/>
      <c r="O1962" s="29"/>
      <c r="P1962" s="30"/>
      <c r="Q1962" s="2"/>
    </row>
    <row r="1963" spans="1:17" x14ac:dyDescent="0.2">
      <c r="A1963" s="221" t="s">
        <v>702</v>
      </c>
      <c r="B1963" s="222"/>
      <c r="C1963" s="222"/>
      <c r="D1963" s="222"/>
      <c r="E1963" s="222"/>
      <c r="F1963" s="222"/>
      <c r="G1963" s="222"/>
      <c r="H1963" s="222"/>
      <c r="I1963" s="222"/>
      <c r="J1963" s="223"/>
      <c r="K1963" s="40"/>
      <c r="L1963" s="70" t="s">
        <v>778</v>
      </c>
      <c r="M1963" s="107" t="s">
        <v>61</v>
      </c>
      <c r="N1963" s="240">
        <f>N1957</f>
        <v>0</v>
      </c>
      <c r="O1963" s="241"/>
      <c r="P1963" s="41"/>
      <c r="Q1963" s="2"/>
    </row>
    <row r="1964" spans="1:17" ht="5" customHeight="1" x14ac:dyDescent="0.2">
      <c r="A1964" s="50"/>
      <c r="B1964" s="25"/>
      <c r="C1964" s="25"/>
      <c r="D1964" s="25"/>
      <c r="E1964" s="25"/>
      <c r="F1964" s="31"/>
      <c r="G1964" s="31"/>
      <c r="H1964" s="31"/>
      <c r="I1964" s="31"/>
      <c r="J1964" s="177"/>
      <c r="K1964" s="31"/>
      <c r="L1964" s="31"/>
      <c r="M1964" s="31"/>
      <c r="N1964" s="31"/>
      <c r="O1964" s="31"/>
      <c r="P1964" s="32"/>
      <c r="Q1964" s="2"/>
    </row>
    <row r="1965" spans="1:17" x14ac:dyDescent="0.2">
      <c r="Q1965" s="38"/>
    </row>
    <row r="1966" spans="1:17" x14ac:dyDescent="0.2">
      <c r="A1966" s="238" t="s">
        <v>771</v>
      </c>
      <c r="B1966" s="239"/>
      <c r="C1966" s="212"/>
      <c r="D1966" s="212"/>
      <c r="E1966" s="72"/>
      <c r="F1966" s="238"/>
      <c r="G1966" s="238"/>
      <c r="H1966" s="238"/>
      <c r="I1966" s="238"/>
      <c r="J1966" s="238"/>
      <c r="K1966" s="238"/>
      <c r="L1966" s="238"/>
      <c r="M1966" s="238"/>
      <c r="N1966" s="238"/>
      <c r="O1966" s="238"/>
      <c r="P1966" s="238"/>
      <c r="Q1966" s="38"/>
    </row>
    <row r="1967" spans="1:17" ht="5" customHeight="1" x14ac:dyDescent="0.2">
      <c r="Q1967" s="38"/>
    </row>
    <row r="1968" spans="1:17" ht="5" customHeight="1" x14ac:dyDescent="0.2">
      <c r="A1968" s="48"/>
      <c r="B1968" s="23"/>
      <c r="C1968" s="23"/>
      <c r="D1968" s="23"/>
      <c r="E1968" s="23"/>
      <c r="F1968" s="33"/>
      <c r="G1968" s="33"/>
      <c r="H1968" s="33"/>
      <c r="I1968" s="33"/>
      <c r="J1968" s="178"/>
      <c r="K1968" s="33"/>
      <c r="L1968" s="33"/>
      <c r="M1968" s="33"/>
      <c r="N1968" s="33"/>
      <c r="O1968" s="33"/>
      <c r="P1968" s="34"/>
      <c r="Q1968" s="38"/>
    </row>
    <row r="1969" spans="1:17" x14ac:dyDescent="0.2">
      <c r="A1969" s="224" t="s">
        <v>772</v>
      </c>
      <c r="B1969" s="225"/>
      <c r="C1969" s="225"/>
      <c r="D1969" s="225"/>
      <c r="E1969" s="225"/>
      <c r="F1969" s="225"/>
      <c r="G1969" s="225"/>
      <c r="H1969" s="225"/>
      <c r="I1969" s="225"/>
      <c r="J1969" s="226"/>
      <c r="K1969" s="27"/>
      <c r="L1969" s="70" t="s">
        <v>779</v>
      </c>
      <c r="M1969" s="186" t="s">
        <v>61</v>
      </c>
      <c r="N1969" s="242">
        <f>N1747</f>
        <v>0</v>
      </c>
      <c r="O1969" s="243"/>
      <c r="P1969" s="26"/>
      <c r="Q1969" s="2"/>
    </row>
    <row r="1970" spans="1:17" ht="5" customHeight="1" x14ac:dyDescent="0.2">
      <c r="A1970" s="47"/>
      <c r="B1970" s="21"/>
      <c r="C1970" s="21"/>
      <c r="D1970" s="21"/>
      <c r="E1970" s="21"/>
      <c r="F1970" s="10"/>
      <c r="G1970" s="10"/>
      <c r="H1970" s="10"/>
      <c r="I1970" s="10"/>
      <c r="J1970" s="180"/>
      <c r="K1970" s="10"/>
      <c r="L1970" s="10"/>
      <c r="M1970" s="10"/>
      <c r="N1970" s="10"/>
      <c r="O1970" s="10"/>
      <c r="P1970" s="28"/>
      <c r="Q1970" s="2"/>
    </row>
    <row r="1971" spans="1:17" ht="5" customHeight="1" x14ac:dyDescent="0.2">
      <c r="A1971" s="49"/>
      <c r="B1971" s="24"/>
      <c r="C1971" s="24"/>
      <c r="D1971" s="24"/>
      <c r="E1971" s="24"/>
      <c r="F1971" s="29"/>
      <c r="G1971" s="29"/>
      <c r="H1971" s="29"/>
      <c r="I1971" s="29"/>
      <c r="J1971" s="183"/>
      <c r="K1971" s="29"/>
      <c r="L1971" s="29"/>
      <c r="M1971" s="29"/>
      <c r="N1971" s="29"/>
      <c r="O1971" s="29"/>
      <c r="P1971" s="30"/>
      <c r="Q1971" s="2"/>
    </row>
    <row r="1972" spans="1:17" x14ac:dyDescent="0.2">
      <c r="A1972" s="221" t="s">
        <v>773</v>
      </c>
      <c r="B1972" s="222"/>
      <c r="C1972" s="222"/>
      <c r="D1972" s="222"/>
      <c r="E1972" s="222"/>
      <c r="F1972" s="222"/>
      <c r="G1972" s="222"/>
      <c r="H1972" s="222"/>
      <c r="I1972" s="222"/>
      <c r="J1972" s="223"/>
      <c r="K1972" s="40"/>
      <c r="L1972" s="70" t="s">
        <v>780</v>
      </c>
      <c r="M1972" s="107" t="s">
        <v>61</v>
      </c>
      <c r="N1972" s="240">
        <f>N1735</f>
        <v>0</v>
      </c>
      <c r="O1972" s="241"/>
      <c r="P1972" s="41"/>
      <c r="Q1972" s="2"/>
    </row>
    <row r="1973" spans="1:17" ht="5" customHeight="1" x14ac:dyDescent="0.2">
      <c r="A1973" s="50"/>
      <c r="B1973" s="25"/>
      <c r="C1973" s="25"/>
      <c r="D1973" s="25"/>
      <c r="E1973" s="25"/>
      <c r="F1973" s="31"/>
      <c r="G1973" s="31"/>
      <c r="H1973" s="31"/>
      <c r="I1973" s="31"/>
      <c r="J1973" s="177"/>
      <c r="K1973" s="31"/>
      <c r="L1973" s="31"/>
      <c r="M1973" s="31"/>
      <c r="N1973" s="31"/>
      <c r="O1973" s="31"/>
      <c r="P1973" s="32"/>
      <c r="Q1973" s="2"/>
    </row>
    <row r="1974" spans="1:17" ht="5" customHeight="1" x14ac:dyDescent="0.2">
      <c r="A1974" s="48"/>
      <c r="B1974" s="23"/>
      <c r="C1974" s="23"/>
      <c r="D1974" s="23"/>
      <c r="E1974" s="23"/>
      <c r="F1974" s="33"/>
      <c r="G1974" s="33"/>
      <c r="H1974" s="33"/>
      <c r="I1974" s="33"/>
      <c r="J1974" s="178"/>
      <c r="K1974" s="33"/>
      <c r="L1974" s="33"/>
      <c r="M1974" s="33"/>
      <c r="N1974" s="33"/>
      <c r="O1974" s="33"/>
      <c r="P1974" s="34"/>
      <c r="Q1974" s="2"/>
    </row>
    <row r="1975" spans="1:17" x14ac:dyDescent="0.2">
      <c r="A1975" s="224" t="s">
        <v>774</v>
      </c>
      <c r="B1975" s="225"/>
      <c r="C1975" s="225"/>
      <c r="D1975" s="225"/>
      <c r="E1975" s="225"/>
      <c r="F1975" s="225"/>
      <c r="G1975" s="225"/>
      <c r="H1975" s="225"/>
      <c r="I1975" s="225"/>
      <c r="J1975" s="226"/>
      <c r="K1975" s="27"/>
      <c r="L1975" s="70" t="s">
        <v>781</v>
      </c>
      <c r="M1975" s="186" t="s">
        <v>61</v>
      </c>
      <c r="N1975" s="242">
        <f>N1969</f>
        <v>0</v>
      </c>
      <c r="O1975" s="243"/>
      <c r="P1975" s="26"/>
      <c r="Q1975" s="2"/>
    </row>
    <row r="1976" spans="1:17" ht="5" customHeight="1" x14ac:dyDescent="0.2">
      <c r="A1976" s="47"/>
      <c r="B1976" s="21"/>
      <c r="C1976" s="21"/>
      <c r="D1976" s="21"/>
      <c r="E1976" s="21"/>
      <c r="F1976" s="10"/>
      <c r="G1976" s="10"/>
      <c r="H1976" s="10"/>
      <c r="I1976" s="10"/>
      <c r="J1976" s="180"/>
      <c r="K1976" s="10"/>
      <c r="L1976" s="10"/>
      <c r="M1976" s="10"/>
      <c r="N1976" s="10"/>
      <c r="O1976" s="10"/>
      <c r="P1976" s="28"/>
      <c r="Q1976" s="2"/>
    </row>
    <row r="1977" spans="1:17" ht="5" customHeight="1" x14ac:dyDescent="0.2">
      <c r="A1977" s="49"/>
      <c r="B1977" s="24"/>
      <c r="C1977" s="24"/>
      <c r="D1977" s="24"/>
      <c r="E1977" s="24"/>
      <c r="F1977" s="29"/>
      <c r="G1977" s="29"/>
      <c r="H1977" s="29"/>
      <c r="I1977" s="29"/>
      <c r="J1977" s="183"/>
      <c r="K1977" s="29"/>
      <c r="L1977" s="29"/>
      <c r="M1977" s="29"/>
      <c r="N1977" s="29"/>
      <c r="O1977" s="29"/>
      <c r="P1977" s="30"/>
      <c r="Q1977" s="2"/>
    </row>
    <row r="1978" spans="1:17" x14ac:dyDescent="0.2">
      <c r="A1978" s="221" t="s">
        <v>702</v>
      </c>
      <c r="B1978" s="222"/>
      <c r="C1978" s="222"/>
      <c r="D1978" s="222"/>
      <c r="E1978" s="222"/>
      <c r="F1978" s="222"/>
      <c r="G1978" s="222"/>
      <c r="H1978" s="222"/>
      <c r="I1978" s="222"/>
      <c r="J1978" s="223"/>
      <c r="K1978" s="40"/>
      <c r="L1978" s="70" t="s">
        <v>782</v>
      </c>
      <c r="M1978" s="107" t="s">
        <v>61</v>
      </c>
      <c r="N1978" s="240">
        <f>N1972</f>
        <v>0</v>
      </c>
      <c r="O1978" s="241"/>
      <c r="P1978" s="41"/>
      <c r="Q1978" s="2"/>
    </row>
    <row r="1979" spans="1:17" ht="5" customHeight="1" x14ac:dyDescent="0.2">
      <c r="A1979" s="50"/>
      <c r="B1979" s="25"/>
      <c r="C1979" s="25"/>
      <c r="D1979" s="25"/>
      <c r="E1979" s="25"/>
      <c r="F1979" s="31"/>
      <c r="G1979" s="31"/>
      <c r="H1979" s="31"/>
      <c r="I1979" s="31"/>
      <c r="J1979" s="177"/>
      <c r="K1979" s="31"/>
      <c r="L1979" s="31"/>
      <c r="M1979" s="31"/>
      <c r="N1979" s="31"/>
      <c r="O1979" s="31"/>
      <c r="P1979" s="32"/>
      <c r="Q1979" s="2"/>
    </row>
    <row r="1980" spans="1:17" x14ac:dyDescent="0.2">
      <c r="Q1980" s="38"/>
    </row>
    <row r="1981" spans="1:17" ht="5" customHeight="1" x14ac:dyDescent="0.2"/>
    <row r="1982" spans="1:17" x14ac:dyDescent="0.2">
      <c r="A1982" s="234" t="s">
        <v>770</v>
      </c>
      <c r="B1982" s="235"/>
      <c r="C1982" s="235"/>
      <c r="D1982" s="235"/>
      <c r="E1982" s="236"/>
      <c r="F1982" s="236"/>
      <c r="G1982" s="236"/>
      <c r="H1982" s="236"/>
      <c r="I1982" s="236"/>
      <c r="J1982" s="236"/>
      <c r="K1982" s="236"/>
      <c r="L1982" s="236"/>
      <c r="M1982" s="236"/>
      <c r="N1982" s="236"/>
      <c r="O1982" s="236"/>
      <c r="P1982" s="236"/>
      <c r="Q1982" s="237"/>
    </row>
    <row r="1983" spans="1:17" x14ac:dyDescent="0.2">
      <c r="Q1983" s="38"/>
    </row>
    <row r="1984" spans="1:17" ht="5" customHeight="1" x14ac:dyDescent="0.2">
      <c r="A1984" s="48"/>
      <c r="B1984" s="23"/>
      <c r="C1984" s="23"/>
      <c r="D1984" s="23"/>
      <c r="E1984" s="23"/>
      <c r="F1984" s="33"/>
      <c r="G1984" s="33"/>
      <c r="H1984" s="33"/>
      <c r="I1984" s="33"/>
      <c r="J1984" s="178"/>
      <c r="K1984" s="33"/>
      <c r="L1984" s="33"/>
      <c r="M1984" s="33"/>
      <c r="N1984" s="33"/>
      <c r="O1984" s="33"/>
      <c r="P1984" s="34"/>
      <c r="Q1984" s="38"/>
    </row>
    <row r="1985" spans="1:17" x14ac:dyDescent="0.2">
      <c r="A1985" s="224" t="s">
        <v>783</v>
      </c>
      <c r="B1985" s="225"/>
      <c r="C1985" s="225"/>
      <c r="D1985" s="225"/>
      <c r="E1985" s="225"/>
      <c r="F1985" s="225"/>
      <c r="G1985" s="225"/>
      <c r="H1985" s="225"/>
      <c r="I1985" s="225"/>
      <c r="J1985" s="226"/>
      <c r="K1985" s="27"/>
      <c r="L1985" s="70" t="s">
        <v>936</v>
      </c>
      <c r="M1985" s="67" t="s">
        <v>61</v>
      </c>
      <c r="N1985" s="213">
        <f>N1701</f>
        <v>0</v>
      </c>
      <c r="O1985" s="214"/>
      <c r="P1985" s="26"/>
      <c r="Q1985" s="2"/>
    </row>
    <row r="1986" spans="1:17" ht="5" customHeight="1" x14ac:dyDescent="0.2">
      <c r="A1986" s="47"/>
      <c r="B1986" s="21"/>
      <c r="C1986" s="21"/>
      <c r="D1986" s="21"/>
      <c r="E1986" s="21"/>
      <c r="F1986" s="10"/>
      <c r="G1986" s="10"/>
      <c r="H1986" s="10"/>
      <c r="I1986" s="10"/>
      <c r="J1986" s="180"/>
      <c r="K1986" s="10"/>
      <c r="L1986" s="10"/>
      <c r="M1986" s="10"/>
      <c r="N1986" s="10"/>
      <c r="O1986" s="10"/>
      <c r="P1986" s="28"/>
      <c r="Q1986" s="2"/>
    </row>
    <row r="1987" spans="1:17" ht="5" customHeight="1" x14ac:dyDescent="0.2">
      <c r="A1987" s="49"/>
      <c r="B1987" s="24"/>
      <c r="C1987" s="24"/>
      <c r="D1987" s="24"/>
      <c r="E1987" s="24"/>
      <c r="F1987" s="29"/>
      <c r="G1987" s="29"/>
      <c r="H1987" s="29"/>
      <c r="I1987" s="29"/>
      <c r="J1987" s="183"/>
      <c r="K1987" s="29"/>
      <c r="L1987" s="29"/>
      <c r="M1987" s="29"/>
      <c r="N1987" s="29"/>
      <c r="O1987" s="29"/>
      <c r="P1987" s="30"/>
      <c r="Q1987" s="2"/>
    </row>
    <row r="1988" spans="1:17" x14ac:dyDescent="0.2">
      <c r="A1988" s="221" t="s">
        <v>784</v>
      </c>
      <c r="B1988" s="222"/>
      <c r="C1988" s="222"/>
      <c r="D1988" s="222"/>
      <c r="E1988" s="222"/>
      <c r="F1988" s="222"/>
      <c r="G1988" s="222"/>
      <c r="H1988" s="222"/>
      <c r="I1988" s="222"/>
      <c r="J1988" s="223"/>
      <c r="K1988" s="40"/>
      <c r="L1988" s="70" t="s">
        <v>937</v>
      </c>
      <c r="M1988" s="67" t="s">
        <v>61</v>
      </c>
      <c r="N1988" s="213">
        <f>N1663</f>
        <v>0</v>
      </c>
      <c r="O1988" s="214"/>
      <c r="P1988" s="41"/>
      <c r="Q1988" s="2"/>
    </row>
    <row r="1989" spans="1:17" ht="5" customHeight="1" x14ac:dyDescent="0.2">
      <c r="A1989" s="50"/>
      <c r="B1989" s="25"/>
      <c r="C1989" s="25"/>
      <c r="D1989" s="25"/>
      <c r="E1989" s="25"/>
      <c r="F1989" s="31"/>
      <c r="G1989" s="31"/>
      <c r="H1989" s="31"/>
      <c r="I1989" s="31"/>
      <c r="J1989" s="177"/>
      <c r="K1989" s="31"/>
      <c r="L1989" s="31"/>
      <c r="M1989" s="31"/>
      <c r="N1989" s="31"/>
      <c r="O1989" s="31"/>
      <c r="P1989" s="32"/>
      <c r="Q1989" s="2"/>
    </row>
    <row r="1990" spans="1:17" ht="5" customHeight="1" x14ac:dyDescent="0.2">
      <c r="A1990" s="48"/>
      <c r="B1990" s="23"/>
      <c r="C1990" s="23"/>
      <c r="D1990" s="23"/>
      <c r="E1990" s="23"/>
      <c r="F1990" s="33"/>
      <c r="G1990" s="33"/>
      <c r="H1990" s="33"/>
      <c r="I1990" s="33"/>
      <c r="J1990" s="178"/>
      <c r="K1990" s="33"/>
      <c r="L1990" s="33"/>
      <c r="M1990" s="33"/>
      <c r="N1990" s="33"/>
      <c r="O1990" s="33"/>
      <c r="P1990" s="34"/>
      <c r="Q1990" s="2"/>
    </row>
    <row r="1991" spans="1:17" x14ac:dyDescent="0.2">
      <c r="A1991" s="224" t="s">
        <v>785</v>
      </c>
      <c r="B1991" s="225"/>
      <c r="C1991" s="225"/>
      <c r="D1991" s="225"/>
      <c r="E1991" s="225"/>
      <c r="F1991" s="225"/>
      <c r="G1991" s="225"/>
      <c r="H1991" s="225"/>
      <c r="I1991" s="225"/>
      <c r="J1991" s="226"/>
      <c r="K1991" s="27"/>
      <c r="L1991" s="70" t="s">
        <v>938</v>
      </c>
      <c r="M1991" s="67" t="s">
        <v>61</v>
      </c>
      <c r="N1991" s="213">
        <f>SUM(N1623,N1674)+N1671-N1701</f>
        <v>0</v>
      </c>
      <c r="O1991" s="214"/>
      <c r="P1991" s="26"/>
      <c r="Q1991" s="2"/>
    </row>
    <row r="1992" spans="1:17" ht="5" customHeight="1" x14ac:dyDescent="0.2">
      <c r="A1992" s="47"/>
      <c r="B1992" s="21"/>
      <c r="C1992" s="21"/>
      <c r="D1992" s="21"/>
      <c r="E1992" s="21"/>
      <c r="F1992" s="10"/>
      <c r="G1992" s="10"/>
      <c r="H1992" s="10"/>
      <c r="I1992" s="10"/>
      <c r="J1992" s="180"/>
      <c r="K1992" s="10"/>
      <c r="L1992" s="10"/>
      <c r="M1992" s="10"/>
      <c r="N1992" s="10"/>
      <c r="O1992" s="10"/>
      <c r="P1992" s="28"/>
      <c r="Q1992" s="2"/>
    </row>
    <row r="1993" spans="1:17" x14ac:dyDescent="0.2">
      <c r="Q1993" s="2"/>
    </row>
    <row r="1994" spans="1:17" ht="5" customHeight="1" x14ac:dyDescent="0.2"/>
    <row r="1995" spans="1:17" x14ac:dyDescent="0.2">
      <c r="A1995" s="234" t="s">
        <v>786</v>
      </c>
      <c r="B1995" s="235"/>
      <c r="C1995" s="235"/>
      <c r="D1995" s="235"/>
      <c r="E1995" s="236"/>
      <c r="F1995" s="236"/>
      <c r="G1995" s="236"/>
      <c r="H1995" s="236"/>
      <c r="I1995" s="236"/>
      <c r="J1995" s="236"/>
      <c r="K1995" s="236"/>
      <c r="L1995" s="236"/>
      <c r="M1995" s="236"/>
      <c r="N1995" s="236"/>
      <c r="O1995" s="236"/>
      <c r="P1995" s="236"/>
      <c r="Q1995" s="237"/>
    </row>
    <row r="1996" spans="1:17" x14ac:dyDescent="0.2">
      <c r="Q1996" s="38"/>
    </row>
    <row r="1997" spans="1:17" ht="5" customHeight="1" x14ac:dyDescent="0.2">
      <c r="A1997" s="48"/>
      <c r="B1997" s="23"/>
      <c r="C1997" s="23"/>
      <c r="D1997" s="23"/>
      <c r="E1997" s="23"/>
      <c r="F1997" s="33"/>
      <c r="G1997" s="33"/>
      <c r="H1997" s="33"/>
      <c r="I1997" s="33"/>
      <c r="J1997" s="178"/>
      <c r="K1997" s="33"/>
      <c r="L1997" s="33"/>
      <c r="M1997" s="33"/>
      <c r="N1997" s="33"/>
      <c r="O1997" s="33"/>
      <c r="P1997" s="34"/>
      <c r="Q1997" s="38"/>
    </row>
    <row r="1998" spans="1:17" x14ac:dyDescent="0.2">
      <c r="A1998" s="224" t="s">
        <v>787</v>
      </c>
      <c r="B1998" s="225"/>
      <c r="C1998" s="225"/>
      <c r="D1998" s="225"/>
      <c r="E1998" s="225"/>
      <c r="F1998" s="225"/>
      <c r="G1998" s="225"/>
      <c r="H1998" s="225"/>
      <c r="I1998" s="225"/>
      <c r="J1998" s="226"/>
      <c r="K1998" s="27"/>
      <c r="L1998" s="70" t="s">
        <v>788</v>
      </c>
      <c r="M1998" s="186" t="s">
        <v>61</v>
      </c>
      <c r="N1998" s="242">
        <f>N1704</f>
        <v>0</v>
      </c>
      <c r="O1998" s="243"/>
      <c r="P1998" s="26"/>
      <c r="Q1998" s="2"/>
    </row>
    <row r="1999" spans="1:17" ht="5" customHeight="1" x14ac:dyDescent="0.2">
      <c r="A1999" s="47"/>
      <c r="B1999" s="21"/>
      <c r="C1999" s="21"/>
      <c r="D1999" s="21"/>
      <c r="E1999" s="21"/>
      <c r="F1999" s="10"/>
      <c r="G1999" s="10"/>
      <c r="H1999" s="10"/>
      <c r="I1999" s="10"/>
      <c r="J1999" s="180"/>
      <c r="K1999" s="10"/>
      <c r="L1999" s="10"/>
      <c r="M1999" s="10"/>
      <c r="N1999" s="10"/>
      <c r="O1999" s="10"/>
      <c r="P1999" s="28"/>
      <c r="Q1999" s="2"/>
    </row>
    <row r="2000" spans="1:17" x14ac:dyDescent="0.2">
      <c r="Q2000" s="2"/>
    </row>
    <row r="2002" spans="1:17" ht="16" x14ac:dyDescent="0.2">
      <c r="A2002" s="231" t="s">
        <v>789</v>
      </c>
      <c r="B2002" s="232"/>
      <c r="C2002" s="232"/>
      <c r="D2002" s="232"/>
      <c r="F2002" s="233"/>
      <c r="G2002" s="233"/>
      <c r="H2002" s="233"/>
      <c r="I2002" s="233"/>
      <c r="J2002" s="233"/>
      <c r="K2002" s="233"/>
      <c r="L2002" s="233"/>
      <c r="M2002" s="233"/>
      <c r="N2002" s="233"/>
      <c r="O2002" s="233"/>
      <c r="P2002" s="233"/>
      <c r="Q2002" s="233"/>
    </row>
    <row r="2003" spans="1:17" ht="5" customHeight="1" x14ac:dyDescent="0.2">
      <c r="A2003" s="1"/>
      <c r="B2003" s="1"/>
      <c r="C2003" s="1"/>
      <c r="D2003" s="1"/>
      <c r="E2003" s="1"/>
      <c r="F2003" s="1"/>
      <c r="G2003" s="1"/>
      <c r="H2003" s="1"/>
      <c r="I2003" s="1"/>
      <c r="J2003" s="1"/>
      <c r="K2003" s="1"/>
      <c r="L2003" s="1"/>
      <c r="M2003" s="1"/>
      <c r="N2003" s="1"/>
      <c r="O2003" s="1"/>
      <c r="P2003" s="1"/>
      <c r="Q2003" s="1"/>
    </row>
    <row r="2004" spans="1:17" x14ac:dyDescent="0.2">
      <c r="Q2004" s="38"/>
    </row>
    <row r="2005" spans="1:17" ht="26.25" customHeight="1" x14ac:dyDescent="0.2">
      <c r="A2005" s="211" t="s">
        <v>790</v>
      </c>
      <c r="B2005" s="212"/>
      <c r="C2005" s="212"/>
      <c r="D2005" s="212"/>
      <c r="E2005" s="212"/>
      <c r="F2005" s="212"/>
      <c r="G2005" s="212"/>
      <c r="H2005" s="212"/>
      <c r="I2005" s="212"/>
      <c r="J2005" s="212"/>
      <c r="K2005" s="212"/>
      <c r="L2005" s="212"/>
      <c r="M2005" s="212"/>
      <c r="N2005" s="212"/>
      <c r="O2005" s="212"/>
      <c r="P2005" s="37"/>
      <c r="Q2005" s="38"/>
    </row>
    <row r="2006" spans="1:17" x14ac:dyDescent="0.2">
      <c r="Q2006" s="38"/>
    </row>
    <row r="2007" spans="1:17" ht="36" customHeight="1" x14ac:dyDescent="0.2">
      <c r="A2007" s="211" t="s">
        <v>988</v>
      </c>
      <c r="B2007" s="212"/>
      <c r="C2007" s="212"/>
      <c r="D2007" s="212"/>
      <c r="E2007" s="212"/>
      <c r="F2007" s="212"/>
      <c r="G2007" s="212"/>
      <c r="H2007" s="212"/>
      <c r="I2007" s="212"/>
      <c r="J2007" s="212"/>
      <c r="K2007" s="212"/>
      <c r="L2007" s="212"/>
      <c r="M2007" s="212"/>
      <c r="N2007" s="212"/>
      <c r="O2007" s="212"/>
      <c r="P2007" s="37"/>
      <c r="Q2007" s="38"/>
    </row>
    <row r="2008" spans="1:17" x14ac:dyDescent="0.2">
      <c r="Q2008" s="38"/>
    </row>
    <row r="2009" spans="1:17" ht="5" customHeight="1" x14ac:dyDescent="0.2">
      <c r="A2009" s="48"/>
      <c r="B2009" s="23"/>
      <c r="C2009" s="23"/>
      <c r="D2009" s="23"/>
      <c r="E2009" s="23"/>
      <c r="F2009" s="33"/>
      <c r="G2009" s="33"/>
      <c r="H2009" s="33"/>
      <c r="I2009" s="33"/>
      <c r="J2009" s="178"/>
      <c r="K2009" s="33"/>
      <c r="L2009" s="33"/>
      <c r="M2009" s="33"/>
      <c r="N2009" s="33"/>
      <c r="O2009" s="33"/>
      <c r="P2009" s="34"/>
      <c r="Q2009" s="38"/>
    </row>
    <row r="2010" spans="1:17" x14ac:dyDescent="0.2">
      <c r="A2010" s="224" t="s">
        <v>796</v>
      </c>
      <c r="B2010" s="225"/>
      <c r="C2010" s="225"/>
      <c r="D2010" s="225"/>
      <c r="E2010" s="225"/>
      <c r="F2010" s="225"/>
      <c r="G2010" s="225"/>
      <c r="H2010" s="225"/>
      <c r="I2010" s="225"/>
      <c r="J2010" s="226"/>
      <c r="K2010" s="27"/>
      <c r="L2010" s="70" t="s">
        <v>791</v>
      </c>
      <c r="M2010" s="186" t="s">
        <v>61</v>
      </c>
      <c r="N2010" s="242">
        <f>N1831</f>
        <v>0</v>
      </c>
      <c r="O2010" s="243"/>
      <c r="P2010" s="26"/>
      <c r="Q2010" s="2"/>
    </row>
    <row r="2011" spans="1:17" ht="5" customHeight="1" x14ac:dyDescent="0.2">
      <c r="A2011" s="47"/>
      <c r="B2011" s="21"/>
      <c r="C2011" s="21"/>
      <c r="D2011" s="21"/>
      <c r="E2011" s="21"/>
      <c r="F2011" s="10"/>
      <c r="G2011" s="10"/>
      <c r="H2011" s="10"/>
      <c r="I2011" s="10"/>
      <c r="J2011" s="180"/>
      <c r="K2011" s="10"/>
      <c r="L2011" s="10"/>
      <c r="M2011" s="10"/>
      <c r="N2011" s="10"/>
      <c r="O2011" s="10"/>
      <c r="P2011" s="28"/>
      <c r="Q2011" s="2"/>
    </row>
    <row r="2012" spans="1:17" ht="5" customHeight="1" x14ac:dyDescent="0.2">
      <c r="A2012" s="49"/>
      <c r="B2012" s="24"/>
      <c r="C2012" s="24"/>
      <c r="D2012" s="24"/>
      <c r="E2012" s="24"/>
      <c r="F2012" s="29"/>
      <c r="G2012" s="29"/>
      <c r="H2012" s="29"/>
      <c r="I2012" s="29"/>
      <c r="J2012" s="183"/>
      <c r="K2012" s="29"/>
      <c r="L2012" s="29"/>
      <c r="M2012" s="29"/>
      <c r="N2012" s="29"/>
      <c r="O2012" s="29"/>
      <c r="P2012" s="30"/>
      <c r="Q2012" s="2"/>
    </row>
    <row r="2013" spans="1:17" x14ac:dyDescent="0.2">
      <c r="A2013" s="221" t="s">
        <v>989</v>
      </c>
      <c r="B2013" s="222"/>
      <c r="C2013" s="222"/>
      <c r="D2013" s="222"/>
      <c r="E2013" s="222"/>
      <c r="F2013" s="222"/>
      <c r="G2013" s="222"/>
      <c r="H2013" s="222"/>
      <c r="I2013" s="222"/>
      <c r="J2013" s="223"/>
      <c r="K2013" s="40"/>
      <c r="L2013" s="70" t="s">
        <v>933</v>
      </c>
      <c r="M2013" s="122" t="s">
        <v>61</v>
      </c>
      <c r="N2013" s="240">
        <f>N1931</f>
        <v>0</v>
      </c>
      <c r="O2013" s="241"/>
      <c r="P2013" s="41"/>
      <c r="Q2013" s="2"/>
    </row>
    <row r="2014" spans="1:17" ht="5" customHeight="1" x14ac:dyDescent="0.2">
      <c r="A2014" s="50"/>
      <c r="B2014" s="25"/>
      <c r="C2014" s="25"/>
      <c r="D2014" s="25"/>
      <c r="E2014" s="25"/>
      <c r="F2014" s="31"/>
      <c r="G2014" s="31"/>
      <c r="H2014" s="31"/>
      <c r="I2014" s="31"/>
      <c r="J2014" s="177"/>
      <c r="K2014" s="31"/>
      <c r="L2014" s="31"/>
      <c r="M2014" s="31"/>
      <c r="N2014" s="31"/>
      <c r="O2014" s="31"/>
      <c r="P2014" s="32"/>
      <c r="Q2014" s="2"/>
    </row>
    <row r="2015" spans="1:17" ht="5" customHeight="1" x14ac:dyDescent="0.2">
      <c r="A2015" s="48"/>
      <c r="B2015" s="23"/>
      <c r="C2015" s="23"/>
      <c r="D2015" s="23"/>
      <c r="E2015" s="23"/>
      <c r="F2015" s="33"/>
      <c r="G2015" s="33"/>
      <c r="H2015" s="33"/>
      <c r="I2015" s="33"/>
      <c r="J2015" s="178"/>
      <c r="K2015" s="33"/>
      <c r="L2015" s="33"/>
      <c r="M2015" s="33"/>
      <c r="N2015" s="33"/>
      <c r="O2015" s="33"/>
      <c r="P2015" s="34"/>
      <c r="Q2015" s="38"/>
    </row>
    <row r="2016" spans="1:17" x14ac:dyDescent="0.2">
      <c r="A2016" s="224" t="s">
        <v>797</v>
      </c>
      <c r="B2016" s="225"/>
      <c r="C2016" s="225"/>
      <c r="D2016" s="225"/>
      <c r="E2016" s="225"/>
      <c r="F2016" s="225"/>
      <c r="G2016" s="225"/>
      <c r="H2016" s="225"/>
      <c r="I2016" s="225"/>
      <c r="J2016" s="226"/>
      <c r="K2016" s="27"/>
      <c r="L2016" s="70" t="s">
        <v>792</v>
      </c>
      <c r="M2016" s="186" t="s">
        <v>61</v>
      </c>
      <c r="N2016" s="242">
        <f>N2010-N2013</f>
        <v>0</v>
      </c>
      <c r="O2016" s="243"/>
      <c r="P2016" s="26"/>
      <c r="Q2016" s="2"/>
    </row>
    <row r="2017" spans="1:17" ht="5" customHeight="1" x14ac:dyDescent="0.2">
      <c r="A2017" s="47"/>
      <c r="B2017" s="21"/>
      <c r="C2017" s="21"/>
      <c r="D2017" s="21"/>
      <c r="E2017" s="21"/>
      <c r="F2017" s="10"/>
      <c r="G2017" s="10"/>
      <c r="H2017" s="10"/>
      <c r="I2017" s="10"/>
      <c r="J2017" s="180"/>
      <c r="K2017" s="10"/>
      <c r="L2017" s="10"/>
      <c r="M2017" s="10"/>
      <c r="N2017" s="10"/>
      <c r="O2017" s="10"/>
      <c r="P2017" s="28"/>
      <c r="Q2017" s="2"/>
    </row>
    <row r="2018" spans="1:17" ht="5" customHeight="1" x14ac:dyDescent="0.2">
      <c r="A2018" s="49"/>
      <c r="B2018" s="24"/>
      <c r="C2018" s="24"/>
      <c r="D2018" s="24"/>
      <c r="E2018" s="24"/>
      <c r="F2018" s="29"/>
      <c r="G2018" s="29"/>
      <c r="H2018" s="29"/>
      <c r="I2018" s="29"/>
      <c r="J2018" s="183"/>
      <c r="K2018" s="29"/>
      <c r="L2018" s="29"/>
      <c r="M2018" s="29"/>
      <c r="N2018" s="29"/>
      <c r="O2018" s="29"/>
      <c r="P2018" s="30"/>
      <c r="Q2018" s="2"/>
    </row>
    <row r="2019" spans="1:17" x14ac:dyDescent="0.2">
      <c r="A2019" s="221" t="s">
        <v>798</v>
      </c>
      <c r="B2019" s="222"/>
      <c r="C2019" s="222"/>
      <c r="D2019" s="222"/>
      <c r="E2019" s="222"/>
      <c r="F2019" s="222"/>
      <c r="G2019" s="222"/>
      <c r="H2019" s="222"/>
      <c r="I2019" s="222"/>
      <c r="J2019" s="223"/>
      <c r="K2019" s="40"/>
      <c r="L2019" s="70" t="s">
        <v>793</v>
      </c>
      <c r="M2019" s="122" t="s">
        <v>61</v>
      </c>
      <c r="N2019" s="240">
        <f>N1422</f>
        <v>0</v>
      </c>
      <c r="O2019" s="241"/>
      <c r="P2019" s="41"/>
      <c r="Q2019" s="2"/>
    </row>
    <row r="2020" spans="1:17" ht="5" customHeight="1" x14ac:dyDescent="0.2">
      <c r="A2020" s="50"/>
      <c r="B2020" s="25"/>
      <c r="C2020" s="25"/>
      <c r="D2020" s="25"/>
      <c r="E2020" s="25"/>
      <c r="F2020" s="31"/>
      <c r="G2020" s="31"/>
      <c r="H2020" s="31"/>
      <c r="I2020" s="31"/>
      <c r="J2020" s="177"/>
      <c r="K2020" s="31"/>
      <c r="L2020" s="31"/>
      <c r="M2020" s="31"/>
      <c r="N2020" s="31"/>
      <c r="O2020" s="31"/>
      <c r="P2020" s="32"/>
      <c r="Q2020" s="2"/>
    </row>
    <row r="2021" spans="1:17" ht="5" customHeight="1" x14ac:dyDescent="0.2">
      <c r="A2021" s="48"/>
      <c r="B2021" s="23"/>
      <c r="C2021" s="23"/>
      <c r="D2021" s="23"/>
      <c r="E2021" s="23"/>
      <c r="F2021" s="33"/>
      <c r="G2021" s="33"/>
      <c r="H2021" s="33"/>
      <c r="I2021" s="33"/>
      <c r="J2021" s="178"/>
      <c r="K2021" s="33"/>
      <c r="L2021" s="33"/>
      <c r="M2021" s="33"/>
      <c r="N2021" s="33"/>
      <c r="O2021" s="33"/>
      <c r="P2021" s="34"/>
      <c r="Q2021" s="38"/>
    </row>
    <row r="2022" spans="1:17" x14ac:dyDescent="0.2">
      <c r="A2022" s="224" t="s">
        <v>799</v>
      </c>
      <c r="B2022" s="225"/>
      <c r="C2022" s="225"/>
      <c r="D2022" s="225"/>
      <c r="E2022" s="225"/>
      <c r="F2022" s="225"/>
      <c r="G2022" s="225"/>
      <c r="H2022" s="225"/>
      <c r="I2022" s="225"/>
      <c r="J2022" s="226"/>
      <c r="K2022" s="27"/>
      <c r="L2022" s="70" t="s">
        <v>794</v>
      </c>
      <c r="M2022" s="186" t="s">
        <v>61</v>
      </c>
      <c r="N2022" s="242">
        <f>N2016+N2019</f>
        <v>0</v>
      </c>
      <c r="O2022" s="243"/>
      <c r="P2022" s="26"/>
      <c r="Q2022" s="2"/>
    </row>
    <row r="2023" spans="1:17" ht="5" customHeight="1" x14ac:dyDescent="0.2">
      <c r="A2023" s="47"/>
      <c r="B2023" s="21"/>
      <c r="C2023" s="21"/>
      <c r="D2023" s="21"/>
      <c r="E2023" s="21"/>
      <c r="F2023" s="10"/>
      <c r="G2023" s="10"/>
      <c r="H2023" s="10"/>
      <c r="I2023" s="10"/>
      <c r="J2023" s="180"/>
      <c r="K2023" s="10"/>
      <c r="L2023" s="10"/>
      <c r="M2023" s="10"/>
      <c r="N2023" s="10"/>
      <c r="O2023" s="10"/>
      <c r="P2023" s="28"/>
      <c r="Q2023" s="2"/>
    </row>
    <row r="2024" spans="1:17" ht="5" customHeight="1" x14ac:dyDescent="0.2">
      <c r="A2024" s="49"/>
      <c r="B2024" s="24"/>
      <c r="C2024" s="24"/>
      <c r="D2024" s="24"/>
      <c r="E2024" s="24"/>
      <c r="F2024" s="29"/>
      <c r="G2024" s="29"/>
      <c r="H2024" s="29"/>
      <c r="I2024" s="29"/>
      <c r="J2024" s="183"/>
      <c r="K2024" s="29"/>
      <c r="L2024" s="29"/>
      <c r="M2024" s="29"/>
      <c r="N2024" s="29"/>
      <c r="O2024" s="29"/>
      <c r="P2024" s="30"/>
      <c r="Q2024" s="2"/>
    </row>
    <row r="2025" spans="1:17" x14ac:dyDescent="0.2">
      <c r="A2025" s="221" t="s">
        <v>934</v>
      </c>
      <c r="B2025" s="222"/>
      <c r="C2025" s="222"/>
      <c r="D2025" s="222"/>
      <c r="E2025" s="222"/>
      <c r="F2025" s="222"/>
      <c r="G2025" s="222"/>
      <c r="H2025" s="222"/>
      <c r="I2025" s="222"/>
      <c r="J2025" s="223"/>
      <c r="K2025" s="40"/>
      <c r="L2025" s="70" t="s">
        <v>935</v>
      </c>
      <c r="M2025" s="122" t="s">
        <v>61</v>
      </c>
      <c r="N2025" s="240">
        <f>N1934</f>
        <v>0</v>
      </c>
      <c r="O2025" s="241"/>
      <c r="P2025" s="41"/>
      <c r="Q2025" s="2"/>
    </row>
    <row r="2026" spans="1:17" ht="5" customHeight="1" x14ac:dyDescent="0.2">
      <c r="A2026" s="50"/>
      <c r="B2026" s="25"/>
      <c r="C2026" s="25"/>
      <c r="D2026" s="25"/>
      <c r="E2026" s="25"/>
      <c r="F2026" s="31"/>
      <c r="G2026" s="31"/>
      <c r="H2026" s="31"/>
      <c r="I2026" s="31"/>
      <c r="J2026" s="177"/>
      <c r="K2026" s="31"/>
      <c r="L2026" s="31"/>
      <c r="M2026" s="31"/>
      <c r="N2026" s="31"/>
      <c r="O2026" s="31"/>
      <c r="P2026" s="32"/>
      <c r="Q2026" s="2"/>
    </row>
    <row r="2027" spans="1:17" ht="5" customHeight="1" x14ac:dyDescent="0.2">
      <c r="A2027" s="48"/>
      <c r="B2027" s="23"/>
      <c r="C2027" s="23"/>
      <c r="D2027" s="23"/>
      <c r="E2027" s="23"/>
      <c r="F2027" s="33"/>
      <c r="G2027" s="33"/>
      <c r="H2027" s="33"/>
      <c r="I2027" s="33"/>
      <c r="J2027" s="178"/>
      <c r="K2027" s="33"/>
      <c r="L2027" s="33"/>
      <c r="M2027" s="33"/>
      <c r="N2027" s="33"/>
      <c r="O2027" s="33"/>
      <c r="P2027" s="34"/>
      <c r="Q2027" s="38"/>
    </row>
    <row r="2028" spans="1:17" x14ac:dyDescent="0.2">
      <c r="A2028" s="244" t="s">
        <v>800</v>
      </c>
      <c r="B2028" s="245"/>
      <c r="C2028" s="245"/>
      <c r="D2028" s="245"/>
      <c r="E2028" s="245"/>
      <c r="F2028" s="245"/>
      <c r="G2028" s="245"/>
      <c r="H2028" s="245"/>
      <c r="I2028" s="245"/>
      <c r="J2028" s="246"/>
      <c r="K2028" s="27"/>
      <c r="L2028" s="70" t="s">
        <v>795</v>
      </c>
      <c r="M2028" s="186" t="s">
        <v>61</v>
      </c>
      <c r="N2028" s="242">
        <f>MAX(N2022-N2025,0)</f>
        <v>0</v>
      </c>
      <c r="O2028" s="269"/>
      <c r="P2028" s="26"/>
      <c r="Q2028" s="2"/>
    </row>
    <row r="2029" spans="1:17" ht="5" customHeight="1" x14ac:dyDescent="0.2">
      <c r="A2029" s="47"/>
      <c r="B2029" s="21"/>
      <c r="C2029" s="21"/>
      <c r="D2029" s="21"/>
      <c r="E2029" s="21"/>
      <c r="F2029" s="10"/>
      <c r="G2029" s="10"/>
      <c r="H2029" s="10"/>
      <c r="I2029" s="10"/>
      <c r="J2029" s="180"/>
      <c r="K2029" s="10"/>
      <c r="L2029" s="10"/>
      <c r="M2029" s="10"/>
      <c r="N2029" s="10"/>
      <c r="O2029" s="10"/>
      <c r="P2029" s="28"/>
      <c r="Q2029" s="2"/>
    </row>
    <row r="2030" spans="1:17" ht="5" customHeight="1" x14ac:dyDescent="0.2">
      <c r="A2030" s="49"/>
      <c r="B2030" s="24"/>
      <c r="C2030" s="24"/>
      <c r="D2030" s="24"/>
      <c r="E2030" s="24"/>
      <c r="F2030" s="29"/>
      <c r="G2030" s="29"/>
      <c r="H2030" s="29"/>
      <c r="I2030" s="29"/>
      <c r="J2030" s="183"/>
      <c r="K2030" s="29"/>
      <c r="L2030" s="29"/>
      <c r="M2030" s="29"/>
      <c r="N2030" s="29"/>
      <c r="O2030" s="29"/>
      <c r="P2030" s="30"/>
      <c r="Q2030" s="2"/>
    </row>
    <row r="2031" spans="1:17" x14ac:dyDescent="0.2">
      <c r="A2031" s="221" t="s">
        <v>917</v>
      </c>
      <c r="B2031" s="222"/>
      <c r="C2031" s="222"/>
      <c r="D2031" s="222"/>
      <c r="E2031" s="222"/>
      <c r="F2031" s="222"/>
      <c r="G2031" s="222"/>
      <c r="H2031" s="222"/>
      <c r="I2031" s="222"/>
      <c r="J2031" s="223"/>
      <c r="K2031" s="40"/>
      <c r="L2031" s="70" t="s">
        <v>914</v>
      </c>
      <c r="M2031" s="122" t="s">
        <v>61</v>
      </c>
      <c r="N2031" s="240">
        <f>N1978</f>
        <v>0</v>
      </c>
      <c r="O2031" s="241"/>
      <c r="P2031" s="41"/>
      <c r="Q2031" s="2"/>
    </row>
    <row r="2032" spans="1:17" ht="5" customHeight="1" x14ac:dyDescent="0.2">
      <c r="A2032" s="50"/>
      <c r="B2032" s="25"/>
      <c r="C2032" s="25"/>
      <c r="D2032" s="25"/>
      <c r="E2032" s="25"/>
      <c r="F2032" s="31"/>
      <c r="G2032" s="31"/>
      <c r="H2032" s="31"/>
      <c r="I2032" s="31"/>
      <c r="J2032" s="177"/>
      <c r="K2032" s="31"/>
      <c r="L2032" s="31"/>
      <c r="M2032" s="31"/>
      <c r="N2032" s="31"/>
      <c r="O2032" s="31"/>
      <c r="P2032" s="32"/>
      <c r="Q2032" s="2"/>
    </row>
    <row r="2033" spans="1:17" ht="5" customHeight="1" x14ac:dyDescent="0.2">
      <c r="A2033" s="48"/>
      <c r="B2033" s="23"/>
      <c r="C2033" s="23"/>
      <c r="D2033" s="23"/>
      <c r="E2033" s="23"/>
      <c r="F2033" s="33"/>
      <c r="G2033" s="33"/>
      <c r="H2033" s="33"/>
      <c r="I2033" s="33"/>
      <c r="J2033" s="178"/>
      <c r="K2033" s="33"/>
      <c r="L2033" s="33"/>
      <c r="M2033" s="33"/>
      <c r="N2033" s="33"/>
      <c r="O2033" s="33"/>
      <c r="P2033" s="34"/>
      <c r="Q2033" s="38"/>
    </row>
    <row r="2034" spans="1:17" x14ac:dyDescent="0.2">
      <c r="A2034" s="224" t="s">
        <v>918</v>
      </c>
      <c r="B2034" s="225"/>
      <c r="C2034" s="225"/>
      <c r="D2034" s="225"/>
      <c r="E2034" s="225"/>
      <c r="F2034" s="225"/>
      <c r="G2034" s="225"/>
      <c r="H2034" s="225"/>
      <c r="I2034" s="225"/>
      <c r="J2034" s="226"/>
      <c r="K2034" s="27"/>
      <c r="L2034" s="70" t="s">
        <v>915</v>
      </c>
      <c r="M2034" s="186" t="s">
        <v>61</v>
      </c>
      <c r="N2034" s="242">
        <f>N1991</f>
        <v>0</v>
      </c>
      <c r="O2034" s="243"/>
      <c r="P2034" s="26"/>
      <c r="Q2034" s="2"/>
    </row>
    <row r="2035" spans="1:17" ht="5" customHeight="1" x14ac:dyDescent="0.2">
      <c r="A2035" s="47"/>
      <c r="B2035" s="21"/>
      <c r="C2035" s="21"/>
      <c r="D2035" s="21"/>
      <c r="E2035" s="21"/>
      <c r="F2035" s="10"/>
      <c r="G2035" s="10"/>
      <c r="H2035" s="10"/>
      <c r="I2035" s="10"/>
      <c r="J2035" s="180"/>
      <c r="K2035" s="10"/>
      <c r="L2035" s="10"/>
      <c r="M2035" s="10"/>
      <c r="N2035" s="10"/>
      <c r="O2035" s="10"/>
      <c r="P2035" s="28"/>
      <c r="Q2035" s="2"/>
    </row>
    <row r="2036" spans="1:17" ht="5" customHeight="1" x14ac:dyDescent="0.2">
      <c r="A2036" s="49"/>
      <c r="B2036" s="24"/>
      <c r="C2036" s="24"/>
      <c r="D2036" s="24"/>
      <c r="E2036" s="24"/>
      <c r="F2036" s="29"/>
      <c r="G2036" s="29"/>
      <c r="H2036" s="29"/>
      <c r="I2036" s="29"/>
      <c r="J2036" s="183"/>
      <c r="K2036" s="29"/>
      <c r="L2036" s="29"/>
      <c r="M2036" s="29"/>
      <c r="N2036" s="29"/>
      <c r="O2036" s="29"/>
      <c r="P2036" s="30"/>
      <c r="Q2036" s="2"/>
    </row>
    <row r="2037" spans="1:17" x14ac:dyDescent="0.2">
      <c r="A2037" s="221" t="s">
        <v>919</v>
      </c>
      <c r="B2037" s="222"/>
      <c r="C2037" s="222"/>
      <c r="D2037" s="222"/>
      <c r="E2037" s="222"/>
      <c r="F2037" s="222"/>
      <c r="G2037" s="222"/>
      <c r="H2037" s="222"/>
      <c r="I2037" s="222"/>
      <c r="J2037" s="223"/>
      <c r="K2037" s="40"/>
      <c r="L2037" s="70" t="s">
        <v>916</v>
      </c>
      <c r="M2037" s="122" t="s">
        <v>61</v>
      </c>
      <c r="N2037" s="240">
        <f>N1998</f>
        <v>0</v>
      </c>
      <c r="O2037" s="241"/>
      <c r="P2037" s="41"/>
      <c r="Q2037" s="2"/>
    </row>
    <row r="2038" spans="1:17" ht="5" customHeight="1" x14ac:dyDescent="0.2">
      <c r="A2038" s="50"/>
      <c r="B2038" s="25"/>
      <c r="C2038" s="25"/>
      <c r="D2038" s="25"/>
      <c r="E2038" s="25"/>
      <c r="F2038" s="31"/>
      <c r="G2038" s="31"/>
      <c r="H2038" s="31"/>
      <c r="I2038" s="31"/>
      <c r="J2038" s="177"/>
      <c r="K2038" s="31"/>
      <c r="L2038" s="31"/>
      <c r="M2038" s="31"/>
      <c r="N2038" s="31"/>
      <c r="O2038" s="31"/>
      <c r="P2038" s="32"/>
      <c r="Q2038" s="2"/>
    </row>
    <row r="2039" spans="1:17" x14ac:dyDescent="0.2">
      <c r="Q2039" s="2"/>
    </row>
    <row r="2041" spans="1:17" ht="16" x14ac:dyDescent="0.2">
      <c r="A2041" s="231" t="s">
        <v>939</v>
      </c>
      <c r="B2041" s="232"/>
      <c r="C2041" s="232"/>
      <c r="D2041" s="232"/>
      <c r="F2041" s="233"/>
      <c r="G2041" s="233"/>
      <c r="H2041" s="233"/>
      <c r="I2041" s="233"/>
      <c r="J2041" s="233"/>
      <c r="K2041" s="233"/>
      <c r="L2041" s="233"/>
      <c r="M2041" s="233"/>
      <c r="N2041" s="233"/>
      <c r="O2041" s="233"/>
      <c r="P2041" s="233"/>
      <c r="Q2041" s="233"/>
    </row>
    <row r="2042" spans="1:17" ht="5" customHeight="1" x14ac:dyDescent="0.2">
      <c r="A2042" s="1"/>
      <c r="B2042" s="1"/>
      <c r="C2042" s="1"/>
      <c r="D2042" s="1"/>
      <c r="E2042" s="1"/>
      <c r="F2042" s="1"/>
      <c r="G2042" s="1"/>
      <c r="H2042" s="1"/>
      <c r="I2042" s="1"/>
      <c r="J2042" s="1"/>
      <c r="K2042" s="1"/>
      <c r="L2042" s="1"/>
      <c r="M2042" s="1"/>
      <c r="N2042" s="1"/>
      <c r="O2042" s="1"/>
      <c r="P2042" s="1"/>
      <c r="Q2042" s="1"/>
    </row>
    <row r="2043" spans="1:17" ht="5" customHeight="1" x14ac:dyDescent="0.2">
      <c r="Q2043" s="38"/>
    </row>
    <row r="2044" spans="1:17" x14ac:dyDescent="0.2">
      <c r="Q2044" s="38"/>
    </row>
    <row r="2045" spans="1:17" ht="183" customHeight="1" x14ac:dyDescent="0.2">
      <c r="A2045" s="211" t="s">
        <v>940</v>
      </c>
      <c r="B2045" s="212"/>
      <c r="C2045" s="212"/>
      <c r="D2045" s="212"/>
      <c r="E2045" s="212"/>
      <c r="F2045" s="212"/>
      <c r="G2045" s="212"/>
      <c r="H2045" s="212"/>
      <c r="I2045" s="212"/>
      <c r="J2045" s="212"/>
      <c r="K2045" s="212"/>
      <c r="L2045" s="212"/>
      <c r="M2045" s="212"/>
      <c r="N2045" s="212"/>
      <c r="O2045" s="212"/>
      <c r="P2045" s="95"/>
      <c r="Q2045" s="38"/>
    </row>
    <row r="2046" spans="1:17" ht="15" customHeight="1" x14ac:dyDescent="0.2">
      <c r="Q2046" s="38"/>
    </row>
    <row r="2047" spans="1:17" x14ac:dyDescent="0.2">
      <c r="Q2047" s="37"/>
    </row>
    <row r="2048" spans="1:17" ht="16" x14ac:dyDescent="0.2">
      <c r="A2048" s="231" t="s">
        <v>801</v>
      </c>
      <c r="B2048" s="232"/>
      <c r="C2048" s="232"/>
      <c r="D2048" s="232"/>
      <c r="F2048" s="233"/>
      <c r="G2048" s="233"/>
      <c r="H2048" s="233"/>
      <c r="I2048" s="233"/>
      <c r="J2048" s="233"/>
      <c r="K2048" s="233"/>
      <c r="L2048" s="233"/>
      <c r="M2048" s="233"/>
      <c r="N2048" s="233"/>
      <c r="O2048" s="233"/>
      <c r="P2048" s="233"/>
      <c r="Q2048" s="233"/>
    </row>
    <row r="2049" spans="1:17" ht="5" customHeight="1" x14ac:dyDescent="0.2">
      <c r="A2049" s="1"/>
      <c r="B2049" s="1"/>
      <c r="C2049" s="1"/>
      <c r="D2049" s="1"/>
      <c r="E2049" s="1"/>
      <c r="F2049" s="1"/>
      <c r="G2049" s="1"/>
      <c r="H2049" s="1"/>
      <c r="I2049" s="1"/>
      <c r="J2049" s="1"/>
      <c r="K2049" s="1"/>
      <c r="L2049" s="1"/>
      <c r="M2049" s="1"/>
      <c r="N2049" s="1"/>
      <c r="O2049" s="1"/>
      <c r="P2049" s="1"/>
      <c r="Q2049" s="1"/>
    </row>
    <row r="2050" spans="1:17" x14ac:dyDescent="0.2">
      <c r="A2050" s="234" t="s">
        <v>150</v>
      </c>
      <c r="B2050" s="235"/>
      <c r="C2050" s="235"/>
      <c r="D2050" s="235"/>
      <c r="E2050" s="236"/>
      <c r="F2050" s="236"/>
      <c r="G2050" s="236"/>
      <c r="H2050" s="236"/>
      <c r="I2050" s="236"/>
      <c r="J2050" s="236"/>
      <c r="K2050" s="236"/>
      <c r="L2050" s="236"/>
      <c r="M2050" s="236"/>
      <c r="N2050" s="236"/>
      <c r="O2050" s="236"/>
      <c r="P2050" s="236"/>
      <c r="Q2050" s="237"/>
    </row>
    <row r="2051" spans="1:17" ht="5" customHeight="1" x14ac:dyDescent="0.2">
      <c r="Q2051" s="2"/>
    </row>
    <row r="2052" spans="1:17" ht="5" customHeight="1" x14ac:dyDescent="0.2">
      <c r="A2052" s="48"/>
      <c r="B2052" s="23"/>
      <c r="C2052" s="23"/>
      <c r="D2052" s="23"/>
      <c r="E2052" s="23"/>
      <c r="F2052" s="33"/>
      <c r="G2052" s="33"/>
      <c r="H2052" s="33"/>
      <c r="I2052" s="33"/>
      <c r="J2052" s="178"/>
      <c r="K2052" s="33"/>
      <c r="L2052" s="33"/>
      <c r="M2052" s="33"/>
      <c r="N2052" s="33"/>
      <c r="O2052" s="33"/>
      <c r="P2052" s="34"/>
      <c r="Q2052" s="38"/>
    </row>
    <row r="2053" spans="1:17" x14ac:dyDescent="0.2">
      <c r="A2053" s="224" t="s">
        <v>802</v>
      </c>
      <c r="B2053" s="225"/>
      <c r="C2053" s="225"/>
      <c r="D2053" s="225"/>
      <c r="E2053" s="225"/>
      <c r="F2053" s="225"/>
      <c r="G2053" s="225"/>
      <c r="H2053" s="225"/>
      <c r="I2053" s="225"/>
      <c r="J2053" s="226"/>
      <c r="K2053" s="27"/>
      <c r="L2053" s="70">
        <v>1</v>
      </c>
      <c r="M2053" s="67" t="s">
        <v>61</v>
      </c>
      <c r="N2053" s="213">
        <f>N1265</f>
        <v>0</v>
      </c>
      <c r="O2053" s="214"/>
      <c r="P2053" s="26"/>
      <c r="Q2053" s="2"/>
    </row>
    <row r="2054" spans="1:17" ht="5" customHeight="1" x14ac:dyDescent="0.2">
      <c r="A2054" s="47"/>
      <c r="B2054" s="21"/>
      <c r="C2054" s="21"/>
      <c r="D2054" s="21"/>
      <c r="E2054" s="21"/>
      <c r="F2054" s="10"/>
      <c r="G2054" s="10"/>
      <c r="H2054" s="10"/>
      <c r="I2054" s="10"/>
      <c r="J2054" s="180"/>
      <c r="K2054" s="10"/>
      <c r="L2054" s="10"/>
      <c r="M2054" s="10"/>
      <c r="N2054" s="10"/>
      <c r="O2054" s="10"/>
      <c r="P2054" s="28"/>
      <c r="Q2054" s="2"/>
    </row>
    <row r="2055" spans="1:17" ht="5" customHeight="1" x14ac:dyDescent="0.2">
      <c r="Q2055" s="2"/>
    </row>
    <row r="2056" spans="1:17" ht="5" customHeight="1" x14ac:dyDescent="0.2"/>
    <row r="2057" spans="1:17" x14ac:dyDescent="0.2">
      <c r="A2057" s="234" t="s">
        <v>832</v>
      </c>
      <c r="B2057" s="235"/>
      <c r="C2057" s="235"/>
      <c r="D2057" s="235"/>
      <c r="E2057" s="236"/>
      <c r="F2057" s="236"/>
      <c r="G2057" s="236"/>
      <c r="H2057" s="236"/>
      <c r="I2057" s="236"/>
      <c r="J2057" s="236"/>
      <c r="K2057" s="236"/>
      <c r="L2057" s="236"/>
      <c r="M2057" s="236"/>
      <c r="N2057" s="236"/>
      <c r="O2057" s="236"/>
      <c r="P2057" s="236"/>
      <c r="Q2057" s="237"/>
    </row>
    <row r="2058" spans="1:17" ht="5" customHeight="1" x14ac:dyDescent="0.2">
      <c r="Q2058" s="38"/>
    </row>
    <row r="2059" spans="1:17" ht="5" customHeight="1" x14ac:dyDescent="0.2">
      <c r="A2059" s="48"/>
      <c r="B2059" s="23"/>
      <c r="C2059" s="23"/>
      <c r="D2059" s="23"/>
      <c r="E2059" s="23"/>
      <c r="F2059" s="33"/>
      <c r="G2059" s="33"/>
      <c r="H2059" s="33"/>
      <c r="I2059" s="33"/>
      <c r="J2059" s="178"/>
      <c r="K2059" s="33"/>
      <c r="L2059" s="33"/>
      <c r="M2059" s="33"/>
      <c r="N2059" s="33"/>
      <c r="O2059" s="33"/>
      <c r="P2059" s="34"/>
      <c r="Q2059" s="38"/>
    </row>
    <row r="2060" spans="1:17" x14ac:dyDescent="0.2">
      <c r="A2060" s="224" t="s">
        <v>803</v>
      </c>
      <c r="B2060" s="225"/>
      <c r="C2060" s="225"/>
      <c r="D2060" s="225"/>
      <c r="E2060" s="225"/>
      <c r="F2060" s="225"/>
      <c r="G2060" s="225"/>
      <c r="H2060" s="225"/>
      <c r="I2060" s="225"/>
      <c r="J2060" s="226"/>
      <c r="K2060" s="27"/>
      <c r="L2060" s="70">
        <v>3</v>
      </c>
      <c r="M2060" s="186" t="s">
        <v>61</v>
      </c>
      <c r="N2060" s="242">
        <f>N2010</f>
        <v>0</v>
      </c>
      <c r="O2060" s="243"/>
      <c r="P2060" s="26"/>
      <c r="Q2060" s="2"/>
    </row>
    <row r="2061" spans="1:17" ht="5" customHeight="1" x14ac:dyDescent="0.2">
      <c r="A2061" s="47"/>
      <c r="B2061" s="21"/>
      <c r="C2061" s="21"/>
      <c r="D2061" s="21"/>
      <c r="E2061" s="21"/>
      <c r="F2061" s="10"/>
      <c r="G2061" s="10"/>
      <c r="H2061" s="10"/>
      <c r="I2061" s="10"/>
      <c r="J2061" s="180"/>
      <c r="K2061" s="10"/>
      <c r="L2061" s="10"/>
      <c r="M2061" s="10"/>
      <c r="N2061" s="10"/>
      <c r="O2061" s="10"/>
      <c r="P2061" s="28"/>
      <c r="Q2061" s="2"/>
    </row>
    <row r="2062" spans="1:17" ht="5" customHeight="1" x14ac:dyDescent="0.2">
      <c r="A2062" s="49"/>
      <c r="B2062" s="24"/>
      <c r="C2062" s="24"/>
      <c r="D2062" s="24"/>
      <c r="E2062" s="24"/>
      <c r="F2062" s="29"/>
      <c r="G2062" s="29"/>
      <c r="H2062" s="29"/>
      <c r="I2062" s="29"/>
      <c r="J2062" s="183"/>
      <c r="K2062" s="29"/>
      <c r="L2062" s="29"/>
      <c r="M2062" s="29"/>
      <c r="N2062" s="29"/>
      <c r="O2062" s="29"/>
      <c r="P2062" s="30"/>
      <c r="Q2062" s="2"/>
    </row>
    <row r="2063" spans="1:17" x14ac:dyDescent="0.2">
      <c r="A2063" s="221" t="s">
        <v>804</v>
      </c>
      <c r="B2063" s="222"/>
      <c r="C2063" s="222"/>
      <c r="D2063" s="222"/>
      <c r="E2063" s="222"/>
      <c r="F2063" s="222"/>
      <c r="G2063" s="222"/>
      <c r="H2063" s="222"/>
      <c r="I2063" s="222"/>
      <c r="J2063" s="223"/>
      <c r="K2063" s="40"/>
      <c r="L2063" s="70">
        <v>4</v>
      </c>
      <c r="M2063" s="107" t="s">
        <v>61</v>
      </c>
      <c r="N2063" s="240">
        <f>N2013</f>
        <v>0</v>
      </c>
      <c r="O2063" s="241"/>
      <c r="P2063" s="41"/>
      <c r="Q2063" s="2"/>
    </row>
    <row r="2064" spans="1:17" ht="5" customHeight="1" x14ac:dyDescent="0.2">
      <c r="A2064" s="50"/>
      <c r="B2064" s="25"/>
      <c r="C2064" s="25"/>
      <c r="D2064" s="25"/>
      <c r="E2064" s="25"/>
      <c r="F2064" s="31"/>
      <c r="G2064" s="31"/>
      <c r="H2064" s="31"/>
      <c r="I2064" s="31"/>
      <c r="J2064" s="177"/>
      <c r="K2064" s="31"/>
      <c r="L2064" s="31"/>
      <c r="M2064" s="31"/>
      <c r="N2064" s="31"/>
      <c r="O2064" s="31"/>
      <c r="P2064" s="32"/>
      <c r="Q2064" s="2"/>
    </row>
    <row r="2065" spans="1:17" ht="5" customHeight="1" x14ac:dyDescent="0.2">
      <c r="A2065" s="48"/>
      <c r="B2065" s="23"/>
      <c r="C2065" s="23"/>
      <c r="D2065" s="23"/>
      <c r="E2065" s="23"/>
      <c r="F2065" s="33"/>
      <c r="G2065" s="33"/>
      <c r="H2065" s="33"/>
      <c r="I2065" s="33"/>
      <c r="J2065" s="178"/>
      <c r="K2065" s="33"/>
      <c r="L2065" s="33"/>
      <c r="M2065" s="33"/>
      <c r="N2065" s="33"/>
      <c r="O2065" s="33"/>
      <c r="P2065" s="34"/>
      <c r="Q2065" s="2"/>
    </row>
    <row r="2066" spans="1:17" x14ac:dyDescent="0.2">
      <c r="A2066" s="224" t="s">
        <v>805</v>
      </c>
      <c r="B2066" s="225"/>
      <c r="C2066" s="225"/>
      <c r="D2066" s="225"/>
      <c r="E2066" s="225"/>
      <c r="F2066" s="225"/>
      <c r="G2066" s="225"/>
      <c r="H2066" s="225"/>
      <c r="I2066" s="225"/>
      <c r="J2066" s="226"/>
      <c r="K2066" s="27"/>
      <c r="L2066" s="70">
        <v>5</v>
      </c>
      <c r="M2066" s="186" t="s">
        <v>61</v>
      </c>
      <c r="N2066" s="242">
        <f>N2060-N2063</f>
        <v>0</v>
      </c>
      <c r="O2066" s="243"/>
      <c r="P2066" s="26"/>
      <c r="Q2066" s="2"/>
    </row>
    <row r="2067" spans="1:17" ht="5" customHeight="1" x14ac:dyDescent="0.2">
      <c r="A2067" s="47"/>
      <c r="B2067" s="21"/>
      <c r="C2067" s="21"/>
      <c r="D2067" s="21"/>
      <c r="E2067" s="21"/>
      <c r="F2067" s="10"/>
      <c r="G2067" s="10"/>
      <c r="H2067" s="10"/>
      <c r="I2067" s="10"/>
      <c r="J2067" s="180"/>
      <c r="K2067" s="10"/>
      <c r="L2067" s="10"/>
      <c r="M2067" s="10"/>
      <c r="N2067" s="10"/>
      <c r="O2067" s="10"/>
      <c r="P2067" s="28"/>
      <c r="Q2067" s="2"/>
    </row>
    <row r="2068" spans="1:17" ht="5" customHeight="1" x14ac:dyDescent="0.2">
      <c r="A2068" s="49"/>
      <c r="B2068" s="24"/>
      <c r="C2068" s="24"/>
      <c r="D2068" s="24"/>
      <c r="E2068" s="24"/>
      <c r="F2068" s="29"/>
      <c r="G2068" s="29"/>
      <c r="H2068" s="29"/>
      <c r="I2068" s="29"/>
      <c r="J2068" s="183"/>
      <c r="K2068" s="29"/>
      <c r="L2068" s="29"/>
      <c r="M2068" s="29"/>
      <c r="N2068" s="29"/>
      <c r="O2068" s="29"/>
      <c r="P2068" s="30"/>
      <c r="Q2068" s="2"/>
    </row>
    <row r="2069" spans="1:17" ht="25.5" customHeight="1" x14ac:dyDescent="0.2">
      <c r="A2069" s="265" t="s">
        <v>806</v>
      </c>
      <c r="B2069" s="222"/>
      <c r="C2069" s="222"/>
      <c r="D2069" s="222"/>
      <c r="E2069" s="222"/>
      <c r="F2069" s="222"/>
      <c r="G2069" s="222"/>
      <c r="H2069" s="222"/>
      <c r="I2069" s="222"/>
      <c r="J2069" s="223"/>
      <c r="K2069" s="40"/>
      <c r="L2069" s="70">
        <v>6</v>
      </c>
      <c r="M2069" s="107" t="s">
        <v>61</v>
      </c>
      <c r="N2069" s="240">
        <f>N2019</f>
        <v>0</v>
      </c>
      <c r="O2069" s="241"/>
      <c r="P2069" s="41"/>
      <c r="Q2069" s="2"/>
    </row>
    <row r="2070" spans="1:17" ht="5" customHeight="1" x14ac:dyDescent="0.2">
      <c r="A2070" s="50"/>
      <c r="B2070" s="25"/>
      <c r="C2070" s="25"/>
      <c r="D2070" s="25"/>
      <c r="E2070" s="25"/>
      <c r="F2070" s="31"/>
      <c r="G2070" s="31"/>
      <c r="H2070" s="31"/>
      <c r="I2070" s="31"/>
      <c r="J2070" s="177"/>
      <c r="K2070" s="31"/>
      <c r="L2070" s="31"/>
      <c r="M2070" s="31"/>
      <c r="N2070" s="31"/>
      <c r="O2070" s="31"/>
      <c r="P2070" s="32"/>
      <c r="Q2070" s="2"/>
    </row>
    <row r="2071" spans="1:17" ht="5" customHeight="1" x14ac:dyDescent="0.2">
      <c r="A2071" s="48"/>
      <c r="B2071" s="23"/>
      <c r="C2071" s="23"/>
      <c r="D2071" s="23"/>
      <c r="E2071" s="23"/>
      <c r="F2071" s="33"/>
      <c r="G2071" s="33"/>
      <c r="H2071" s="33"/>
      <c r="I2071" s="33"/>
      <c r="J2071" s="178"/>
      <c r="K2071" s="33"/>
      <c r="L2071" s="33"/>
      <c r="M2071" s="33"/>
      <c r="N2071" s="33"/>
      <c r="O2071" s="33"/>
      <c r="P2071" s="34"/>
      <c r="Q2071" s="38"/>
    </row>
    <row r="2072" spans="1:17" ht="15" customHeight="1" x14ac:dyDescent="0.25">
      <c r="A2072" s="141"/>
      <c r="B2072" s="20"/>
      <c r="C2072" s="20"/>
      <c r="D2072" s="20"/>
      <c r="E2072" s="20"/>
      <c r="F2072" s="27"/>
      <c r="G2072" s="27"/>
      <c r="H2072" s="27"/>
      <c r="I2072" s="27"/>
      <c r="J2072" s="179"/>
      <c r="K2072" s="260" t="s">
        <v>449</v>
      </c>
      <c r="L2072" s="261"/>
      <c r="M2072" s="261"/>
      <c r="N2072" s="261"/>
      <c r="O2072" s="261"/>
      <c r="P2072" s="262"/>
      <c r="Q2072" s="38"/>
    </row>
    <row r="2073" spans="1:17" x14ac:dyDescent="0.2">
      <c r="A2073" s="224" t="s">
        <v>807</v>
      </c>
      <c r="B2073" s="225"/>
      <c r="C2073" s="225"/>
      <c r="D2073" s="225"/>
      <c r="E2073" s="225"/>
      <c r="F2073" s="225"/>
      <c r="G2073" s="225"/>
      <c r="H2073" s="225"/>
      <c r="I2073" s="225"/>
      <c r="J2073" s="226"/>
      <c r="K2073" s="27"/>
      <c r="L2073" s="70">
        <v>11</v>
      </c>
      <c r="M2073" s="67" t="s">
        <v>61</v>
      </c>
      <c r="N2073" s="213"/>
      <c r="O2073" s="214"/>
      <c r="P2073" s="26"/>
      <c r="Q2073" s="2"/>
    </row>
    <row r="2074" spans="1:17" ht="5" customHeight="1" x14ac:dyDescent="0.2">
      <c r="A2074" s="47"/>
      <c r="B2074" s="21"/>
      <c r="C2074" s="21"/>
      <c r="D2074" s="21"/>
      <c r="E2074" s="21"/>
      <c r="F2074" s="10"/>
      <c r="G2074" s="10"/>
      <c r="H2074" s="10"/>
      <c r="I2074" s="10"/>
      <c r="J2074" s="180"/>
      <c r="K2074" s="10"/>
      <c r="L2074" s="10"/>
      <c r="M2074" s="10"/>
      <c r="N2074" s="10"/>
      <c r="O2074" s="10"/>
      <c r="P2074" s="28"/>
      <c r="Q2074" s="2"/>
    </row>
    <row r="2075" spans="1:17" ht="5" customHeight="1" x14ac:dyDescent="0.2">
      <c r="A2075" s="49"/>
      <c r="B2075" s="24"/>
      <c r="C2075" s="24"/>
      <c r="D2075" s="24"/>
      <c r="E2075" s="24"/>
      <c r="F2075" s="29"/>
      <c r="G2075" s="29"/>
      <c r="H2075" s="29"/>
      <c r="I2075" s="29"/>
      <c r="J2075" s="183"/>
      <c r="K2075" s="29"/>
      <c r="L2075" s="29"/>
      <c r="M2075" s="29"/>
      <c r="N2075" s="29"/>
      <c r="O2075" s="29"/>
      <c r="P2075" s="30"/>
      <c r="Q2075" s="2"/>
    </row>
    <row r="2076" spans="1:17" ht="15" customHeight="1" x14ac:dyDescent="0.25">
      <c r="A2076" s="61"/>
      <c r="B2076" s="22"/>
      <c r="C2076" s="22"/>
      <c r="D2076" s="22"/>
      <c r="E2076" s="22"/>
      <c r="F2076" s="40"/>
      <c r="G2076" s="40"/>
      <c r="H2076" s="40"/>
      <c r="I2076" s="40"/>
      <c r="J2076" s="176"/>
      <c r="K2076" s="252" t="s">
        <v>449</v>
      </c>
      <c r="L2076" s="253"/>
      <c r="M2076" s="253"/>
      <c r="N2076" s="253"/>
      <c r="O2076" s="253"/>
      <c r="P2076" s="254"/>
      <c r="Q2076" s="2"/>
    </row>
    <row r="2077" spans="1:17" x14ac:dyDescent="0.2">
      <c r="A2077" s="221" t="s">
        <v>808</v>
      </c>
      <c r="B2077" s="222"/>
      <c r="C2077" s="222"/>
      <c r="D2077" s="222"/>
      <c r="E2077" s="222"/>
      <c r="F2077" s="222"/>
      <c r="G2077" s="222"/>
      <c r="H2077" s="222"/>
      <c r="I2077" s="222"/>
      <c r="J2077" s="223"/>
      <c r="K2077" s="40"/>
      <c r="L2077" s="70">
        <v>14</v>
      </c>
      <c r="M2077" s="67" t="s">
        <v>61</v>
      </c>
      <c r="N2077" s="213"/>
      <c r="O2077" s="214"/>
      <c r="P2077" s="41"/>
      <c r="Q2077" s="2"/>
    </row>
    <row r="2078" spans="1:17" ht="5" customHeight="1" x14ac:dyDescent="0.2">
      <c r="A2078" s="50"/>
      <c r="B2078" s="25"/>
      <c r="C2078" s="25"/>
      <c r="D2078" s="25"/>
      <c r="E2078" s="25"/>
      <c r="F2078" s="31"/>
      <c r="G2078" s="31"/>
      <c r="H2078" s="31"/>
      <c r="I2078" s="31"/>
      <c r="J2078" s="177"/>
      <c r="K2078" s="31"/>
      <c r="L2078" s="31"/>
      <c r="M2078" s="31"/>
      <c r="N2078" s="31"/>
      <c r="O2078" s="31"/>
      <c r="P2078" s="32"/>
      <c r="Q2078" s="2"/>
    </row>
    <row r="2079" spans="1:17" x14ac:dyDescent="0.2">
      <c r="Q2079" s="2"/>
    </row>
    <row r="2081" spans="1:17" ht="16" x14ac:dyDescent="0.2">
      <c r="A2081" s="231" t="s">
        <v>809</v>
      </c>
      <c r="B2081" s="232"/>
      <c r="C2081" s="232"/>
      <c r="D2081" s="232"/>
      <c r="F2081" s="233"/>
      <c r="G2081" s="233"/>
      <c r="H2081" s="233"/>
      <c r="I2081" s="233"/>
      <c r="J2081" s="233"/>
      <c r="K2081" s="233"/>
      <c r="L2081" s="233"/>
      <c r="M2081" s="233"/>
      <c r="N2081" s="233"/>
      <c r="O2081" s="233"/>
      <c r="P2081" s="233"/>
      <c r="Q2081" s="233"/>
    </row>
    <row r="2082" spans="1:17" ht="5" customHeight="1" x14ac:dyDescent="0.2">
      <c r="A2082" s="1"/>
      <c r="B2082" s="1"/>
      <c r="C2082" s="1"/>
      <c r="D2082" s="1"/>
      <c r="E2082" s="1"/>
      <c r="F2082" s="1"/>
      <c r="G2082" s="1"/>
      <c r="H2082" s="1"/>
      <c r="I2082" s="1"/>
      <c r="J2082" s="1"/>
      <c r="K2082" s="1"/>
      <c r="L2082" s="1"/>
      <c r="M2082" s="1"/>
      <c r="N2082" s="1"/>
      <c r="O2082" s="1"/>
      <c r="P2082" s="1"/>
      <c r="Q2082" s="1"/>
    </row>
    <row r="2083" spans="1:17" x14ac:dyDescent="0.2">
      <c r="Q2083" s="38"/>
    </row>
    <row r="2084" spans="1:17" ht="5" customHeight="1" x14ac:dyDescent="0.2">
      <c r="A2084" s="48"/>
      <c r="B2084" s="23"/>
      <c r="C2084" s="23"/>
      <c r="D2084" s="23"/>
      <c r="E2084" s="23"/>
      <c r="F2084" s="33"/>
      <c r="G2084" s="33"/>
      <c r="H2084" s="33"/>
      <c r="I2084" s="33"/>
      <c r="J2084" s="178"/>
      <c r="K2084" s="33"/>
      <c r="L2084" s="33"/>
      <c r="M2084" s="33"/>
      <c r="N2084" s="33"/>
      <c r="O2084" s="33"/>
      <c r="P2084" s="34"/>
      <c r="Q2084" s="38"/>
    </row>
    <row r="2085" spans="1:17" x14ac:dyDescent="0.2">
      <c r="A2085" s="224" t="s">
        <v>810</v>
      </c>
      <c r="B2085" s="225"/>
      <c r="C2085" s="225"/>
      <c r="D2085" s="225"/>
      <c r="E2085" s="225"/>
      <c r="F2085" s="225"/>
      <c r="G2085" s="225"/>
      <c r="H2085" s="225"/>
      <c r="I2085" s="225"/>
      <c r="J2085" s="226"/>
      <c r="K2085" s="27"/>
      <c r="L2085" s="70">
        <v>21</v>
      </c>
      <c r="M2085" s="186" t="s">
        <v>61</v>
      </c>
      <c r="N2085" s="242">
        <f>SUM(N2066,N2069,N2073,N2077)</f>
        <v>0</v>
      </c>
      <c r="O2085" s="243"/>
      <c r="P2085" s="26"/>
      <c r="Q2085" s="2"/>
    </row>
    <row r="2086" spans="1:17" ht="5" customHeight="1" x14ac:dyDescent="0.2">
      <c r="A2086" s="47"/>
      <c r="B2086" s="21"/>
      <c r="C2086" s="21"/>
      <c r="D2086" s="21"/>
      <c r="E2086" s="21"/>
      <c r="F2086" s="10"/>
      <c r="G2086" s="10"/>
      <c r="H2086" s="10"/>
      <c r="I2086" s="10"/>
      <c r="J2086" s="180"/>
      <c r="K2086" s="10"/>
      <c r="L2086" s="10"/>
      <c r="M2086" s="10"/>
      <c r="N2086" s="10"/>
      <c r="O2086" s="10"/>
      <c r="P2086" s="28"/>
      <c r="Q2086" s="2"/>
    </row>
    <row r="2087" spans="1:17" ht="5" customHeight="1" x14ac:dyDescent="0.2">
      <c r="Q2087" s="38"/>
    </row>
    <row r="2088" spans="1:17" ht="38.25" customHeight="1" x14ac:dyDescent="0.2">
      <c r="A2088" s="211" t="s">
        <v>811</v>
      </c>
      <c r="B2088" s="212"/>
      <c r="C2088" s="212"/>
      <c r="D2088" s="212"/>
      <c r="E2088" s="212"/>
      <c r="F2088" s="212"/>
      <c r="G2088" s="212"/>
      <c r="H2088" s="212"/>
      <c r="I2088" s="212"/>
      <c r="J2088" s="212"/>
      <c r="K2088" s="212"/>
      <c r="L2088" s="212"/>
      <c r="M2088" s="212"/>
      <c r="N2088" s="212"/>
      <c r="O2088" s="212"/>
      <c r="P2088" s="37"/>
      <c r="Q2088" s="38"/>
    </row>
    <row r="2089" spans="1:17" x14ac:dyDescent="0.2">
      <c r="Q2089" s="38"/>
    </row>
    <row r="2090" spans="1:17" ht="26.25" customHeight="1" x14ac:dyDescent="0.2">
      <c r="A2090" s="211" t="s">
        <v>812</v>
      </c>
      <c r="B2090" s="212"/>
      <c r="C2090" s="212"/>
      <c r="D2090" s="212"/>
      <c r="E2090" s="212"/>
      <c r="F2090" s="212"/>
      <c r="G2090" s="212"/>
      <c r="H2090" s="212"/>
      <c r="I2090" s="212"/>
      <c r="J2090" s="212"/>
      <c r="K2090" s="212"/>
      <c r="L2090" s="212"/>
      <c r="M2090" s="212"/>
      <c r="N2090" s="212"/>
      <c r="O2090" s="212"/>
      <c r="P2090" s="37"/>
      <c r="Q2090" s="38"/>
    </row>
    <row r="2091" spans="1:17" x14ac:dyDescent="0.2">
      <c r="Q2091" s="38"/>
    </row>
    <row r="2092" spans="1:17" ht="15" customHeight="1" x14ac:dyDescent="0.25">
      <c r="A2092" s="252" t="s">
        <v>942</v>
      </c>
      <c r="B2092" s="253"/>
      <c r="C2092" s="253"/>
      <c r="D2092" s="253"/>
      <c r="E2092" s="253"/>
      <c r="F2092" s="253"/>
      <c r="G2092" s="253"/>
      <c r="H2092" s="253"/>
      <c r="I2092" s="253"/>
      <c r="J2092" s="253"/>
      <c r="K2092" s="253"/>
      <c r="L2092" s="253"/>
      <c r="M2092" s="253"/>
      <c r="N2092" s="253"/>
      <c r="O2092" s="253"/>
      <c r="P2092" s="253"/>
      <c r="Q2092" s="2"/>
    </row>
    <row r="2093" spans="1:17" ht="15" customHeight="1" x14ac:dyDescent="0.2">
      <c r="A2093" s="266" t="s">
        <v>813</v>
      </c>
      <c r="B2093" s="266"/>
      <c r="C2093" s="266"/>
      <c r="D2093" s="266"/>
      <c r="E2093" s="266"/>
      <c r="F2093" s="266"/>
      <c r="G2093" s="266"/>
      <c r="H2093" s="266"/>
      <c r="I2093" s="266"/>
      <c r="J2093" s="58" t="s">
        <v>31</v>
      </c>
      <c r="K2093" s="59"/>
      <c r="L2093" s="263" t="s">
        <v>29</v>
      </c>
      <c r="M2093" s="264"/>
      <c r="N2093" s="60" t="s">
        <v>32</v>
      </c>
      <c r="O2093" s="59" t="s">
        <v>30</v>
      </c>
      <c r="Q2093" s="38"/>
    </row>
    <row r="2094" spans="1:17" x14ac:dyDescent="0.2">
      <c r="Q2094" s="38"/>
    </row>
    <row r="2095" spans="1:17" ht="5" customHeight="1" x14ac:dyDescent="0.2">
      <c r="A2095" s="48"/>
      <c r="B2095" s="23"/>
      <c r="C2095" s="23"/>
      <c r="D2095" s="23"/>
      <c r="E2095" s="23"/>
      <c r="F2095" s="33"/>
      <c r="G2095" s="33"/>
      <c r="H2095" s="33"/>
      <c r="I2095" s="33"/>
      <c r="J2095" s="178"/>
      <c r="K2095" s="33"/>
      <c r="L2095" s="33"/>
      <c r="M2095" s="33"/>
      <c r="N2095" s="33"/>
      <c r="O2095" s="33"/>
      <c r="P2095" s="34"/>
      <c r="Q2095" s="38"/>
    </row>
    <row r="2096" spans="1:17" ht="15" customHeight="1" x14ac:dyDescent="0.25">
      <c r="A2096" s="141"/>
      <c r="B2096" s="20"/>
      <c r="C2096" s="20"/>
      <c r="D2096" s="20"/>
      <c r="E2096" s="20"/>
      <c r="F2096" s="27"/>
      <c r="G2096" s="27"/>
      <c r="H2096" s="27"/>
      <c r="I2096" s="27"/>
      <c r="J2096" s="179"/>
      <c r="K2096" s="260" t="s">
        <v>449</v>
      </c>
      <c r="L2096" s="261"/>
      <c r="M2096" s="261"/>
      <c r="N2096" s="261"/>
      <c r="O2096" s="261"/>
      <c r="P2096" s="262"/>
      <c r="Q2096" s="38"/>
    </row>
    <row r="2097" spans="1:17" ht="27" customHeight="1" x14ac:dyDescent="0.2">
      <c r="A2097" s="255" t="s">
        <v>941</v>
      </c>
      <c r="B2097" s="256"/>
      <c r="C2097" s="256"/>
      <c r="D2097" s="256"/>
      <c r="E2097" s="256"/>
      <c r="F2097" s="256"/>
      <c r="G2097" s="256"/>
      <c r="H2097" s="256"/>
      <c r="I2097" s="256"/>
      <c r="J2097" s="257"/>
      <c r="K2097" s="27"/>
      <c r="L2097" s="70">
        <v>24</v>
      </c>
      <c r="M2097" s="120" t="s">
        <v>61</v>
      </c>
      <c r="N2097" s="258"/>
      <c r="O2097" s="259"/>
      <c r="P2097" s="26"/>
      <c r="Q2097" s="2"/>
    </row>
    <row r="2098" spans="1:17" ht="5" customHeight="1" x14ac:dyDescent="0.2">
      <c r="A2098" s="47"/>
      <c r="B2098" s="21"/>
      <c r="C2098" s="21"/>
      <c r="D2098" s="21"/>
      <c r="E2098" s="21"/>
      <c r="F2098" s="10"/>
      <c r="G2098" s="10"/>
      <c r="H2098" s="10"/>
      <c r="I2098" s="10"/>
      <c r="J2098" s="180"/>
      <c r="K2098" s="10"/>
      <c r="L2098" s="10"/>
      <c r="M2098" s="10"/>
      <c r="N2098" s="10"/>
      <c r="O2098" s="10"/>
      <c r="P2098" s="28"/>
      <c r="Q2098" s="2"/>
    </row>
    <row r="2099" spans="1:17" ht="5" customHeight="1" x14ac:dyDescent="0.2">
      <c r="A2099" s="49"/>
      <c r="B2099" s="24"/>
      <c r="C2099" s="24"/>
      <c r="D2099" s="24"/>
      <c r="E2099" s="24"/>
      <c r="F2099" s="29"/>
      <c r="G2099" s="29"/>
      <c r="H2099" s="29"/>
      <c r="I2099" s="29"/>
      <c r="J2099" s="183"/>
      <c r="K2099" s="29"/>
      <c r="L2099" s="29"/>
      <c r="M2099" s="29"/>
      <c r="N2099" s="29"/>
      <c r="O2099" s="29"/>
      <c r="P2099" s="30"/>
      <c r="Q2099" s="2"/>
    </row>
    <row r="2100" spans="1:17" x14ac:dyDescent="0.2">
      <c r="A2100" s="221" t="s">
        <v>943</v>
      </c>
      <c r="B2100" s="222"/>
      <c r="C2100" s="222"/>
      <c r="D2100" s="222"/>
      <c r="E2100" s="222"/>
      <c r="F2100" s="222"/>
      <c r="G2100" s="222"/>
      <c r="H2100" s="222"/>
      <c r="I2100" s="222"/>
      <c r="J2100" s="223"/>
      <c r="K2100" s="40"/>
      <c r="L2100" s="70">
        <v>30</v>
      </c>
      <c r="M2100" s="107" t="s">
        <v>61</v>
      </c>
      <c r="N2100" s="240">
        <f>N2025</f>
        <v>0</v>
      </c>
      <c r="O2100" s="241"/>
      <c r="P2100" s="41"/>
      <c r="Q2100" s="2"/>
    </row>
    <row r="2101" spans="1:17" ht="5" customHeight="1" x14ac:dyDescent="0.2">
      <c r="A2101" s="50"/>
      <c r="B2101" s="25"/>
      <c r="C2101" s="25"/>
      <c r="D2101" s="25"/>
      <c r="E2101" s="25"/>
      <c r="F2101" s="31"/>
      <c r="G2101" s="31"/>
      <c r="H2101" s="31"/>
      <c r="I2101" s="31"/>
      <c r="J2101" s="177"/>
      <c r="K2101" s="31"/>
      <c r="L2101" s="31"/>
      <c r="M2101" s="31"/>
      <c r="N2101" s="31"/>
      <c r="O2101" s="31"/>
      <c r="P2101" s="32"/>
      <c r="Q2101" s="2"/>
    </row>
    <row r="2102" spans="1:17" ht="5" customHeight="1" x14ac:dyDescent="0.2">
      <c r="A2102" s="48"/>
      <c r="B2102" s="23"/>
      <c r="C2102" s="23"/>
      <c r="D2102" s="23"/>
      <c r="E2102" s="23"/>
      <c r="F2102" s="33"/>
      <c r="G2102" s="33"/>
      <c r="H2102" s="33"/>
      <c r="I2102" s="33"/>
      <c r="J2102" s="178"/>
      <c r="K2102" s="33"/>
      <c r="L2102" s="33"/>
      <c r="M2102" s="33"/>
      <c r="N2102" s="33"/>
      <c r="O2102" s="33"/>
      <c r="P2102" s="34"/>
      <c r="Q2102" s="2"/>
    </row>
    <row r="2103" spans="1:17" x14ac:dyDescent="0.2">
      <c r="A2103" s="224" t="s">
        <v>944</v>
      </c>
      <c r="B2103" s="225"/>
      <c r="C2103" s="225"/>
      <c r="D2103" s="225"/>
      <c r="E2103" s="225"/>
      <c r="F2103" s="225"/>
      <c r="G2103" s="225"/>
      <c r="H2103" s="225"/>
      <c r="I2103" s="225"/>
      <c r="J2103" s="226"/>
      <c r="K2103" s="206" t="s">
        <v>31</v>
      </c>
      <c r="L2103" s="70">
        <v>31</v>
      </c>
      <c r="M2103" s="201" t="s">
        <v>32</v>
      </c>
      <c r="N2103" s="202" t="s">
        <v>29</v>
      </c>
      <c r="O2103" s="202" t="s">
        <v>30</v>
      </c>
      <c r="P2103" s="26"/>
      <c r="Q2103" s="2"/>
    </row>
    <row r="2104" spans="1:17" ht="5" customHeight="1" x14ac:dyDescent="0.2">
      <c r="A2104" s="47"/>
      <c r="B2104" s="21"/>
      <c r="C2104" s="21"/>
      <c r="D2104" s="21"/>
      <c r="E2104" s="21"/>
      <c r="F2104" s="10"/>
      <c r="G2104" s="10"/>
      <c r="H2104" s="10"/>
      <c r="I2104" s="10"/>
      <c r="J2104" s="180"/>
      <c r="K2104" s="10"/>
      <c r="L2104" s="10"/>
      <c r="M2104" s="10"/>
      <c r="N2104" s="10"/>
      <c r="O2104" s="10"/>
      <c r="P2104" s="28"/>
      <c r="Q2104" s="2"/>
    </row>
    <row r="2105" spans="1:17" ht="5" customHeight="1" x14ac:dyDescent="0.2">
      <c r="A2105" s="49"/>
      <c r="B2105" s="24"/>
      <c r="C2105" s="24"/>
      <c r="D2105" s="24"/>
      <c r="E2105" s="24"/>
      <c r="F2105" s="29"/>
      <c r="G2105" s="29"/>
      <c r="H2105" s="29"/>
      <c r="I2105" s="29"/>
      <c r="J2105" s="183"/>
      <c r="K2105" s="29"/>
      <c r="L2105" s="29"/>
      <c r="M2105" s="29"/>
      <c r="N2105" s="29"/>
      <c r="O2105" s="29"/>
      <c r="P2105" s="30"/>
      <c r="Q2105" s="2"/>
    </row>
    <row r="2106" spans="1:17" ht="15" customHeight="1" x14ac:dyDescent="0.25">
      <c r="A2106" s="61"/>
      <c r="B2106" s="22"/>
      <c r="C2106" s="22"/>
      <c r="D2106" s="22"/>
      <c r="E2106" s="22"/>
      <c r="F2106" s="40"/>
      <c r="G2106" s="40"/>
      <c r="H2106" s="40"/>
      <c r="I2106" s="40"/>
      <c r="J2106" s="176"/>
      <c r="K2106" s="252" t="s">
        <v>449</v>
      </c>
      <c r="L2106" s="253"/>
      <c r="M2106" s="253"/>
      <c r="N2106" s="253"/>
      <c r="O2106" s="253"/>
      <c r="P2106" s="254"/>
      <c r="Q2106" s="38"/>
    </row>
    <row r="2107" spans="1:17" ht="25.5" customHeight="1" x14ac:dyDescent="0.2">
      <c r="A2107" s="265" t="s">
        <v>945</v>
      </c>
      <c r="B2107" s="222"/>
      <c r="C2107" s="222"/>
      <c r="D2107" s="222"/>
      <c r="E2107" s="222"/>
      <c r="F2107" s="222"/>
      <c r="G2107" s="222"/>
      <c r="H2107" s="222"/>
      <c r="I2107" s="222"/>
      <c r="J2107" s="223"/>
      <c r="K2107" s="40"/>
      <c r="L2107" s="70">
        <v>32</v>
      </c>
      <c r="M2107" s="107" t="s">
        <v>61</v>
      </c>
      <c r="N2107" s="240">
        <f>N2056</f>
        <v>0</v>
      </c>
      <c r="O2107" s="241"/>
      <c r="P2107" s="41"/>
      <c r="Q2107" s="2"/>
    </row>
    <row r="2108" spans="1:17" ht="5" customHeight="1" x14ac:dyDescent="0.2">
      <c r="A2108" s="50"/>
      <c r="B2108" s="25"/>
      <c r="C2108" s="25"/>
      <c r="D2108" s="25"/>
      <c r="E2108" s="25"/>
      <c r="F2108" s="31"/>
      <c r="G2108" s="31"/>
      <c r="H2108" s="31"/>
      <c r="I2108" s="31"/>
      <c r="J2108" s="177"/>
      <c r="K2108" s="31"/>
      <c r="L2108" s="31"/>
      <c r="M2108" s="31"/>
      <c r="N2108" s="31"/>
      <c r="O2108" s="31"/>
      <c r="P2108" s="32"/>
      <c r="Q2108" s="2"/>
    </row>
    <row r="2109" spans="1:17" ht="5" customHeight="1" x14ac:dyDescent="0.2">
      <c r="A2109" s="48"/>
      <c r="B2109" s="23"/>
      <c r="C2109" s="23"/>
      <c r="D2109" s="23"/>
      <c r="E2109" s="23"/>
      <c r="F2109" s="33"/>
      <c r="G2109" s="33"/>
      <c r="H2109" s="33"/>
      <c r="I2109" s="33"/>
      <c r="J2109" s="178"/>
      <c r="K2109" s="33"/>
      <c r="L2109" s="33"/>
      <c r="M2109" s="33"/>
      <c r="N2109" s="33"/>
      <c r="O2109" s="33"/>
      <c r="P2109" s="34"/>
      <c r="Q2109" s="38"/>
    </row>
    <row r="2110" spans="1:17" ht="15" customHeight="1" x14ac:dyDescent="0.25">
      <c r="A2110" s="141"/>
      <c r="B2110" s="20"/>
      <c r="C2110" s="20"/>
      <c r="D2110" s="20"/>
      <c r="E2110" s="20"/>
      <c r="F2110" s="27"/>
      <c r="G2110" s="27"/>
      <c r="H2110" s="27"/>
      <c r="I2110" s="27"/>
      <c r="J2110" s="179"/>
      <c r="K2110" s="260" t="s">
        <v>449</v>
      </c>
      <c r="L2110" s="261"/>
      <c r="M2110" s="261"/>
      <c r="N2110" s="261"/>
      <c r="O2110" s="261"/>
      <c r="P2110" s="262"/>
      <c r="Q2110" s="38"/>
    </row>
    <row r="2111" spans="1:17" x14ac:dyDescent="0.2">
      <c r="A2111" s="224" t="s">
        <v>946</v>
      </c>
      <c r="B2111" s="225"/>
      <c r="C2111" s="225"/>
      <c r="D2111" s="225"/>
      <c r="E2111" s="225"/>
      <c r="F2111" s="225"/>
      <c r="G2111" s="225"/>
      <c r="H2111" s="225"/>
      <c r="I2111" s="225"/>
      <c r="J2111" s="226"/>
      <c r="K2111" s="27"/>
      <c r="L2111" s="70">
        <v>35</v>
      </c>
      <c r="M2111" s="67" t="s">
        <v>61</v>
      </c>
      <c r="N2111" s="213"/>
      <c r="O2111" s="214"/>
      <c r="P2111" s="26"/>
      <c r="Q2111" s="2"/>
    </row>
    <row r="2112" spans="1:17" ht="5" customHeight="1" x14ac:dyDescent="0.2">
      <c r="A2112" s="47"/>
      <c r="B2112" s="21"/>
      <c r="C2112" s="21"/>
      <c r="D2112" s="21"/>
      <c r="E2112" s="21"/>
      <c r="F2112" s="10"/>
      <c r="G2112" s="10"/>
      <c r="H2112" s="10"/>
      <c r="I2112" s="10"/>
      <c r="J2112" s="180"/>
      <c r="K2112" s="10"/>
      <c r="L2112" s="10"/>
      <c r="M2112" s="10"/>
      <c r="N2112" s="10"/>
      <c r="O2112" s="10"/>
      <c r="P2112" s="28"/>
      <c r="Q2112" s="2"/>
    </row>
    <row r="2113" spans="1:17" x14ac:dyDescent="0.2">
      <c r="Q2113" s="2"/>
    </row>
    <row r="2115" spans="1:17" ht="16" x14ac:dyDescent="0.2">
      <c r="A2115" s="231" t="s">
        <v>947</v>
      </c>
      <c r="B2115" s="232"/>
      <c r="C2115" s="232"/>
      <c r="D2115" s="232"/>
      <c r="F2115" s="233"/>
      <c r="G2115" s="233"/>
      <c r="H2115" s="233"/>
      <c r="I2115" s="233"/>
      <c r="J2115" s="233"/>
      <c r="K2115" s="233"/>
      <c r="L2115" s="233"/>
      <c r="M2115" s="233"/>
      <c r="N2115" s="233"/>
      <c r="O2115" s="233"/>
      <c r="P2115" s="233"/>
      <c r="Q2115" s="233"/>
    </row>
    <row r="2116" spans="1:17" ht="5" customHeight="1" x14ac:dyDescent="0.2">
      <c r="A2116" s="1"/>
      <c r="B2116" s="1"/>
      <c r="C2116" s="1"/>
      <c r="D2116" s="1"/>
      <c r="E2116" s="1"/>
      <c r="F2116" s="1"/>
      <c r="G2116" s="1"/>
      <c r="H2116" s="1"/>
      <c r="I2116" s="1"/>
      <c r="J2116" s="1"/>
      <c r="K2116" s="1"/>
      <c r="L2116" s="1"/>
      <c r="M2116" s="1"/>
      <c r="N2116" s="1"/>
      <c r="O2116" s="1"/>
      <c r="P2116" s="1"/>
      <c r="Q2116" s="1"/>
    </row>
    <row r="2117" spans="1:17" x14ac:dyDescent="0.2">
      <c r="Q2117" s="38"/>
    </row>
    <row r="2118" spans="1:17" ht="5" customHeight="1" x14ac:dyDescent="0.2">
      <c r="A2118" s="48"/>
      <c r="B2118" s="23"/>
      <c r="C2118" s="23"/>
      <c r="D2118" s="23"/>
      <c r="E2118" s="23"/>
      <c r="F2118" s="33"/>
      <c r="G2118" s="33"/>
      <c r="H2118" s="33"/>
      <c r="I2118" s="33"/>
      <c r="J2118" s="178"/>
      <c r="K2118" s="33"/>
      <c r="L2118" s="33"/>
      <c r="M2118" s="33"/>
      <c r="N2118" s="33"/>
      <c r="O2118" s="33"/>
      <c r="P2118" s="34"/>
      <c r="Q2118" s="38"/>
    </row>
    <row r="2119" spans="1:17" x14ac:dyDescent="0.2">
      <c r="A2119" s="224" t="s">
        <v>814</v>
      </c>
      <c r="B2119" s="225"/>
      <c r="C2119" s="225"/>
      <c r="D2119" s="225"/>
      <c r="E2119" s="225"/>
      <c r="F2119" s="225"/>
      <c r="G2119" s="225"/>
      <c r="H2119" s="225"/>
      <c r="I2119" s="225"/>
      <c r="J2119" s="226"/>
      <c r="K2119" s="27"/>
      <c r="L2119" s="70">
        <v>37</v>
      </c>
      <c r="M2119" s="186" t="s">
        <v>61</v>
      </c>
      <c r="N2119" s="242">
        <f>N2028</f>
        <v>0</v>
      </c>
      <c r="O2119" s="243"/>
      <c r="P2119" s="26"/>
      <c r="Q2119" s="2"/>
    </row>
    <row r="2120" spans="1:17" ht="5" customHeight="1" x14ac:dyDescent="0.2">
      <c r="A2120" s="47"/>
      <c r="B2120" s="21"/>
      <c r="C2120" s="21"/>
      <c r="D2120" s="21"/>
      <c r="E2120" s="21"/>
      <c r="F2120" s="10"/>
      <c r="G2120" s="10"/>
      <c r="H2120" s="10"/>
      <c r="I2120" s="10"/>
      <c r="J2120" s="180"/>
      <c r="K2120" s="10"/>
      <c r="L2120" s="10"/>
      <c r="M2120" s="10"/>
      <c r="N2120" s="10"/>
      <c r="O2120" s="10"/>
      <c r="P2120" s="28"/>
      <c r="Q2120" s="2"/>
    </row>
    <row r="2121" spans="1:17" ht="5" customHeight="1" x14ac:dyDescent="0.2">
      <c r="Q2121" s="38"/>
    </row>
    <row r="2122" spans="1:17" ht="15" customHeight="1" x14ac:dyDescent="0.2">
      <c r="A2122" s="211" t="s">
        <v>815</v>
      </c>
      <c r="B2122" s="212"/>
      <c r="C2122" s="212"/>
      <c r="D2122" s="212"/>
      <c r="E2122" s="212"/>
      <c r="F2122" s="212"/>
      <c r="G2122" s="212"/>
      <c r="H2122" s="212"/>
      <c r="I2122" s="212"/>
      <c r="J2122" s="212"/>
      <c r="K2122" s="212"/>
      <c r="L2122" s="212"/>
      <c r="M2122" s="212"/>
      <c r="N2122" s="212"/>
      <c r="O2122" s="212"/>
      <c r="P2122" s="37"/>
      <c r="Q2122" s="38"/>
    </row>
    <row r="2123" spans="1:17" x14ac:dyDescent="0.2">
      <c r="Q2123" s="38"/>
    </row>
    <row r="2124" spans="1:17" ht="15" customHeight="1" x14ac:dyDescent="0.2">
      <c r="A2124" s="266" t="s">
        <v>816</v>
      </c>
      <c r="B2124" s="266"/>
      <c r="C2124" s="266"/>
      <c r="D2124" s="266"/>
      <c r="E2124" s="266"/>
      <c r="F2124" s="266"/>
      <c r="G2124" s="266"/>
      <c r="H2124" s="266"/>
      <c r="I2124" s="266"/>
      <c r="J2124" s="58" t="s">
        <v>31</v>
      </c>
      <c r="K2124" s="59"/>
      <c r="L2124" s="60" t="s">
        <v>32</v>
      </c>
      <c r="M2124" s="59" t="s">
        <v>29</v>
      </c>
      <c r="N2124" s="59"/>
      <c r="O2124" s="59" t="s">
        <v>30</v>
      </c>
      <c r="Q2124" s="38"/>
    </row>
    <row r="2125" spans="1:17" ht="15" customHeight="1" x14ac:dyDescent="0.2">
      <c r="A2125" s="189"/>
      <c r="B2125" s="189"/>
      <c r="C2125" s="189"/>
      <c r="D2125" s="189"/>
      <c r="E2125" s="189"/>
      <c r="F2125" s="189"/>
      <c r="G2125" s="189"/>
      <c r="H2125" s="189"/>
      <c r="I2125" s="189"/>
      <c r="J2125" s="58"/>
      <c r="K2125" s="59"/>
      <c r="L2125" s="60"/>
      <c r="M2125" s="59"/>
      <c r="N2125" s="59"/>
      <c r="O2125" s="59"/>
      <c r="Q2125" s="38"/>
    </row>
    <row r="2126" spans="1:17" ht="5" customHeight="1" x14ac:dyDescent="0.2"/>
    <row r="2127" spans="1:17" x14ac:dyDescent="0.2">
      <c r="A2127" s="234" t="s">
        <v>817</v>
      </c>
      <c r="B2127" s="235"/>
      <c r="C2127" s="235"/>
      <c r="D2127" s="235"/>
      <c r="E2127" s="236"/>
      <c r="F2127" s="236"/>
      <c r="G2127" s="236"/>
      <c r="H2127" s="236"/>
      <c r="I2127" s="236"/>
      <c r="J2127" s="236"/>
      <c r="K2127" s="236"/>
      <c r="L2127" s="236"/>
      <c r="M2127" s="236"/>
      <c r="N2127" s="236"/>
      <c r="O2127" s="236"/>
      <c r="P2127" s="236"/>
      <c r="Q2127" s="237"/>
    </row>
    <row r="2128" spans="1:17" x14ac:dyDescent="0.2">
      <c r="Q2128" s="38"/>
    </row>
    <row r="2129" spans="1:17" ht="15" customHeight="1" x14ac:dyDescent="0.2">
      <c r="A2129" s="266" t="s">
        <v>818</v>
      </c>
      <c r="B2129" s="266"/>
      <c r="C2129" s="266"/>
      <c r="D2129" s="266"/>
      <c r="E2129" s="266"/>
      <c r="F2129" s="266"/>
      <c r="G2129" s="266"/>
      <c r="H2129" s="266"/>
      <c r="I2129" s="266"/>
      <c r="J2129" s="58" t="s">
        <v>31</v>
      </c>
      <c r="K2129" s="59"/>
      <c r="L2129" s="263" t="s">
        <v>29</v>
      </c>
      <c r="M2129" s="264"/>
      <c r="N2129" s="60" t="s">
        <v>32</v>
      </c>
      <c r="O2129" s="59" t="s">
        <v>30</v>
      </c>
      <c r="Q2129" s="38"/>
    </row>
    <row r="2130" spans="1:17" x14ac:dyDescent="0.2">
      <c r="Q2130" s="38"/>
    </row>
    <row r="2131" spans="1:17" ht="15" customHeight="1" x14ac:dyDescent="0.2">
      <c r="A2131" s="266" t="s">
        <v>819</v>
      </c>
      <c r="B2131" s="266"/>
      <c r="C2131" s="266"/>
      <c r="D2131" s="266"/>
      <c r="E2131" s="266"/>
      <c r="F2131" s="266"/>
      <c r="G2131" s="266"/>
      <c r="H2131" s="266"/>
      <c r="I2131" s="266"/>
      <c r="J2131" s="58" t="s">
        <v>31</v>
      </c>
      <c r="K2131" s="59"/>
      <c r="L2131" s="263" t="s">
        <v>29</v>
      </c>
      <c r="M2131" s="264"/>
      <c r="N2131" s="60" t="s">
        <v>32</v>
      </c>
      <c r="O2131" s="59" t="s">
        <v>30</v>
      </c>
      <c r="Q2131" s="38"/>
    </row>
    <row r="2132" spans="1:17" x14ac:dyDescent="0.2">
      <c r="Q2132" s="38"/>
    </row>
    <row r="2133" spans="1:17" ht="5" customHeight="1" x14ac:dyDescent="0.2"/>
    <row r="2134" spans="1:17" x14ac:dyDescent="0.2">
      <c r="A2134" s="234" t="s">
        <v>817</v>
      </c>
      <c r="B2134" s="235"/>
      <c r="C2134" s="235"/>
      <c r="D2134" s="235"/>
      <c r="E2134" s="236"/>
      <c r="F2134" s="236"/>
      <c r="G2134" s="236"/>
      <c r="H2134" s="236"/>
      <c r="I2134" s="236"/>
      <c r="J2134" s="236"/>
      <c r="K2134" s="236"/>
      <c r="L2134" s="236"/>
      <c r="M2134" s="236"/>
      <c r="N2134" s="236"/>
      <c r="O2134" s="236"/>
      <c r="P2134" s="236"/>
      <c r="Q2134" s="237"/>
    </row>
    <row r="2135" spans="1:17" ht="5" customHeight="1" x14ac:dyDescent="0.2">
      <c r="Q2135" s="38"/>
    </row>
    <row r="2136" spans="1:17" ht="15" customHeight="1" x14ac:dyDescent="0.2">
      <c r="A2136" s="211" t="s">
        <v>820</v>
      </c>
      <c r="B2136" s="212"/>
      <c r="C2136" s="212"/>
      <c r="D2136" s="212"/>
      <c r="E2136" s="212"/>
      <c r="F2136" s="212"/>
      <c r="G2136" s="212"/>
      <c r="H2136" s="212"/>
      <c r="I2136" s="212"/>
      <c r="J2136" s="212"/>
      <c r="K2136" s="212"/>
      <c r="L2136" s="212"/>
      <c r="M2136" s="212"/>
      <c r="N2136" s="212"/>
      <c r="O2136" s="212"/>
      <c r="P2136" s="37"/>
      <c r="Q2136" s="38"/>
    </row>
    <row r="2137" spans="1:17" x14ac:dyDescent="0.2">
      <c r="Q2137" s="38"/>
    </row>
    <row r="2138" spans="1:17" x14ac:dyDescent="0.2">
      <c r="A2138" s="238" t="str">
        <f>"Financial year " &amp; [1]CorporationTax!$E$33</f>
        <v>Financial year 2024</v>
      </c>
      <c r="B2138" s="239"/>
      <c r="C2138" s="212"/>
      <c r="D2138" s="212"/>
      <c r="E2138" s="72"/>
      <c r="F2138" s="238"/>
      <c r="G2138" s="238"/>
      <c r="H2138" s="238"/>
      <c r="I2138" s="238"/>
      <c r="J2138" s="238"/>
      <c r="K2138" s="238"/>
      <c r="L2138" s="238"/>
      <c r="M2138" s="238"/>
      <c r="N2138" s="238"/>
      <c r="O2138" s="238"/>
      <c r="P2138" s="238"/>
      <c r="Q2138" s="38"/>
    </row>
    <row r="2139" spans="1:17" ht="5" customHeight="1" x14ac:dyDescent="0.2">
      <c r="A2139" s="140"/>
      <c r="B2139" s="152"/>
      <c r="C2139" s="51"/>
      <c r="D2139" s="51"/>
      <c r="E2139" s="72"/>
      <c r="F2139" s="140"/>
      <c r="G2139" s="140"/>
      <c r="H2139" s="140"/>
      <c r="I2139" s="140"/>
      <c r="J2139" s="140"/>
      <c r="K2139" s="140"/>
      <c r="L2139" s="140"/>
      <c r="M2139" s="140"/>
      <c r="N2139" s="140"/>
      <c r="O2139" s="140"/>
      <c r="P2139" s="140"/>
      <c r="Q2139" s="38"/>
    </row>
    <row r="2140" spans="1:17" ht="5" customHeight="1" x14ac:dyDescent="0.2">
      <c r="A2140" s="48"/>
      <c r="B2140" s="23"/>
      <c r="C2140" s="23"/>
      <c r="D2140" s="23"/>
      <c r="E2140" s="23"/>
      <c r="F2140" s="33"/>
      <c r="G2140" s="33"/>
      <c r="H2140" s="33"/>
      <c r="I2140" s="33"/>
      <c r="J2140" s="178"/>
      <c r="K2140" s="33"/>
      <c r="L2140" s="33"/>
      <c r="M2140" s="33"/>
      <c r="N2140" s="33"/>
      <c r="O2140" s="33"/>
      <c r="P2140" s="34"/>
      <c r="Q2140" s="38"/>
    </row>
    <row r="2141" spans="1:17" x14ac:dyDescent="0.2">
      <c r="A2141" s="224" t="s">
        <v>821</v>
      </c>
      <c r="B2141" s="225"/>
      <c r="C2141" s="225"/>
      <c r="D2141" s="225"/>
      <c r="E2141" s="225"/>
      <c r="F2141" s="225"/>
      <c r="G2141" s="225"/>
      <c r="H2141" s="225"/>
      <c r="I2141" s="225"/>
      <c r="J2141" s="226"/>
      <c r="K2141" s="27"/>
      <c r="L2141" s="70">
        <v>45</v>
      </c>
      <c r="M2141" s="267">
        <f>[1]CorporationTax!$G$33/100</f>
        <v>0.19</v>
      </c>
      <c r="N2141" s="268"/>
      <c r="O2141" s="268"/>
      <c r="P2141" s="26"/>
      <c r="Q2141" s="2"/>
    </row>
    <row r="2142" spans="1:17" ht="5" customHeight="1" x14ac:dyDescent="0.2">
      <c r="A2142" s="47"/>
      <c r="B2142" s="21"/>
      <c r="C2142" s="21"/>
      <c r="D2142" s="21"/>
      <c r="E2142" s="21"/>
      <c r="F2142" s="10"/>
      <c r="G2142" s="10"/>
      <c r="H2142" s="10"/>
      <c r="I2142" s="10"/>
      <c r="J2142" s="180"/>
      <c r="K2142" s="10"/>
      <c r="L2142" s="10"/>
      <c r="M2142" s="10"/>
      <c r="N2142" s="10"/>
      <c r="O2142" s="10"/>
      <c r="P2142" s="28"/>
      <c r="Q2142" s="2"/>
    </row>
    <row r="2143" spans="1:17" ht="5" customHeight="1" x14ac:dyDescent="0.2">
      <c r="A2143" s="49"/>
      <c r="B2143" s="24"/>
      <c r="C2143" s="24"/>
      <c r="D2143" s="24"/>
      <c r="E2143" s="24"/>
      <c r="F2143" s="29"/>
      <c r="G2143" s="29"/>
      <c r="H2143" s="29"/>
      <c r="I2143" s="29"/>
      <c r="J2143" s="183"/>
      <c r="K2143" s="29"/>
      <c r="L2143" s="29"/>
      <c r="M2143" s="29"/>
      <c r="N2143" s="29"/>
      <c r="O2143" s="29"/>
      <c r="P2143" s="30"/>
      <c r="Q2143" s="2"/>
    </row>
    <row r="2144" spans="1:17" x14ac:dyDescent="0.2">
      <c r="A2144" s="221" t="s">
        <v>822</v>
      </c>
      <c r="B2144" s="222"/>
      <c r="C2144" s="222"/>
      <c r="D2144" s="222"/>
      <c r="E2144" s="222"/>
      <c r="F2144" s="222"/>
      <c r="G2144" s="222"/>
      <c r="H2144" s="222"/>
      <c r="I2144" s="222"/>
      <c r="J2144" s="223"/>
      <c r="K2144" s="40"/>
      <c r="L2144" s="70">
        <v>44</v>
      </c>
      <c r="M2144" s="107" t="s">
        <v>61</v>
      </c>
      <c r="N2144" s="240">
        <f>ROUND(N2119*([1]CorporationTax!$A$33/[1]CorporationTax!$A$35),D2)</f>
        <v>0</v>
      </c>
      <c r="O2144" s="241"/>
      <c r="P2144" s="41"/>
      <c r="Q2144" s="2"/>
    </row>
    <row r="2145" spans="1:17" ht="5" customHeight="1" x14ac:dyDescent="0.2">
      <c r="A2145" s="50"/>
      <c r="B2145" s="25"/>
      <c r="C2145" s="25"/>
      <c r="D2145" s="25"/>
      <c r="E2145" s="25"/>
      <c r="F2145" s="31"/>
      <c r="G2145" s="31"/>
      <c r="H2145" s="31"/>
      <c r="I2145" s="31"/>
      <c r="J2145" s="177"/>
      <c r="K2145" s="31"/>
      <c r="L2145" s="31"/>
      <c r="M2145" s="31"/>
      <c r="N2145" s="31"/>
      <c r="O2145" s="31"/>
      <c r="P2145" s="32"/>
      <c r="Q2145" s="2"/>
    </row>
    <row r="2146" spans="1:17" ht="5" customHeight="1" x14ac:dyDescent="0.2">
      <c r="A2146" s="48"/>
      <c r="B2146" s="23"/>
      <c r="C2146" s="23"/>
      <c r="D2146" s="23"/>
      <c r="E2146" s="23"/>
      <c r="F2146" s="33"/>
      <c r="G2146" s="33"/>
      <c r="H2146" s="33"/>
      <c r="I2146" s="33"/>
      <c r="J2146" s="178"/>
      <c r="K2146" s="33"/>
      <c r="L2146" s="33"/>
      <c r="M2146" s="33"/>
      <c r="N2146" s="33"/>
      <c r="O2146" s="33"/>
      <c r="P2146" s="34"/>
      <c r="Q2146" s="2"/>
    </row>
    <row r="2147" spans="1:17" x14ac:dyDescent="0.2">
      <c r="A2147" s="224" t="s">
        <v>823</v>
      </c>
      <c r="B2147" s="225"/>
      <c r="C2147" s="225"/>
      <c r="D2147" s="225"/>
      <c r="E2147" s="225"/>
      <c r="F2147" s="225"/>
      <c r="G2147" s="225"/>
      <c r="H2147" s="225"/>
      <c r="I2147" s="225"/>
      <c r="J2147" s="226"/>
      <c r="K2147" s="27"/>
      <c r="L2147" s="70">
        <v>46</v>
      </c>
      <c r="M2147" s="186" t="s">
        <v>61</v>
      </c>
      <c r="N2147" s="242">
        <f>N2144*M2141</f>
        <v>0</v>
      </c>
      <c r="O2147" s="243"/>
      <c r="P2147" s="26"/>
      <c r="Q2147" s="2"/>
    </row>
    <row r="2148" spans="1:17" ht="5" customHeight="1" x14ac:dyDescent="0.2">
      <c r="A2148" s="47"/>
      <c r="B2148" s="21"/>
      <c r="C2148" s="21"/>
      <c r="D2148" s="21"/>
      <c r="E2148" s="21"/>
      <c r="F2148" s="10"/>
      <c r="G2148" s="10"/>
      <c r="H2148" s="10"/>
      <c r="I2148" s="10"/>
      <c r="J2148" s="180"/>
      <c r="K2148" s="10"/>
      <c r="L2148" s="10"/>
      <c r="M2148" s="10"/>
      <c r="N2148" s="10"/>
      <c r="O2148" s="10"/>
      <c r="P2148" s="28"/>
      <c r="Q2148" s="2"/>
    </row>
    <row r="2149" spans="1:17" ht="5" customHeight="1" x14ac:dyDescent="0.2">
      <c r="Q2149" s="38"/>
    </row>
    <row r="2150" spans="1:17" x14ac:dyDescent="0.2">
      <c r="A2150" s="238" t="str">
        <f>"Financial year " &amp; [1]CorporationTax!$E$34</f>
        <v>Financial year 2025</v>
      </c>
      <c r="B2150" s="239"/>
      <c r="C2150" s="212"/>
      <c r="D2150" s="212"/>
      <c r="E2150" s="72"/>
      <c r="F2150" s="238"/>
      <c r="G2150" s="238"/>
      <c r="H2150" s="238"/>
      <c r="I2150" s="238"/>
      <c r="J2150" s="238"/>
      <c r="K2150" s="238"/>
      <c r="L2150" s="238"/>
      <c r="M2150" s="238"/>
      <c r="N2150" s="238"/>
      <c r="O2150" s="238"/>
      <c r="P2150" s="238"/>
      <c r="Q2150" s="38"/>
    </row>
    <row r="2151" spans="1:17" ht="5" customHeight="1" x14ac:dyDescent="0.2">
      <c r="A2151" s="140"/>
      <c r="B2151" s="152"/>
      <c r="C2151" s="51"/>
      <c r="D2151" s="51"/>
      <c r="E2151" s="72"/>
      <c r="F2151" s="140"/>
      <c r="G2151" s="140"/>
      <c r="H2151" s="140"/>
      <c r="I2151" s="140"/>
      <c r="J2151" s="140"/>
      <c r="K2151" s="140"/>
      <c r="L2151" s="140"/>
      <c r="M2151" s="140"/>
      <c r="N2151" s="140"/>
      <c r="O2151" s="140"/>
      <c r="P2151" s="140"/>
      <c r="Q2151" s="38"/>
    </row>
    <row r="2152" spans="1:17" ht="5" customHeight="1" x14ac:dyDescent="0.2">
      <c r="A2152" s="48"/>
      <c r="B2152" s="23"/>
      <c r="C2152" s="23"/>
      <c r="D2152" s="23"/>
      <c r="E2152" s="23"/>
      <c r="F2152" s="33"/>
      <c r="G2152" s="33"/>
      <c r="H2152" s="33"/>
      <c r="I2152" s="33"/>
      <c r="J2152" s="178"/>
      <c r="K2152" s="33"/>
      <c r="L2152" s="33"/>
      <c r="M2152" s="33"/>
      <c r="N2152" s="33"/>
      <c r="O2152" s="33"/>
      <c r="P2152" s="34"/>
      <c r="Q2152" s="38"/>
    </row>
    <row r="2153" spans="1:17" x14ac:dyDescent="0.2">
      <c r="A2153" s="224" t="s">
        <v>821</v>
      </c>
      <c r="B2153" s="225"/>
      <c r="C2153" s="225"/>
      <c r="D2153" s="225"/>
      <c r="E2153" s="225"/>
      <c r="F2153" s="225"/>
      <c r="G2153" s="225"/>
      <c r="H2153" s="225"/>
      <c r="I2153" s="225"/>
      <c r="J2153" s="226"/>
      <c r="K2153" s="27"/>
      <c r="L2153" s="70">
        <v>55</v>
      </c>
      <c r="M2153" s="267">
        <f>[1]CorporationTax!$G$34/100</f>
        <v>0.19</v>
      </c>
      <c r="N2153" s="268"/>
      <c r="O2153" s="268"/>
      <c r="P2153" s="26"/>
      <c r="Q2153" s="2"/>
    </row>
    <row r="2154" spans="1:17" ht="5" customHeight="1" x14ac:dyDescent="0.2">
      <c r="A2154" s="47"/>
      <c r="B2154" s="21"/>
      <c r="C2154" s="21"/>
      <c r="D2154" s="21"/>
      <c r="E2154" s="21"/>
      <c r="F2154" s="10"/>
      <c r="G2154" s="10"/>
      <c r="H2154" s="10"/>
      <c r="I2154" s="10"/>
      <c r="J2154" s="180"/>
      <c r="K2154" s="10"/>
      <c r="L2154" s="10"/>
      <c r="M2154" s="10"/>
      <c r="N2154" s="10"/>
      <c r="O2154" s="10"/>
      <c r="P2154" s="28"/>
      <c r="Q2154" s="2"/>
    </row>
    <row r="2155" spans="1:17" ht="5" customHeight="1" x14ac:dyDescent="0.2">
      <c r="A2155" s="49"/>
      <c r="B2155" s="24"/>
      <c r="C2155" s="24"/>
      <c r="D2155" s="24"/>
      <c r="E2155" s="24"/>
      <c r="F2155" s="29"/>
      <c r="G2155" s="29"/>
      <c r="H2155" s="29"/>
      <c r="I2155" s="29"/>
      <c r="J2155" s="183"/>
      <c r="K2155" s="29"/>
      <c r="L2155" s="29"/>
      <c r="M2155" s="29"/>
      <c r="N2155" s="29"/>
      <c r="O2155" s="29"/>
      <c r="P2155" s="30"/>
      <c r="Q2155" s="2"/>
    </row>
    <row r="2156" spans="1:17" x14ac:dyDescent="0.2">
      <c r="A2156" s="221" t="s">
        <v>822</v>
      </c>
      <c r="B2156" s="222"/>
      <c r="C2156" s="222"/>
      <c r="D2156" s="222"/>
      <c r="E2156" s="222"/>
      <c r="F2156" s="222"/>
      <c r="G2156" s="222"/>
      <c r="H2156" s="222"/>
      <c r="I2156" s="222"/>
      <c r="J2156" s="223"/>
      <c r="K2156" s="40"/>
      <c r="L2156" s="70">
        <v>54</v>
      </c>
      <c r="M2156" s="107" t="s">
        <v>61</v>
      </c>
      <c r="N2156" s="240">
        <f>ROUND(N2119*([1]CorporationTax!$A$34/[1]CorporationTax!$A$35),D2)</f>
        <v>0</v>
      </c>
      <c r="O2156" s="241"/>
      <c r="P2156" s="41"/>
      <c r="Q2156" s="2"/>
    </row>
    <row r="2157" spans="1:17" ht="5" customHeight="1" x14ac:dyDescent="0.2">
      <c r="A2157" s="50"/>
      <c r="B2157" s="25"/>
      <c r="C2157" s="25"/>
      <c r="D2157" s="25"/>
      <c r="E2157" s="25"/>
      <c r="F2157" s="31"/>
      <c r="G2157" s="31"/>
      <c r="H2157" s="31"/>
      <c r="I2157" s="31"/>
      <c r="J2157" s="177"/>
      <c r="K2157" s="31"/>
      <c r="L2157" s="31"/>
      <c r="M2157" s="31"/>
      <c r="N2157" s="31"/>
      <c r="O2157" s="31"/>
      <c r="P2157" s="32"/>
      <c r="Q2157" s="2"/>
    </row>
    <row r="2158" spans="1:17" ht="5" customHeight="1" x14ac:dyDescent="0.2">
      <c r="A2158" s="48"/>
      <c r="B2158" s="23"/>
      <c r="C2158" s="23"/>
      <c r="D2158" s="23"/>
      <c r="E2158" s="23"/>
      <c r="F2158" s="33"/>
      <c r="G2158" s="33"/>
      <c r="H2158" s="33"/>
      <c r="I2158" s="33"/>
      <c r="J2158" s="178"/>
      <c r="K2158" s="33"/>
      <c r="L2158" s="33"/>
      <c r="M2158" s="33"/>
      <c r="N2158" s="33"/>
      <c r="O2158" s="33"/>
      <c r="P2158" s="34"/>
      <c r="Q2158" s="2"/>
    </row>
    <row r="2159" spans="1:17" x14ac:dyDescent="0.2">
      <c r="A2159" s="224" t="s">
        <v>823</v>
      </c>
      <c r="B2159" s="225"/>
      <c r="C2159" s="225"/>
      <c r="D2159" s="225"/>
      <c r="E2159" s="225"/>
      <c r="F2159" s="225"/>
      <c r="G2159" s="225"/>
      <c r="H2159" s="225"/>
      <c r="I2159" s="225"/>
      <c r="J2159" s="226"/>
      <c r="K2159" s="27"/>
      <c r="L2159" s="70">
        <v>56</v>
      </c>
      <c r="M2159" s="186" t="s">
        <v>61</v>
      </c>
      <c r="N2159" s="242">
        <f>N2156*M2153</f>
        <v>0</v>
      </c>
      <c r="O2159" s="243"/>
      <c r="P2159" s="26"/>
      <c r="Q2159" s="2"/>
    </row>
    <row r="2160" spans="1:17" ht="5" customHeight="1" x14ac:dyDescent="0.2">
      <c r="A2160" s="47"/>
      <c r="B2160" s="21"/>
      <c r="C2160" s="21"/>
      <c r="D2160" s="21"/>
      <c r="E2160" s="21"/>
      <c r="F2160" s="10"/>
      <c r="G2160" s="10"/>
      <c r="H2160" s="10"/>
      <c r="I2160" s="10"/>
      <c r="J2160" s="180"/>
      <c r="K2160" s="10"/>
      <c r="L2160" s="10"/>
      <c r="M2160" s="10"/>
      <c r="N2160" s="10"/>
      <c r="O2160" s="10"/>
      <c r="P2160" s="28"/>
      <c r="Q2160" s="2"/>
    </row>
    <row r="2161" spans="1:17" ht="5" customHeight="1" x14ac:dyDescent="0.2">
      <c r="Q2161" s="38"/>
    </row>
    <row r="2162" spans="1:17" x14ac:dyDescent="0.2">
      <c r="A2162" s="238" t="s">
        <v>824</v>
      </c>
      <c r="B2162" s="239"/>
      <c r="C2162" s="212"/>
      <c r="D2162" s="212"/>
      <c r="E2162" s="72"/>
      <c r="F2162" s="238"/>
      <c r="G2162" s="238"/>
      <c r="H2162" s="238"/>
      <c r="I2162" s="238"/>
      <c r="J2162" s="238"/>
      <c r="K2162" s="238"/>
      <c r="L2162" s="238"/>
      <c r="M2162" s="238"/>
      <c r="N2162" s="238"/>
      <c r="O2162" s="238"/>
      <c r="P2162" s="238"/>
      <c r="Q2162" s="38"/>
    </row>
    <row r="2163" spans="1:17" ht="5" customHeight="1" x14ac:dyDescent="0.2">
      <c r="A2163" s="140"/>
      <c r="B2163" s="152"/>
      <c r="C2163" s="51"/>
      <c r="D2163" s="51"/>
      <c r="E2163" s="72"/>
      <c r="F2163" s="140"/>
      <c r="G2163" s="140"/>
      <c r="H2163" s="140"/>
      <c r="I2163" s="140"/>
      <c r="J2163" s="140"/>
      <c r="K2163" s="140"/>
      <c r="L2163" s="140"/>
      <c r="M2163" s="140"/>
      <c r="N2163" s="140"/>
      <c r="O2163" s="140"/>
      <c r="P2163" s="140"/>
      <c r="Q2163" s="38"/>
    </row>
    <row r="2164" spans="1:17" ht="5" customHeight="1" x14ac:dyDescent="0.2">
      <c r="A2164" s="48"/>
      <c r="B2164" s="23"/>
      <c r="C2164" s="23"/>
      <c r="D2164" s="23"/>
      <c r="E2164" s="23"/>
      <c r="F2164" s="33"/>
      <c r="G2164" s="33"/>
      <c r="H2164" s="33"/>
      <c r="I2164" s="33"/>
      <c r="J2164" s="178"/>
      <c r="K2164" s="33"/>
      <c r="L2164" s="33"/>
      <c r="M2164" s="33"/>
      <c r="N2164" s="33"/>
      <c r="O2164" s="33"/>
      <c r="P2164" s="34"/>
      <c r="Q2164" s="38"/>
    </row>
    <row r="2165" spans="1:17" x14ac:dyDescent="0.2">
      <c r="A2165" s="244" t="s">
        <v>825</v>
      </c>
      <c r="B2165" s="245"/>
      <c r="C2165" s="245"/>
      <c r="D2165" s="245"/>
      <c r="E2165" s="245"/>
      <c r="F2165" s="245"/>
      <c r="G2165" s="245"/>
      <c r="H2165" s="245"/>
      <c r="I2165" s="245"/>
      <c r="J2165" s="246"/>
      <c r="K2165" s="27"/>
      <c r="L2165" s="70">
        <v>70</v>
      </c>
      <c r="M2165" s="200" t="s">
        <v>61</v>
      </c>
      <c r="N2165" s="242">
        <f>N2147+N2159</f>
        <v>0</v>
      </c>
      <c r="O2165" s="269"/>
      <c r="P2165" s="26"/>
      <c r="Q2165" s="2"/>
    </row>
    <row r="2166" spans="1:17" ht="5" customHeight="1" x14ac:dyDescent="0.2">
      <c r="A2166" s="47"/>
      <c r="B2166" s="21"/>
      <c r="C2166" s="21"/>
      <c r="D2166" s="21"/>
      <c r="E2166" s="21"/>
      <c r="F2166" s="10"/>
      <c r="G2166" s="10"/>
      <c r="H2166" s="10"/>
      <c r="I2166" s="10"/>
      <c r="J2166" s="180"/>
      <c r="K2166" s="10"/>
      <c r="L2166" s="10"/>
      <c r="M2166" s="10"/>
      <c r="N2166" s="10"/>
      <c r="O2166" s="10"/>
      <c r="P2166" s="28"/>
      <c r="Q2166" s="2"/>
    </row>
    <row r="2167" spans="1:17" x14ac:dyDescent="0.2">
      <c r="Q2167" s="2"/>
    </row>
    <row r="2169" spans="1:17" ht="16" x14ac:dyDescent="0.2">
      <c r="A2169" s="270" t="s">
        <v>826</v>
      </c>
      <c r="B2169" s="271"/>
      <c r="C2169" s="271"/>
      <c r="D2169" s="271"/>
      <c r="F2169" s="233"/>
      <c r="G2169" s="233"/>
      <c r="H2169" s="233"/>
      <c r="I2169" s="233"/>
      <c r="J2169" s="233"/>
      <c r="K2169" s="233"/>
      <c r="L2169" s="233"/>
      <c r="M2169" s="233"/>
      <c r="N2169" s="233"/>
      <c r="O2169" s="233"/>
      <c r="P2169" s="233"/>
      <c r="Q2169" s="233"/>
    </row>
    <row r="2170" spans="1:17" ht="5" customHeight="1" x14ac:dyDescent="0.2">
      <c r="A2170" s="1"/>
      <c r="B2170" s="1"/>
      <c r="C2170" s="1"/>
      <c r="D2170" s="1"/>
      <c r="E2170" s="1"/>
      <c r="F2170" s="1"/>
      <c r="G2170" s="1"/>
      <c r="H2170" s="1"/>
      <c r="I2170" s="1"/>
      <c r="J2170" s="1"/>
      <c r="K2170" s="1"/>
      <c r="L2170" s="1"/>
      <c r="M2170" s="1"/>
      <c r="N2170" s="1"/>
      <c r="O2170" s="1"/>
      <c r="P2170" s="1"/>
      <c r="Q2170" s="1"/>
    </row>
    <row r="2171" spans="1:17" x14ac:dyDescent="0.2">
      <c r="Q2171" s="38"/>
    </row>
    <row r="2172" spans="1:17" ht="124.5" customHeight="1" x14ac:dyDescent="0.2">
      <c r="A2172" s="211" t="s">
        <v>827</v>
      </c>
      <c r="B2172" s="212"/>
      <c r="C2172" s="212"/>
      <c r="D2172" s="212"/>
      <c r="E2172" s="212"/>
      <c r="F2172" s="212"/>
      <c r="G2172" s="212"/>
      <c r="H2172" s="212"/>
      <c r="I2172" s="212"/>
      <c r="J2172" s="212"/>
      <c r="K2172" s="212"/>
      <c r="L2172" s="212"/>
      <c r="M2172" s="212"/>
      <c r="N2172" s="212"/>
      <c r="O2172" s="212"/>
      <c r="P2172" s="37"/>
      <c r="Q2172" s="38"/>
    </row>
    <row r="2173" spans="1:17" x14ac:dyDescent="0.2">
      <c r="Q2173" s="38"/>
    </row>
    <row r="2174" spans="1:17" ht="15" customHeight="1" x14ac:dyDescent="0.25">
      <c r="A2174" s="252" t="s">
        <v>990</v>
      </c>
      <c r="B2174" s="253"/>
      <c r="C2174" s="253"/>
      <c r="D2174" s="253"/>
      <c r="E2174" s="253"/>
      <c r="F2174" s="253"/>
      <c r="G2174" s="253"/>
      <c r="H2174" s="253"/>
      <c r="I2174" s="253"/>
      <c r="J2174" s="253"/>
      <c r="K2174" s="253"/>
      <c r="L2174" s="253"/>
      <c r="M2174" s="253"/>
      <c r="N2174" s="253"/>
      <c r="O2174" s="253"/>
      <c r="P2174" s="253"/>
      <c r="Q2174" s="2"/>
    </row>
    <row r="2175" spans="1:17" ht="15" customHeight="1" x14ac:dyDescent="0.2">
      <c r="A2175" s="266" t="s">
        <v>828</v>
      </c>
      <c r="B2175" s="266"/>
      <c r="C2175" s="266"/>
      <c r="D2175" s="266"/>
      <c r="E2175" s="266"/>
      <c r="F2175" s="266"/>
      <c r="G2175" s="266"/>
      <c r="H2175" s="266"/>
      <c r="I2175" s="266"/>
      <c r="J2175" s="58" t="s">
        <v>31</v>
      </c>
      <c r="K2175" s="59"/>
      <c r="L2175" s="263" t="s">
        <v>29</v>
      </c>
      <c r="M2175" s="264"/>
      <c r="N2175" s="60" t="s">
        <v>32</v>
      </c>
      <c r="O2175" s="59" t="s">
        <v>30</v>
      </c>
      <c r="Q2175" s="38"/>
    </row>
    <row r="2176" spans="1:17" x14ac:dyDescent="0.2">
      <c r="Q2176" s="38"/>
    </row>
    <row r="2178" spans="1:17" ht="16" x14ac:dyDescent="0.2">
      <c r="A2178" s="231" t="s">
        <v>826</v>
      </c>
      <c r="B2178" s="232"/>
      <c r="C2178" s="232"/>
      <c r="D2178" s="232"/>
      <c r="F2178" s="233"/>
      <c r="G2178" s="233"/>
      <c r="H2178" s="233"/>
      <c r="I2178" s="233"/>
      <c r="J2178" s="233"/>
      <c r="K2178" s="233"/>
      <c r="L2178" s="233"/>
      <c r="M2178" s="233"/>
      <c r="N2178" s="233"/>
      <c r="O2178" s="233"/>
      <c r="P2178" s="233"/>
      <c r="Q2178" s="233"/>
    </row>
    <row r="2179" spans="1:17" ht="5" customHeight="1" x14ac:dyDescent="0.2">
      <c r="A2179" s="1"/>
      <c r="B2179" s="1"/>
      <c r="C2179" s="1"/>
      <c r="D2179" s="1"/>
      <c r="E2179" s="1"/>
      <c r="F2179" s="1"/>
      <c r="G2179" s="1"/>
      <c r="H2179" s="1"/>
      <c r="I2179" s="1"/>
      <c r="J2179" s="1"/>
      <c r="K2179" s="1"/>
      <c r="L2179" s="1"/>
      <c r="M2179" s="1"/>
      <c r="N2179" s="1"/>
      <c r="O2179" s="1"/>
      <c r="P2179" s="1"/>
      <c r="Q2179" s="1"/>
    </row>
    <row r="2180" spans="1:17" x14ac:dyDescent="0.2">
      <c r="Q2180" s="38"/>
    </row>
    <row r="2181" spans="1:17" ht="25.5" customHeight="1" x14ac:dyDescent="0.2">
      <c r="A2181" s="211" t="s">
        <v>830</v>
      </c>
      <c r="B2181" s="212"/>
      <c r="C2181" s="212"/>
      <c r="D2181" s="212"/>
      <c r="E2181" s="212"/>
      <c r="F2181" s="212"/>
      <c r="G2181" s="212"/>
      <c r="H2181" s="212"/>
      <c r="I2181" s="212"/>
      <c r="J2181" s="212"/>
      <c r="K2181" s="212"/>
      <c r="L2181" s="212"/>
      <c r="M2181" s="212"/>
      <c r="N2181" s="212"/>
      <c r="O2181" s="212"/>
      <c r="P2181" s="37"/>
      <c r="Q2181" s="38"/>
    </row>
    <row r="2182" spans="1:17" x14ac:dyDescent="0.2">
      <c r="Q2182" s="38"/>
    </row>
    <row r="2183" spans="1:17" ht="15" customHeight="1" x14ac:dyDescent="0.25">
      <c r="A2183" s="252" t="s">
        <v>831</v>
      </c>
      <c r="B2183" s="253"/>
      <c r="C2183" s="253"/>
      <c r="D2183" s="253"/>
      <c r="E2183" s="253"/>
      <c r="F2183" s="253"/>
      <c r="G2183" s="253"/>
      <c r="H2183" s="253"/>
      <c r="I2183" s="253"/>
      <c r="J2183" s="253"/>
      <c r="K2183" s="253"/>
      <c r="L2183" s="253"/>
      <c r="M2183" s="253"/>
      <c r="N2183" s="253"/>
      <c r="O2183" s="253"/>
      <c r="P2183" s="253"/>
      <c r="Q2183" s="2"/>
    </row>
    <row r="2184" spans="1:17" ht="15" customHeight="1" x14ac:dyDescent="0.2">
      <c r="A2184" s="266" t="s">
        <v>829</v>
      </c>
      <c r="B2184" s="266"/>
      <c r="C2184" s="266"/>
      <c r="D2184" s="266"/>
      <c r="E2184" s="266"/>
      <c r="F2184" s="266"/>
      <c r="G2184" s="266"/>
      <c r="H2184" s="266"/>
      <c r="I2184" s="266"/>
      <c r="J2184" s="58" t="s">
        <v>31</v>
      </c>
      <c r="K2184" s="59"/>
      <c r="L2184" s="263" t="s">
        <v>29</v>
      </c>
      <c r="M2184" s="264"/>
      <c r="N2184" s="60" t="s">
        <v>32</v>
      </c>
      <c r="O2184" s="59" t="s">
        <v>30</v>
      </c>
      <c r="Q2184" s="38"/>
    </row>
    <row r="2185" spans="1:17" x14ac:dyDescent="0.2">
      <c r="Q2185" s="38"/>
    </row>
    <row r="2187" spans="1:17" ht="16" x14ac:dyDescent="0.2">
      <c r="A2187" s="231" t="s">
        <v>833</v>
      </c>
      <c r="B2187" s="232"/>
      <c r="C2187" s="232"/>
      <c r="D2187" s="232"/>
      <c r="F2187" s="233"/>
      <c r="G2187" s="233"/>
      <c r="H2187" s="233"/>
      <c r="I2187" s="233"/>
      <c r="J2187" s="233"/>
      <c r="K2187" s="233"/>
      <c r="L2187" s="233"/>
      <c r="M2187" s="233"/>
      <c r="N2187" s="233"/>
      <c r="O2187" s="233"/>
      <c r="P2187" s="233"/>
      <c r="Q2187" s="233"/>
    </row>
    <row r="2188" spans="1:17" ht="5" customHeight="1" x14ac:dyDescent="0.2">
      <c r="A2188" s="1"/>
      <c r="B2188" s="1"/>
      <c r="C2188" s="1"/>
      <c r="D2188" s="1"/>
      <c r="E2188" s="1"/>
      <c r="F2188" s="1"/>
      <c r="G2188" s="1"/>
      <c r="H2188" s="1"/>
      <c r="I2188" s="1"/>
      <c r="J2188" s="1"/>
      <c r="K2188" s="1"/>
      <c r="L2188" s="1"/>
      <c r="M2188" s="1"/>
      <c r="N2188" s="1"/>
      <c r="O2188" s="1"/>
      <c r="P2188" s="1"/>
      <c r="Q2188" s="1"/>
    </row>
    <row r="2189" spans="1:17" x14ac:dyDescent="0.2">
      <c r="Q2189" s="38"/>
    </row>
    <row r="2190" spans="1:17" ht="15" customHeight="1" x14ac:dyDescent="0.2">
      <c r="A2190" s="211" t="s">
        <v>834</v>
      </c>
      <c r="B2190" s="212"/>
      <c r="C2190" s="212"/>
      <c r="D2190" s="212"/>
      <c r="E2190" s="212"/>
      <c r="F2190" s="212"/>
      <c r="G2190" s="212"/>
      <c r="H2190" s="212"/>
      <c r="I2190" s="212"/>
      <c r="J2190" s="212"/>
      <c r="K2190" s="212"/>
      <c r="L2190" s="212"/>
      <c r="M2190" s="212"/>
      <c r="N2190" s="212"/>
      <c r="O2190" s="212"/>
      <c r="P2190" s="37"/>
      <c r="Q2190" s="38"/>
    </row>
    <row r="2191" spans="1:17" ht="15" customHeight="1" x14ac:dyDescent="0.2">
      <c r="A2191" s="95"/>
      <c r="B2191" s="51"/>
      <c r="C2191" s="51"/>
      <c r="D2191" s="51"/>
      <c r="E2191" s="51"/>
      <c r="F2191" s="51"/>
      <c r="G2191" s="51"/>
      <c r="H2191" s="51"/>
      <c r="I2191" s="51"/>
      <c r="J2191" s="51"/>
      <c r="K2191" s="51"/>
      <c r="L2191" s="51"/>
      <c r="M2191" s="51"/>
      <c r="N2191" s="51"/>
      <c r="O2191" s="51"/>
      <c r="P2191" s="37"/>
      <c r="Q2191" s="38"/>
    </row>
    <row r="2192" spans="1:17" ht="15" customHeight="1" x14ac:dyDescent="0.2">
      <c r="A2192" s="211" t="s">
        <v>835</v>
      </c>
      <c r="B2192" s="212"/>
      <c r="C2192" s="212"/>
      <c r="D2192" s="212"/>
      <c r="E2192" s="212"/>
      <c r="F2192" s="212"/>
      <c r="G2192" s="212"/>
      <c r="H2192" s="212"/>
      <c r="I2192" s="212"/>
      <c r="J2192" s="212"/>
      <c r="K2192" s="212"/>
      <c r="L2192" s="212"/>
      <c r="M2192" s="212"/>
      <c r="N2192" s="212"/>
      <c r="O2192" s="212"/>
      <c r="P2192" s="37"/>
      <c r="Q2192" s="38"/>
    </row>
    <row r="2193" spans="1:17" ht="15" customHeight="1" x14ac:dyDescent="0.2">
      <c r="A2193" s="95"/>
      <c r="B2193" s="51"/>
      <c r="C2193" s="51"/>
      <c r="D2193" s="51"/>
      <c r="E2193" s="51"/>
      <c r="F2193" s="51"/>
      <c r="G2193" s="51"/>
      <c r="H2193" s="51"/>
      <c r="I2193" s="51"/>
      <c r="J2193" s="51"/>
      <c r="K2193" s="51"/>
      <c r="L2193" s="51"/>
      <c r="M2193" s="51"/>
      <c r="N2193" s="51"/>
      <c r="O2193" s="51"/>
      <c r="P2193" s="37"/>
      <c r="Q2193" s="38"/>
    </row>
    <row r="2194" spans="1:17" x14ac:dyDescent="0.2">
      <c r="Q2194" s="38"/>
    </row>
    <row r="2195" spans="1:17" ht="15" customHeight="1" x14ac:dyDescent="0.25">
      <c r="A2195" s="252" t="s">
        <v>837</v>
      </c>
      <c r="B2195" s="253"/>
      <c r="C2195" s="253"/>
      <c r="D2195" s="253"/>
      <c r="E2195" s="253"/>
      <c r="F2195" s="253"/>
      <c r="G2195" s="253"/>
      <c r="H2195" s="253"/>
      <c r="I2195" s="253"/>
      <c r="J2195" s="253"/>
      <c r="K2195" s="253"/>
      <c r="L2195" s="253"/>
      <c r="M2195" s="253"/>
      <c r="N2195" s="253"/>
      <c r="O2195" s="253"/>
      <c r="P2195" s="253"/>
      <c r="Q2195" s="2"/>
    </row>
    <row r="2196" spans="1:17" ht="15" customHeight="1" x14ac:dyDescent="0.2">
      <c r="A2196" s="266" t="s">
        <v>836</v>
      </c>
      <c r="B2196" s="266"/>
      <c r="C2196" s="266"/>
      <c r="D2196" s="266"/>
      <c r="E2196" s="266"/>
      <c r="F2196" s="266"/>
      <c r="G2196" s="266"/>
      <c r="H2196" s="266"/>
      <c r="I2196" s="266"/>
      <c r="J2196" s="58" t="s">
        <v>31</v>
      </c>
      <c r="K2196" s="59"/>
      <c r="L2196" s="263" t="s">
        <v>29</v>
      </c>
      <c r="M2196" s="264"/>
      <c r="N2196" s="60" t="s">
        <v>32</v>
      </c>
      <c r="O2196" s="59" t="s">
        <v>30</v>
      </c>
      <c r="Q2196" s="38"/>
    </row>
    <row r="2197" spans="1:17" x14ac:dyDescent="0.2">
      <c r="Q2197" s="38"/>
    </row>
    <row r="2198" spans="1:17" x14ac:dyDescent="0.2">
      <c r="Q2198" s="37"/>
    </row>
    <row r="2199" spans="1:17" ht="16" x14ac:dyDescent="0.2">
      <c r="A2199" s="231" t="s">
        <v>700</v>
      </c>
      <c r="B2199" s="232"/>
      <c r="C2199" s="232"/>
      <c r="D2199" s="232"/>
      <c r="F2199" s="233"/>
      <c r="G2199" s="233"/>
      <c r="H2199" s="233"/>
      <c r="I2199" s="233"/>
      <c r="J2199" s="233"/>
      <c r="K2199" s="233"/>
      <c r="L2199" s="233"/>
      <c r="M2199" s="233"/>
      <c r="N2199" s="233"/>
      <c r="O2199" s="233"/>
      <c r="P2199" s="233"/>
      <c r="Q2199" s="233"/>
    </row>
    <row r="2200" spans="1:17" ht="5" customHeight="1" x14ac:dyDescent="0.2">
      <c r="A2200" s="1"/>
      <c r="B2200" s="1"/>
      <c r="C2200" s="1"/>
      <c r="D2200" s="1"/>
      <c r="E2200" s="1"/>
      <c r="F2200" s="1"/>
      <c r="G2200" s="1"/>
      <c r="H2200" s="1"/>
      <c r="I2200" s="1"/>
      <c r="J2200" s="1"/>
      <c r="K2200" s="1"/>
      <c r="L2200" s="1"/>
      <c r="M2200" s="1"/>
      <c r="N2200" s="1"/>
      <c r="O2200" s="1"/>
      <c r="P2200" s="1"/>
      <c r="Q2200" s="1"/>
    </row>
    <row r="2201" spans="1:17" x14ac:dyDescent="0.2">
      <c r="Q2201" s="38"/>
    </row>
    <row r="2202" spans="1:17" ht="37.5" customHeight="1" x14ac:dyDescent="0.2">
      <c r="A2202" s="211" t="s">
        <v>838</v>
      </c>
      <c r="B2202" s="212"/>
      <c r="C2202" s="212"/>
      <c r="D2202" s="212"/>
      <c r="E2202" s="212"/>
      <c r="F2202" s="212"/>
      <c r="G2202" s="212"/>
      <c r="H2202" s="212"/>
      <c r="I2202" s="212"/>
      <c r="J2202" s="212"/>
      <c r="K2202" s="212"/>
      <c r="L2202" s="212"/>
      <c r="M2202" s="212"/>
      <c r="N2202" s="212"/>
      <c r="O2202" s="212"/>
      <c r="P2202" s="37"/>
      <c r="Q2202" s="38"/>
    </row>
    <row r="2203" spans="1:17" x14ac:dyDescent="0.2">
      <c r="Q2203" s="38"/>
    </row>
    <row r="2204" spans="1:17" ht="15" customHeight="1" x14ac:dyDescent="0.2">
      <c r="A2204" s="211" t="s">
        <v>839</v>
      </c>
      <c r="B2204" s="212"/>
      <c r="C2204" s="212"/>
      <c r="D2204" s="212"/>
      <c r="E2204" s="212"/>
      <c r="F2204" s="212"/>
      <c r="G2204" s="212"/>
      <c r="H2204" s="212"/>
      <c r="I2204" s="212"/>
      <c r="J2204" s="212"/>
      <c r="K2204" s="212"/>
      <c r="L2204" s="212"/>
      <c r="M2204" s="212"/>
      <c r="N2204" s="212"/>
      <c r="O2204" s="212"/>
      <c r="P2204" s="37"/>
      <c r="Q2204" s="38"/>
    </row>
    <row r="2205" spans="1:17" x14ac:dyDescent="0.2">
      <c r="Q2205" s="38"/>
    </row>
    <row r="2206" spans="1:17" ht="15" customHeight="1" x14ac:dyDescent="0.2">
      <c r="A2206" s="266" t="s">
        <v>840</v>
      </c>
      <c r="B2206" s="266"/>
      <c r="C2206" s="266"/>
      <c r="D2206" s="266"/>
      <c r="E2206" s="266"/>
      <c r="F2206" s="266"/>
      <c r="G2206" s="266"/>
      <c r="H2206" s="266"/>
      <c r="I2206" s="266"/>
      <c r="J2206" s="58" t="s">
        <v>31</v>
      </c>
      <c r="K2206" s="59"/>
      <c r="L2206" s="60" t="s">
        <v>32</v>
      </c>
      <c r="M2206" s="59" t="s">
        <v>29</v>
      </c>
      <c r="N2206" s="59"/>
      <c r="O2206" s="59" t="s">
        <v>30</v>
      </c>
      <c r="Q2206" s="38"/>
    </row>
    <row r="2207" spans="1:17" x14ac:dyDescent="0.2">
      <c r="Q2207" s="38"/>
    </row>
    <row r="2208" spans="1:17" ht="15" customHeight="1" x14ac:dyDescent="0.2">
      <c r="A2208" s="266" t="s">
        <v>841</v>
      </c>
      <c r="B2208" s="266"/>
      <c r="C2208" s="266"/>
      <c r="D2208" s="266"/>
      <c r="E2208" s="266"/>
      <c r="F2208" s="266"/>
      <c r="G2208" s="266"/>
      <c r="H2208" s="266"/>
      <c r="I2208" s="266"/>
      <c r="J2208" s="58" t="s">
        <v>31</v>
      </c>
      <c r="K2208" s="59"/>
      <c r="L2208" s="60" t="s">
        <v>32</v>
      </c>
      <c r="M2208" s="59" t="s">
        <v>29</v>
      </c>
      <c r="N2208" s="59"/>
      <c r="O2208" s="59" t="s">
        <v>30</v>
      </c>
      <c r="Q2208" s="38"/>
    </row>
    <row r="2209" spans="1:17" ht="15" customHeight="1" x14ac:dyDescent="0.2">
      <c r="A2209" s="189"/>
      <c r="B2209" s="189"/>
      <c r="C2209" s="189"/>
      <c r="D2209" s="189"/>
      <c r="E2209" s="189"/>
      <c r="F2209" s="189"/>
      <c r="G2209" s="189"/>
      <c r="H2209" s="189"/>
      <c r="I2209" s="189"/>
      <c r="J2209" s="58"/>
      <c r="K2209" s="59"/>
      <c r="L2209" s="60"/>
      <c r="M2209" s="59"/>
      <c r="N2209" s="59"/>
      <c r="O2209" s="59"/>
      <c r="Q2209" s="38"/>
    </row>
    <row r="2210" spans="1:17" ht="5" customHeight="1" x14ac:dyDescent="0.2"/>
    <row r="2211" spans="1:17" x14ac:dyDescent="0.2">
      <c r="A2211" s="234" t="s">
        <v>817</v>
      </c>
      <c r="B2211" s="235"/>
      <c r="C2211" s="235"/>
      <c r="D2211" s="235"/>
      <c r="E2211" s="236"/>
      <c r="F2211" s="236"/>
      <c r="G2211" s="236"/>
      <c r="H2211" s="236"/>
      <c r="I2211" s="236"/>
      <c r="J2211" s="236"/>
      <c r="K2211" s="236"/>
      <c r="L2211" s="236"/>
      <c r="M2211" s="236"/>
      <c r="N2211" s="236"/>
      <c r="O2211" s="236"/>
      <c r="P2211" s="236"/>
      <c r="Q2211" s="237"/>
    </row>
    <row r="2212" spans="1:17" x14ac:dyDescent="0.2">
      <c r="A2212" s="194"/>
      <c r="B2212" s="194"/>
      <c r="C2212" s="194"/>
      <c r="D2212" s="194"/>
      <c r="E2212" s="37"/>
      <c r="F2212" s="37"/>
      <c r="G2212" s="37"/>
      <c r="H2212" s="37"/>
      <c r="I2212" s="37"/>
      <c r="J2212" s="37"/>
      <c r="K2212" s="37"/>
      <c r="L2212" s="37"/>
      <c r="M2212" s="37"/>
      <c r="N2212" s="195"/>
      <c r="O2212" s="37"/>
      <c r="P2212" s="37"/>
      <c r="Q2212" s="38"/>
    </row>
    <row r="2213" spans="1:17" x14ac:dyDescent="0.2">
      <c r="A2213" s="238" t="s">
        <v>700</v>
      </c>
      <c r="B2213" s="239"/>
      <c r="C2213" s="212"/>
      <c r="D2213" s="212"/>
      <c r="E2213" s="72"/>
      <c r="F2213" s="238"/>
      <c r="G2213" s="238"/>
      <c r="H2213" s="238"/>
      <c r="I2213" s="238"/>
      <c r="J2213" s="238"/>
      <c r="K2213" s="238"/>
      <c r="L2213" s="238"/>
      <c r="M2213" s="238"/>
      <c r="N2213" s="238"/>
      <c r="O2213" s="238"/>
      <c r="P2213" s="238"/>
      <c r="Q2213" s="38"/>
    </row>
    <row r="2214" spans="1:17" ht="5" customHeight="1" x14ac:dyDescent="0.2">
      <c r="Q2214" s="38"/>
    </row>
    <row r="2215" spans="1:17" ht="5" customHeight="1" x14ac:dyDescent="0.2">
      <c r="A2215" s="48"/>
      <c r="B2215" s="23"/>
      <c r="C2215" s="23"/>
      <c r="D2215" s="23"/>
      <c r="E2215" s="23"/>
      <c r="F2215" s="33"/>
      <c r="G2215" s="33"/>
      <c r="H2215" s="33"/>
      <c r="I2215" s="33"/>
      <c r="J2215" s="178"/>
      <c r="K2215" s="33"/>
      <c r="L2215" s="33"/>
      <c r="M2215" s="33"/>
      <c r="N2215" s="33"/>
      <c r="O2215" s="33"/>
      <c r="P2215" s="34"/>
      <c r="Q2215" s="2"/>
    </row>
    <row r="2216" spans="1:17" x14ac:dyDescent="0.2">
      <c r="A2216" s="224" t="s">
        <v>842</v>
      </c>
      <c r="B2216" s="225"/>
      <c r="C2216" s="225"/>
      <c r="D2216" s="225"/>
      <c r="E2216" s="225"/>
      <c r="F2216" s="225"/>
      <c r="G2216" s="225"/>
      <c r="H2216" s="225"/>
      <c r="I2216" s="225"/>
      <c r="J2216" s="226"/>
      <c r="K2216" s="27"/>
      <c r="L2216" s="70">
        <v>172</v>
      </c>
      <c r="M2216" s="186" t="s">
        <v>61</v>
      </c>
      <c r="N2216" s="242">
        <f>N1972</f>
        <v>0</v>
      </c>
      <c r="O2216" s="243"/>
      <c r="P2216" s="26"/>
      <c r="Q2216" s="2"/>
    </row>
    <row r="2217" spans="1:17" ht="5" customHeight="1" x14ac:dyDescent="0.2">
      <c r="A2217" s="47"/>
      <c r="B2217" s="21"/>
      <c r="C2217" s="21"/>
      <c r="D2217" s="21"/>
      <c r="E2217" s="21"/>
      <c r="F2217" s="10"/>
      <c r="G2217" s="10"/>
      <c r="H2217" s="10"/>
      <c r="I2217" s="10"/>
      <c r="J2217" s="180"/>
      <c r="K2217" s="10"/>
      <c r="L2217" s="10"/>
      <c r="M2217" s="10"/>
      <c r="N2217" s="10"/>
      <c r="O2217" s="10"/>
      <c r="P2217" s="28"/>
      <c r="Q2217" s="2"/>
    </row>
    <row r="2218" spans="1:17" ht="5" customHeight="1" x14ac:dyDescent="0.2">
      <c r="A2218" s="49"/>
      <c r="B2218" s="24"/>
      <c r="C2218" s="24"/>
      <c r="D2218" s="24"/>
      <c r="E2218" s="24"/>
      <c r="F2218" s="29"/>
      <c r="G2218" s="29"/>
      <c r="H2218" s="29"/>
      <c r="I2218" s="29"/>
      <c r="J2218" s="183"/>
      <c r="K2218" s="29"/>
      <c r="L2218" s="29"/>
      <c r="M2218" s="29"/>
      <c r="N2218" s="29"/>
      <c r="O2218" s="29"/>
      <c r="P2218" s="30"/>
      <c r="Q2218" s="2"/>
    </row>
    <row r="2219" spans="1:17" ht="15" customHeight="1" x14ac:dyDescent="0.25">
      <c r="A2219" s="61"/>
      <c r="B2219" s="22"/>
      <c r="C2219" s="22"/>
      <c r="D2219" s="22"/>
      <c r="E2219" s="22"/>
      <c r="F2219" s="40"/>
      <c r="G2219" s="40"/>
      <c r="H2219" s="40"/>
      <c r="I2219" s="40"/>
      <c r="J2219" s="176"/>
      <c r="K2219" s="252" t="s">
        <v>449</v>
      </c>
      <c r="L2219" s="253"/>
      <c r="M2219" s="253"/>
      <c r="N2219" s="253"/>
      <c r="O2219" s="253"/>
      <c r="P2219" s="254"/>
      <c r="Q2219" s="38"/>
    </row>
    <row r="2220" spans="1:17" x14ac:dyDescent="0.2">
      <c r="A2220" s="221" t="s">
        <v>843</v>
      </c>
      <c r="B2220" s="222"/>
      <c r="C2220" s="222"/>
      <c r="D2220" s="222"/>
      <c r="E2220" s="222"/>
      <c r="F2220" s="222"/>
      <c r="G2220" s="222"/>
      <c r="H2220" s="222"/>
      <c r="I2220" s="222"/>
      <c r="J2220" s="223"/>
      <c r="K2220" s="40"/>
      <c r="L2220" s="70">
        <v>105</v>
      </c>
      <c r="M2220" s="67" t="s">
        <v>61</v>
      </c>
      <c r="N2220" s="213"/>
      <c r="O2220" s="214"/>
      <c r="P2220" s="41"/>
      <c r="Q2220" s="2"/>
    </row>
    <row r="2221" spans="1:17" ht="5" customHeight="1" x14ac:dyDescent="0.2">
      <c r="A2221" s="50"/>
      <c r="B2221" s="25"/>
      <c r="C2221" s="25"/>
      <c r="D2221" s="25"/>
      <c r="E2221" s="25"/>
      <c r="F2221" s="31"/>
      <c r="G2221" s="31"/>
      <c r="H2221" s="31"/>
      <c r="I2221" s="31"/>
      <c r="J2221" s="177"/>
      <c r="K2221" s="31"/>
      <c r="L2221" s="31"/>
      <c r="M2221" s="31"/>
      <c r="N2221" s="31"/>
      <c r="O2221" s="31"/>
      <c r="P2221" s="32"/>
      <c r="Q2221" s="2"/>
    </row>
    <row r="2222" spans="1:17" ht="5" customHeight="1" x14ac:dyDescent="0.2">
      <c r="A2222" s="48"/>
      <c r="B2222" s="23"/>
      <c r="C2222" s="23"/>
      <c r="D2222" s="23"/>
      <c r="E2222" s="23"/>
      <c r="F2222" s="33"/>
      <c r="G2222" s="33"/>
      <c r="H2222" s="33"/>
      <c r="I2222" s="33"/>
      <c r="J2222" s="178"/>
      <c r="K2222" s="33"/>
      <c r="L2222" s="33"/>
      <c r="M2222" s="33"/>
      <c r="N2222" s="33"/>
      <c r="O2222" s="33"/>
      <c r="P2222" s="34"/>
      <c r="Q2222" s="2"/>
    </row>
    <row r="2223" spans="1:17" x14ac:dyDescent="0.2">
      <c r="A2223" s="224" t="s">
        <v>844</v>
      </c>
      <c r="B2223" s="225"/>
      <c r="C2223" s="225"/>
      <c r="D2223" s="225"/>
      <c r="E2223" s="225"/>
      <c r="F2223" s="225"/>
      <c r="G2223" s="225"/>
      <c r="H2223" s="225"/>
      <c r="I2223" s="225"/>
      <c r="J2223" s="226"/>
      <c r="K2223" s="27"/>
      <c r="L2223" s="70">
        <v>107</v>
      </c>
      <c r="M2223" s="186" t="s">
        <v>61</v>
      </c>
      <c r="N2223" s="242">
        <f>N2216</f>
        <v>0</v>
      </c>
      <c r="O2223" s="243"/>
      <c r="P2223" s="26"/>
      <c r="Q2223" s="2"/>
    </row>
    <row r="2224" spans="1:17" ht="5" customHeight="1" x14ac:dyDescent="0.2">
      <c r="A2224" s="47"/>
      <c r="B2224" s="21"/>
      <c r="C2224" s="21"/>
      <c r="D2224" s="21"/>
      <c r="E2224" s="21"/>
      <c r="F2224" s="10"/>
      <c r="G2224" s="10"/>
      <c r="H2224" s="10"/>
      <c r="I2224" s="10"/>
      <c r="J2224" s="180"/>
      <c r="K2224" s="10"/>
      <c r="L2224" s="10"/>
      <c r="M2224" s="10"/>
      <c r="N2224" s="10"/>
      <c r="O2224" s="10"/>
      <c r="P2224" s="28"/>
      <c r="Q2224" s="2"/>
    </row>
    <row r="2225" spans="1:17" ht="5" customHeight="1" x14ac:dyDescent="0.2">
      <c r="A2225" s="49"/>
      <c r="B2225" s="24"/>
      <c r="C2225" s="24"/>
      <c r="D2225" s="24"/>
      <c r="E2225" s="24"/>
      <c r="F2225" s="29"/>
      <c r="G2225" s="29"/>
      <c r="H2225" s="29"/>
      <c r="I2225" s="29"/>
      <c r="J2225" s="183"/>
      <c r="K2225" s="29"/>
      <c r="L2225" s="29"/>
      <c r="M2225" s="29"/>
      <c r="N2225" s="29"/>
      <c r="O2225" s="29"/>
      <c r="P2225" s="30"/>
      <c r="Q2225" s="2"/>
    </row>
    <row r="2226" spans="1:17" ht="15" customHeight="1" x14ac:dyDescent="0.25">
      <c r="A2226" s="61"/>
      <c r="B2226" s="22"/>
      <c r="C2226" s="22"/>
      <c r="D2226" s="22"/>
      <c r="E2226" s="22"/>
      <c r="F2226" s="40"/>
      <c r="G2226" s="40"/>
      <c r="H2226" s="40"/>
      <c r="I2226" s="40"/>
      <c r="J2226" s="176"/>
      <c r="K2226" s="252" t="s">
        <v>449</v>
      </c>
      <c r="L2226" s="253"/>
      <c r="M2226" s="253"/>
      <c r="N2226" s="253"/>
      <c r="O2226" s="253"/>
      <c r="P2226" s="254"/>
      <c r="Q2226" s="38"/>
    </row>
    <row r="2227" spans="1:17" x14ac:dyDescent="0.2">
      <c r="A2227" s="221" t="s">
        <v>701</v>
      </c>
      <c r="B2227" s="222"/>
      <c r="C2227" s="222"/>
      <c r="D2227" s="222"/>
      <c r="E2227" s="222"/>
      <c r="F2227" s="222"/>
      <c r="G2227" s="222"/>
      <c r="H2227" s="222"/>
      <c r="I2227" s="222"/>
      <c r="J2227" s="223"/>
      <c r="K2227" s="40"/>
      <c r="L2227" s="70">
        <v>109</v>
      </c>
      <c r="M2227" s="107" t="s">
        <v>61</v>
      </c>
      <c r="N2227" s="240"/>
      <c r="O2227" s="241"/>
      <c r="P2227" s="41"/>
      <c r="Q2227" s="2"/>
    </row>
    <row r="2228" spans="1:17" ht="5" customHeight="1" x14ac:dyDescent="0.2">
      <c r="A2228" s="50"/>
      <c r="B2228" s="25"/>
      <c r="C2228" s="25"/>
      <c r="D2228" s="25"/>
      <c r="E2228" s="25"/>
      <c r="F2228" s="31"/>
      <c r="G2228" s="31"/>
      <c r="H2228" s="31"/>
      <c r="I2228" s="31"/>
      <c r="J2228" s="177"/>
      <c r="K2228" s="31"/>
      <c r="L2228" s="31"/>
      <c r="M2228" s="31"/>
      <c r="N2228" s="31"/>
      <c r="O2228" s="31"/>
      <c r="P2228" s="32"/>
      <c r="Q2228" s="2"/>
    </row>
    <row r="2229" spans="1:17" ht="5" customHeight="1" x14ac:dyDescent="0.2">
      <c r="A2229" s="48"/>
      <c r="B2229" s="23"/>
      <c r="C2229" s="23"/>
      <c r="D2229" s="23"/>
      <c r="E2229" s="23"/>
      <c r="F2229" s="33"/>
      <c r="G2229" s="33"/>
      <c r="H2229" s="33"/>
      <c r="I2229" s="33"/>
      <c r="J2229" s="178"/>
      <c r="K2229" s="33"/>
      <c r="L2229" s="33"/>
      <c r="M2229" s="33"/>
      <c r="N2229" s="33"/>
      <c r="O2229" s="33"/>
      <c r="P2229" s="34"/>
      <c r="Q2229" s="2"/>
    </row>
    <row r="2230" spans="1:17" ht="15" customHeight="1" x14ac:dyDescent="0.25">
      <c r="A2230" s="141"/>
      <c r="B2230" s="20"/>
      <c r="C2230" s="20"/>
      <c r="D2230" s="20"/>
      <c r="E2230" s="20"/>
      <c r="F2230" s="27"/>
      <c r="G2230" s="27"/>
      <c r="H2230" s="27"/>
      <c r="I2230" s="27"/>
      <c r="J2230" s="179"/>
      <c r="K2230" s="260" t="s">
        <v>449</v>
      </c>
      <c r="L2230" s="261"/>
      <c r="M2230" s="261"/>
      <c r="N2230" s="261"/>
      <c r="O2230" s="261"/>
      <c r="P2230" s="262"/>
      <c r="Q2230" s="38"/>
    </row>
    <row r="2231" spans="1:17" x14ac:dyDescent="0.2">
      <c r="A2231" s="224" t="s">
        <v>845</v>
      </c>
      <c r="B2231" s="225"/>
      <c r="C2231" s="225"/>
      <c r="D2231" s="225"/>
      <c r="E2231" s="225"/>
      <c r="F2231" s="225"/>
      <c r="G2231" s="225"/>
      <c r="H2231" s="225"/>
      <c r="I2231" s="225"/>
      <c r="J2231" s="226"/>
      <c r="K2231" s="27"/>
      <c r="L2231" s="70">
        <v>111</v>
      </c>
      <c r="M2231" s="67" t="s">
        <v>61</v>
      </c>
      <c r="N2231" s="213"/>
      <c r="O2231" s="214"/>
      <c r="P2231" s="26"/>
      <c r="Q2231" s="2"/>
    </row>
    <row r="2232" spans="1:17" ht="5" customHeight="1" x14ac:dyDescent="0.2">
      <c r="A2232" s="47"/>
      <c r="B2232" s="21"/>
      <c r="C2232" s="21"/>
      <c r="D2232" s="21"/>
      <c r="E2232" s="21"/>
      <c r="F2232" s="10"/>
      <c r="G2232" s="10"/>
      <c r="H2232" s="10"/>
      <c r="I2232" s="10"/>
      <c r="J2232" s="180"/>
      <c r="K2232" s="10"/>
      <c r="L2232" s="10"/>
      <c r="M2232" s="10"/>
      <c r="N2232" s="10"/>
      <c r="O2232" s="10"/>
      <c r="P2232" s="28"/>
      <c r="Q2232" s="2"/>
    </row>
    <row r="2233" spans="1:17" ht="5" customHeight="1" x14ac:dyDescent="0.2">
      <c r="A2233" s="49"/>
      <c r="B2233" s="24"/>
      <c r="C2233" s="24"/>
      <c r="D2233" s="24"/>
      <c r="E2233" s="24"/>
      <c r="F2233" s="29"/>
      <c r="G2233" s="29"/>
      <c r="H2233" s="29"/>
      <c r="I2233" s="29"/>
      <c r="J2233" s="183"/>
      <c r="K2233" s="29"/>
      <c r="L2233" s="29"/>
      <c r="M2233" s="29"/>
      <c r="N2233" s="29"/>
      <c r="O2233" s="29"/>
      <c r="P2233" s="30"/>
      <c r="Q2233" s="2"/>
    </row>
    <row r="2234" spans="1:17" ht="15" customHeight="1" x14ac:dyDescent="0.25">
      <c r="A2234" s="61"/>
      <c r="B2234" s="22"/>
      <c r="C2234" s="22"/>
      <c r="D2234" s="22"/>
      <c r="E2234" s="22"/>
      <c r="F2234" s="40"/>
      <c r="G2234" s="40"/>
      <c r="H2234" s="40"/>
      <c r="I2234" s="40"/>
      <c r="J2234" s="176"/>
      <c r="K2234" s="252" t="s">
        <v>449</v>
      </c>
      <c r="L2234" s="253"/>
      <c r="M2234" s="253"/>
      <c r="N2234" s="253"/>
      <c r="O2234" s="253"/>
      <c r="P2234" s="254"/>
      <c r="Q2234" s="38"/>
    </row>
    <row r="2235" spans="1:17" x14ac:dyDescent="0.2">
      <c r="A2235" s="221" t="s">
        <v>846</v>
      </c>
      <c r="B2235" s="222"/>
      <c r="C2235" s="222"/>
      <c r="D2235" s="222"/>
      <c r="E2235" s="222"/>
      <c r="F2235" s="222"/>
      <c r="G2235" s="222"/>
      <c r="H2235" s="222"/>
      <c r="I2235" s="222"/>
      <c r="J2235" s="223"/>
      <c r="K2235" s="40"/>
      <c r="L2235" s="70">
        <v>113</v>
      </c>
      <c r="M2235" s="67" t="s">
        <v>61</v>
      </c>
      <c r="N2235" s="213"/>
      <c r="O2235" s="214"/>
      <c r="P2235" s="41"/>
      <c r="Q2235" s="2"/>
    </row>
    <row r="2236" spans="1:17" ht="5" customHeight="1" x14ac:dyDescent="0.2">
      <c r="A2236" s="50"/>
      <c r="B2236" s="25"/>
      <c r="C2236" s="25"/>
      <c r="D2236" s="25"/>
      <c r="E2236" s="25"/>
      <c r="F2236" s="31"/>
      <c r="G2236" s="31"/>
      <c r="H2236" s="31"/>
      <c r="I2236" s="31"/>
      <c r="J2236" s="177"/>
      <c r="K2236" s="31"/>
      <c r="L2236" s="31"/>
      <c r="M2236" s="31"/>
      <c r="N2236" s="31"/>
      <c r="O2236" s="31"/>
      <c r="P2236" s="32"/>
      <c r="Q2236" s="2"/>
    </row>
    <row r="2237" spans="1:17" x14ac:dyDescent="0.2">
      <c r="Q2237" s="38"/>
    </row>
    <row r="2238" spans="1:17" x14ac:dyDescent="0.2">
      <c r="A2238" s="238" t="s">
        <v>703</v>
      </c>
      <c r="B2238" s="239"/>
      <c r="C2238" s="212"/>
      <c r="D2238" s="212"/>
      <c r="E2238" s="72"/>
      <c r="F2238" s="238"/>
      <c r="G2238" s="238"/>
      <c r="H2238" s="238"/>
      <c r="I2238" s="238"/>
      <c r="J2238" s="238"/>
      <c r="K2238" s="238"/>
      <c r="L2238" s="238"/>
      <c r="M2238" s="238"/>
      <c r="N2238" s="238"/>
      <c r="O2238" s="238"/>
      <c r="P2238" s="238"/>
      <c r="Q2238" s="38"/>
    </row>
    <row r="2239" spans="1:17" ht="5" customHeight="1" x14ac:dyDescent="0.2">
      <c r="Q2239" s="38"/>
    </row>
    <row r="2240" spans="1:17" ht="5" customHeight="1" x14ac:dyDescent="0.2">
      <c r="A2240" s="48"/>
      <c r="B2240" s="23"/>
      <c r="C2240" s="23"/>
      <c r="D2240" s="23"/>
      <c r="E2240" s="23"/>
      <c r="F2240" s="33"/>
      <c r="G2240" s="33"/>
      <c r="H2240" s="33"/>
      <c r="I2240" s="33"/>
      <c r="J2240" s="178"/>
      <c r="K2240" s="33"/>
      <c r="L2240" s="33"/>
      <c r="M2240" s="33"/>
      <c r="N2240" s="33"/>
      <c r="O2240" s="33"/>
      <c r="P2240" s="34"/>
      <c r="Q2240" s="38"/>
    </row>
    <row r="2241" spans="1:17" ht="15" customHeight="1" x14ac:dyDescent="0.25">
      <c r="A2241" s="141"/>
      <c r="B2241" s="20"/>
      <c r="C2241" s="20"/>
      <c r="D2241" s="20"/>
      <c r="E2241" s="20"/>
      <c r="F2241" s="27"/>
      <c r="G2241" s="27"/>
      <c r="H2241" s="27"/>
      <c r="I2241" s="27"/>
      <c r="J2241" s="179"/>
      <c r="K2241" s="260" t="s">
        <v>449</v>
      </c>
      <c r="L2241" s="261"/>
      <c r="M2241" s="261"/>
      <c r="N2241" s="261"/>
      <c r="O2241" s="261"/>
      <c r="P2241" s="262"/>
      <c r="Q2241" s="38"/>
    </row>
    <row r="2242" spans="1:17" x14ac:dyDescent="0.2">
      <c r="A2242" s="224" t="s">
        <v>843</v>
      </c>
      <c r="B2242" s="225"/>
      <c r="C2242" s="225"/>
      <c r="D2242" s="225"/>
      <c r="E2242" s="225"/>
      <c r="F2242" s="225"/>
      <c r="G2242" s="225"/>
      <c r="H2242" s="225"/>
      <c r="I2242" s="225"/>
      <c r="J2242" s="226"/>
      <c r="K2242" s="27"/>
      <c r="L2242" s="70">
        <v>106</v>
      </c>
      <c r="M2242" s="67" t="s">
        <v>61</v>
      </c>
      <c r="N2242" s="213"/>
      <c r="O2242" s="214"/>
      <c r="P2242" s="26"/>
      <c r="Q2242" s="2"/>
    </row>
    <row r="2243" spans="1:17" ht="5" customHeight="1" x14ac:dyDescent="0.2">
      <c r="A2243" s="47"/>
      <c r="B2243" s="21"/>
      <c r="C2243" s="21"/>
      <c r="D2243" s="21"/>
      <c r="E2243" s="21"/>
      <c r="F2243" s="10"/>
      <c r="G2243" s="10"/>
      <c r="H2243" s="10"/>
      <c r="I2243" s="10"/>
      <c r="J2243" s="180"/>
      <c r="K2243" s="10"/>
      <c r="L2243" s="10"/>
      <c r="M2243" s="10"/>
      <c r="N2243" s="10"/>
      <c r="O2243" s="10"/>
      <c r="P2243" s="28"/>
      <c r="Q2243" s="2"/>
    </row>
    <row r="2244" spans="1:17" ht="5" customHeight="1" x14ac:dyDescent="0.2">
      <c r="A2244" s="49"/>
      <c r="B2244" s="24"/>
      <c r="C2244" s="24"/>
      <c r="D2244" s="24"/>
      <c r="E2244" s="24"/>
      <c r="F2244" s="29"/>
      <c r="G2244" s="29"/>
      <c r="H2244" s="29"/>
      <c r="I2244" s="29"/>
      <c r="J2244" s="183"/>
      <c r="K2244" s="29"/>
      <c r="L2244" s="29"/>
      <c r="M2244" s="29"/>
      <c r="N2244" s="29"/>
      <c r="O2244" s="29"/>
      <c r="P2244" s="30"/>
      <c r="Q2244" s="2"/>
    </row>
    <row r="2245" spans="1:17" ht="15" customHeight="1" x14ac:dyDescent="0.25">
      <c r="A2245" s="61"/>
      <c r="B2245" s="22"/>
      <c r="C2245" s="22"/>
      <c r="D2245" s="22"/>
      <c r="E2245" s="22"/>
      <c r="F2245" s="40"/>
      <c r="G2245" s="40"/>
      <c r="H2245" s="40"/>
      <c r="I2245" s="40"/>
      <c r="J2245" s="176"/>
      <c r="K2245" s="252" t="s">
        <v>449</v>
      </c>
      <c r="L2245" s="253"/>
      <c r="M2245" s="253"/>
      <c r="N2245" s="253"/>
      <c r="O2245" s="253"/>
      <c r="P2245" s="254"/>
      <c r="Q2245" s="38"/>
    </row>
    <row r="2246" spans="1:17" x14ac:dyDescent="0.2">
      <c r="A2246" s="221" t="s">
        <v>844</v>
      </c>
      <c r="B2246" s="222"/>
      <c r="C2246" s="222"/>
      <c r="D2246" s="222"/>
      <c r="E2246" s="222"/>
      <c r="F2246" s="222"/>
      <c r="G2246" s="222"/>
      <c r="H2246" s="222"/>
      <c r="I2246" s="222"/>
      <c r="J2246" s="223"/>
      <c r="K2246" s="40"/>
      <c r="L2246" s="70">
        <v>108</v>
      </c>
      <c r="M2246" s="107" t="s">
        <v>61</v>
      </c>
      <c r="N2246" s="240">
        <f>N1975</f>
        <v>0</v>
      </c>
      <c r="O2246" s="241"/>
      <c r="P2246" s="41"/>
      <c r="Q2246" s="2"/>
    </row>
    <row r="2247" spans="1:17" ht="5" customHeight="1" x14ac:dyDescent="0.2">
      <c r="A2247" s="50"/>
      <c r="B2247" s="25"/>
      <c r="C2247" s="25"/>
      <c r="D2247" s="25"/>
      <c r="E2247" s="25"/>
      <c r="F2247" s="31"/>
      <c r="G2247" s="31"/>
      <c r="H2247" s="31"/>
      <c r="I2247" s="31"/>
      <c r="J2247" s="177"/>
      <c r="K2247" s="31"/>
      <c r="L2247" s="31"/>
      <c r="M2247" s="31"/>
      <c r="N2247" s="31"/>
      <c r="O2247" s="31"/>
      <c r="P2247" s="32"/>
      <c r="Q2247" s="2"/>
    </row>
    <row r="2248" spans="1:17" ht="5" customHeight="1" x14ac:dyDescent="0.2">
      <c r="A2248" s="48"/>
      <c r="B2248" s="23"/>
      <c r="C2248" s="23"/>
      <c r="D2248" s="23"/>
      <c r="E2248" s="23"/>
      <c r="F2248" s="33"/>
      <c r="G2248" s="33"/>
      <c r="H2248" s="33"/>
      <c r="I2248" s="33"/>
      <c r="J2248" s="178"/>
      <c r="K2248" s="33"/>
      <c r="L2248" s="33"/>
      <c r="M2248" s="33"/>
      <c r="N2248" s="33"/>
      <c r="O2248" s="33"/>
      <c r="P2248" s="34"/>
      <c r="Q2248" s="2"/>
    </row>
    <row r="2249" spans="1:17" ht="15" customHeight="1" x14ac:dyDescent="0.25">
      <c r="A2249" s="141"/>
      <c r="B2249" s="20"/>
      <c r="C2249" s="20"/>
      <c r="D2249" s="20"/>
      <c r="E2249" s="20"/>
      <c r="F2249" s="27"/>
      <c r="G2249" s="27"/>
      <c r="H2249" s="27"/>
      <c r="I2249" s="27"/>
      <c r="J2249" s="179"/>
      <c r="K2249" s="260" t="s">
        <v>449</v>
      </c>
      <c r="L2249" s="261"/>
      <c r="M2249" s="261"/>
      <c r="N2249" s="261"/>
      <c r="O2249" s="261"/>
      <c r="P2249" s="262"/>
      <c r="Q2249" s="38"/>
    </row>
    <row r="2250" spans="1:17" x14ac:dyDescent="0.2">
      <c r="A2250" s="224" t="s">
        <v>701</v>
      </c>
      <c r="B2250" s="225"/>
      <c r="C2250" s="225"/>
      <c r="D2250" s="225"/>
      <c r="E2250" s="225"/>
      <c r="F2250" s="225"/>
      <c r="G2250" s="225"/>
      <c r="H2250" s="225"/>
      <c r="I2250" s="225"/>
      <c r="J2250" s="226"/>
      <c r="K2250" s="27"/>
      <c r="L2250" s="70">
        <v>110</v>
      </c>
      <c r="M2250" s="186" t="s">
        <v>61</v>
      </c>
      <c r="N2250" s="242"/>
      <c r="O2250" s="243"/>
      <c r="P2250" s="26"/>
      <c r="Q2250" s="2"/>
    </row>
    <row r="2251" spans="1:17" ht="5" customHeight="1" x14ac:dyDescent="0.2">
      <c r="A2251" s="47"/>
      <c r="B2251" s="21"/>
      <c r="C2251" s="21"/>
      <c r="D2251" s="21"/>
      <c r="E2251" s="21"/>
      <c r="F2251" s="10"/>
      <c r="G2251" s="10"/>
      <c r="H2251" s="10"/>
      <c r="I2251" s="10"/>
      <c r="J2251" s="180"/>
      <c r="K2251" s="10"/>
      <c r="L2251" s="10"/>
      <c r="M2251" s="10"/>
      <c r="N2251" s="10"/>
      <c r="O2251" s="10"/>
      <c r="P2251" s="28"/>
      <c r="Q2251" s="2"/>
    </row>
    <row r="2252" spans="1:17" ht="5" customHeight="1" x14ac:dyDescent="0.2">
      <c r="A2252" s="49"/>
      <c r="B2252" s="24"/>
      <c r="C2252" s="24"/>
      <c r="D2252" s="24"/>
      <c r="E2252" s="24"/>
      <c r="F2252" s="29"/>
      <c r="G2252" s="29"/>
      <c r="H2252" s="29"/>
      <c r="I2252" s="29"/>
      <c r="J2252" s="183"/>
      <c r="K2252" s="29"/>
      <c r="L2252" s="29"/>
      <c r="M2252" s="29"/>
      <c r="N2252" s="29"/>
      <c r="O2252" s="29"/>
      <c r="P2252" s="30"/>
      <c r="Q2252" s="2"/>
    </row>
    <row r="2253" spans="1:17" ht="15" customHeight="1" x14ac:dyDescent="0.25">
      <c r="A2253" s="61"/>
      <c r="B2253" s="22"/>
      <c r="C2253" s="22"/>
      <c r="D2253" s="22"/>
      <c r="E2253" s="22"/>
      <c r="F2253" s="40"/>
      <c r="G2253" s="40"/>
      <c r="H2253" s="40"/>
      <c r="I2253" s="40"/>
      <c r="J2253" s="176"/>
      <c r="K2253" s="252" t="s">
        <v>449</v>
      </c>
      <c r="L2253" s="253"/>
      <c r="M2253" s="253"/>
      <c r="N2253" s="253"/>
      <c r="O2253" s="253"/>
      <c r="P2253" s="254"/>
      <c r="Q2253" s="38"/>
    </row>
    <row r="2254" spans="1:17" x14ac:dyDescent="0.2">
      <c r="A2254" s="221" t="s">
        <v>845</v>
      </c>
      <c r="B2254" s="222"/>
      <c r="C2254" s="222"/>
      <c r="D2254" s="222"/>
      <c r="E2254" s="222"/>
      <c r="F2254" s="222"/>
      <c r="G2254" s="222"/>
      <c r="H2254" s="222"/>
      <c r="I2254" s="222"/>
      <c r="J2254" s="223"/>
      <c r="K2254" s="40"/>
      <c r="L2254" s="70">
        <v>112</v>
      </c>
      <c r="M2254" s="67" t="s">
        <v>61</v>
      </c>
      <c r="N2254" s="213"/>
      <c r="O2254" s="214"/>
      <c r="P2254" s="41"/>
      <c r="Q2254" s="2"/>
    </row>
    <row r="2255" spans="1:17" ht="5" customHeight="1" x14ac:dyDescent="0.2">
      <c r="A2255" s="50"/>
      <c r="B2255" s="25"/>
      <c r="C2255" s="25"/>
      <c r="D2255" s="25"/>
      <c r="E2255" s="25"/>
      <c r="F2255" s="31"/>
      <c r="G2255" s="31"/>
      <c r="H2255" s="31"/>
      <c r="I2255" s="31"/>
      <c r="J2255" s="177"/>
      <c r="K2255" s="31"/>
      <c r="L2255" s="31"/>
      <c r="M2255" s="31"/>
      <c r="N2255" s="31"/>
      <c r="O2255" s="31"/>
      <c r="P2255" s="32"/>
      <c r="Q2255" s="2"/>
    </row>
    <row r="2256" spans="1:17" ht="5" customHeight="1" x14ac:dyDescent="0.2">
      <c r="A2256" s="48"/>
      <c r="B2256" s="23"/>
      <c r="C2256" s="23"/>
      <c r="D2256" s="23"/>
      <c r="E2256" s="23"/>
      <c r="F2256" s="33"/>
      <c r="G2256" s="33"/>
      <c r="H2256" s="33"/>
      <c r="I2256" s="33"/>
      <c r="J2256" s="178"/>
      <c r="K2256" s="33"/>
      <c r="L2256" s="33"/>
      <c r="M2256" s="33"/>
      <c r="N2256" s="33"/>
      <c r="O2256" s="33"/>
      <c r="P2256" s="34"/>
      <c r="Q2256" s="38"/>
    </row>
    <row r="2257" spans="1:17" ht="15" customHeight="1" x14ac:dyDescent="0.25">
      <c r="A2257" s="141"/>
      <c r="B2257" s="20"/>
      <c r="C2257" s="20"/>
      <c r="D2257" s="20"/>
      <c r="E2257" s="20"/>
      <c r="F2257" s="27"/>
      <c r="G2257" s="27"/>
      <c r="H2257" s="27"/>
      <c r="I2257" s="27"/>
      <c r="J2257" s="179"/>
      <c r="K2257" s="260" t="s">
        <v>449</v>
      </c>
      <c r="L2257" s="261"/>
      <c r="M2257" s="261"/>
      <c r="N2257" s="261"/>
      <c r="O2257" s="261"/>
      <c r="P2257" s="262"/>
      <c r="Q2257" s="38"/>
    </row>
    <row r="2258" spans="1:17" x14ac:dyDescent="0.2">
      <c r="A2258" s="224" t="s">
        <v>846</v>
      </c>
      <c r="B2258" s="225"/>
      <c r="C2258" s="225"/>
      <c r="D2258" s="225"/>
      <c r="E2258" s="225"/>
      <c r="F2258" s="225"/>
      <c r="G2258" s="225"/>
      <c r="H2258" s="225"/>
      <c r="I2258" s="225"/>
      <c r="J2258" s="226"/>
      <c r="K2258" s="27"/>
      <c r="L2258" s="70">
        <v>106</v>
      </c>
      <c r="M2258" s="67" t="s">
        <v>61</v>
      </c>
      <c r="N2258" s="213"/>
      <c r="O2258" s="214"/>
      <c r="P2258" s="26"/>
      <c r="Q2258" s="2"/>
    </row>
    <row r="2259" spans="1:17" ht="5" customHeight="1" x14ac:dyDescent="0.2">
      <c r="A2259" s="47"/>
      <c r="B2259" s="21"/>
      <c r="C2259" s="21"/>
      <c r="D2259" s="21"/>
      <c r="E2259" s="21"/>
      <c r="F2259" s="10"/>
      <c r="G2259" s="10"/>
      <c r="H2259" s="10"/>
      <c r="I2259" s="10"/>
      <c r="J2259" s="180"/>
      <c r="K2259" s="10"/>
      <c r="L2259" s="10"/>
      <c r="M2259" s="10"/>
      <c r="N2259" s="10"/>
      <c r="O2259" s="10"/>
      <c r="P2259" s="28"/>
      <c r="Q2259" s="2"/>
    </row>
    <row r="2260" spans="1:17" x14ac:dyDescent="0.2">
      <c r="Q2260" s="38"/>
    </row>
    <row r="2261" spans="1:17" ht="5" customHeight="1" x14ac:dyDescent="0.2"/>
    <row r="2262" spans="1:17" x14ac:dyDescent="0.2">
      <c r="A2262" s="234" t="s">
        <v>991</v>
      </c>
      <c r="B2262" s="235"/>
      <c r="C2262" s="235"/>
      <c r="D2262" s="235"/>
      <c r="E2262" s="236"/>
      <c r="F2262" s="236"/>
      <c r="G2262" s="236"/>
      <c r="H2262" s="236"/>
      <c r="I2262" s="236"/>
      <c r="J2262" s="236"/>
      <c r="K2262" s="236"/>
      <c r="L2262" s="236"/>
      <c r="M2262" s="236"/>
      <c r="N2262" s="236"/>
      <c r="O2262" s="236"/>
      <c r="P2262" s="236"/>
      <c r="Q2262" s="237"/>
    </row>
    <row r="2263" spans="1:17" x14ac:dyDescent="0.2">
      <c r="Q2263" s="38"/>
    </row>
    <row r="2264" spans="1:17" x14ac:dyDescent="0.2">
      <c r="A2264" s="238" t="s">
        <v>700</v>
      </c>
      <c r="B2264" s="239"/>
      <c r="C2264" s="212"/>
      <c r="D2264" s="212"/>
      <c r="E2264" s="72"/>
      <c r="F2264" s="238"/>
      <c r="G2264" s="238"/>
      <c r="H2264" s="238"/>
      <c r="I2264" s="238"/>
      <c r="J2264" s="238"/>
      <c r="K2264" s="238"/>
      <c r="L2264" s="238"/>
      <c r="M2264" s="238"/>
      <c r="N2264" s="238"/>
      <c r="O2264" s="238"/>
      <c r="P2264" s="238"/>
      <c r="Q2264" s="38"/>
    </row>
    <row r="2265" spans="1:17" ht="5" customHeight="1" x14ac:dyDescent="0.2">
      <c r="Q2265" s="38"/>
    </row>
    <row r="2266" spans="1:17" ht="5" customHeight="1" x14ac:dyDescent="0.2">
      <c r="A2266" s="48"/>
      <c r="B2266" s="23"/>
      <c r="C2266" s="23"/>
      <c r="D2266" s="23"/>
      <c r="E2266" s="23"/>
      <c r="F2266" s="33"/>
      <c r="G2266" s="33"/>
      <c r="H2266" s="33"/>
      <c r="I2266" s="33"/>
      <c r="J2266" s="178"/>
      <c r="K2266" s="33"/>
      <c r="L2266" s="33"/>
      <c r="M2266" s="33"/>
      <c r="N2266" s="33"/>
      <c r="O2266" s="33"/>
      <c r="P2266" s="34"/>
      <c r="Q2266" s="38"/>
    </row>
    <row r="2267" spans="1:17" ht="15" customHeight="1" x14ac:dyDescent="0.25">
      <c r="A2267" s="141"/>
      <c r="B2267" s="20"/>
      <c r="C2267" s="20"/>
      <c r="D2267" s="20"/>
      <c r="E2267" s="20"/>
      <c r="F2267" s="27"/>
      <c r="G2267" s="27"/>
      <c r="H2267" s="27"/>
      <c r="I2267" s="27"/>
      <c r="J2267" s="179"/>
      <c r="K2267" s="260" t="s">
        <v>449</v>
      </c>
      <c r="L2267" s="261"/>
      <c r="M2267" s="261"/>
      <c r="N2267" s="261"/>
      <c r="O2267" s="261"/>
      <c r="P2267" s="262"/>
      <c r="Q2267" s="38"/>
    </row>
    <row r="2268" spans="1:17" x14ac:dyDescent="0.2">
      <c r="A2268" s="224" t="s">
        <v>842</v>
      </c>
      <c r="B2268" s="225"/>
      <c r="C2268" s="225"/>
      <c r="D2268" s="225"/>
      <c r="E2268" s="225"/>
      <c r="F2268" s="225"/>
      <c r="G2268" s="225"/>
      <c r="H2268" s="225"/>
      <c r="I2268" s="225"/>
      <c r="J2268" s="226"/>
      <c r="K2268" s="27"/>
      <c r="L2268" s="70">
        <v>173</v>
      </c>
      <c r="M2268" s="67" t="s">
        <v>61</v>
      </c>
      <c r="N2268" s="213"/>
      <c r="O2268" s="214"/>
      <c r="P2268" s="26"/>
      <c r="Q2268" s="2"/>
    </row>
    <row r="2269" spans="1:17" ht="5" customHeight="1" x14ac:dyDescent="0.2">
      <c r="A2269" s="47"/>
      <c r="B2269" s="21"/>
      <c r="C2269" s="21"/>
      <c r="D2269" s="21"/>
      <c r="E2269" s="21"/>
      <c r="F2269" s="10"/>
      <c r="G2269" s="10"/>
      <c r="H2269" s="10"/>
      <c r="I2269" s="10"/>
      <c r="J2269" s="180"/>
      <c r="K2269" s="10"/>
      <c r="L2269" s="10"/>
      <c r="M2269" s="10"/>
      <c r="N2269" s="10"/>
      <c r="O2269" s="10"/>
      <c r="P2269" s="28"/>
      <c r="Q2269" s="2"/>
    </row>
    <row r="2270" spans="1:17" ht="5" customHeight="1" x14ac:dyDescent="0.2">
      <c r="A2270" s="49"/>
      <c r="B2270" s="24"/>
      <c r="C2270" s="24"/>
      <c r="D2270" s="24"/>
      <c r="E2270" s="24"/>
      <c r="F2270" s="29"/>
      <c r="G2270" s="29"/>
      <c r="H2270" s="29"/>
      <c r="I2270" s="29"/>
      <c r="J2270" s="183"/>
      <c r="K2270" s="29"/>
      <c r="L2270" s="29"/>
      <c r="M2270" s="29"/>
      <c r="N2270" s="29"/>
      <c r="O2270" s="29"/>
      <c r="P2270" s="30"/>
      <c r="Q2270" s="2"/>
    </row>
    <row r="2271" spans="1:17" ht="15" customHeight="1" x14ac:dyDescent="0.25">
      <c r="A2271" s="61"/>
      <c r="B2271" s="22"/>
      <c r="C2271" s="22"/>
      <c r="D2271" s="22"/>
      <c r="E2271" s="22"/>
      <c r="F2271" s="40"/>
      <c r="G2271" s="40"/>
      <c r="H2271" s="40"/>
      <c r="I2271" s="40"/>
      <c r="J2271" s="176"/>
      <c r="K2271" s="252" t="s">
        <v>449</v>
      </c>
      <c r="L2271" s="253"/>
      <c r="M2271" s="253"/>
      <c r="N2271" s="253"/>
      <c r="O2271" s="253"/>
      <c r="P2271" s="254"/>
      <c r="Q2271" s="38"/>
    </row>
    <row r="2272" spans="1:17" x14ac:dyDescent="0.2">
      <c r="A2272" s="221" t="s">
        <v>847</v>
      </c>
      <c r="B2272" s="222"/>
      <c r="C2272" s="222"/>
      <c r="D2272" s="222"/>
      <c r="E2272" s="222"/>
      <c r="F2272" s="222"/>
      <c r="G2272" s="222"/>
      <c r="H2272" s="222"/>
      <c r="I2272" s="222"/>
      <c r="J2272" s="223"/>
      <c r="K2272" s="40"/>
      <c r="L2272" s="70">
        <v>115</v>
      </c>
      <c r="M2272" s="107" t="s">
        <v>61</v>
      </c>
      <c r="N2272" s="240"/>
      <c r="O2272" s="241"/>
      <c r="P2272" s="41"/>
      <c r="Q2272" s="2"/>
    </row>
    <row r="2273" spans="1:17" ht="5" customHeight="1" x14ac:dyDescent="0.2">
      <c r="A2273" s="50"/>
      <c r="B2273" s="25"/>
      <c r="C2273" s="25"/>
      <c r="D2273" s="25"/>
      <c r="E2273" s="25"/>
      <c r="F2273" s="31"/>
      <c r="G2273" s="31"/>
      <c r="H2273" s="31"/>
      <c r="I2273" s="31"/>
      <c r="J2273" s="177"/>
      <c r="K2273" s="31"/>
      <c r="L2273" s="31"/>
      <c r="M2273" s="31"/>
      <c r="N2273" s="31"/>
      <c r="O2273" s="31"/>
      <c r="P2273" s="32"/>
      <c r="Q2273" s="2"/>
    </row>
    <row r="2274" spans="1:17" ht="5" customHeight="1" x14ac:dyDescent="0.2">
      <c r="A2274" s="48"/>
      <c r="B2274" s="23"/>
      <c r="C2274" s="23"/>
      <c r="D2274" s="23"/>
      <c r="E2274" s="23"/>
      <c r="F2274" s="33"/>
      <c r="G2274" s="33"/>
      <c r="H2274" s="33"/>
      <c r="I2274" s="33"/>
      <c r="J2274" s="178"/>
      <c r="K2274" s="33"/>
      <c r="L2274" s="33"/>
      <c r="M2274" s="33"/>
      <c r="N2274" s="33"/>
      <c r="O2274" s="33"/>
      <c r="P2274" s="34"/>
      <c r="Q2274" s="2"/>
    </row>
    <row r="2275" spans="1:17" ht="15" customHeight="1" x14ac:dyDescent="0.25">
      <c r="A2275" s="141"/>
      <c r="B2275" s="20"/>
      <c r="C2275" s="20"/>
      <c r="D2275" s="20"/>
      <c r="E2275" s="20"/>
      <c r="F2275" s="27"/>
      <c r="G2275" s="27"/>
      <c r="H2275" s="27"/>
      <c r="I2275" s="27"/>
      <c r="J2275" s="179"/>
      <c r="K2275" s="260" t="s">
        <v>449</v>
      </c>
      <c r="L2275" s="261"/>
      <c r="M2275" s="261"/>
      <c r="N2275" s="261"/>
      <c r="O2275" s="261"/>
      <c r="P2275" s="262"/>
      <c r="Q2275" s="38"/>
    </row>
    <row r="2276" spans="1:17" x14ac:dyDescent="0.2">
      <c r="A2276" s="224" t="s">
        <v>848</v>
      </c>
      <c r="B2276" s="225"/>
      <c r="C2276" s="225"/>
      <c r="D2276" s="225"/>
      <c r="E2276" s="225"/>
      <c r="F2276" s="225"/>
      <c r="G2276" s="225"/>
      <c r="H2276" s="225"/>
      <c r="I2276" s="225"/>
      <c r="J2276" s="226"/>
      <c r="K2276" s="27"/>
      <c r="L2276" s="227" t="s">
        <v>29</v>
      </c>
      <c r="M2276" s="228"/>
      <c r="N2276" s="201" t="s">
        <v>32</v>
      </c>
      <c r="O2276" s="202" t="s">
        <v>30</v>
      </c>
      <c r="P2276" s="26"/>
      <c r="Q2276" s="2"/>
    </row>
    <row r="2277" spans="1:17" ht="5" customHeight="1" x14ac:dyDescent="0.2">
      <c r="A2277" s="47"/>
      <c r="B2277" s="21"/>
      <c r="C2277" s="21"/>
      <c r="D2277" s="21"/>
      <c r="E2277" s="21"/>
      <c r="F2277" s="10"/>
      <c r="G2277" s="10"/>
      <c r="H2277" s="10"/>
      <c r="I2277" s="10"/>
      <c r="J2277" s="180"/>
      <c r="K2277" s="10"/>
      <c r="L2277" s="10"/>
      <c r="M2277" s="10"/>
      <c r="N2277" s="10"/>
      <c r="O2277" s="10"/>
      <c r="P2277" s="28"/>
      <c r="Q2277" s="2"/>
    </row>
    <row r="2278" spans="1:17" x14ac:dyDescent="0.2">
      <c r="Q2278" s="38"/>
    </row>
    <row r="2279" spans="1:17" x14ac:dyDescent="0.2">
      <c r="A2279" s="238" t="s">
        <v>703</v>
      </c>
      <c r="B2279" s="239"/>
      <c r="C2279" s="212"/>
      <c r="D2279" s="212"/>
      <c r="E2279" s="72"/>
      <c r="F2279" s="238"/>
      <c r="G2279" s="238"/>
      <c r="H2279" s="238"/>
      <c r="I2279" s="238"/>
      <c r="J2279" s="238"/>
      <c r="K2279" s="238"/>
      <c r="L2279" s="238"/>
      <c r="M2279" s="238"/>
      <c r="N2279" s="238"/>
      <c r="O2279" s="238"/>
      <c r="P2279" s="238"/>
      <c r="Q2279" s="38"/>
    </row>
    <row r="2280" spans="1:17" ht="5" customHeight="1" x14ac:dyDescent="0.2">
      <c r="Q2280" s="38"/>
    </row>
    <row r="2281" spans="1:17" ht="5" customHeight="1" x14ac:dyDescent="0.2">
      <c r="A2281" s="48"/>
      <c r="B2281" s="23"/>
      <c r="C2281" s="23"/>
      <c r="D2281" s="23"/>
      <c r="E2281" s="23"/>
      <c r="F2281" s="33"/>
      <c r="G2281" s="33"/>
      <c r="H2281" s="33"/>
      <c r="I2281" s="33"/>
      <c r="J2281" s="178"/>
      <c r="K2281" s="33"/>
      <c r="L2281" s="33"/>
      <c r="M2281" s="33"/>
      <c r="N2281" s="33"/>
      <c r="O2281" s="33"/>
      <c r="P2281" s="34"/>
      <c r="Q2281" s="38"/>
    </row>
    <row r="2282" spans="1:17" ht="15" customHeight="1" x14ac:dyDescent="0.25">
      <c r="A2282" s="141"/>
      <c r="B2282" s="20"/>
      <c r="C2282" s="20"/>
      <c r="D2282" s="20"/>
      <c r="E2282" s="20"/>
      <c r="F2282" s="27"/>
      <c r="G2282" s="27"/>
      <c r="H2282" s="27"/>
      <c r="I2282" s="27"/>
      <c r="J2282" s="179"/>
      <c r="K2282" s="260" t="s">
        <v>449</v>
      </c>
      <c r="L2282" s="261"/>
      <c r="M2282" s="261"/>
      <c r="N2282" s="261"/>
      <c r="O2282" s="261"/>
      <c r="P2282" s="262"/>
      <c r="Q2282" s="38"/>
    </row>
    <row r="2283" spans="1:17" x14ac:dyDescent="0.2">
      <c r="A2283" s="224" t="s">
        <v>847</v>
      </c>
      <c r="B2283" s="225"/>
      <c r="C2283" s="225"/>
      <c r="D2283" s="225"/>
      <c r="E2283" s="225"/>
      <c r="F2283" s="225"/>
      <c r="G2283" s="225"/>
      <c r="H2283" s="225"/>
      <c r="I2283" s="225"/>
      <c r="J2283" s="226"/>
      <c r="K2283" s="27"/>
      <c r="L2283" s="70">
        <v>116</v>
      </c>
      <c r="M2283" s="67" t="s">
        <v>61</v>
      </c>
      <c r="N2283" s="213"/>
      <c r="O2283" s="214"/>
      <c r="P2283" s="26"/>
      <c r="Q2283" s="2"/>
    </row>
    <row r="2284" spans="1:17" ht="5" customHeight="1" x14ac:dyDescent="0.2">
      <c r="A2284" s="47"/>
      <c r="B2284" s="21"/>
      <c r="C2284" s="21"/>
      <c r="D2284" s="21"/>
      <c r="E2284" s="21"/>
      <c r="F2284" s="10"/>
      <c r="G2284" s="10"/>
      <c r="H2284" s="10"/>
      <c r="I2284" s="10"/>
      <c r="J2284" s="180"/>
      <c r="K2284" s="10"/>
      <c r="L2284" s="10"/>
      <c r="M2284" s="10"/>
      <c r="N2284" s="10"/>
      <c r="O2284" s="10"/>
      <c r="P2284" s="28"/>
      <c r="Q2284" s="2"/>
    </row>
    <row r="2285" spans="1:17" ht="5" customHeight="1" x14ac:dyDescent="0.2"/>
    <row r="2286" spans="1:17" x14ac:dyDescent="0.2">
      <c r="A2286" s="234" t="s">
        <v>849</v>
      </c>
      <c r="B2286" s="235"/>
      <c r="C2286" s="235"/>
      <c r="D2286" s="235"/>
      <c r="E2286" s="236"/>
      <c r="F2286" s="236"/>
      <c r="G2286" s="236"/>
      <c r="H2286" s="236"/>
      <c r="I2286" s="236"/>
      <c r="J2286" s="236"/>
      <c r="K2286" s="236"/>
      <c r="L2286" s="236"/>
      <c r="M2286" s="236"/>
      <c r="N2286" s="236"/>
      <c r="O2286" s="236"/>
      <c r="P2286" s="236"/>
      <c r="Q2286" s="237"/>
    </row>
    <row r="2287" spans="1:17" ht="5" customHeight="1" x14ac:dyDescent="0.2">
      <c r="Q2287" s="38"/>
    </row>
    <row r="2288" spans="1:17" ht="5" customHeight="1" x14ac:dyDescent="0.2">
      <c r="A2288" s="48"/>
      <c r="B2288" s="23"/>
      <c r="C2288" s="23"/>
      <c r="D2288" s="23"/>
      <c r="E2288" s="23"/>
      <c r="F2288" s="33"/>
      <c r="G2288" s="33"/>
      <c r="H2288" s="33"/>
      <c r="I2288" s="33"/>
      <c r="J2288" s="178"/>
      <c r="K2288" s="33"/>
      <c r="L2288" s="33"/>
      <c r="M2288" s="33"/>
      <c r="N2288" s="33"/>
      <c r="O2288" s="33"/>
      <c r="P2288" s="34"/>
      <c r="Q2288" s="38"/>
    </row>
    <row r="2289" spans="1:17" x14ac:dyDescent="0.2">
      <c r="A2289" s="224" t="s">
        <v>850</v>
      </c>
      <c r="B2289" s="225"/>
      <c r="C2289" s="225"/>
      <c r="D2289" s="225"/>
      <c r="E2289" s="225"/>
      <c r="F2289" s="225"/>
      <c r="G2289" s="225"/>
      <c r="H2289" s="225"/>
      <c r="I2289" s="225"/>
      <c r="J2289" s="226"/>
      <c r="K2289" s="27"/>
      <c r="L2289" s="70">
        <v>118</v>
      </c>
      <c r="M2289" s="186" t="s">
        <v>61</v>
      </c>
      <c r="N2289" s="242">
        <f>N1985</f>
        <v>0</v>
      </c>
      <c r="O2289" s="243"/>
      <c r="P2289" s="26"/>
      <c r="Q2289" s="2"/>
    </row>
    <row r="2290" spans="1:17" ht="5" customHeight="1" x14ac:dyDescent="0.2">
      <c r="A2290" s="47"/>
      <c r="B2290" s="21"/>
      <c r="C2290" s="21"/>
      <c r="D2290" s="21"/>
      <c r="E2290" s="21"/>
      <c r="F2290" s="10"/>
      <c r="G2290" s="10"/>
      <c r="H2290" s="10"/>
      <c r="I2290" s="10"/>
      <c r="J2290" s="180"/>
      <c r="K2290" s="10"/>
      <c r="L2290" s="10"/>
      <c r="M2290" s="10"/>
      <c r="N2290" s="10"/>
      <c r="O2290" s="10"/>
      <c r="P2290" s="28"/>
      <c r="Q2290" s="2"/>
    </row>
    <row r="2291" spans="1:17" ht="5" customHeight="1" x14ac:dyDescent="0.2">
      <c r="A2291" s="49"/>
      <c r="B2291" s="24"/>
      <c r="C2291" s="24"/>
      <c r="D2291" s="24"/>
      <c r="E2291" s="24"/>
      <c r="F2291" s="29"/>
      <c r="G2291" s="29"/>
      <c r="H2291" s="29"/>
      <c r="I2291" s="29"/>
      <c r="J2291" s="183"/>
      <c r="K2291" s="29"/>
      <c r="L2291" s="29"/>
      <c r="M2291" s="29"/>
      <c r="N2291" s="29"/>
      <c r="O2291" s="29"/>
      <c r="P2291" s="30"/>
      <c r="Q2291" s="2"/>
    </row>
    <row r="2292" spans="1:17" x14ac:dyDescent="0.2">
      <c r="A2292" s="221" t="s">
        <v>851</v>
      </c>
      <c r="B2292" s="222"/>
      <c r="C2292" s="222"/>
      <c r="D2292" s="222"/>
      <c r="E2292" s="222"/>
      <c r="F2292" s="222"/>
      <c r="G2292" s="222"/>
      <c r="H2292" s="222"/>
      <c r="I2292" s="222"/>
      <c r="J2292" s="223"/>
      <c r="K2292" s="40"/>
      <c r="L2292" s="70">
        <v>174</v>
      </c>
      <c r="M2292" s="107" t="s">
        <v>61</v>
      </c>
      <c r="N2292" s="240">
        <f>N1988</f>
        <v>0</v>
      </c>
      <c r="O2292" s="241"/>
      <c r="P2292" s="41"/>
      <c r="Q2292" s="2"/>
    </row>
    <row r="2293" spans="1:17" ht="5" customHeight="1" x14ac:dyDescent="0.2">
      <c r="A2293" s="50"/>
      <c r="B2293" s="25"/>
      <c r="C2293" s="25"/>
      <c r="D2293" s="25"/>
      <c r="E2293" s="25"/>
      <c r="F2293" s="31"/>
      <c r="G2293" s="31"/>
      <c r="H2293" s="31"/>
      <c r="I2293" s="31"/>
      <c r="J2293" s="177"/>
      <c r="K2293" s="31"/>
      <c r="L2293" s="31"/>
      <c r="M2293" s="31"/>
      <c r="N2293" s="31"/>
      <c r="O2293" s="31"/>
      <c r="P2293" s="32"/>
      <c r="Q2293" s="2"/>
    </row>
    <row r="2294" spans="1:17" ht="5" customHeight="1" x14ac:dyDescent="0.2">
      <c r="A2294" s="48"/>
      <c r="B2294" s="23"/>
      <c r="C2294" s="23"/>
      <c r="D2294" s="23"/>
      <c r="E2294" s="23"/>
      <c r="F2294" s="33"/>
      <c r="G2294" s="33"/>
      <c r="H2294" s="33"/>
      <c r="I2294" s="33"/>
      <c r="J2294" s="178"/>
      <c r="K2294" s="33"/>
      <c r="L2294" s="33"/>
      <c r="M2294" s="33"/>
      <c r="N2294" s="33"/>
      <c r="O2294" s="33"/>
      <c r="P2294" s="34"/>
      <c r="Q2294" s="38"/>
    </row>
    <row r="2295" spans="1:17" x14ac:dyDescent="0.2">
      <c r="A2295" s="224" t="s">
        <v>852</v>
      </c>
      <c r="B2295" s="225"/>
      <c r="C2295" s="225"/>
      <c r="D2295" s="225"/>
      <c r="E2295" s="225"/>
      <c r="F2295" s="225"/>
      <c r="G2295" s="225"/>
      <c r="H2295" s="225"/>
      <c r="I2295" s="225"/>
      <c r="J2295" s="226"/>
      <c r="K2295" s="27"/>
      <c r="L2295" s="70">
        <v>120</v>
      </c>
      <c r="M2295" s="67" t="s">
        <v>61</v>
      </c>
      <c r="N2295" s="213"/>
      <c r="O2295" s="214"/>
      <c r="P2295" s="26"/>
      <c r="Q2295" s="2"/>
    </row>
    <row r="2296" spans="1:17" ht="5" customHeight="1" x14ac:dyDescent="0.2">
      <c r="A2296" s="47"/>
      <c r="B2296" s="21"/>
      <c r="C2296" s="21"/>
      <c r="D2296" s="21"/>
      <c r="E2296" s="21"/>
      <c r="F2296" s="10"/>
      <c r="G2296" s="10"/>
      <c r="H2296" s="10"/>
      <c r="I2296" s="10"/>
      <c r="J2296" s="180"/>
      <c r="K2296" s="10"/>
      <c r="L2296" s="10"/>
      <c r="M2296" s="10"/>
      <c r="N2296" s="10"/>
      <c r="O2296" s="10"/>
      <c r="P2296" s="28"/>
      <c r="Q2296" s="2"/>
    </row>
    <row r="2297" spans="1:17" ht="5" customHeight="1" x14ac:dyDescent="0.2">
      <c r="A2297" s="49"/>
      <c r="B2297" s="24"/>
      <c r="C2297" s="24"/>
      <c r="D2297" s="24"/>
      <c r="E2297" s="24"/>
      <c r="F2297" s="29"/>
      <c r="G2297" s="29"/>
      <c r="H2297" s="29"/>
      <c r="I2297" s="29"/>
      <c r="J2297" s="183"/>
      <c r="K2297" s="29"/>
      <c r="L2297" s="29"/>
      <c r="M2297" s="29"/>
      <c r="N2297" s="29"/>
      <c r="O2297" s="29"/>
      <c r="P2297" s="30"/>
      <c r="Q2297" s="2"/>
    </row>
    <row r="2298" spans="1:17" x14ac:dyDescent="0.2">
      <c r="A2298" s="221" t="s">
        <v>853</v>
      </c>
      <c r="B2298" s="222"/>
      <c r="C2298" s="222"/>
      <c r="D2298" s="222"/>
      <c r="E2298" s="222"/>
      <c r="F2298" s="222"/>
      <c r="G2298" s="222"/>
      <c r="H2298" s="222"/>
      <c r="I2298" s="222"/>
      <c r="J2298" s="223"/>
      <c r="K2298" s="40"/>
      <c r="L2298" s="70">
        <v>121</v>
      </c>
      <c r="M2298" s="107" t="s">
        <v>61</v>
      </c>
      <c r="N2298" s="240">
        <f>N2034</f>
        <v>0</v>
      </c>
      <c r="O2298" s="241"/>
      <c r="P2298" s="41"/>
      <c r="Q2298" s="2"/>
    </row>
    <row r="2299" spans="1:17" ht="5" customHeight="1" x14ac:dyDescent="0.2">
      <c r="A2299" s="50"/>
      <c r="B2299" s="25"/>
      <c r="C2299" s="25"/>
      <c r="D2299" s="25"/>
      <c r="E2299" s="25"/>
      <c r="F2299" s="31"/>
      <c r="G2299" s="31"/>
      <c r="H2299" s="31"/>
      <c r="I2299" s="31"/>
      <c r="J2299" s="177"/>
      <c r="K2299" s="31"/>
      <c r="L2299" s="31"/>
      <c r="M2299" s="31"/>
      <c r="N2299" s="31"/>
      <c r="O2299" s="31"/>
      <c r="P2299" s="32"/>
      <c r="Q2299" s="2"/>
    </row>
    <row r="2300" spans="1:17" x14ac:dyDescent="0.2">
      <c r="Q2300" s="2"/>
    </row>
    <row r="2302" spans="1:17" ht="16" x14ac:dyDescent="0.2">
      <c r="A2302" s="231" t="s">
        <v>854</v>
      </c>
      <c r="B2302" s="232"/>
      <c r="C2302" s="232"/>
      <c r="D2302" s="232"/>
      <c r="F2302" s="233"/>
      <c r="G2302" s="233"/>
      <c r="H2302" s="233"/>
      <c r="I2302" s="233"/>
      <c r="J2302" s="233"/>
      <c r="K2302" s="233"/>
      <c r="L2302" s="233"/>
      <c r="M2302" s="233"/>
      <c r="N2302" s="233"/>
      <c r="O2302" s="233"/>
      <c r="P2302" s="233"/>
      <c r="Q2302" s="233"/>
    </row>
    <row r="2303" spans="1:17" ht="5" customHeight="1" x14ac:dyDescent="0.2"/>
    <row r="2304" spans="1:17" x14ac:dyDescent="0.2">
      <c r="A2304" s="234" t="s">
        <v>855</v>
      </c>
      <c r="B2304" s="235"/>
      <c r="C2304" s="235"/>
      <c r="D2304" s="235"/>
      <c r="E2304" s="236"/>
      <c r="F2304" s="236"/>
      <c r="G2304" s="236"/>
      <c r="H2304" s="236"/>
      <c r="I2304" s="236"/>
      <c r="J2304" s="236"/>
      <c r="K2304" s="236"/>
      <c r="L2304" s="236"/>
      <c r="M2304" s="236"/>
      <c r="N2304" s="236"/>
      <c r="O2304" s="236"/>
      <c r="P2304" s="236"/>
      <c r="Q2304" s="237"/>
    </row>
    <row r="2305" spans="1:17" ht="5" customHeight="1" x14ac:dyDescent="0.2">
      <c r="Q2305" s="38"/>
    </row>
    <row r="2306" spans="1:17" ht="5" customHeight="1" x14ac:dyDescent="0.2">
      <c r="A2306" s="49"/>
      <c r="B2306" s="24"/>
      <c r="C2306" s="24"/>
      <c r="D2306" s="24"/>
      <c r="E2306" s="24"/>
      <c r="F2306" s="29"/>
      <c r="G2306" s="29"/>
      <c r="H2306" s="29"/>
      <c r="I2306" s="29"/>
      <c r="J2306" s="183"/>
      <c r="K2306" s="29"/>
      <c r="L2306" s="29"/>
      <c r="M2306" s="29"/>
      <c r="N2306" s="29"/>
      <c r="O2306" s="29"/>
      <c r="P2306" s="30"/>
      <c r="Q2306" s="2"/>
    </row>
    <row r="2307" spans="1:17" ht="15" hidden="1" customHeight="1" x14ac:dyDescent="0.25">
      <c r="A2307" s="61"/>
      <c r="B2307" s="22"/>
      <c r="C2307" s="22"/>
      <c r="D2307" s="22"/>
      <c r="E2307" s="22"/>
      <c r="F2307" s="40"/>
      <c r="G2307" s="40"/>
      <c r="H2307" s="40"/>
      <c r="I2307" s="40"/>
      <c r="J2307" s="176"/>
      <c r="K2307" s="252"/>
      <c r="L2307" s="253"/>
      <c r="M2307" s="253"/>
      <c r="N2307" s="253"/>
      <c r="O2307" s="253"/>
      <c r="P2307" s="254"/>
      <c r="Q2307" s="38"/>
    </row>
    <row r="2308" spans="1:17" x14ac:dyDescent="0.2">
      <c r="A2308" s="221" t="s">
        <v>856</v>
      </c>
      <c r="B2308" s="222"/>
      <c r="C2308" s="222"/>
      <c r="D2308" s="222"/>
      <c r="E2308" s="222"/>
      <c r="F2308" s="222"/>
      <c r="G2308" s="222"/>
      <c r="H2308" s="222"/>
      <c r="I2308" s="222"/>
      <c r="J2308" s="223"/>
      <c r="K2308" s="40"/>
      <c r="L2308" s="70">
        <v>84</v>
      </c>
      <c r="M2308" s="67" t="s">
        <v>61</v>
      </c>
      <c r="N2308" s="213">
        <f>IF([1]TrialBalance!EH35&gt;0,[1]TrialBalance!EH35,0)</f>
        <v>0</v>
      </c>
      <c r="O2308" s="214"/>
      <c r="P2308" s="41"/>
      <c r="Q2308" s="2"/>
    </row>
    <row r="2309" spans="1:17" ht="5" customHeight="1" x14ac:dyDescent="0.2">
      <c r="A2309" s="50"/>
      <c r="B2309" s="25"/>
      <c r="C2309" s="25"/>
      <c r="D2309" s="25"/>
      <c r="E2309" s="25"/>
      <c r="F2309" s="31"/>
      <c r="G2309" s="31"/>
      <c r="H2309" s="31"/>
      <c r="I2309" s="31"/>
      <c r="J2309" s="177"/>
      <c r="K2309" s="31"/>
      <c r="L2309" s="31"/>
      <c r="M2309" s="31"/>
      <c r="N2309" s="31"/>
      <c r="O2309" s="31"/>
      <c r="P2309" s="32"/>
      <c r="Q2309" s="2"/>
    </row>
    <row r="2310" spans="1:17" ht="5" customHeight="1" x14ac:dyDescent="0.2">
      <c r="A2310" s="48"/>
      <c r="B2310" s="23"/>
      <c r="C2310" s="23"/>
      <c r="D2310" s="23"/>
      <c r="E2310" s="23"/>
      <c r="F2310" s="33"/>
      <c r="G2310" s="33"/>
      <c r="H2310" s="33"/>
      <c r="I2310" s="33"/>
      <c r="J2310" s="178"/>
      <c r="K2310" s="33"/>
      <c r="L2310" s="33"/>
      <c r="M2310" s="33"/>
      <c r="N2310" s="33"/>
      <c r="O2310" s="33"/>
      <c r="P2310" s="34"/>
      <c r="Q2310" s="2"/>
    </row>
    <row r="2311" spans="1:17" ht="15" customHeight="1" x14ac:dyDescent="0.25">
      <c r="A2311" s="141"/>
      <c r="B2311" s="20"/>
      <c r="C2311" s="20"/>
      <c r="D2311" s="20"/>
      <c r="E2311" s="20"/>
      <c r="F2311" s="27"/>
      <c r="G2311" s="27"/>
      <c r="H2311" s="27"/>
      <c r="I2311" s="27"/>
      <c r="J2311" s="179"/>
      <c r="K2311" s="260" t="s">
        <v>449</v>
      </c>
      <c r="L2311" s="261"/>
      <c r="M2311" s="261"/>
      <c r="N2311" s="261"/>
      <c r="O2311" s="261"/>
      <c r="P2311" s="262"/>
      <c r="Q2311" s="38"/>
    </row>
    <row r="2312" spans="1:17" x14ac:dyDescent="0.2">
      <c r="A2312" s="224" t="s">
        <v>857</v>
      </c>
      <c r="B2312" s="225"/>
      <c r="C2312" s="225"/>
      <c r="D2312" s="225"/>
      <c r="E2312" s="225"/>
      <c r="F2312" s="225"/>
      <c r="G2312" s="225"/>
      <c r="H2312" s="225"/>
      <c r="I2312" s="225"/>
      <c r="J2312" s="226"/>
      <c r="K2312" s="27"/>
      <c r="L2312" s="70">
        <v>85</v>
      </c>
      <c r="M2312" s="186" t="s">
        <v>61</v>
      </c>
      <c r="N2312" s="242" t="str">
        <f>IF(N2308-N2165&gt;0,N2308-N2165,"")</f>
        <v/>
      </c>
      <c r="O2312" s="243"/>
      <c r="P2312" s="26"/>
      <c r="Q2312" s="2"/>
    </row>
    <row r="2313" spans="1:17" ht="5" customHeight="1" x14ac:dyDescent="0.2">
      <c r="A2313" s="47"/>
      <c r="B2313" s="21"/>
      <c r="C2313" s="21"/>
      <c r="D2313" s="21"/>
      <c r="E2313" s="21"/>
      <c r="F2313" s="10"/>
      <c r="G2313" s="10"/>
      <c r="H2313" s="10"/>
      <c r="I2313" s="10"/>
      <c r="J2313" s="180"/>
      <c r="K2313" s="10"/>
      <c r="L2313" s="10"/>
      <c r="M2313" s="10"/>
      <c r="N2313" s="10"/>
      <c r="O2313" s="10"/>
      <c r="P2313" s="28"/>
      <c r="Q2313" s="2"/>
    </row>
    <row r="2314" spans="1:17" ht="5" customHeight="1" x14ac:dyDescent="0.2">
      <c r="A2314" s="49"/>
      <c r="B2314" s="24"/>
      <c r="C2314" s="24"/>
      <c r="D2314" s="24"/>
      <c r="E2314" s="24"/>
      <c r="F2314" s="29"/>
      <c r="G2314" s="29"/>
      <c r="H2314" s="29"/>
      <c r="I2314" s="29"/>
      <c r="J2314" s="183"/>
      <c r="K2314" s="29"/>
      <c r="L2314" s="29"/>
      <c r="M2314" s="29"/>
      <c r="N2314" s="29"/>
      <c r="O2314" s="29"/>
      <c r="P2314" s="30"/>
      <c r="Q2314" s="2"/>
    </row>
    <row r="2315" spans="1:17" x14ac:dyDescent="0.2">
      <c r="A2315" s="247" t="s">
        <v>858</v>
      </c>
      <c r="B2315" s="248"/>
      <c r="C2315" s="248"/>
      <c r="D2315" s="248"/>
      <c r="E2315" s="248"/>
      <c r="F2315" s="248"/>
      <c r="G2315" s="248"/>
      <c r="H2315" s="248"/>
      <c r="I2315" s="248"/>
      <c r="J2315" s="249"/>
      <c r="K2315" s="40"/>
      <c r="L2315" s="70">
        <v>86</v>
      </c>
      <c r="M2315" s="107" t="s">
        <v>61</v>
      </c>
      <c r="N2315" s="240">
        <f>IF(N2308-N2165&lt;0,-(N2308-N2165),0)</f>
        <v>0</v>
      </c>
      <c r="O2315" s="241"/>
      <c r="P2315" s="41"/>
      <c r="Q2315" s="2"/>
    </row>
    <row r="2316" spans="1:17" ht="5" customHeight="1" x14ac:dyDescent="0.2">
      <c r="A2316" s="50"/>
      <c r="B2316" s="25"/>
      <c r="C2316" s="25"/>
      <c r="D2316" s="25"/>
      <c r="E2316" s="25"/>
      <c r="F2316" s="31"/>
      <c r="G2316" s="31"/>
      <c r="H2316" s="31"/>
      <c r="I2316" s="31"/>
      <c r="J2316" s="177"/>
      <c r="K2316" s="31"/>
      <c r="L2316" s="31"/>
      <c r="M2316" s="31"/>
      <c r="N2316" s="31"/>
      <c r="O2316" s="31"/>
      <c r="P2316" s="32"/>
      <c r="Q2316" s="2"/>
    </row>
    <row r="2317" spans="1:17" ht="5" customHeight="1" x14ac:dyDescent="0.2">
      <c r="Q2317" s="2"/>
    </row>
    <row r="2318" spans="1:17" ht="5" customHeight="1" x14ac:dyDescent="0.2"/>
    <row r="2319" spans="1:17" x14ac:dyDescent="0.2">
      <c r="A2319" s="234" t="s">
        <v>859</v>
      </c>
      <c r="B2319" s="235"/>
      <c r="C2319" s="235"/>
      <c r="D2319" s="235"/>
      <c r="E2319" s="236"/>
      <c r="F2319" s="236"/>
      <c r="G2319" s="236"/>
      <c r="H2319" s="236"/>
      <c r="I2319" s="236"/>
      <c r="J2319" s="236"/>
      <c r="K2319" s="236"/>
      <c r="L2319" s="236"/>
      <c r="M2319" s="236"/>
      <c r="N2319" s="236"/>
      <c r="O2319" s="236"/>
      <c r="P2319" s="236"/>
      <c r="Q2319" s="237"/>
    </row>
    <row r="2320" spans="1:17" ht="5" customHeight="1" x14ac:dyDescent="0.2">
      <c r="Q2320" s="38"/>
    </row>
    <row r="2321" spans="1:17" ht="5" customHeight="1" x14ac:dyDescent="0.2">
      <c r="A2321" s="48"/>
      <c r="B2321" s="23"/>
      <c r="C2321" s="23"/>
      <c r="D2321" s="23"/>
      <c r="E2321" s="23"/>
      <c r="F2321" s="33"/>
      <c r="G2321" s="33"/>
      <c r="H2321" s="33"/>
      <c r="I2321" s="33"/>
      <c r="J2321" s="178"/>
      <c r="K2321" s="33"/>
      <c r="L2321" s="33"/>
      <c r="M2321" s="33"/>
      <c r="N2321" s="33"/>
      <c r="O2321" s="33"/>
      <c r="P2321" s="34"/>
      <c r="Q2321" s="2"/>
    </row>
    <row r="2322" spans="1:17" s="205" customFormat="1" ht="31.5" customHeight="1" x14ac:dyDescent="0.25">
      <c r="A2322" s="450" t="s">
        <v>948</v>
      </c>
      <c r="B2322" s="451"/>
      <c r="C2322" s="451"/>
      <c r="D2322" s="451"/>
      <c r="E2322" s="451"/>
      <c r="F2322" s="451"/>
      <c r="G2322" s="451"/>
      <c r="H2322" s="451"/>
      <c r="I2322" s="451"/>
      <c r="J2322" s="451"/>
      <c r="K2322" s="451"/>
      <c r="L2322" s="451"/>
      <c r="M2322" s="451"/>
      <c r="N2322" s="451"/>
      <c r="O2322" s="451"/>
      <c r="P2322" s="452"/>
      <c r="Q2322" s="208"/>
    </row>
    <row r="2323" spans="1:17" x14ac:dyDescent="0.2">
      <c r="A2323" s="224" t="s">
        <v>860</v>
      </c>
      <c r="B2323" s="225"/>
      <c r="C2323" s="225"/>
      <c r="D2323" s="225"/>
      <c r="E2323" s="225"/>
      <c r="F2323" s="225"/>
      <c r="G2323" s="225"/>
      <c r="H2323" s="225"/>
      <c r="I2323" s="225"/>
      <c r="J2323" s="226"/>
      <c r="K2323" s="27"/>
      <c r="L2323" s="70">
        <v>91</v>
      </c>
      <c r="M2323" s="67" t="s">
        <v>61</v>
      </c>
      <c r="N2323" s="213">
        <v>0</v>
      </c>
      <c r="O2323" s="214"/>
      <c r="P2323" s="26"/>
      <c r="Q2323" s="2"/>
    </row>
    <row r="2324" spans="1:17" ht="5" customHeight="1" x14ac:dyDescent="0.2">
      <c r="A2324" s="47"/>
      <c r="B2324" s="21"/>
      <c r="C2324" s="21"/>
      <c r="D2324" s="21"/>
      <c r="E2324" s="21"/>
      <c r="F2324" s="10"/>
      <c r="G2324" s="10"/>
      <c r="H2324" s="10"/>
      <c r="I2324" s="10"/>
      <c r="J2324" s="180"/>
      <c r="K2324" s="10"/>
      <c r="L2324" s="10"/>
      <c r="M2324" s="10"/>
      <c r="N2324" s="10"/>
      <c r="O2324" s="10"/>
      <c r="P2324" s="28"/>
      <c r="Q2324" s="2"/>
    </row>
    <row r="2325" spans="1:17" ht="5" customHeight="1" x14ac:dyDescent="0.2">
      <c r="A2325" s="49"/>
      <c r="B2325" s="24"/>
      <c r="C2325" s="24"/>
      <c r="D2325" s="24"/>
      <c r="E2325" s="24"/>
      <c r="F2325" s="29"/>
      <c r="G2325" s="29"/>
      <c r="H2325" s="29"/>
      <c r="I2325" s="29"/>
      <c r="J2325" s="183"/>
      <c r="K2325" s="29"/>
      <c r="L2325" s="29"/>
      <c r="M2325" s="29"/>
      <c r="N2325" s="29"/>
      <c r="O2325" s="29"/>
      <c r="P2325" s="30"/>
      <c r="Q2325" s="2"/>
    </row>
    <row r="2326" spans="1:17" x14ac:dyDescent="0.2">
      <c r="A2326" s="247" t="s">
        <v>861</v>
      </c>
      <c r="B2326" s="248"/>
      <c r="C2326" s="248"/>
      <c r="D2326" s="248"/>
      <c r="E2326" s="248"/>
      <c r="F2326" s="248"/>
      <c r="G2326" s="248"/>
      <c r="H2326" s="248"/>
      <c r="I2326" s="248"/>
      <c r="J2326" s="249"/>
      <c r="K2326" s="40"/>
      <c r="L2326" s="70">
        <v>92</v>
      </c>
      <c r="M2326" s="107" t="s">
        <v>61</v>
      </c>
      <c r="N2326" s="240">
        <f>IF(N2315-N2323&gt;0,N2315-N2323,0)</f>
        <v>0</v>
      </c>
      <c r="O2326" s="241"/>
      <c r="P2326" s="41"/>
      <c r="Q2326" s="2"/>
    </row>
    <row r="2327" spans="1:17" ht="5" customHeight="1" x14ac:dyDescent="0.2">
      <c r="A2327" s="50"/>
      <c r="B2327" s="25"/>
      <c r="C2327" s="25"/>
      <c r="D2327" s="25"/>
      <c r="E2327" s="25"/>
      <c r="F2327" s="31"/>
      <c r="G2327" s="31"/>
      <c r="H2327" s="31"/>
      <c r="I2327" s="31"/>
      <c r="J2327" s="177"/>
      <c r="K2327" s="31"/>
      <c r="L2327" s="31"/>
      <c r="M2327" s="31"/>
      <c r="N2327" s="31"/>
      <c r="O2327" s="31"/>
      <c r="P2327" s="32"/>
      <c r="Q2327" s="2"/>
    </row>
    <row r="2328" spans="1:17" x14ac:dyDescent="0.2">
      <c r="Q2328" s="2"/>
    </row>
    <row r="2329" spans="1:17" ht="16" x14ac:dyDescent="0.2">
      <c r="A2329" s="231" t="s">
        <v>862</v>
      </c>
      <c r="B2329" s="232"/>
      <c r="C2329" s="232"/>
      <c r="D2329" s="232"/>
      <c r="F2329" s="233"/>
      <c r="G2329" s="233"/>
      <c r="H2329" s="233"/>
      <c r="I2329" s="233"/>
      <c r="J2329" s="233"/>
      <c r="K2329" s="233"/>
      <c r="L2329" s="233"/>
      <c r="M2329" s="233"/>
      <c r="N2329" s="233"/>
      <c r="O2329" s="233"/>
      <c r="P2329" s="233"/>
      <c r="Q2329" s="233"/>
    </row>
    <row r="2330" spans="1:17" ht="5" customHeight="1" x14ac:dyDescent="0.2">
      <c r="A2330" s="1"/>
      <c r="B2330" s="1"/>
      <c r="C2330" s="1"/>
      <c r="D2330" s="1"/>
      <c r="E2330" s="1"/>
      <c r="F2330" s="1"/>
      <c r="G2330" s="1"/>
      <c r="H2330" s="1"/>
      <c r="I2330" s="1"/>
      <c r="J2330" s="1"/>
      <c r="K2330" s="1"/>
      <c r="L2330" s="1"/>
      <c r="M2330" s="1"/>
      <c r="N2330" s="1"/>
      <c r="O2330" s="1"/>
      <c r="P2330" s="1"/>
      <c r="Q2330" s="1"/>
    </row>
    <row r="2331" spans="1:17" x14ac:dyDescent="0.2">
      <c r="Q2331" s="38"/>
    </row>
    <row r="2332" spans="1:17" ht="15" customHeight="1" x14ac:dyDescent="0.2">
      <c r="A2332" s="211" t="s">
        <v>871</v>
      </c>
      <c r="B2332" s="212"/>
      <c r="C2332" s="212"/>
      <c r="D2332" s="212"/>
      <c r="E2332" s="212"/>
      <c r="F2332" s="212"/>
      <c r="G2332" s="212"/>
      <c r="H2332" s="212"/>
      <c r="I2332" s="212"/>
      <c r="J2332" s="212"/>
      <c r="K2332" s="212"/>
      <c r="L2332" s="212"/>
      <c r="M2332" s="212"/>
      <c r="N2332" s="212"/>
      <c r="O2332" s="212"/>
      <c r="P2332" s="37"/>
      <c r="Q2332" s="38"/>
    </row>
    <row r="2333" spans="1:17" x14ac:dyDescent="0.2">
      <c r="Q2333" s="38"/>
    </row>
    <row r="2334" spans="1:17" ht="46.5" customHeight="1" x14ac:dyDescent="0.25">
      <c r="A2334" s="250" t="s">
        <v>992</v>
      </c>
      <c r="B2334" s="251"/>
      <c r="C2334" s="251"/>
      <c r="D2334" s="251"/>
      <c r="E2334" s="251"/>
      <c r="F2334" s="251"/>
      <c r="G2334" s="251"/>
      <c r="H2334" s="251"/>
      <c r="I2334" s="251"/>
      <c r="J2334" s="251"/>
      <c r="K2334" s="251"/>
      <c r="L2334" s="251"/>
      <c r="M2334" s="251"/>
      <c r="N2334" s="251"/>
      <c r="O2334" s="251"/>
      <c r="P2334" s="251"/>
      <c r="Q2334" s="2"/>
    </row>
    <row r="2335" spans="1:17" x14ac:dyDescent="0.2">
      <c r="Q2335" s="2"/>
    </row>
    <row r="2336" spans="1:17" ht="5" customHeight="1" x14ac:dyDescent="0.2">
      <c r="A2336" s="48"/>
      <c r="B2336" s="23"/>
      <c r="C2336" s="23"/>
      <c r="D2336" s="23"/>
      <c r="E2336" s="23"/>
      <c r="F2336" s="33"/>
      <c r="G2336" s="33"/>
      <c r="H2336" s="33"/>
      <c r="I2336" s="33"/>
      <c r="J2336" s="178"/>
      <c r="K2336" s="33"/>
      <c r="L2336" s="33"/>
      <c r="M2336" s="33"/>
      <c r="N2336" s="33"/>
      <c r="O2336" s="33"/>
      <c r="P2336" s="34"/>
      <c r="Q2336" s="2"/>
    </row>
    <row r="2337" spans="1:17" x14ac:dyDescent="0.2">
      <c r="A2337" s="224" t="s">
        <v>863</v>
      </c>
      <c r="B2337" s="225"/>
      <c r="C2337" s="225"/>
      <c r="D2337" s="225"/>
      <c r="E2337" s="225"/>
      <c r="F2337" s="225"/>
      <c r="G2337" s="225"/>
      <c r="H2337" s="225"/>
      <c r="I2337" s="225"/>
      <c r="J2337" s="226"/>
      <c r="K2337" s="27"/>
      <c r="L2337" s="201" t="str">
        <f>IF(N2326&gt;0,"x"," ")</f>
        <v xml:space="preserve"> </v>
      </c>
      <c r="M2337" s="202" t="s">
        <v>29</v>
      </c>
      <c r="N2337" s="202"/>
      <c r="O2337" s="202" t="s">
        <v>30</v>
      </c>
      <c r="P2337" s="26"/>
      <c r="Q2337" s="2"/>
    </row>
    <row r="2338" spans="1:17" ht="5" customHeight="1" x14ac:dyDescent="0.2">
      <c r="A2338" s="47"/>
      <c r="B2338" s="21"/>
      <c r="C2338" s="21"/>
      <c r="D2338" s="21"/>
      <c r="E2338" s="21"/>
      <c r="F2338" s="10"/>
      <c r="G2338" s="10"/>
      <c r="H2338" s="10"/>
      <c r="I2338" s="10"/>
      <c r="J2338" s="180"/>
      <c r="K2338" s="10"/>
      <c r="L2338" s="10"/>
      <c r="M2338" s="10"/>
      <c r="N2338" s="10"/>
      <c r="O2338" s="10"/>
      <c r="P2338" s="28"/>
      <c r="Q2338" s="2"/>
    </row>
    <row r="2339" spans="1:17" ht="5" customHeight="1" x14ac:dyDescent="0.2">
      <c r="A2339" s="49"/>
      <c r="B2339" s="24"/>
      <c r="C2339" s="24"/>
      <c r="D2339" s="24"/>
      <c r="E2339" s="24"/>
      <c r="F2339" s="29"/>
      <c r="G2339" s="29"/>
      <c r="H2339" s="29"/>
      <c r="I2339" s="29"/>
      <c r="J2339" s="183"/>
      <c r="K2339" s="29"/>
      <c r="L2339" s="29"/>
      <c r="M2339" s="29"/>
      <c r="N2339" s="29"/>
      <c r="O2339" s="29"/>
      <c r="P2339" s="30"/>
      <c r="Q2339" s="2"/>
    </row>
    <row r="2340" spans="1:17" x14ac:dyDescent="0.2">
      <c r="A2340" s="247" t="s">
        <v>864</v>
      </c>
      <c r="B2340" s="248"/>
      <c r="C2340" s="248"/>
      <c r="D2340" s="248"/>
      <c r="E2340" s="248"/>
      <c r="F2340" s="248"/>
      <c r="G2340" s="248"/>
      <c r="H2340" s="248"/>
      <c r="I2340" s="248"/>
      <c r="J2340" s="249"/>
      <c r="K2340" s="40"/>
      <c r="L2340" s="229" t="s">
        <v>29</v>
      </c>
      <c r="M2340" s="229"/>
      <c r="N2340" s="191"/>
      <c r="O2340" s="204" t="s">
        <v>30</v>
      </c>
      <c r="P2340" s="41"/>
      <c r="Q2340" s="2"/>
    </row>
    <row r="2341" spans="1:17" ht="5" customHeight="1" x14ac:dyDescent="0.2">
      <c r="A2341" s="50"/>
      <c r="B2341" s="25"/>
      <c r="C2341" s="25"/>
      <c r="D2341" s="25"/>
      <c r="E2341" s="25"/>
      <c r="F2341" s="31"/>
      <c r="G2341" s="31"/>
      <c r="H2341" s="31"/>
      <c r="I2341" s="31"/>
      <c r="J2341" s="177"/>
      <c r="K2341" s="31"/>
      <c r="L2341" s="31"/>
      <c r="M2341" s="31"/>
      <c r="N2341" s="31"/>
      <c r="O2341" s="31"/>
      <c r="P2341" s="32"/>
      <c r="Q2341" s="2"/>
    </row>
    <row r="2342" spans="1:17" ht="5" customHeight="1" x14ac:dyDescent="0.2">
      <c r="A2342" s="48"/>
      <c r="B2342" s="23"/>
      <c r="C2342" s="23"/>
      <c r="D2342" s="23"/>
      <c r="E2342" s="23"/>
      <c r="F2342" s="33"/>
      <c r="G2342" s="33"/>
      <c r="H2342" s="33"/>
      <c r="I2342" s="33"/>
      <c r="J2342" s="178"/>
      <c r="K2342" s="33"/>
      <c r="L2342" s="33"/>
      <c r="M2342" s="33"/>
      <c r="N2342" s="33"/>
      <c r="O2342" s="33"/>
      <c r="P2342" s="34"/>
      <c r="Q2342" s="2"/>
    </row>
    <row r="2343" spans="1:17" x14ac:dyDescent="0.2">
      <c r="A2343" s="224" t="s">
        <v>865</v>
      </c>
      <c r="B2343" s="225"/>
      <c r="C2343" s="225"/>
      <c r="D2343" s="225"/>
      <c r="E2343" s="225"/>
      <c r="F2343" s="225"/>
      <c r="G2343" s="225"/>
      <c r="H2343" s="225"/>
      <c r="I2343" s="225"/>
      <c r="J2343" s="226"/>
      <c r="K2343" s="27"/>
      <c r="L2343" s="227" t="s">
        <v>29</v>
      </c>
      <c r="M2343" s="228"/>
      <c r="N2343" s="201" t="s">
        <v>32</v>
      </c>
      <c r="O2343" s="202" t="s">
        <v>30</v>
      </c>
      <c r="P2343" s="26"/>
      <c r="Q2343" s="2"/>
    </row>
    <row r="2344" spans="1:17" ht="5" customHeight="1" x14ac:dyDescent="0.2">
      <c r="A2344" s="47"/>
      <c r="B2344" s="21"/>
      <c r="C2344" s="21"/>
      <c r="D2344" s="21"/>
      <c r="E2344" s="21"/>
      <c r="F2344" s="10"/>
      <c r="G2344" s="10"/>
      <c r="H2344" s="10"/>
      <c r="I2344" s="10"/>
      <c r="J2344" s="180"/>
      <c r="K2344" s="10"/>
      <c r="L2344" s="10"/>
      <c r="M2344" s="10"/>
      <c r="N2344" s="10"/>
      <c r="O2344" s="10"/>
      <c r="P2344" s="28"/>
      <c r="Q2344" s="2"/>
    </row>
    <row r="2345" spans="1:17" ht="5" customHeight="1" x14ac:dyDescent="0.2">
      <c r="A2345" s="49"/>
      <c r="B2345" s="24"/>
      <c r="C2345" s="24"/>
      <c r="D2345" s="24"/>
      <c r="E2345" s="24"/>
      <c r="F2345" s="29"/>
      <c r="G2345" s="29"/>
      <c r="H2345" s="29"/>
      <c r="I2345" s="29"/>
      <c r="J2345" s="183"/>
      <c r="K2345" s="29"/>
      <c r="L2345" s="29"/>
      <c r="M2345" s="29"/>
      <c r="N2345" s="29"/>
      <c r="O2345" s="29"/>
      <c r="P2345" s="30"/>
      <c r="Q2345" s="2"/>
    </row>
    <row r="2346" spans="1:17" x14ac:dyDescent="0.2">
      <c r="A2346" s="221" t="s">
        <v>866</v>
      </c>
      <c r="B2346" s="222"/>
      <c r="C2346" s="222"/>
      <c r="D2346" s="222"/>
      <c r="E2346" s="222"/>
      <c r="F2346" s="222"/>
      <c r="G2346" s="222"/>
      <c r="H2346" s="222"/>
      <c r="I2346" s="222"/>
      <c r="J2346" s="223"/>
      <c r="K2346" s="40"/>
      <c r="L2346" s="229" t="s">
        <v>29</v>
      </c>
      <c r="M2346" s="230"/>
      <c r="N2346" s="203" t="s">
        <v>32</v>
      </c>
      <c r="O2346" s="204" t="s">
        <v>30</v>
      </c>
      <c r="P2346" s="41"/>
      <c r="Q2346" s="2"/>
    </row>
    <row r="2347" spans="1:17" ht="5" customHeight="1" x14ac:dyDescent="0.2">
      <c r="A2347" s="50"/>
      <c r="B2347" s="25"/>
      <c r="C2347" s="25"/>
      <c r="D2347" s="25"/>
      <c r="E2347" s="25"/>
      <c r="F2347" s="31"/>
      <c r="G2347" s="31"/>
      <c r="H2347" s="31"/>
      <c r="I2347" s="31"/>
      <c r="J2347" s="177"/>
      <c r="K2347" s="31"/>
      <c r="L2347" s="31"/>
      <c r="M2347" s="31"/>
      <c r="N2347" s="31"/>
      <c r="O2347" s="31"/>
      <c r="P2347" s="32"/>
      <c r="Q2347" s="2"/>
    </row>
    <row r="2348" spans="1:17" ht="5" customHeight="1" x14ac:dyDescent="0.2">
      <c r="A2348" s="48"/>
      <c r="B2348" s="23"/>
      <c r="C2348" s="23"/>
      <c r="D2348" s="23"/>
      <c r="E2348" s="23"/>
      <c r="F2348" s="33"/>
      <c r="G2348" s="33"/>
      <c r="H2348" s="33"/>
      <c r="I2348" s="33"/>
      <c r="J2348" s="178"/>
      <c r="K2348" s="33"/>
      <c r="L2348" s="33"/>
      <c r="M2348" s="33"/>
      <c r="N2348" s="33"/>
      <c r="O2348" s="33"/>
      <c r="P2348" s="34"/>
      <c r="Q2348" s="2"/>
    </row>
    <row r="2349" spans="1:17" x14ac:dyDescent="0.2">
      <c r="A2349" s="224" t="s">
        <v>867</v>
      </c>
      <c r="B2349" s="225"/>
      <c r="C2349" s="225"/>
      <c r="D2349" s="225"/>
      <c r="E2349" s="225"/>
      <c r="F2349" s="225"/>
      <c r="G2349" s="225"/>
      <c r="H2349" s="225"/>
      <c r="I2349" s="225"/>
      <c r="J2349" s="226"/>
      <c r="K2349" s="27"/>
      <c r="L2349" s="227" t="s">
        <v>29</v>
      </c>
      <c r="M2349" s="228"/>
      <c r="N2349" s="201" t="s">
        <v>32</v>
      </c>
      <c r="O2349" s="202" t="s">
        <v>30</v>
      </c>
      <c r="P2349" s="26"/>
      <c r="Q2349" s="2"/>
    </row>
    <row r="2350" spans="1:17" ht="5" customHeight="1" x14ac:dyDescent="0.2">
      <c r="A2350" s="47"/>
      <c r="B2350" s="21"/>
      <c r="C2350" s="21"/>
      <c r="D2350" s="21"/>
      <c r="E2350" s="21"/>
      <c r="F2350" s="10"/>
      <c r="G2350" s="10"/>
      <c r="H2350" s="10"/>
      <c r="I2350" s="10"/>
      <c r="J2350" s="180"/>
      <c r="K2350" s="10"/>
      <c r="L2350" s="10"/>
      <c r="M2350" s="10"/>
      <c r="N2350" s="10"/>
      <c r="O2350" s="10"/>
      <c r="P2350" s="28"/>
      <c r="Q2350" s="2"/>
    </row>
    <row r="2351" spans="1:17" ht="5" customHeight="1" x14ac:dyDescent="0.2">
      <c r="A2351" s="49"/>
      <c r="B2351" s="24"/>
      <c r="C2351" s="24"/>
      <c r="D2351" s="24"/>
      <c r="E2351" s="24"/>
      <c r="F2351" s="29"/>
      <c r="G2351" s="29"/>
      <c r="H2351" s="29"/>
      <c r="I2351" s="29"/>
      <c r="J2351" s="183"/>
      <c r="K2351" s="29"/>
      <c r="L2351" s="29"/>
      <c r="M2351" s="29"/>
      <c r="N2351" s="29"/>
      <c r="O2351" s="29"/>
      <c r="P2351" s="30"/>
      <c r="Q2351" s="2"/>
    </row>
    <row r="2352" spans="1:17" x14ac:dyDescent="0.2">
      <c r="A2352" s="221" t="s">
        <v>868</v>
      </c>
      <c r="B2352" s="222"/>
      <c r="C2352" s="222"/>
      <c r="D2352" s="222"/>
      <c r="E2352" s="222"/>
      <c r="F2352" s="222"/>
      <c r="G2352" s="222"/>
      <c r="H2352" s="222"/>
      <c r="I2352" s="222"/>
      <c r="J2352" s="223"/>
      <c r="K2352" s="40"/>
      <c r="L2352" s="229" t="s">
        <v>29</v>
      </c>
      <c r="M2352" s="230"/>
      <c r="N2352" s="203" t="s">
        <v>32</v>
      </c>
      <c r="O2352" s="204" t="s">
        <v>30</v>
      </c>
      <c r="P2352" s="41"/>
      <c r="Q2352" s="2"/>
    </row>
    <row r="2353" spans="1:17" ht="5" customHeight="1" x14ac:dyDescent="0.2">
      <c r="A2353" s="50"/>
      <c r="B2353" s="25"/>
      <c r="C2353" s="25"/>
      <c r="D2353" s="25"/>
      <c r="E2353" s="25"/>
      <c r="F2353" s="31"/>
      <c r="G2353" s="31"/>
      <c r="H2353" s="31"/>
      <c r="I2353" s="18"/>
      <c r="J2353" s="177"/>
      <c r="K2353" s="31"/>
      <c r="L2353" s="31"/>
      <c r="M2353" s="31"/>
      <c r="N2353" s="31"/>
      <c r="O2353" s="31"/>
      <c r="P2353" s="32"/>
      <c r="Q2353" s="2"/>
    </row>
    <row r="2354" spans="1:17" ht="5" customHeight="1" x14ac:dyDescent="0.2">
      <c r="A2354" s="48"/>
      <c r="B2354" s="23"/>
      <c r="C2354" s="23"/>
      <c r="D2354" s="23"/>
      <c r="E2354" s="23"/>
      <c r="F2354" s="33"/>
      <c r="G2354" s="33"/>
      <c r="H2354" s="33"/>
      <c r="I2354" s="33"/>
      <c r="J2354" s="178"/>
      <c r="K2354" s="33"/>
      <c r="L2354" s="33"/>
      <c r="M2354" s="33"/>
      <c r="N2354" s="33"/>
      <c r="O2354" s="33"/>
      <c r="P2354" s="34"/>
      <c r="Q2354" s="2"/>
    </row>
    <row r="2355" spans="1:17" ht="15" customHeight="1" x14ac:dyDescent="0.2">
      <c r="A2355" s="224" t="s">
        <v>869</v>
      </c>
      <c r="B2355" s="225"/>
      <c r="C2355" s="225"/>
      <c r="D2355" s="225"/>
      <c r="E2355" s="225"/>
      <c r="F2355" s="225"/>
      <c r="G2355" s="225"/>
      <c r="H2355" s="225"/>
      <c r="I2355" s="225"/>
      <c r="J2355" s="226"/>
      <c r="K2355" s="27"/>
      <c r="L2355" s="227" t="s">
        <v>29</v>
      </c>
      <c r="M2355" s="228"/>
      <c r="N2355" s="201" t="s">
        <v>32</v>
      </c>
      <c r="O2355" s="202" t="s">
        <v>30</v>
      </c>
      <c r="P2355" s="26"/>
      <c r="Q2355" s="2"/>
    </row>
    <row r="2356" spans="1:17" ht="5" customHeight="1" x14ac:dyDescent="0.2">
      <c r="A2356" s="47"/>
      <c r="B2356" s="21"/>
      <c r="C2356" s="21"/>
      <c r="D2356" s="21"/>
      <c r="E2356" s="21"/>
      <c r="F2356" s="10"/>
      <c r="G2356" s="10"/>
      <c r="H2356" s="10"/>
      <c r="I2356" s="10"/>
      <c r="J2356" s="180"/>
      <c r="K2356" s="10"/>
      <c r="L2356" s="10"/>
      <c r="M2356" s="10"/>
      <c r="N2356" s="10"/>
      <c r="O2356" s="10"/>
      <c r="P2356" s="28"/>
      <c r="Q2356" s="2"/>
    </row>
    <row r="2357" spans="1:17" ht="5" customHeight="1" x14ac:dyDescent="0.2">
      <c r="A2357" s="49"/>
      <c r="B2357" s="24"/>
      <c r="C2357" s="24"/>
      <c r="D2357" s="24"/>
      <c r="E2357" s="24"/>
      <c r="F2357" s="29"/>
      <c r="G2357" s="29"/>
      <c r="H2357" s="29"/>
      <c r="I2357" s="29"/>
      <c r="J2357" s="183"/>
      <c r="K2357" s="29"/>
      <c r="L2357" s="29"/>
      <c r="M2357" s="29"/>
      <c r="N2357" s="29"/>
      <c r="O2357" s="29"/>
      <c r="P2357" s="30"/>
      <c r="Q2357" s="2"/>
    </row>
    <row r="2358" spans="1:17" x14ac:dyDescent="0.2">
      <c r="A2358" s="221" t="s">
        <v>870</v>
      </c>
      <c r="B2358" s="222"/>
      <c r="C2358" s="222"/>
      <c r="D2358" s="222"/>
      <c r="E2358" s="222"/>
      <c r="F2358" s="222"/>
      <c r="G2358" s="222"/>
      <c r="H2358" s="222"/>
      <c r="I2358" s="222"/>
      <c r="J2358" s="223"/>
      <c r="K2358" s="40"/>
      <c r="L2358" s="203" t="s">
        <v>32</v>
      </c>
      <c r="M2358" s="204" t="s">
        <v>29</v>
      </c>
      <c r="N2358" s="204"/>
      <c r="O2358" s="204" t="s">
        <v>30</v>
      </c>
      <c r="P2358" s="41"/>
      <c r="Q2358" s="2"/>
    </row>
    <row r="2359" spans="1:17" ht="5" customHeight="1" x14ac:dyDescent="0.2">
      <c r="A2359" s="50"/>
      <c r="B2359" s="25"/>
      <c r="C2359" s="25"/>
      <c r="D2359" s="25"/>
      <c r="E2359" s="25"/>
      <c r="F2359" s="31"/>
      <c r="G2359" s="31"/>
      <c r="H2359" s="31"/>
      <c r="I2359" s="31"/>
      <c r="J2359" s="177"/>
      <c r="K2359" s="31"/>
      <c r="L2359" s="31"/>
      <c r="M2359" s="31"/>
      <c r="N2359" s="31"/>
      <c r="O2359" s="31"/>
      <c r="P2359" s="32"/>
      <c r="Q2359" s="2"/>
    </row>
    <row r="2360" spans="1:17" x14ac:dyDescent="0.2">
      <c r="Q2360" s="2"/>
    </row>
  </sheetData>
  <mergeCells count="1739">
    <mergeCell ref="A1178:O1178"/>
    <mergeCell ref="L1217:O1217"/>
    <mergeCell ref="L2340:M2340"/>
    <mergeCell ref="A1515:Q1515"/>
    <mergeCell ref="A1517:P1517"/>
    <mergeCell ref="L1520:M1520"/>
    <mergeCell ref="A1519:P1519"/>
    <mergeCell ref="R4:V4"/>
    <mergeCell ref="R5:V5"/>
    <mergeCell ref="R6:V6"/>
    <mergeCell ref="K2307:P2307"/>
    <mergeCell ref="K2311:P2311"/>
    <mergeCell ref="A2322:P2322"/>
    <mergeCell ref="K2249:P2249"/>
    <mergeCell ref="K2253:P2253"/>
    <mergeCell ref="K2257:P2257"/>
    <mergeCell ref="K2267:P2267"/>
    <mergeCell ref="N1472:O1472"/>
    <mergeCell ref="L1470:O1470"/>
    <mergeCell ref="N1488:O1488"/>
    <mergeCell ref="A1491:J1491"/>
    <mergeCell ref="N1491:O1491"/>
    <mergeCell ref="A1478:D1478"/>
    <mergeCell ref="F1478:P1478"/>
    <mergeCell ref="A1480:O1480"/>
    <mergeCell ref="A1500:I1500"/>
    <mergeCell ref="N1500:O1500"/>
    <mergeCell ref="A1504:D1504"/>
    <mergeCell ref="F1504:Q1504"/>
    <mergeCell ref="A1506:Q1506"/>
    <mergeCell ref="A1507:O1507"/>
    <mergeCell ref="A1509:I1509"/>
    <mergeCell ref="L2346:M2346"/>
    <mergeCell ref="K2271:P2271"/>
    <mergeCell ref="K2275:P2275"/>
    <mergeCell ref="K2282:P2282"/>
    <mergeCell ref="A2292:J2292"/>
    <mergeCell ref="N2292:O2292"/>
    <mergeCell ref="A2272:J2272"/>
    <mergeCell ref="N2272:O2272"/>
    <mergeCell ref="A2276:J2276"/>
    <mergeCell ref="L2276:M2276"/>
    <mergeCell ref="K1662:P1662"/>
    <mergeCell ref="K1670:P1670"/>
    <mergeCell ref="K1666:P1666"/>
    <mergeCell ref="K1692:P1692"/>
    <mergeCell ref="F1776:P1776"/>
    <mergeCell ref="A1778:O1778"/>
    <mergeCell ref="N1671:O1671"/>
    <mergeCell ref="A1713:J1713"/>
    <mergeCell ref="N1713:O1713"/>
    <mergeCell ref="A1716:J1716"/>
    <mergeCell ref="N1716:O1716"/>
    <mergeCell ref="A1719:D1719"/>
    <mergeCell ref="A1796:J1796"/>
    <mergeCell ref="N1796:O1796"/>
    <mergeCell ref="A1793:J1793"/>
    <mergeCell ref="N1793:O1793"/>
    <mergeCell ref="A1790:J1790"/>
    <mergeCell ref="N1790:O1790"/>
    <mergeCell ref="A1787:J1787"/>
    <mergeCell ref="N1787:O1787"/>
    <mergeCell ref="A1784:J1784"/>
    <mergeCell ref="N1784:O1784"/>
    <mergeCell ref="A1512:I1512"/>
    <mergeCell ref="L1512:M1512"/>
    <mergeCell ref="A1511:P1511"/>
    <mergeCell ref="K1601:P1601"/>
    <mergeCell ref="A1449:J1449"/>
    <mergeCell ref="N1449:O1449"/>
    <mergeCell ref="A1453:J1453"/>
    <mergeCell ref="N1453:O1453"/>
    <mergeCell ref="A1457:J1457"/>
    <mergeCell ref="N1457:O1457"/>
    <mergeCell ref="A1461:J1461"/>
    <mergeCell ref="A1464:J1464"/>
    <mergeCell ref="A1497:D1497"/>
    <mergeCell ref="F1497:P1497"/>
    <mergeCell ref="A1484:J1484"/>
    <mergeCell ref="N1484:O1484"/>
    <mergeCell ref="A1488:J1488"/>
    <mergeCell ref="L1487:O1487"/>
    <mergeCell ref="A1494:J1494"/>
    <mergeCell ref="N1494:O1494"/>
    <mergeCell ref="A1537:P1537"/>
    <mergeCell ref="A1563:J1563"/>
    <mergeCell ref="N1563:O1563"/>
    <mergeCell ref="A1567:J1567"/>
    <mergeCell ref="N1567:O1567"/>
    <mergeCell ref="A1444:D1444"/>
    <mergeCell ref="F1444:P1444"/>
    <mergeCell ref="A1446:O1446"/>
    <mergeCell ref="A1475:I1475"/>
    <mergeCell ref="N1475:O1475"/>
    <mergeCell ref="N1461:O1461"/>
    <mergeCell ref="L1471:O1471"/>
    <mergeCell ref="N1464:O1464"/>
    <mergeCell ref="A1468:J1468"/>
    <mergeCell ref="N1468:O1468"/>
    <mergeCell ref="L1452:O1452"/>
    <mergeCell ref="L1456:O1456"/>
    <mergeCell ref="L1460:O1460"/>
    <mergeCell ref="L1467:O1467"/>
    <mergeCell ref="L1483:O1483"/>
    <mergeCell ref="A1472:J1472"/>
    <mergeCell ref="A1438:D1438"/>
    <mergeCell ref="F1438:P1438"/>
    <mergeCell ref="A1441:I1441"/>
    <mergeCell ref="N1441:O1441"/>
    <mergeCell ref="A1443:P1443"/>
    <mergeCell ref="A1430:I1430"/>
    <mergeCell ref="N1430:O1430"/>
    <mergeCell ref="A1434:D1434"/>
    <mergeCell ref="F1434:Q1434"/>
    <mergeCell ref="A1436:Q1436"/>
    <mergeCell ref="A1437:P1437"/>
    <mergeCell ref="A1422:I1422"/>
    <mergeCell ref="N1422:O1422"/>
    <mergeCell ref="A1419:O1419"/>
    <mergeCell ref="A1425:D1425"/>
    <mergeCell ref="F1425:P1425"/>
    <mergeCell ref="A1427:O1427"/>
    <mergeCell ref="A1411:D1411"/>
    <mergeCell ref="F1411:P1411"/>
    <mergeCell ref="A1414:I1414"/>
    <mergeCell ref="N1414:O1414"/>
    <mergeCell ref="A1417:D1417"/>
    <mergeCell ref="F1417:P1417"/>
    <mergeCell ref="A1404:P1404"/>
    <mergeCell ref="A1408:I1408"/>
    <mergeCell ref="N1408:O1408"/>
    <mergeCell ref="A1405:D1405"/>
    <mergeCell ref="F1405:P1405"/>
    <mergeCell ref="A1410:P1410"/>
    <mergeCell ref="A1401:D1401"/>
    <mergeCell ref="F1401:Q1401"/>
    <mergeCell ref="A1384:J1384"/>
    <mergeCell ref="N1384:O1384"/>
    <mergeCell ref="A1387:J1387"/>
    <mergeCell ref="A1403:Q1403"/>
    <mergeCell ref="N1390:O1390"/>
    <mergeCell ref="N1381:O1381"/>
    <mergeCell ref="A1394:Q1394"/>
    <mergeCell ref="A1395:P1395"/>
    <mergeCell ref="A1397:I1397"/>
    <mergeCell ref="N1397:O1397"/>
    <mergeCell ref="L1368:O1368"/>
    <mergeCell ref="A1372:J1372"/>
    <mergeCell ref="N1372:O1372"/>
    <mergeCell ref="N1387:O1387"/>
    <mergeCell ref="A1390:J1390"/>
    <mergeCell ref="A1375:J1375"/>
    <mergeCell ref="N1375:O1375"/>
    <mergeCell ref="A1378:J1378"/>
    <mergeCell ref="N1378:O1378"/>
    <mergeCell ref="A1381:J1381"/>
    <mergeCell ref="A1362:J1362"/>
    <mergeCell ref="N1362:O1362"/>
    <mergeCell ref="A1365:J1365"/>
    <mergeCell ref="N1365:O1365"/>
    <mergeCell ref="A1369:J1369"/>
    <mergeCell ref="N1369:O1369"/>
    <mergeCell ref="A1350:Q1350"/>
    <mergeCell ref="A1351:P1351"/>
    <mergeCell ref="A1356:J1356"/>
    <mergeCell ref="N1356:O1356"/>
    <mergeCell ref="A1359:J1359"/>
    <mergeCell ref="N1359:O1359"/>
    <mergeCell ref="A1337:Q1337"/>
    <mergeCell ref="A1338:P1338"/>
    <mergeCell ref="A1340:J1340"/>
    <mergeCell ref="N1340:O1340"/>
    <mergeCell ref="A1353:J1353"/>
    <mergeCell ref="N1353:O1353"/>
    <mergeCell ref="A1343:J1343"/>
    <mergeCell ref="N1343:O1343"/>
    <mergeCell ref="A1346:J1346"/>
    <mergeCell ref="N1346:O1346"/>
    <mergeCell ref="A1323:P1323"/>
    <mergeCell ref="A1326:J1326"/>
    <mergeCell ref="N1326:O1326"/>
    <mergeCell ref="A1330:J1330"/>
    <mergeCell ref="N1330:O1330"/>
    <mergeCell ref="A1333:J1333"/>
    <mergeCell ref="N1333:O1333"/>
    <mergeCell ref="L1325:O1325"/>
    <mergeCell ref="L1329:O1329"/>
    <mergeCell ref="A1318:J1318"/>
    <mergeCell ref="N1318:O1318"/>
    <mergeCell ref="A1305:Q1305"/>
    <mergeCell ref="A1306:P1306"/>
    <mergeCell ref="A1317:J1317"/>
    <mergeCell ref="A1322:Q1322"/>
    <mergeCell ref="A1302:O1302"/>
    <mergeCell ref="A1308:J1308"/>
    <mergeCell ref="N1308:O1308"/>
    <mergeCell ref="A1311:J1311"/>
    <mergeCell ref="N1311:O1311"/>
    <mergeCell ref="A1314:J1314"/>
    <mergeCell ref="N1314:O1314"/>
    <mergeCell ref="A1277:J1277"/>
    <mergeCell ref="A1274:J1274"/>
    <mergeCell ref="A1280:J1280"/>
    <mergeCell ref="A1283:J1283"/>
    <mergeCell ref="A1286:J1286"/>
    <mergeCell ref="N1277:O1277"/>
    <mergeCell ref="N1280:O1280"/>
    <mergeCell ref="N1283:O1283"/>
    <mergeCell ref="N1274:O1274"/>
    <mergeCell ref="A1258:O1258"/>
    <mergeCell ref="A1260:O1260"/>
    <mergeCell ref="A1297:D1297"/>
    <mergeCell ref="F1297:Q1297"/>
    <mergeCell ref="A1299:Q1299"/>
    <mergeCell ref="A1290:Q1290"/>
    <mergeCell ref="A1291:P1291"/>
    <mergeCell ref="A1293:I1293"/>
    <mergeCell ref="N1293:O1293"/>
    <mergeCell ref="N1286:O1286"/>
    <mergeCell ref="A1242:I1242"/>
    <mergeCell ref="A1245:I1245"/>
    <mergeCell ref="A1300:O1300"/>
    <mergeCell ref="A1248:I1248"/>
    <mergeCell ref="A1251:I1251"/>
    <mergeCell ref="A1262:Q1262"/>
    <mergeCell ref="A1263:P1263"/>
    <mergeCell ref="A1255:D1255"/>
    <mergeCell ref="F1255:Q1255"/>
    <mergeCell ref="A1257:Q1257"/>
    <mergeCell ref="A1237:I1237"/>
    <mergeCell ref="A1239:I1239"/>
    <mergeCell ref="A1265:I1265"/>
    <mergeCell ref="N1265:O1265"/>
    <mergeCell ref="A1269:Q1269"/>
    <mergeCell ref="A1271:I1271"/>
    <mergeCell ref="N1242:O1242"/>
    <mergeCell ref="N1245:O1245"/>
    <mergeCell ref="N1248:O1248"/>
    <mergeCell ref="N1251:O1251"/>
    <mergeCell ref="A1227:D1227"/>
    <mergeCell ref="F1227:Q1227"/>
    <mergeCell ref="A1229:Q1229"/>
    <mergeCell ref="A1230:O1230"/>
    <mergeCell ref="A1232:O1232"/>
    <mergeCell ref="A1235:I1235"/>
    <mergeCell ref="A517:P517"/>
    <mergeCell ref="A1101:O1101"/>
    <mergeCell ref="A1070:P1070"/>
    <mergeCell ref="A1041:D1041"/>
    <mergeCell ref="H1041:I1041"/>
    <mergeCell ref="A1091:B1091"/>
    <mergeCell ref="A1095:B1095"/>
    <mergeCell ref="A1048:D1048"/>
    <mergeCell ref="A1032:Q1032"/>
    <mergeCell ref="A1044:D1044"/>
    <mergeCell ref="L1040:O1040"/>
    <mergeCell ref="L1047:O1047"/>
    <mergeCell ref="N1051:O1051"/>
    <mergeCell ref="N1048:O1048"/>
    <mergeCell ref="H1048:I1048"/>
    <mergeCell ref="A1051:D1051"/>
    <mergeCell ref="A505:D505"/>
    <mergeCell ref="H505:I505"/>
    <mergeCell ref="N477:O477"/>
    <mergeCell ref="N473:O473"/>
    <mergeCell ref="N480:O480"/>
    <mergeCell ref="A501:D501"/>
    <mergeCell ref="N501:O501"/>
    <mergeCell ref="F504:I504"/>
    <mergeCell ref="L504:O504"/>
    <mergeCell ref="F1010:I1010"/>
    <mergeCell ref="F1000:I1000"/>
    <mergeCell ref="N997:O997"/>
    <mergeCell ref="N1001:O1001"/>
    <mergeCell ref="L994:O994"/>
    <mergeCell ref="L476:O476"/>
    <mergeCell ref="N1004:O1004"/>
    <mergeCell ref="L511:O511"/>
    <mergeCell ref="N508:O508"/>
    <mergeCell ref="H501:I501"/>
    <mergeCell ref="F736:I736"/>
    <mergeCell ref="N505:O505"/>
    <mergeCell ref="A508:D508"/>
    <mergeCell ref="H508:I508"/>
    <mergeCell ref="F511:I511"/>
    <mergeCell ref="A477:D477"/>
    <mergeCell ref="A488:D488"/>
    <mergeCell ref="A498:D498"/>
    <mergeCell ref="H498:I498"/>
    <mergeCell ref="A490:Q490"/>
    <mergeCell ref="A491:P491"/>
    <mergeCell ref="A493:P493"/>
    <mergeCell ref="N498:O498"/>
    <mergeCell ref="H473:I473"/>
    <mergeCell ref="A457:P457"/>
    <mergeCell ref="A460:P460"/>
    <mergeCell ref="A441:P441"/>
    <mergeCell ref="D333:O333"/>
    <mergeCell ref="D339:O339"/>
    <mergeCell ref="A330:P330"/>
    <mergeCell ref="A336:P336"/>
    <mergeCell ref="A309:D309"/>
    <mergeCell ref="H309:I309"/>
    <mergeCell ref="A346:P346"/>
    <mergeCell ref="A348:B348"/>
    <mergeCell ref="F348:P348"/>
    <mergeCell ref="A351:D351"/>
    <mergeCell ref="A421:D421"/>
    <mergeCell ref="A424:D424"/>
    <mergeCell ref="A427:D427"/>
    <mergeCell ref="A354:D354"/>
    <mergeCell ref="A400:D400"/>
    <mergeCell ref="A403:D403"/>
    <mergeCell ref="A406:D406"/>
    <mergeCell ref="A381:D381"/>
    <mergeCell ref="A385:D385"/>
    <mergeCell ref="A383:F383"/>
    <mergeCell ref="A394:D394"/>
    <mergeCell ref="A391:D391"/>
    <mergeCell ref="A415:D415"/>
    <mergeCell ref="A369:D369"/>
    <mergeCell ref="A372:D372"/>
    <mergeCell ref="A375:D375"/>
    <mergeCell ref="A388:D388"/>
    <mergeCell ref="A357:D357"/>
    <mergeCell ref="H111:O111"/>
    <mergeCell ref="H165:I165"/>
    <mergeCell ref="A151:Q151"/>
    <mergeCell ref="A258:D258"/>
    <mergeCell ref="A120:D120"/>
    <mergeCell ref="A252:D252"/>
    <mergeCell ref="H252:I252"/>
    <mergeCell ref="N252:O252"/>
    <mergeCell ref="H249:I249"/>
    <mergeCell ref="A255:B255"/>
    <mergeCell ref="H175:I175"/>
    <mergeCell ref="A220:D220"/>
    <mergeCell ref="A207:P207"/>
    <mergeCell ref="H204:I204"/>
    <mergeCell ref="N194:O194"/>
    <mergeCell ref="N200:O200"/>
    <mergeCell ref="N204:O204"/>
    <mergeCell ref="A246:D246"/>
    <mergeCell ref="H246:I246"/>
    <mergeCell ref="A116:D116"/>
    <mergeCell ref="A1145:P1145"/>
    <mergeCell ref="A1103:P1103"/>
    <mergeCell ref="A1106:D1106"/>
    <mergeCell ref="F1106:Q1106"/>
    <mergeCell ref="H1131:I1131"/>
    <mergeCell ref="A1140:D1140"/>
    <mergeCell ref="A1111:P1111"/>
    <mergeCell ref="A1108:Q1108"/>
    <mergeCell ref="H1140:I1140"/>
    <mergeCell ref="A1134:D1134"/>
    <mergeCell ref="H1137:I1137"/>
    <mergeCell ref="F1128:P1128"/>
    <mergeCell ref="A1131:D1131"/>
    <mergeCell ref="A1128:D1128"/>
    <mergeCell ref="A1119:D1119"/>
    <mergeCell ref="H1119:I1119"/>
    <mergeCell ref="A1122:D1122"/>
    <mergeCell ref="H1122:I1122"/>
    <mergeCell ref="HQ1109:IF1109"/>
    <mergeCell ref="IG1109:IV1109"/>
    <mergeCell ref="A1056:P1056"/>
    <mergeCell ref="A1058:P1058"/>
    <mergeCell ref="A1060:I1060"/>
    <mergeCell ref="A1065:D1065"/>
    <mergeCell ref="F1065:Q1065"/>
    <mergeCell ref="CC1109:CR1109"/>
    <mergeCell ref="N1091:O1091"/>
    <mergeCell ref="N1095:O1096"/>
    <mergeCell ref="A1068:P1068"/>
    <mergeCell ref="A1143:O1143"/>
    <mergeCell ref="A1098:B1098"/>
    <mergeCell ref="F1087:O1087"/>
    <mergeCell ref="A1054:O1054"/>
    <mergeCell ref="H1134:I1134"/>
    <mergeCell ref="A1137:D1137"/>
    <mergeCell ref="FE1109:FT1109"/>
    <mergeCell ref="FU1109:GJ1109"/>
    <mergeCell ref="A1109:P1109"/>
    <mergeCell ref="BM1109:CB1109"/>
    <mergeCell ref="CS1109:DH1109"/>
    <mergeCell ref="DI1109:DX1109"/>
    <mergeCell ref="DY1109:EN1109"/>
    <mergeCell ref="EO1109:FD1109"/>
    <mergeCell ref="AG1109:AV1109"/>
    <mergeCell ref="AW1109:BL1109"/>
    <mergeCell ref="GK1109:GZ1109"/>
    <mergeCell ref="HA1109:HP1109"/>
    <mergeCell ref="L1026:M1026"/>
    <mergeCell ref="A512:D512"/>
    <mergeCell ref="H512:I512"/>
    <mergeCell ref="A515:O515"/>
    <mergeCell ref="A520:D520"/>
    <mergeCell ref="F520:Q520"/>
    <mergeCell ref="J635:O635"/>
    <mergeCell ref="A638:D638"/>
    <mergeCell ref="H638:I638"/>
    <mergeCell ref="A642:D642"/>
    <mergeCell ref="H642:I642"/>
    <mergeCell ref="J642:O642"/>
    <mergeCell ref="F641:I641"/>
    <mergeCell ref="A645:D645"/>
    <mergeCell ref="H645:I645"/>
    <mergeCell ref="J645:O645"/>
    <mergeCell ref="A661:P661"/>
    <mergeCell ref="A635:D635"/>
    <mergeCell ref="H635:I635"/>
    <mergeCell ref="A550:P550"/>
    <mergeCell ref="A577:P577"/>
    <mergeCell ref="A579:P579"/>
    <mergeCell ref="A581:B581"/>
    <mergeCell ref="A584:D584"/>
    <mergeCell ref="H584:I584"/>
    <mergeCell ref="A654:D654"/>
    <mergeCell ref="H654:I654"/>
    <mergeCell ref="J654:O654"/>
    <mergeCell ref="A588:D588"/>
    <mergeCell ref="H588:I588"/>
    <mergeCell ref="A591:D591"/>
    <mergeCell ref="H591:I591"/>
    <mergeCell ref="A594:O594"/>
    <mergeCell ref="N588:O588"/>
    <mergeCell ref="N191:O191"/>
    <mergeCell ref="N162:O162"/>
    <mergeCell ref="A1035:P1035"/>
    <mergeCell ref="A1014:D1014"/>
    <mergeCell ref="H1014:I1014"/>
    <mergeCell ref="A1017:D1017"/>
    <mergeCell ref="H1017:I1017"/>
    <mergeCell ref="N512:O512"/>
    <mergeCell ref="A522:Q522"/>
    <mergeCell ref="A523:P523"/>
    <mergeCell ref="A525:P525"/>
    <mergeCell ref="A527:B527"/>
    <mergeCell ref="H562:I562"/>
    <mergeCell ref="A566:D566"/>
    <mergeCell ref="H566:I566"/>
    <mergeCell ref="A530:D530"/>
    <mergeCell ref="H530:I530"/>
    <mergeCell ref="A535:D535"/>
    <mergeCell ref="H535:I535"/>
    <mergeCell ref="A538:D538"/>
    <mergeCell ref="H538:I538"/>
    <mergeCell ref="A542:D542"/>
    <mergeCell ref="H542:I542"/>
    <mergeCell ref="A1026:I1026"/>
    <mergeCell ref="A1030:D1030"/>
    <mergeCell ref="F1030:Q1030"/>
    <mergeCell ref="A545:D545"/>
    <mergeCell ref="H545:I545"/>
    <mergeCell ref="J626:O626"/>
    <mergeCell ref="J623:O623"/>
    <mergeCell ref="A629:B629"/>
    <mergeCell ref="F629:P629"/>
    <mergeCell ref="H258:I258"/>
    <mergeCell ref="A261:D261"/>
    <mergeCell ref="H261:I261"/>
    <mergeCell ref="H220:I220"/>
    <mergeCell ref="A212:D212"/>
    <mergeCell ref="F212:Q212"/>
    <mergeCell ref="A264:D264"/>
    <mergeCell ref="H264:I264"/>
    <mergeCell ref="A270:D270"/>
    <mergeCell ref="H270:I270"/>
    <mergeCell ref="A215:H215"/>
    <mergeCell ref="J215:P215"/>
    <mergeCell ref="A214:Q214"/>
    <mergeCell ref="A249:D249"/>
    <mergeCell ref="N273:O273"/>
    <mergeCell ref="A230:O230"/>
    <mergeCell ref="A232:P232"/>
    <mergeCell ref="F245:I245"/>
    <mergeCell ref="N246:O246"/>
    <mergeCell ref="N249:O249"/>
    <mergeCell ref="F217:I217"/>
    <mergeCell ref="L217:O217"/>
    <mergeCell ref="F255:I255"/>
    <mergeCell ref="L255:O255"/>
    <mergeCell ref="L245:O245"/>
    <mergeCell ref="N258:O258"/>
    <mergeCell ref="N261:O261"/>
    <mergeCell ref="N264:O264"/>
    <mergeCell ref="F242:I242"/>
    <mergeCell ref="L242:O242"/>
    <mergeCell ref="A97:D97"/>
    <mergeCell ref="N299:O299"/>
    <mergeCell ref="N303:O303"/>
    <mergeCell ref="N306:O306"/>
    <mergeCell ref="N309:O309"/>
    <mergeCell ref="L302:O302"/>
    <mergeCell ref="F434:Q434"/>
    <mergeCell ref="H194:I194"/>
    <mergeCell ref="A185:D185"/>
    <mergeCell ref="H185:I185"/>
    <mergeCell ref="A178:D178"/>
    <mergeCell ref="H178:I178"/>
    <mergeCell ref="A169:D169"/>
    <mergeCell ref="A209:P209"/>
    <mergeCell ref="A235:D235"/>
    <mergeCell ref="F235:Q235"/>
    <mergeCell ref="H140:O140"/>
    <mergeCell ref="A162:D162"/>
    <mergeCell ref="A165:D165"/>
    <mergeCell ref="H169:I169"/>
    <mergeCell ref="A240:P240"/>
    <mergeCell ref="H224:I224"/>
    <mergeCell ref="N276:O276"/>
    <mergeCell ref="N279:O279"/>
    <mergeCell ref="F282:I282"/>
    <mergeCell ref="L282:O282"/>
    <mergeCell ref="N283:O283"/>
    <mergeCell ref="N286:O286"/>
    <mergeCell ref="H279:I279"/>
    <mergeCell ref="A154:P154"/>
    <mergeCell ref="H159:I159"/>
    <mergeCell ref="A145:D145"/>
    <mergeCell ref="N267:O267"/>
    <mergeCell ref="A159:D159"/>
    <mergeCell ref="A224:D224"/>
    <mergeCell ref="N159:O159"/>
    <mergeCell ref="A191:D191"/>
    <mergeCell ref="H191:I191"/>
    <mergeCell ref="A197:P197"/>
    <mergeCell ref="A204:D204"/>
    <mergeCell ref="A127:D127"/>
    <mergeCell ref="A131:D131"/>
    <mergeCell ref="A123:H123"/>
    <mergeCell ref="N165:O165"/>
    <mergeCell ref="N169:O169"/>
    <mergeCell ref="N172:O172"/>
    <mergeCell ref="H145:O145"/>
    <mergeCell ref="H162:I162"/>
    <mergeCell ref="A140:D140"/>
    <mergeCell ref="A136:D136"/>
    <mergeCell ref="L223:O223"/>
    <mergeCell ref="N220:O220"/>
    <mergeCell ref="N224:O224"/>
    <mergeCell ref="N227:O227"/>
    <mergeCell ref="L156:O156"/>
    <mergeCell ref="H135:P135"/>
    <mergeCell ref="H139:P139"/>
    <mergeCell ref="H144:P144"/>
    <mergeCell ref="H200:I200"/>
    <mergeCell ref="H127:O127"/>
    <mergeCell ref="H136:O136"/>
    <mergeCell ref="H131:O131"/>
    <mergeCell ref="H97:O97"/>
    <mergeCell ref="A81:D81"/>
    <mergeCell ref="F81:Q81"/>
    <mergeCell ref="A78:I78"/>
    <mergeCell ref="A91:D91"/>
    <mergeCell ref="A149:D149"/>
    <mergeCell ref="F149:Q149"/>
    <mergeCell ref="A182:D182"/>
    <mergeCell ref="H182:I182"/>
    <mergeCell ref="A172:D172"/>
    <mergeCell ref="H172:I172"/>
    <mergeCell ref="A188:D188"/>
    <mergeCell ref="H188:I188"/>
    <mergeCell ref="A88:D88"/>
    <mergeCell ref="A83:Q83"/>
    <mergeCell ref="A103:H103"/>
    <mergeCell ref="A107:D107"/>
    <mergeCell ref="A100:D100"/>
    <mergeCell ref="H100:O100"/>
    <mergeCell ref="F156:I156"/>
    <mergeCell ref="N175:O175"/>
    <mergeCell ref="N178:O178"/>
    <mergeCell ref="N182:O182"/>
    <mergeCell ref="N185:O185"/>
    <mergeCell ref="N188:O188"/>
    <mergeCell ref="H106:P106"/>
    <mergeCell ref="H115:P115"/>
    <mergeCell ref="H110:P110"/>
    <mergeCell ref="H107:O107"/>
    <mergeCell ref="A175:D175"/>
    <mergeCell ref="H88:O88"/>
    <mergeCell ref="A111:D111"/>
    <mergeCell ref="F45:O45"/>
    <mergeCell ref="F50:O50"/>
    <mergeCell ref="F60:P60"/>
    <mergeCell ref="A64:Q64"/>
    <mergeCell ref="A68:D68"/>
    <mergeCell ref="F47:P47"/>
    <mergeCell ref="F52:P52"/>
    <mergeCell ref="L46:M46"/>
    <mergeCell ref="A55:P55"/>
    <mergeCell ref="J51:K51"/>
    <mergeCell ref="L51:M51"/>
    <mergeCell ref="N51:O51"/>
    <mergeCell ref="H68:I68"/>
    <mergeCell ref="A59:D59"/>
    <mergeCell ref="J46:K46"/>
    <mergeCell ref="F58:I58"/>
    <mergeCell ref="H94:O94"/>
    <mergeCell ref="H72:I72"/>
    <mergeCell ref="N46:O46"/>
    <mergeCell ref="H51:I51"/>
    <mergeCell ref="A94:D94"/>
    <mergeCell ref="F73:P73"/>
    <mergeCell ref="A76:P76"/>
    <mergeCell ref="H91:O91"/>
    <mergeCell ref="A46:D46"/>
    <mergeCell ref="A51:D51"/>
    <mergeCell ref="H59:I59"/>
    <mergeCell ref="F69:P69"/>
    <mergeCell ref="A72:D72"/>
    <mergeCell ref="F16:P16"/>
    <mergeCell ref="F20:P20"/>
    <mergeCell ref="F8:Q8"/>
    <mergeCell ref="H18:P18"/>
    <mergeCell ref="F28:P28"/>
    <mergeCell ref="F31:P31"/>
    <mergeCell ref="A8:D8"/>
    <mergeCell ref="A14:D14"/>
    <mergeCell ref="A31:D31"/>
    <mergeCell ref="A25:D25"/>
    <mergeCell ref="A18:D18"/>
    <mergeCell ref="A22:D22"/>
    <mergeCell ref="F1:H1"/>
    <mergeCell ref="K1:P1"/>
    <mergeCell ref="A41:Q41"/>
    <mergeCell ref="N2:P2"/>
    <mergeCell ref="F14:P14"/>
    <mergeCell ref="F34:P34"/>
    <mergeCell ref="J2:L2"/>
    <mergeCell ref="H2:I2"/>
    <mergeCell ref="A10:Q10"/>
    <mergeCell ref="A16:D16"/>
    <mergeCell ref="A20:D20"/>
    <mergeCell ref="A2:C2"/>
    <mergeCell ref="A3:C3"/>
    <mergeCell ref="F22:P22"/>
    <mergeCell ref="A37:D37"/>
    <mergeCell ref="F37:P37"/>
    <mergeCell ref="F25:P25"/>
    <mergeCell ref="A28:D28"/>
    <mergeCell ref="A34:D34"/>
    <mergeCell ref="A360:D360"/>
    <mergeCell ref="A363:D363"/>
    <mergeCell ref="A366:D366"/>
    <mergeCell ref="A200:D200"/>
    <mergeCell ref="A194:D194"/>
    <mergeCell ref="H286:I286"/>
    <mergeCell ref="A276:D276"/>
    <mergeCell ref="H276:I276"/>
    <mergeCell ref="A279:D279"/>
    <mergeCell ref="A296:B296"/>
    <mergeCell ref="A303:D303"/>
    <mergeCell ref="H303:I303"/>
    <mergeCell ref="A237:Q237"/>
    <mergeCell ref="A562:D562"/>
    <mergeCell ref="N562:O562"/>
    <mergeCell ref="N566:O566"/>
    <mergeCell ref="A409:D409"/>
    <mergeCell ref="A412:D412"/>
    <mergeCell ref="A430:D430"/>
    <mergeCell ref="A418:D418"/>
    <mergeCell ref="A495:B495"/>
    <mergeCell ref="F495:I495"/>
    <mergeCell ref="L495:O495"/>
    <mergeCell ref="A463:D463"/>
    <mergeCell ref="F463:Q463"/>
    <mergeCell ref="A465:Q465"/>
    <mergeCell ref="A466:P466"/>
    <mergeCell ref="A227:D227"/>
    <mergeCell ref="H227:I227"/>
    <mergeCell ref="F223:I223"/>
    <mergeCell ref="N538:O538"/>
    <mergeCell ref="A436:Q436"/>
    <mergeCell ref="F302:I302"/>
    <mergeCell ref="A434:D434"/>
    <mergeCell ref="N270:O270"/>
    <mergeCell ref="A485:P485"/>
    <mergeCell ref="A483:O483"/>
    <mergeCell ref="F476:I476"/>
    <mergeCell ref="N545:O545"/>
    <mergeCell ref="F549:N549"/>
    <mergeCell ref="A445:P445"/>
    <mergeCell ref="A449:P449"/>
    <mergeCell ref="A453:P453"/>
    <mergeCell ref="N591:O591"/>
    <mergeCell ref="A596:P596"/>
    <mergeCell ref="A599:D599"/>
    <mergeCell ref="F599:Q599"/>
    <mergeCell ref="A601:Q601"/>
    <mergeCell ref="A602:P602"/>
    <mergeCell ref="F557:I557"/>
    <mergeCell ref="L534:O534"/>
    <mergeCell ref="F561:I561"/>
    <mergeCell ref="L553:O553"/>
    <mergeCell ref="L557:O557"/>
    <mergeCell ref="L561:O561"/>
    <mergeCell ref="N554:O554"/>
    <mergeCell ref="N558:O558"/>
    <mergeCell ref="A306:D306"/>
    <mergeCell ref="H306:I306"/>
    <mergeCell ref="A283:D283"/>
    <mergeCell ref="H283:I283"/>
    <mergeCell ref="A290:D290"/>
    <mergeCell ref="F290:Q290"/>
    <mergeCell ref="A292:Q292"/>
    <mergeCell ref="A294:P294"/>
    <mergeCell ref="L296:O296"/>
    <mergeCell ref="A299:D299"/>
    <mergeCell ref="H299:I299"/>
    <mergeCell ref="A569:O569"/>
    <mergeCell ref="A574:D574"/>
    <mergeCell ref="F574:Q574"/>
    <mergeCell ref="A576:Q576"/>
    <mergeCell ref="A571:P571"/>
    <mergeCell ref="A558:D558"/>
    <mergeCell ref="H558:I558"/>
    <mergeCell ref="A604:P604"/>
    <mergeCell ref="A632:D632"/>
    <mergeCell ref="H632:I632"/>
    <mergeCell ref="A606:B606"/>
    <mergeCell ref="F606:P606"/>
    <mergeCell ref="A609:D609"/>
    <mergeCell ref="H609:I609"/>
    <mergeCell ref="A612:D612"/>
    <mergeCell ref="H612:I612"/>
    <mergeCell ref="J612:O612"/>
    <mergeCell ref="A615:D615"/>
    <mergeCell ref="H615:I615"/>
    <mergeCell ref="A619:D619"/>
    <mergeCell ref="H619:I619"/>
    <mergeCell ref="J619:O619"/>
    <mergeCell ref="A623:D623"/>
    <mergeCell ref="H623:I623"/>
    <mergeCell ref="F618:I618"/>
    <mergeCell ref="F622:I622"/>
    <mergeCell ref="A626:D626"/>
    <mergeCell ref="H626:I626"/>
    <mergeCell ref="A663:P663"/>
    <mergeCell ref="A665:B665"/>
    <mergeCell ref="F665:P665"/>
    <mergeCell ref="A651:D651"/>
    <mergeCell ref="H651:I651"/>
    <mergeCell ref="J651:O651"/>
    <mergeCell ref="A658:D658"/>
    <mergeCell ref="F658:Q658"/>
    <mergeCell ref="A660:Q660"/>
    <mergeCell ref="A668:D668"/>
    <mergeCell ref="H668:I668"/>
    <mergeCell ref="A671:D671"/>
    <mergeCell ref="H671:I671"/>
    <mergeCell ref="J671:O671"/>
    <mergeCell ref="A674:D674"/>
    <mergeCell ref="H674:I674"/>
    <mergeCell ref="A678:D678"/>
    <mergeCell ref="H678:I678"/>
    <mergeCell ref="A682:D682"/>
    <mergeCell ref="H682:I682"/>
    <mergeCell ref="F677:I677"/>
    <mergeCell ref="A685:D685"/>
    <mergeCell ref="H685:I685"/>
    <mergeCell ref="J685:O685"/>
    <mergeCell ref="A688:B688"/>
    <mergeCell ref="F688:P688"/>
    <mergeCell ref="A753:D753"/>
    <mergeCell ref="H753:I753"/>
    <mergeCell ref="J753:O753"/>
    <mergeCell ref="A760:D760"/>
    <mergeCell ref="H760:I760"/>
    <mergeCell ref="A691:D691"/>
    <mergeCell ref="H691:I691"/>
    <mergeCell ref="A694:D694"/>
    <mergeCell ref="H694:I694"/>
    <mergeCell ref="J694:O694"/>
    <mergeCell ref="A697:D697"/>
    <mergeCell ref="H697:I697"/>
    <mergeCell ref="A701:D701"/>
    <mergeCell ref="H701:I701"/>
    <mergeCell ref="F700:I700"/>
    <mergeCell ref="A704:D704"/>
    <mergeCell ref="H704:I704"/>
    <mergeCell ref="J704:O704"/>
    <mergeCell ref="A710:D710"/>
    <mergeCell ref="H710:I710"/>
    <mergeCell ref="J710:O710"/>
    <mergeCell ref="A717:D717"/>
    <mergeCell ref="F717:Q717"/>
    <mergeCell ref="H812:I812"/>
    <mergeCell ref="J812:O812"/>
    <mergeCell ref="A815:D815"/>
    <mergeCell ref="H815:I815"/>
    <mergeCell ref="A819:D819"/>
    <mergeCell ref="H819:I819"/>
    <mergeCell ref="A822:D822"/>
    <mergeCell ref="A719:Q719"/>
    <mergeCell ref="A720:P720"/>
    <mergeCell ref="A722:P722"/>
    <mergeCell ref="A724:B724"/>
    <mergeCell ref="F724:P724"/>
    <mergeCell ref="A727:D727"/>
    <mergeCell ref="H727:I727"/>
    <mergeCell ref="A730:D730"/>
    <mergeCell ref="H730:I730"/>
    <mergeCell ref="J730:O730"/>
    <mergeCell ref="A733:D733"/>
    <mergeCell ref="H733:I733"/>
    <mergeCell ref="A737:D737"/>
    <mergeCell ref="H737:I737"/>
    <mergeCell ref="A741:D741"/>
    <mergeCell ref="H741:I741"/>
    <mergeCell ref="A744:D744"/>
    <mergeCell ref="H744:I744"/>
    <mergeCell ref="A756:D756"/>
    <mergeCell ref="H756:I756"/>
    <mergeCell ref="J744:O744"/>
    <mergeCell ref="A747:B747"/>
    <mergeCell ref="F747:P747"/>
    <mergeCell ref="A750:D750"/>
    <mergeCell ref="H750:I750"/>
    <mergeCell ref="A848:D848"/>
    <mergeCell ref="H848:I848"/>
    <mergeCell ref="J848:O848"/>
    <mergeCell ref="A851:D851"/>
    <mergeCell ref="H851:I851"/>
    <mergeCell ref="A855:D855"/>
    <mergeCell ref="H855:I855"/>
    <mergeCell ref="A837:Q837"/>
    <mergeCell ref="A838:P838"/>
    <mergeCell ref="A840:P840"/>
    <mergeCell ref="A842:B842"/>
    <mergeCell ref="F759:I759"/>
    <mergeCell ref="A763:D763"/>
    <mergeCell ref="H763:I763"/>
    <mergeCell ref="J763:O763"/>
    <mergeCell ref="A769:D769"/>
    <mergeCell ref="H769:I769"/>
    <mergeCell ref="J769:O769"/>
    <mergeCell ref="A776:D776"/>
    <mergeCell ref="F776:Q776"/>
    <mergeCell ref="A778:Q778"/>
    <mergeCell ref="A792:D792"/>
    <mergeCell ref="H792:I792"/>
    <mergeCell ref="A796:D796"/>
    <mergeCell ref="H796:I796"/>
    <mergeCell ref="A783:B783"/>
    <mergeCell ref="F783:P783"/>
    <mergeCell ref="A786:D786"/>
    <mergeCell ref="H786:I786"/>
    <mergeCell ref="A809:D809"/>
    <mergeCell ref="H809:I809"/>
    <mergeCell ref="A812:D812"/>
    <mergeCell ref="A859:D859"/>
    <mergeCell ref="H859:I859"/>
    <mergeCell ref="A713:D713"/>
    <mergeCell ref="J713:O713"/>
    <mergeCell ref="A772:D772"/>
    <mergeCell ref="J772:O772"/>
    <mergeCell ref="A831:D831"/>
    <mergeCell ref="H831:I831"/>
    <mergeCell ref="F818:I818"/>
    <mergeCell ref="F854:I854"/>
    <mergeCell ref="F799:I799"/>
    <mergeCell ref="F858:I858"/>
    <mergeCell ref="H713:I713"/>
    <mergeCell ref="H772:I772"/>
    <mergeCell ref="A800:D800"/>
    <mergeCell ref="H800:I800"/>
    <mergeCell ref="J831:O831"/>
    <mergeCell ref="A803:D803"/>
    <mergeCell ref="H803:I803"/>
    <mergeCell ref="J803:O803"/>
    <mergeCell ref="A806:B806"/>
    <mergeCell ref="F806:P806"/>
    <mergeCell ref="H822:I822"/>
    <mergeCell ref="J822:O822"/>
    <mergeCell ref="A828:D828"/>
    <mergeCell ref="H828:I828"/>
    <mergeCell ref="J828:O828"/>
    <mergeCell ref="A835:D835"/>
    <mergeCell ref="F835:Q835"/>
    <mergeCell ref="F842:P842"/>
    <mergeCell ref="A845:D845"/>
    <mergeCell ref="H845:I845"/>
    <mergeCell ref="A862:D862"/>
    <mergeCell ref="H862:I862"/>
    <mergeCell ref="J862:O862"/>
    <mergeCell ref="A865:B865"/>
    <mergeCell ref="F865:P865"/>
    <mergeCell ref="A868:D868"/>
    <mergeCell ref="H868:I868"/>
    <mergeCell ref="A871:D871"/>
    <mergeCell ref="H871:I871"/>
    <mergeCell ref="J871:O871"/>
    <mergeCell ref="A874:D874"/>
    <mergeCell ref="H874:I874"/>
    <mergeCell ref="A878:D878"/>
    <mergeCell ref="H878:I878"/>
    <mergeCell ref="F877:I877"/>
    <mergeCell ref="A881:D881"/>
    <mergeCell ref="H881:I881"/>
    <mergeCell ref="J881:O881"/>
    <mergeCell ref="A887:D887"/>
    <mergeCell ref="H887:I887"/>
    <mergeCell ref="J887:O887"/>
    <mergeCell ref="A894:D894"/>
    <mergeCell ref="F894:Q894"/>
    <mergeCell ref="A896:Q896"/>
    <mergeCell ref="A897:P897"/>
    <mergeCell ref="A899:B899"/>
    <mergeCell ref="F899:P899"/>
    <mergeCell ref="A902:D902"/>
    <mergeCell ref="H902:I902"/>
    <mergeCell ref="A905:D905"/>
    <mergeCell ref="H905:I905"/>
    <mergeCell ref="J905:O905"/>
    <mergeCell ref="A908:D908"/>
    <mergeCell ref="H908:I908"/>
    <mergeCell ref="A911:D911"/>
    <mergeCell ref="H911:I911"/>
    <mergeCell ref="J911:O911"/>
    <mergeCell ref="A890:D890"/>
    <mergeCell ref="H890:I890"/>
    <mergeCell ref="J890:O890"/>
    <mergeCell ref="J944:O944"/>
    <mergeCell ref="A959:B959"/>
    <mergeCell ref="L959:O959"/>
    <mergeCell ref="A966:D966"/>
    <mergeCell ref="A989:Q989"/>
    <mergeCell ref="L969:O969"/>
    <mergeCell ref="N966:O966"/>
    <mergeCell ref="A992:P992"/>
    <mergeCell ref="A914:D914"/>
    <mergeCell ref="H914:I914"/>
    <mergeCell ref="J914:O914"/>
    <mergeCell ref="A917:D917"/>
    <mergeCell ref="H917:I917"/>
    <mergeCell ref="J917:O917"/>
    <mergeCell ref="A920:B920"/>
    <mergeCell ref="F920:P920"/>
    <mergeCell ref="A923:D923"/>
    <mergeCell ref="H923:I923"/>
    <mergeCell ref="A926:D926"/>
    <mergeCell ref="H926:I926"/>
    <mergeCell ref="J926:O926"/>
    <mergeCell ref="A929:D929"/>
    <mergeCell ref="H929:I929"/>
    <mergeCell ref="A932:D932"/>
    <mergeCell ref="H932:I932"/>
    <mergeCell ref="J932:O932"/>
    <mergeCell ref="A944:D944"/>
    <mergeCell ref="H944:I944"/>
    <mergeCell ref="F965:I965"/>
    <mergeCell ref="F969:I969"/>
    <mergeCell ref="L965:O965"/>
    <mergeCell ref="A962:D962"/>
    <mergeCell ref="H962:I962"/>
    <mergeCell ref="N962:O962"/>
    <mergeCell ref="A987:D987"/>
    <mergeCell ref="A994:B994"/>
    <mergeCell ref="H966:I966"/>
    <mergeCell ref="A973:D973"/>
    <mergeCell ref="H973:I973"/>
    <mergeCell ref="H970:I970"/>
    <mergeCell ref="A978:P978"/>
    <mergeCell ref="A982:I982"/>
    <mergeCell ref="N970:O970"/>
    <mergeCell ref="N973:O973"/>
    <mergeCell ref="A954:Q954"/>
    <mergeCell ref="A955:P955"/>
    <mergeCell ref="A1148:D1148"/>
    <mergeCell ref="F1148:Q1148"/>
    <mergeCell ref="H1007:I1007"/>
    <mergeCell ref="A1011:D1011"/>
    <mergeCell ref="H1011:I1011"/>
    <mergeCell ref="F1040:I1040"/>
    <mergeCell ref="A1033:P1033"/>
    <mergeCell ref="N1007:O1007"/>
    <mergeCell ref="N1011:O1011"/>
    <mergeCell ref="L1010:O1010"/>
    <mergeCell ref="L1000:O1000"/>
    <mergeCell ref="H1004:I1004"/>
    <mergeCell ref="A1004:D1004"/>
    <mergeCell ref="A1024:P1024"/>
    <mergeCell ref="N1014:O1014"/>
    <mergeCell ref="N1017:O1017"/>
    <mergeCell ref="A1037:B1037"/>
    <mergeCell ref="L1037:O1037"/>
    <mergeCell ref="A1166:Q1166"/>
    <mergeCell ref="C1080:E1080"/>
    <mergeCell ref="A1007:D1007"/>
    <mergeCell ref="F1080:J1080"/>
    <mergeCell ref="N1098:O1098"/>
    <mergeCell ref="C1094:E1094"/>
    <mergeCell ref="F1094:J1094"/>
    <mergeCell ref="C1089:E1089"/>
    <mergeCell ref="F1089:H1089"/>
    <mergeCell ref="K1089:M1089"/>
    <mergeCell ref="A1081:B1081"/>
    <mergeCell ref="N1081:O1082"/>
    <mergeCell ref="F1072:O1072"/>
    <mergeCell ref="C1074:E1074"/>
    <mergeCell ref="H1051:I1051"/>
    <mergeCell ref="A1067:Q1067"/>
    <mergeCell ref="N1044:O1044"/>
    <mergeCell ref="N1041:O1041"/>
    <mergeCell ref="A1162:Q1162"/>
    <mergeCell ref="F1047:I1047"/>
    <mergeCell ref="A1020:O1020"/>
    <mergeCell ref="A1022:P1022"/>
    <mergeCell ref="A1116:D1116"/>
    <mergeCell ref="H1116:I1116"/>
    <mergeCell ref="A1077:B1077"/>
    <mergeCell ref="N1077:O1077"/>
    <mergeCell ref="H1125:I1125"/>
    <mergeCell ref="A1084:B1084"/>
    <mergeCell ref="N1084:O1084"/>
    <mergeCell ref="C1076:O1076"/>
    <mergeCell ref="A1113:D1113"/>
    <mergeCell ref="F1113:P1113"/>
    <mergeCell ref="A1172:Q1172"/>
    <mergeCell ref="A1170:P1170"/>
    <mergeCell ref="A1150:Q1150"/>
    <mergeCell ref="A1151:O1151"/>
    <mergeCell ref="A1154:Q1154"/>
    <mergeCell ref="A1157:D1157"/>
    <mergeCell ref="H120:O120"/>
    <mergeCell ref="H116:O116"/>
    <mergeCell ref="F1074:H1074"/>
    <mergeCell ref="H1044:I1044"/>
    <mergeCell ref="K1074:M1074"/>
    <mergeCell ref="F987:Q987"/>
    <mergeCell ref="A980:P980"/>
    <mergeCell ref="A970:D970"/>
    <mergeCell ref="A976:O976"/>
    <mergeCell ref="A1001:D1001"/>
    <mergeCell ref="F534:I534"/>
    <mergeCell ref="H1157:O1157"/>
    <mergeCell ref="A1164:P1164"/>
    <mergeCell ref="H119:P119"/>
    <mergeCell ref="H126:P126"/>
    <mergeCell ref="H130:P130"/>
    <mergeCell ref="H789:I789"/>
    <mergeCell ref="J789:O789"/>
    <mergeCell ref="A957:P957"/>
    <mergeCell ref="A947:O947"/>
    <mergeCell ref="A949:P949"/>
    <mergeCell ref="F587:I587"/>
    <mergeCell ref="L587:O587"/>
    <mergeCell ref="N584:O584"/>
    <mergeCell ref="A952:D952"/>
    <mergeCell ref="F952:Q952"/>
    <mergeCell ref="A314:P314"/>
    <mergeCell ref="A312:P312"/>
    <mergeCell ref="D319:O319"/>
    <mergeCell ref="D323:O323"/>
    <mergeCell ref="D327:O327"/>
    <mergeCell ref="A345:Q345"/>
    <mergeCell ref="A343:D343"/>
    <mergeCell ref="F343:Q343"/>
    <mergeCell ref="A273:D273"/>
    <mergeCell ref="H273:I273"/>
    <mergeCell ref="A267:D267"/>
    <mergeCell ref="H267:I267"/>
    <mergeCell ref="A286:D286"/>
    <mergeCell ref="A554:D554"/>
    <mergeCell ref="H554:I554"/>
    <mergeCell ref="N542:O542"/>
    <mergeCell ref="F553:I553"/>
    <mergeCell ref="A397:F397"/>
    <mergeCell ref="A377:D377"/>
    <mergeCell ref="A379:D379"/>
    <mergeCell ref="A470:B470"/>
    <mergeCell ref="A468:P468"/>
    <mergeCell ref="F470:I470"/>
    <mergeCell ref="L470:O470"/>
    <mergeCell ref="F488:Q488"/>
    <mergeCell ref="H477:I477"/>
    <mergeCell ref="N530:O530"/>
    <mergeCell ref="A480:D480"/>
    <mergeCell ref="N535:O535"/>
    <mergeCell ref="H480:I480"/>
    <mergeCell ref="F527:I527"/>
    <mergeCell ref="A473:D473"/>
    <mergeCell ref="A935:D935"/>
    <mergeCell ref="H935:I935"/>
    <mergeCell ref="J935:O935"/>
    <mergeCell ref="A941:D941"/>
    <mergeCell ref="H941:I941"/>
    <mergeCell ref="J941:O941"/>
    <mergeCell ref="A4:C4"/>
    <mergeCell ref="A5:C5"/>
    <mergeCell ref="D4:P4"/>
    <mergeCell ref="D5:P5"/>
    <mergeCell ref="A6:C6"/>
    <mergeCell ref="D7:P7"/>
    <mergeCell ref="D6:P6"/>
    <mergeCell ref="A1125:D1125"/>
    <mergeCell ref="A1176:P1176"/>
    <mergeCell ref="A1174:P1174"/>
    <mergeCell ref="A1168:P1168"/>
    <mergeCell ref="A1160:O1160"/>
    <mergeCell ref="F581:I581"/>
    <mergeCell ref="L581:O581"/>
    <mergeCell ref="F795:I795"/>
    <mergeCell ref="F681:I681"/>
    <mergeCell ref="F740:I740"/>
    <mergeCell ref="A779:P779"/>
    <mergeCell ref="A781:P781"/>
    <mergeCell ref="A789:D789"/>
    <mergeCell ref="H1001:I1001"/>
    <mergeCell ref="A997:D997"/>
    <mergeCell ref="H997:I997"/>
    <mergeCell ref="A990:P990"/>
    <mergeCell ref="L527:O527"/>
    <mergeCell ref="H46:I46"/>
    <mergeCell ref="A1210:D1210"/>
    <mergeCell ref="H1210:I1210"/>
    <mergeCell ref="A1223:D1223"/>
    <mergeCell ref="H1223:I1223"/>
    <mergeCell ref="N1223:O1223"/>
    <mergeCell ref="N1220:O1220"/>
    <mergeCell ref="A1220:D1220"/>
    <mergeCell ref="H1220:I1220"/>
    <mergeCell ref="N1210:O1210"/>
    <mergeCell ref="A1213:D1213"/>
    <mergeCell ref="FE1181:FT1181"/>
    <mergeCell ref="FU1181:GJ1181"/>
    <mergeCell ref="A1180:Q1180"/>
    <mergeCell ref="A1181:P1181"/>
    <mergeCell ref="AG1181:AV1181"/>
    <mergeCell ref="AW1181:BL1181"/>
    <mergeCell ref="BM1181:CB1181"/>
    <mergeCell ref="CC1181:CR1181"/>
    <mergeCell ref="H1213:I1213"/>
    <mergeCell ref="A1217:D1217"/>
    <mergeCell ref="H1217:I1217"/>
    <mergeCell ref="N1213:O1213"/>
    <mergeCell ref="A1198:D1198"/>
    <mergeCell ref="H1198:I1198"/>
    <mergeCell ref="N1198:O1198"/>
    <mergeCell ref="A1201:D1201"/>
    <mergeCell ref="H1201:I1201"/>
    <mergeCell ref="N1201:O1201"/>
    <mergeCell ref="GK1181:GZ1181"/>
    <mergeCell ref="HA1181:HP1181"/>
    <mergeCell ref="HQ1181:IF1181"/>
    <mergeCell ref="IG1181:IV1181"/>
    <mergeCell ref="A1183:P1183"/>
    <mergeCell ref="A1185:D1185"/>
    <mergeCell ref="CS1181:DH1181"/>
    <mergeCell ref="DI1181:DX1181"/>
    <mergeCell ref="DY1181:EN1181"/>
    <mergeCell ref="EO1181:FD1181"/>
    <mergeCell ref="A1207:D1207"/>
    <mergeCell ref="H1207:I1207"/>
    <mergeCell ref="N1207:O1207"/>
    <mergeCell ref="A1190:D1190"/>
    <mergeCell ref="H1190:I1190"/>
    <mergeCell ref="N1190:O1190"/>
    <mergeCell ref="A1193:D1193"/>
    <mergeCell ref="H1193:I1193"/>
    <mergeCell ref="N1193:O1193"/>
    <mergeCell ref="A1187:B1187"/>
    <mergeCell ref="L1187:O1187"/>
    <mergeCell ref="L1186:O1186"/>
    <mergeCell ref="F1186:I1186"/>
    <mergeCell ref="A1204:D1204"/>
    <mergeCell ref="H1204:I1204"/>
    <mergeCell ref="N1204:O1204"/>
    <mergeCell ref="IG1517:IV1517"/>
    <mergeCell ref="A1520:I1520"/>
    <mergeCell ref="A1523:Q1523"/>
    <mergeCell ref="FE1535:FT1535"/>
    <mergeCell ref="FU1535:GJ1535"/>
    <mergeCell ref="GK1535:GZ1535"/>
    <mergeCell ref="HA1535:HP1535"/>
    <mergeCell ref="A1525:P1525"/>
    <mergeCell ref="AG1525:AV1525"/>
    <mergeCell ref="AW1525:BL1525"/>
    <mergeCell ref="BM1525:CB1525"/>
    <mergeCell ref="CC1525:CR1525"/>
    <mergeCell ref="CS1525:DH1525"/>
    <mergeCell ref="DI1525:DX1525"/>
    <mergeCell ref="DY1525:EN1525"/>
    <mergeCell ref="EO1525:FD1525"/>
    <mergeCell ref="FE1525:FT1525"/>
    <mergeCell ref="FU1525:GJ1525"/>
    <mergeCell ref="F1531:Q1531"/>
    <mergeCell ref="A1533:Q1533"/>
    <mergeCell ref="A1535:P1535"/>
    <mergeCell ref="AG1535:AV1535"/>
    <mergeCell ref="AW1535:BL1535"/>
    <mergeCell ref="AG1517:AV1517"/>
    <mergeCell ref="AW1517:BL1517"/>
    <mergeCell ref="HQ1535:IF1535"/>
    <mergeCell ref="BM1517:CB1517"/>
    <mergeCell ref="CC1517:CR1517"/>
    <mergeCell ref="CS1517:DH1517"/>
    <mergeCell ref="DI1517:DX1517"/>
    <mergeCell ref="DY1517:EN1517"/>
    <mergeCell ref="EO1517:FD1517"/>
    <mergeCell ref="FE1517:FT1517"/>
    <mergeCell ref="FU1517:GJ1517"/>
    <mergeCell ref="GK1517:GZ1517"/>
    <mergeCell ref="HA1517:HP1517"/>
    <mergeCell ref="HQ1517:IF1517"/>
    <mergeCell ref="GK1646:GZ1646"/>
    <mergeCell ref="HA1646:HP1646"/>
    <mergeCell ref="HQ1646:IF1646"/>
    <mergeCell ref="IG1646:IV1646"/>
    <mergeCell ref="A1649:J1649"/>
    <mergeCell ref="N1649:O1649"/>
    <mergeCell ref="CS1646:DH1646"/>
    <mergeCell ref="DI1646:DX1646"/>
    <mergeCell ref="DY1646:EN1646"/>
    <mergeCell ref="EO1646:FD1646"/>
    <mergeCell ref="GK1525:GZ1525"/>
    <mergeCell ref="HA1525:HP1525"/>
    <mergeCell ref="HQ1525:IF1525"/>
    <mergeCell ref="IG1525:IV1525"/>
    <mergeCell ref="A1528:I1528"/>
    <mergeCell ref="C1527:O1527"/>
    <mergeCell ref="CC1535:CR1535"/>
    <mergeCell ref="CS1535:DH1535"/>
    <mergeCell ref="DI1535:DX1535"/>
    <mergeCell ref="DY1535:EN1535"/>
    <mergeCell ref="EO1535:FD1535"/>
    <mergeCell ref="BM1535:CB1535"/>
    <mergeCell ref="A1642:D1642"/>
    <mergeCell ref="F1642:Q1642"/>
    <mergeCell ref="A1571:J1571"/>
    <mergeCell ref="N1571:O1571"/>
    <mergeCell ref="A1575:J1575"/>
    <mergeCell ref="EO1543:FD1543"/>
    <mergeCell ref="K1593:P1593"/>
    <mergeCell ref="N1623:O1623"/>
    <mergeCell ref="IG1535:IV1535"/>
    <mergeCell ref="A1531:D1531"/>
    <mergeCell ref="A1754:J1754"/>
    <mergeCell ref="N1754:O1754"/>
    <mergeCell ref="A1766:Q1766"/>
    <mergeCell ref="N1741:O1741"/>
    <mergeCell ref="A1773:I1773"/>
    <mergeCell ref="N1773:O1773"/>
    <mergeCell ref="A1775:P1775"/>
    <mergeCell ref="A1764:D1764"/>
    <mergeCell ref="F1764:Q1764"/>
    <mergeCell ref="A1750:P1750"/>
    <mergeCell ref="A1744:D1744"/>
    <mergeCell ref="F1744:P1744"/>
    <mergeCell ref="A1732:D1732"/>
    <mergeCell ref="F1732:P1732"/>
    <mergeCell ref="FE1646:FT1646"/>
    <mergeCell ref="FU1646:GJ1646"/>
    <mergeCell ref="A1644:Q1644"/>
    <mergeCell ref="A1646:P1646"/>
    <mergeCell ref="AG1646:AV1646"/>
    <mergeCell ref="AW1646:BL1646"/>
    <mergeCell ref="BM1646:CB1646"/>
    <mergeCell ref="CC1646:CR1646"/>
    <mergeCell ref="A1704:J1704"/>
    <mergeCell ref="N1704:O1704"/>
    <mergeCell ref="A1707:J1707"/>
    <mergeCell ref="N1707:O1707"/>
    <mergeCell ref="A1710:J1710"/>
    <mergeCell ref="N1710:O1710"/>
    <mergeCell ref="A1722:J1722"/>
    <mergeCell ref="N1722:O1722"/>
    <mergeCell ref="A1726:D1726"/>
    <mergeCell ref="F1726:Q1726"/>
    <mergeCell ref="A1728:Q1728"/>
    <mergeCell ref="A1730:P1730"/>
    <mergeCell ref="N1656:O1656"/>
    <mergeCell ref="A1659:D1659"/>
    <mergeCell ref="F1659:P1659"/>
    <mergeCell ref="A1652:P1652"/>
    <mergeCell ref="A1686:J1686"/>
    <mergeCell ref="N1686:O1686"/>
    <mergeCell ref="A1654:P1654"/>
    <mergeCell ref="A1656:J1656"/>
    <mergeCell ref="A1671:J1671"/>
    <mergeCell ref="A1663:J1663"/>
    <mergeCell ref="N1663:O1663"/>
    <mergeCell ref="K1700:P1700"/>
    <mergeCell ref="K1696:P1696"/>
    <mergeCell ref="A1667:J1667"/>
    <mergeCell ref="N1667:O1667"/>
    <mergeCell ref="A1674:J1674"/>
    <mergeCell ref="N1674:O1674"/>
    <mergeCell ref="A1677:D1677"/>
    <mergeCell ref="A1680:J1680"/>
    <mergeCell ref="N1680:O1680"/>
    <mergeCell ref="A1683:D1683"/>
    <mergeCell ref="A1689:D1689"/>
    <mergeCell ref="A1693:J1693"/>
    <mergeCell ref="N1693:O1693"/>
    <mergeCell ref="A1697:J1697"/>
    <mergeCell ref="N1697:O1697"/>
    <mergeCell ref="A1701:J1701"/>
    <mergeCell ref="N1701:O1701"/>
    <mergeCell ref="A1781:J1781"/>
    <mergeCell ref="HA1730:HP1730"/>
    <mergeCell ref="HQ1730:IF1730"/>
    <mergeCell ref="IG1730:IV1730"/>
    <mergeCell ref="EO1730:FD1730"/>
    <mergeCell ref="FE1730:FT1730"/>
    <mergeCell ref="A1741:J1741"/>
    <mergeCell ref="CS1730:DH1730"/>
    <mergeCell ref="DI1730:DX1730"/>
    <mergeCell ref="DY1730:EN1730"/>
    <mergeCell ref="FU1730:GJ1730"/>
    <mergeCell ref="A1735:J1735"/>
    <mergeCell ref="N1735:O1735"/>
    <mergeCell ref="A1738:J1738"/>
    <mergeCell ref="N1738:O1738"/>
    <mergeCell ref="F1770:P1770"/>
    <mergeCell ref="A1757:D1757"/>
    <mergeCell ref="A1760:J1760"/>
    <mergeCell ref="N1760:O1760"/>
    <mergeCell ref="A1747:J1747"/>
    <mergeCell ref="N1747:O1747"/>
    <mergeCell ref="CC1730:CR1730"/>
    <mergeCell ref="GK1730:GZ1730"/>
    <mergeCell ref="AG1730:AV1730"/>
    <mergeCell ref="BM1730:CB1730"/>
    <mergeCell ref="N1781:O1781"/>
    <mergeCell ref="A1768:P1768"/>
    <mergeCell ref="A1770:D1770"/>
    <mergeCell ref="N1751:O1751"/>
    <mergeCell ref="A1776:D1776"/>
    <mergeCell ref="AW1730:BL1730"/>
    <mergeCell ref="A1751:J1751"/>
    <mergeCell ref="A1813:J1813"/>
    <mergeCell ref="N1813:O1813"/>
    <mergeCell ref="A1816:J1816"/>
    <mergeCell ref="N1816:O1816"/>
    <mergeCell ref="A1819:J1819"/>
    <mergeCell ref="N1819:O1819"/>
    <mergeCell ref="A1834:I1834"/>
    <mergeCell ref="N1834:O1834"/>
    <mergeCell ref="A1799:J1799"/>
    <mergeCell ref="N1799:O1799"/>
    <mergeCell ref="L1801:O1801"/>
    <mergeCell ref="A1802:J1802"/>
    <mergeCell ref="N1802:O1802"/>
    <mergeCell ref="A1805:I1805"/>
    <mergeCell ref="N1805:O1805"/>
    <mergeCell ref="A1808:D1808"/>
    <mergeCell ref="F1808:P1808"/>
    <mergeCell ref="A1810:O1810"/>
    <mergeCell ref="L1858:M1858"/>
    <mergeCell ref="A1822:J1822"/>
    <mergeCell ref="N1822:O1822"/>
    <mergeCell ref="A1828:D1828"/>
    <mergeCell ref="F1828:P1828"/>
    <mergeCell ref="A1831:I1831"/>
    <mergeCell ref="N1831:O1831"/>
    <mergeCell ref="A1825:I1825"/>
    <mergeCell ref="N1825:O1825"/>
    <mergeCell ref="A1857:P1857"/>
    <mergeCell ref="A1838:D1838"/>
    <mergeCell ref="F1838:Q1838"/>
    <mergeCell ref="A1840:Q1840"/>
    <mergeCell ref="A1848:J1848"/>
    <mergeCell ref="N1848:O1848"/>
    <mergeCell ref="A1851:J1851"/>
    <mergeCell ref="N1851:O1851"/>
    <mergeCell ref="A1854:J1854"/>
    <mergeCell ref="N1854:O1854"/>
    <mergeCell ref="A1858:I1858"/>
    <mergeCell ref="A1845:J1845"/>
    <mergeCell ref="N1845:O1845"/>
    <mergeCell ref="A1842:I1842"/>
    <mergeCell ref="A1841:P1841"/>
    <mergeCell ref="A1870:J1870"/>
    <mergeCell ref="A1903:D1903"/>
    <mergeCell ref="F1903:Q1903"/>
    <mergeCell ref="A1874:D1874"/>
    <mergeCell ref="F1874:Q1874"/>
    <mergeCell ref="A1876:Q1876"/>
    <mergeCell ref="A1879:J1879"/>
    <mergeCell ref="N1879:O1879"/>
    <mergeCell ref="A1861:J1861"/>
    <mergeCell ref="N1861:O1861"/>
    <mergeCell ref="A1864:J1864"/>
    <mergeCell ref="N1864:O1864"/>
    <mergeCell ref="A1888:J1888"/>
    <mergeCell ref="N1888:O1888"/>
    <mergeCell ref="N1870:O1870"/>
    <mergeCell ref="A1867:J1867"/>
    <mergeCell ref="N1867:O1867"/>
    <mergeCell ref="A1957:J1957"/>
    <mergeCell ref="N1957:O1957"/>
    <mergeCell ref="A1891:J1891"/>
    <mergeCell ref="N1891:O1891"/>
    <mergeCell ref="A1908:O1908"/>
    <mergeCell ref="A1941:D1941"/>
    <mergeCell ref="F1941:Q1941"/>
    <mergeCell ref="A1943:Q1943"/>
    <mergeCell ref="A1894:J1894"/>
    <mergeCell ref="N1894:O1894"/>
    <mergeCell ref="A1975:J1975"/>
    <mergeCell ref="N1975:O1975"/>
    <mergeCell ref="A1978:J1978"/>
    <mergeCell ref="N1978:O1978"/>
    <mergeCell ref="A1945:O1945"/>
    <mergeCell ref="A1948:Q1948"/>
    <mergeCell ref="A1969:J1969"/>
    <mergeCell ref="N1969:O1969"/>
    <mergeCell ref="A1972:J1972"/>
    <mergeCell ref="N1972:O1972"/>
    <mergeCell ref="A1951:D1951"/>
    <mergeCell ref="F1951:P1951"/>
    <mergeCell ref="A1966:D1966"/>
    <mergeCell ref="F1966:P1966"/>
    <mergeCell ref="A1963:J1963"/>
    <mergeCell ref="N1963:O1963"/>
    <mergeCell ref="A1960:J1960"/>
    <mergeCell ref="N1960:O1960"/>
    <mergeCell ref="A1954:J1954"/>
    <mergeCell ref="N1954:O1954"/>
    <mergeCell ref="A1906:O1906"/>
    <mergeCell ref="A1982:Q1982"/>
    <mergeCell ref="A1985:J1985"/>
    <mergeCell ref="N1985:O1985"/>
    <mergeCell ref="A1988:J1988"/>
    <mergeCell ref="N1988:O1988"/>
    <mergeCell ref="A1991:J1991"/>
    <mergeCell ref="N1991:O1991"/>
    <mergeCell ref="A1995:Q1995"/>
    <mergeCell ref="A1998:J1998"/>
    <mergeCell ref="N1998:O1998"/>
    <mergeCell ref="A2002:D2002"/>
    <mergeCell ref="F2002:Q2002"/>
    <mergeCell ref="A2005:O2005"/>
    <mergeCell ref="A2007:O2007"/>
    <mergeCell ref="A2010:J2010"/>
    <mergeCell ref="N2010:O2010"/>
    <mergeCell ref="A2016:J2016"/>
    <mergeCell ref="N2016:O2016"/>
    <mergeCell ref="A2019:J2019"/>
    <mergeCell ref="N2019:O2019"/>
    <mergeCell ref="A2013:J2013"/>
    <mergeCell ref="N2013:O2013"/>
    <mergeCell ref="A2022:J2022"/>
    <mergeCell ref="N2022:O2022"/>
    <mergeCell ref="A2028:J2028"/>
    <mergeCell ref="N2028:O2028"/>
    <mergeCell ref="A2048:D2048"/>
    <mergeCell ref="F2048:Q2048"/>
    <mergeCell ref="A2034:J2034"/>
    <mergeCell ref="N2034:O2034"/>
    <mergeCell ref="A2037:J2037"/>
    <mergeCell ref="N2037:O2037"/>
    <mergeCell ref="A2050:Q2050"/>
    <mergeCell ref="A2053:J2053"/>
    <mergeCell ref="N2053:O2053"/>
    <mergeCell ref="A2057:Q2057"/>
    <mergeCell ref="A2060:J2060"/>
    <mergeCell ref="N2060:O2060"/>
    <mergeCell ref="A2063:J2063"/>
    <mergeCell ref="N2063:O2063"/>
    <mergeCell ref="A2066:J2066"/>
    <mergeCell ref="N2066:O2066"/>
    <mergeCell ref="A2069:J2069"/>
    <mergeCell ref="N2069:O2069"/>
    <mergeCell ref="A2093:I2093"/>
    <mergeCell ref="L2093:M2093"/>
    <mergeCell ref="A2073:J2073"/>
    <mergeCell ref="N2073:O2073"/>
    <mergeCell ref="A2077:J2077"/>
    <mergeCell ref="N2077:O2077"/>
    <mergeCell ref="A2081:D2081"/>
    <mergeCell ref="F2081:Q2081"/>
    <mergeCell ref="A2115:D2115"/>
    <mergeCell ref="F2115:Q2115"/>
    <mergeCell ref="A2119:J2119"/>
    <mergeCell ref="N2119:O2119"/>
    <mergeCell ref="A2122:O2122"/>
    <mergeCell ref="A2124:I2124"/>
    <mergeCell ref="A2127:Q2127"/>
    <mergeCell ref="A2129:I2129"/>
    <mergeCell ref="A2131:I2131"/>
    <mergeCell ref="L2129:M2129"/>
    <mergeCell ref="L2131:M2131"/>
    <mergeCell ref="A2134:Q2134"/>
    <mergeCell ref="A2136:O2136"/>
    <mergeCell ref="A2141:J2141"/>
    <mergeCell ref="A2144:J2144"/>
    <mergeCell ref="N2144:O2144"/>
    <mergeCell ref="A2147:J2147"/>
    <mergeCell ref="N2147:O2147"/>
    <mergeCell ref="A2138:D2138"/>
    <mergeCell ref="F2138:P2138"/>
    <mergeCell ref="M2141:O2141"/>
    <mergeCell ref="A2150:D2150"/>
    <mergeCell ref="F2150:P2150"/>
    <mergeCell ref="A2153:J2153"/>
    <mergeCell ref="A2156:J2156"/>
    <mergeCell ref="N2156:O2156"/>
    <mergeCell ref="A2159:J2159"/>
    <mergeCell ref="N2159:O2159"/>
    <mergeCell ref="M2153:O2153"/>
    <mergeCell ref="A2162:D2162"/>
    <mergeCell ref="F2162:P2162"/>
    <mergeCell ref="A2165:J2165"/>
    <mergeCell ref="N2165:O2165"/>
    <mergeCell ref="A2169:D2169"/>
    <mergeCell ref="F2169:Q2169"/>
    <mergeCell ref="A2172:O2172"/>
    <mergeCell ref="A2175:I2175"/>
    <mergeCell ref="L2175:M2175"/>
    <mergeCell ref="A2178:D2178"/>
    <mergeCell ref="F2178:Q2178"/>
    <mergeCell ref="A2181:O2181"/>
    <mergeCell ref="A2184:I2184"/>
    <mergeCell ref="L2184:M2184"/>
    <mergeCell ref="A2174:P2174"/>
    <mergeCell ref="A2183:P2183"/>
    <mergeCell ref="A2337:J2337"/>
    <mergeCell ref="A2187:D2187"/>
    <mergeCell ref="F2187:Q2187"/>
    <mergeCell ref="A2190:O2190"/>
    <mergeCell ref="A2195:P2195"/>
    <mergeCell ref="A2196:I2196"/>
    <mergeCell ref="L2196:M2196"/>
    <mergeCell ref="A2192:O2192"/>
    <mergeCell ref="A2304:Q2304"/>
    <mergeCell ref="A2199:D2199"/>
    <mergeCell ref="F2199:Q2199"/>
    <mergeCell ref="A2202:O2202"/>
    <mergeCell ref="A2204:O2204"/>
    <mergeCell ref="A2206:I2206"/>
    <mergeCell ref="N2227:O2227"/>
    <mergeCell ref="A2208:I2208"/>
    <mergeCell ref="A2213:D2213"/>
    <mergeCell ref="F2213:P2213"/>
    <mergeCell ref="A2216:J2216"/>
    <mergeCell ref="N2216:O2216"/>
    <mergeCell ref="F2238:P2238"/>
    <mergeCell ref="A2242:J2242"/>
    <mergeCell ref="N2242:O2242"/>
    <mergeCell ref="K2219:P2219"/>
    <mergeCell ref="K2226:P2226"/>
    <mergeCell ref="A2220:J2220"/>
    <mergeCell ref="N2220:O2220"/>
    <mergeCell ref="A2223:J2223"/>
    <mergeCell ref="N2223:O2223"/>
    <mergeCell ref="A2227:J2227"/>
    <mergeCell ref="K2234:P2234"/>
    <mergeCell ref="K2241:P2241"/>
    <mergeCell ref="K2245:P2245"/>
    <mergeCell ref="A2250:J2250"/>
    <mergeCell ref="N2250:O2250"/>
    <mergeCell ref="A2254:J2254"/>
    <mergeCell ref="N2254:O2254"/>
    <mergeCell ref="A2211:Q2211"/>
    <mergeCell ref="A2231:J2231"/>
    <mergeCell ref="N2231:O2231"/>
    <mergeCell ref="A2235:J2235"/>
    <mergeCell ref="N2235:O2235"/>
    <mergeCell ref="A2238:D2238"/>
    <mergeCell ref="A2268:J2268"/>
    <mergeCell ref="N2268:O2268"/>
    <mergeCell ref="A2279:D2279"/>
    <mergeCell ref="F2279:P2279"/>
    <mergeCell ref="N2295:O2295"/>
    <mergeCell ref="A2298:J2298"/>
    <mergeCell ref="N2298:O2298"/>
    <mergeCell ref="A2302:D2302"/>
    <mergeCell ref="F2302:Q2302"/>
    <mergeCell ref="A2283:J2283"/>
    <mergeCell ref="N2283:O2283"/>
    <mergeCell ref="A2286:Q2286"/>
    <mergeCell ref="A2289:J2289"/>
    <mergeCell ref="N2289:O2289"/>
    <mergeCell ref="K2230:P2230"/>
    <mergeCell ref="A2246:J2246"/>
    <mergeCell ref="N2246:O2246"/>
    <mergeCell ref="N2315:O2315"/>
    <mergeCell ref="A1590:J1590"/>
    <mergeCell ref="N1590:O1590"/>
    <mergeCell ref="A1594:J1594"/>
    <mergeCell ref="N1594:O1594"/>
    <mergeCell ref="A2295:J2295"/>
    <mergeCell ref="K1613:P1613"/>
    <mergeCell ref="A1598:J1598"/>
    <mergeCell ref="N1598:O1598"/>
    <mergeCell ref="A1602:J1602"/>
    <mergeCell ref="A2319:Q2319"/>
    <mergeCell ref="A2323:J2323"/>
    <mergeCell ref="N2323:O2323"/>
    <mergeCell ref="N2085:O2085"/>
    <mergeCell ref="A2088:O2088"/>
    <mergeCell ref="A2090:O2090"/>
    <mergeCell ref="A2092:P2092"/>
    <mergeCell ref="L1842:M1842"/>
    <mergeCell ref="A2103:J2103"/>
    <mergeCell ref="A2107:J2107"/>
    <mergeCell ref="N2107:O2107"/>
    <mergeCell ref="K2110:P2110"/>
    <mergeCell ref="A2111:J2111"/>
    <mergeCell ref="N2111:O2111"/>
    <mergeCell ref="K2106:P2106"/>
    <mergeCell ref="K2072:P2072"/>
    <mergeCell ref="K2076:P2076"/>
    <mergeCell ref="A2258:J2258"/>
    <mergeCell ref="N2258:O2258"/>
    <mergeCell ref="A2262:Q2262"/>
    <mergeCell ref="A2264:D2264"/>
    <mergeCell ref="F2264:P2264"/>
    <mergeCell ref="A2334:P2334"/>
    <mergeCell ref="A2308:J2308"/>
    <mergeCell ref="N2308:O2308"/>
    <mergeCell ref="A2312:J2312"/>
    <mergeCell ref="N2312:O2312"/>
    <mergeCell ref="N2326:O2326"/>
    <mergeCell ref="A2329:D2329"/>
    <mergeCell ref="F2329:Q2329"/>
    <mergeCell ref="A2332:O2332"/>
    <mergeCell ref="DY1543:EN1543"/>
    <mergeCell ref="A1555:J1555"/>
    <mergeCell ref="N1555:O1555"/>
    <mergeCell ref="A1559:J1559"/>
    <mergeCell ref="N1559:O1559"/>
    <mergeCell ref="A2315:J2315"/>
    <mergeCell ref="A1579:J1579"/>
    <mergeCell ref="N1579:O1579"/>
    <mergeCell ref="N1937:O1937"/>
    <mergeCell ref="K1927:P1927"/>
    <mergeCell ref="A2041:D2041"/>
    <mergeCell ref="F2041:Q2041"/>
    <mergeCell ref="A2045:O2045"/>
    <mergeCell ref="A1928:J1928"/>
    <mergeCell ref="N1928:O1928"/>
    <mergeCell ref="A2031:J2031"/>
    <mergeCell ref="N2031:O2031"/>
    <mergeCell ref="A2097:J2097"/>
    <mergeCell ref="N2097:O2097"/>
    <mergeCell ref="A2100:J2100"/>
    <mergeCell ref="N2100:O2100"/>
    <mergeCell ref="K2096:P2096"/>
    <mergeCell ref="A2085:J2085"/>
    <mergeCell ref="A2340:J2340"/>
    <mergeCell ref="A2343:J2343"/>
    <mergeCell ref="A2346:J2346"/>
    <mergeCell ref="CC1543:CR1543"/>
    <mergeCell ref="CS1543:DH1543"/>
    <mergeCell ref="DI1543:DX1543"/>
    <mergeCell ref="F1617:P1617"/>
    <mergeCell ref="A1620:J1620"/>
    <mergeCell ref="N1620:O1620"/>
    <mergeCell ref="A2326:J2326"/>
    <mergeCell ref="A2349:J2349"/>
    <mergeCell ref="A2352:J2352"/>
    <mergeCell ref="A2355:J2355"/>
    <mergeCell ref="AG1543:AV1543"/>
    <mergeCell ref="AW1543:BL1543"/>
    <mergeCell ref="BM1543:CB1543"/>
    <mergeCell ref="F1582:P1582"/>
    <mergeCell ref="A1586:J1586"/>
    <mergeCell ref="N1586:O1586"/>
    <mergeCell ref="A1617:D1617"/>
    <mergeCell ref="N1899:O1899"/>
    <mergeCell ref="A1931:J1931"/>
    <mergeCell ref="N1931:O1931"/>
    <mergeCell ref="A1934:J1934"/>
    <mergeCell ref="N1934:O1934"/>
    <mergeCell ref="A1913:Q1913"/>
    <mergeCell ref="A1918:J1918"/>
    <mergeCell ref="N1918:O1918"/>
    <mergeCell ref="A1921:J1921"/>
    <mergeCell ref="N1921:O1921"/>
    <mergeCell ref="A1924:J1924"/>
    <mergeCell ref="A1937:J1937"/>
    <mergeCell ref="A2358:J2358"/>
    <mergeCell ref="L2343:M2343"/>
    <mergeCell ref="L2352:M2352"/>
    <mergeCell ref="L2355:M2355"/>
    <mergeCell ref="L2349:M2349"/>
    <mergeCell ref="A1539:D1539"/>
    <mergeCell ref="F1539:Q1539"/>
    <mergeCell ref="A1541:Q1541"/>
    <mergeCell ref="A1543:P1543"/>
    <mergeCell ref="A1582:D1582"/>
    <mergeCell ref="A1551:J1551"/>
    <mergeCell ref="N1551:O1551"/>
    <mergeCell ref="A1545:P1545"/>
    <mergeCell ref="A1547:D1547"/>
    <mergeCell ref="F1547:P1547"/>
    <mergeCell ref="FE1543:FT1543"/>
    <mergeCell ref="FU1543:GJ1543"/>
    <mergeCell ref="A1635:J1635"/>
    <mergeCell ref="N1635:O1635"/>
    <mergeCell ref="A1638:J1638"/>
    <mergeCell ref="N1638:O1638"/>
    <mergeCell ref="A2025:J2025"/>
    <mergeCell ref="N2025:O2025"/>
    <mergeCell ref="N1924:O1924"/>
    <mergeCell ref="A1882:J1882"/>
    <mergeCell ref="N1882:O1882"/>
    <mergeCell ref="A1885:J1885"/>
    <mergeCell ref="N1885:O1885"/>
    <mergeCell ref="A1911:D1911"/>
    <mergeCell ref="F1911:Q1911"/>
    <mergeCell ref="A1915:O1915"/>
    <mergeCell ref="A1899:J1899"/>
    <mergeCell ref="GK1543:GZ1543"/>
    <mergeCell ref="HA1543:HP1543"/>
    <mergeCell ref="HQ1543:IF1543"/>
    <mergeCell ref="N1575:O1575"/>
    <mergeCell ref="IG1543:IV1543"/>
    <mergeCell ref="K1550:P1550"/>
    <mergeCell ref="K1558:P1558"/>
    <mergeCell ref="K1566:P1566"/>
    <mergeCell ref="K1574:P1574"/>
    <mergeCell ref="K1609:P1609"/>
    <mergeCell ref="K1605:P1605"/>
    <mergeCell ref="N1626:O1626"/>
    <mergeCell ref="A1629:J1629"/>
    <mergeCell ref="N1629:O1629"/>
    <mergeCell ref="A1632:J1632"/>
    <mergeCell ref="N1632:O1632"/>
    <mergeCell ref="A1610:J1610"/>
    <mergeCell ref="N1610:O1610"/>
    <mergeCell ref="A1614:J1614"/>
    <mergeCell ref="N1614:O1614"/>
    <mergeCell ref="A1623:J1623"/>
    <mergeCell ref="K1585:P1585"/>
    <mergeCell ref="A1626:J1626"/>
    <mergeCell ref="K1554:P1554"/>
    <mergeCell ref="K1562:P1562"/>
    <mergeCell ref="K1570:P1570"/>
    <mergeCell ref="K1578:P1578"/>
    <mergeCell ref="K1589:P1589"/>
    <mergeCell ref="K1597:P1597"/>
    <mergeCell ref="N1602:O1602"/>
    <mergeCell ref="A1606:J1606"/>
    <mergeCell ref="N1606:O1606"/>
  </mergeCells>
  <pageMargins left="0.70866141732283472" right="0.70866141732283472" top="0.74803149606299213" bottom="0.74803149606299213" header="0.31496062992125984" footer="0.31496062992125984"/>
  <pageSetup paperSize="9" scale="79" fitToHeight="32" orientation="portrait" horizontalDpi="300" verticalDpi="300" r:id="rId1"/>
  <rowBreaks count="5" manualBreakCount="5">
    <brk id="79" max="16383" man="1"/>
    <brk id="80" max="16" man="1"/>
    <brk id="147" max="16383" man="1"/>
    <brk id="210" max="16383" man="1"/>
    <brk id="234" max="16383" man="1"/>
  </rowBreaks>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2024-04-03T00:11:26Z</dcterms:modified>
</cp:coreProperties>
</file>