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EA2CAB2-E70D-6E43-AE22-628011E8589E}" xr6:coauthVersionLast="47" xr6:coauthVersionMax="47" xr10:uidLastSave="{00000000-0000-0000-0000-000000000000}"/>
  <bookViews>
    <workbookView xWindow="0" yWindow="500" windowWidth="20740" windowHeight="11160" tabRatio="909" xr2:uid="{00000000-000D-0000-FFFF-FFFF00000000}"/>
  </bookViews>
  <sheets>
    <sheet name="Employee" sheetId="25" r:id="rId1"/>
    <sheet name="Apr22" sheetId="12" r:id="rId2"/>
    <sheet name="May22" sheetId="11" r:id="rId3"/>
    <sheet name="Jun22" sheetId="10" r:id="rId4"/>
    <sheet name="Jul22" sheetId="9" r:id="rId5"/>
    <sheet name="Aug22" sheetId="8" r:id="rId6"/>
    <sheet name="Sep22" sheetId="17" r:id="rId7"/>
    <sheet name="Oct22" sheetId="16" r:id="rId8"/>
    <sheet name="Nov22" sheetId="15" r:id="rId9"/>
    <sheet name="Dec22" sheetId="14" r:id="rId10"/>
    <sheet name="Jan23" sheetId="13" r:id="rId11"/>
    <sheet name="Feb23" sheetId="19" r:id="rId12"/>
    <sheet name="Mar23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'Apr22'!$E:$F,'Apr22'!$1:$6</definedName>
    <definedName name="_xlnm.Print_Titles" localSheetId="5">'Aug22'!$A:$D,'Aug22'!$1:$6</definedName>
    <definedName name="_xlnm.Print_Titles" localSheetId="9">'Dec22'!$A:$D,'Dec22'!$1:$6</definedName>
    <definedName name="_xlnm.Print_Titles" localSheetId="11">'Feb23'!$A:$D,'Feb23'!$1:$6</definedName>
    <definedName name="_xlnm.Print_Titles" localSheetId="10">'Jan23'!$A:$D,'Jan23'!$1:$6</definedName>
    <definedName name="_xlnm.Print_Titles" localSheetId="4">'Jul22'!$A:$D,'Jul22'!$1:$6</definedName>
    <definedName name="_xlnm.Print_Titles" localSheetId="3">'Jun22'!$A:$D,'Jun22'!$1:$6</definedName>
    <definedName name="_xlnm.Print_Titles" localSheetId="12">'Mar23'!$A:$D,'Mar23'!$1:$6</definedName>
    <definedName name="_xlnm.Print_Titles" localSheetId="2">'May22'!$A:$D,'May22'!$1:$6</definedName>
    <definedName name="_xlnm.Print_Titles" localSheetId="8">'Nov22'!$A:$D,'Nov22'!$1:$6</definedName>
    <definedName name="_xlnm.Print_Titles" localSheetId="7">'Oct22'!$A:$D,'Oct22'!$1:$6</definedName>
    <definedName name="_xlnm.Print_Titles" localSheetId="6">'Sep22'!$A:$D,'Sep22'!$1:$6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" i="12" l="1"/>
  <c r="M9" i="16"/>
  <c r="K9" i="16"/>
  <c r="AC12" i="15"/>
  <c r="AC13" i="15"/>
  <c r="AC14" i="15"/>
  <c r="AC15" i="15"/>
  <c r="AC11" i="15"/>
  <c r="AA12" i="15"/>
  <c r="AA13" i="15"/>
  <c r="AA14" i="15"/>
  <c r="AA15" i="15"/>
  <c r="AA11" i="15"/>
  <c r="Z12" i="15"/>
  <c r="Z13" i="15"/>
  <c r="Z14" i="15"/>
  <c r="Z15" i="15"/>
  <c r="Z11" i="15"/>
  <c r="Y12" i="15"/>
  <c r="Y13" i="15"/>
  <c r="Y14" i="15"/>
  <c r="Y15" i="15"/>
  <c r="Y11" i="15"/>
  <c r="X12" i="15"/>
  <c r="X13" i="15"/>
  <c r="X14" i="15"/>
  <c r="X15" i="15"/>
  <c r="X11" i="15"/>
  <c r="W15" i="15"/>
  <c r="W14" i="15"/>
  <c r="W13" i="15"/>
  <c r="W12" i="15"/>
  <c r="W11" i="15"/>
  <c r="V15" i="15"/>
  <c r="V14" i="15"/>
  <c r="V13" i="15"/>
  <c r="V12" i="15"/>
  <c r="V11" i="15"/>
  <c r="K9" i="15"/>
  <c r="N1" i="16"/>
  <c r="AC12" i="16"/>
  <c r="AC13" i="16"/>
  <c r="AC14" i="16"/>
  <c r="AC15" i="16"/>
  <c r="AC11" i="16"/>
  <c r="AA12" i="16"/>
  <c r="AA13" i="16"/>
  <c r="AA14" i="16"/>
  <c r="AA15" i="16"/>
  <c r="AA11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V15" i="16"/>
  <c r="V14" i="16"/>
  <c r="V13" i="16"/>
  <c r="V12" i="16"/>
  <c r="V11" i="16"/>
  <c r="M49" i="17"/>
  <c r="K49" i="17"/>
  <c r="AC12" i="8"/>
  <c r="AC13" i="8"/>
  <c r="AC14" i="8"/>
  <c r="AC15" i="8"/>
  <c r="AC11" i="8"/>
  <c r="AA12" i="8"/>
  <c r="AA13" i="8"/>
  <c r="AA14" i="8"/>
  <c r="AA15" i="8"/>
  <c r="AA11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V15" i="8"/>
  <c r="V14" i="8"/>
  <c r="V13" i="8"/>
  <c r="V12" i="8"/>
  <c r="V11" i="8"/>
  <c r="K9" i="8"/>
  <c r="AC22" i="9"/>
  <c r="AC23" i="9"/>
  <c r="AC24" i="9"/>
  <c r="AC25" i="9"/>
  <c r="AC21" i="9"/>
  <c r="AA22" i="9"/>
  <c r="AA23" i="9"/>
  <c r="AA24" i="9"/>
  <c r="AA25" i="9"/>
  <c r="AA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V25" i="9"/>
  <c r="V24" i="9"/>
  <c r="V23" i="9"/>
  <c r="V22" i="9"/>
  <c r="V21" i="9"/>
  <c r="AC12" i="9"/>
  <c r="AC13" i="9"/>
  <c r="AC14" i="9"/>
  <c r="AC15" i="9"/>
  <c r="AC11" i="9"/>
  <c r="AA12" i="9"/>
  <c r="AA13" i="9"/>
  <c r="AA14" i="9"/>
  <c r="AA15" i="9"/>
  <c r="AA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V15" i="9"/>
  <c r="V14" i="9"/>
  <c r="V13" i="9"/>
  <c r="V12" i="9"/>
  <c r="V11" i="9"/>
  <c r="E15" i="9"/>
  <c r="B15" i="9" s="1"/>
  <c r="E14" i="9"/>
  <c r="B14" i="9" s="1"/>
  <c r="E13" i="9"/>
  <c r="B13" i="9" s="1"/>
  <c r="E12" i="9"/>
  <c r="B12" i="9" s="1"/>
  <c r="E11" i="9"/>
  <c r="B11" i="9" s="1"/>
  <c r="T1" i="9"/>
  <c r="Q1" i="9"/>
  <c r="P1" i="9"/>
  <c r="O1" i="9"/>
  <c r="N1" i="9"/>
  <c r="K9" i="9"/>
  <c r="X51" i="10"/>
  <c r="W55" i="10"/>
  <c r="W54" i="10"/>
  <c r="W53" i="10"/>
  <c r="W52" i="10"/>
  <c r="W51" i="10"/>
  <c r="V55" i="10"/>
  <c r="V54" i="10"/>
  <c r="V53" i="10"/>
  <c r="V52" i="10"/>
  <c r="V51" i="10"/>
  <c r="AG55" i="10"/>
  <c r="AF55" i="10"/>
  <c r="AE55" i="10"/>
  <c r="AD55" i="10"/>
  <c r="AC55" i="10"/>
  <c r="AA55" i="10"/>
  <c r="Z55" i="10"/>
  <c r="Y55" i="10"/>
  <c r="X55" i="10"/>
  <c r="AG54" i="10"/>
  <c r="AF54" i="10"/>
  <c r="AE54" i="10"/>
  <c r="AD54" i="10"/>
  <c r="AC54" i="10"/>
  <c r="AA54" i="10"/>
  <c r="Z54" i="10"/>
  <c r="Y54" i="10"/>
  <c r="X54" i="10"/>
  <c r="AG53" i="10"/>
  <c r="AF53" i="10"/>
  <c r="AE53" i="10"/>
  <c r="AD53" i="10"/>
  <c r="AC53" i="10"/>
  <c r="AA53" i="10"/>
  <c r="Z53" i="10"/>
  <c r="Y53" i="10"/>
  <c r="X53" i="10"/>
  <c r="AG52" i="10"/>
  <c r="AF52" i="10"/>
  <c r="AE52" i="10"/>
  <c r="AD52" i="10"/>
  <c r="AC52" i="10"/>
  <c r="AA52" i="10"/>
  <c r="Z52" i="10"/>
  <c r="Y52" i="10"/>
  <c r="X52" i="10"/>
  <c r="AG51" i="10"/>
  <c r="AF51" i="10"/>
  <c r="AE51" i="10"/>
  <c r="AD51" i="10"/>
  <c r="AC51" i="10"/>
  <c r="AA51" i="10"/>
  <c r="Z51" i="10"/>
  <c r="Y51" i="10"/>
  <c r="T1" i="10"/>
  <c r="R1" i="10"/>
  <c r="Q1" i="10"/>
  <c r="P1" i="10"/>
  <c r="O1" i="10"/>
  <c r="N1" i="10"/>
  <c r="M1" i="10"/>
  <c r="T56" i="10"/>
  <c r="Q56" i="10"/>
  <c r="P56" i="10"/>
  <c r="O56" i="10"/>
  <c r="N56" i="10"/>
  <c r="L55" i="10"/>
  <c r="J55" i="10"/>
  <c r="I55" i="10"/>
  <c r="K55" i="10" s="1"/>
  <c r="H55" i="10"/>
  <c r="E55" i="10"/>
  <c r="M55" i="10" s="1"/>
  <c r="R55" i="10" s="1"/>
  <c r="L54" i="10"/>
  <c r="J54" i="10"/>
  <c r="I54" i="10"/>
  <c r="K54" i="10" s="1"/>
  <c r="H54" i="10"/>
  <c r="E54" i="10"/>
  <c r="F54" i="10" s="1"/>
  <c r="L53" i="10"/>
  <c r="J53" i="10"/>
  <c r="I53" i="10"/>
  <c r="K53" i="10" s="1"/>
  <c r="H53" i="10"/>
  <c r="E53" i="10"/>
  <c r="M53" i="10" s="1"/>
  <c r="R53" i="10" s="1"/>
  <c r="L52" i="10"/>
  <c r="J52" i="10"/>
  <c r="K52" i="10" s="1"/>
  <c r="I52" i="10"/>
  <c r="H52" i="10"/>
  <c r="E52" i="10"/>
  <c r="F52" i="10" s="1"/>
  <c r="L51" i="10"/>
  <c r="J51" i="10"/>
  <c r="I51" i="10"/>
  <c r="K51" i="10" s="1"/>
  <c r="H51" i="10"/>
  <c r="E51" i="10"/>
  <c r="M51" i="10" s="1"/>
  <c r="R51" i="10" l="1"/>
  <c r="F51" i="10"/>
  <c r="B52" i="10"/>
  <c r="M52" i="10"/>
  <c r="R52" i="10" s="1"/>
  <c r="F53" i="10"/>
  <c r="B54" i="10"/>
  <c r="M54" i="10"/>
  <c r="R54" i="10" s="1"/>
  <c r="F55" i="10"/>
  <c r="B51" i="10"/>
  <c r="B53" i="10"/>
  <c r="B55" i="10"/>
  <c r="L13" i="15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R56" i="10"/>
  <c r="M56" i="10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27" i="24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2" i="24"/>
  <c r="B5" i="39" l="1"/>
  <c r="M49" i="11"/>
  <c r="C4" i="39"/>
  <c r="B59" i="24"/>
  <c r="H3" i="40"/>
  <c r="M3" i="40" s="1"/>
  <c r="I4" i="40" s="1"/>
  <c r="F50" i="25"/>
  <c r="E12" i="16" s="1"/>
  <c r="F52" i="25"/>
  <c r="F24" i="25"/>
  <c r="E11" i="16" s="1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E15" i="16" s="1"/>
  <c r="F102" i="25"/>
  <c r="E14" i="16" s="1"/>
  <c r="F76" i="25"/>
  <c r="E13" i="16" s="1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L7" i="40"/>
  <c r="I9" i="40"/>
  <c r="M12" i="16" l="1"/>
  <c r="F12" i="16"/>
  <c r="B12" i="16"/>
  <c r="B11" i="16"/>
  <c r="F11" i="16"/>
  <c r="M11" i="16"/>
  <c r="B60" i="24"/>
  <c r="M14" i="16"/>
  <c r="F14" i="16"/>
  <c r="B14" i="16"/>
  <c r="M15" i="16"/>
  <c r="B15" i="16"/>
  <c r="F15" i="16"/>
  <c r="M13" i="16"/>
  <c r="F13" i="16"/>
  <c r="B13" i="16"/>
  <c r="M15" i="9"/>
  <c r="M11" i="9"/>
  <c r="E43" i="12"/>
  <c r="M43" i="12" s="1"/>
  <c r="M13" i="9"/>
  <c r="M14" i="9"/>
  <c r="M12" i="9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24" i="16" s="1"/>
  <c r="Y34" i="16" s="1"/>
  <c r="Y44" i="16" s="1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21" i="16" s="1"/>
  <c r="Z31" i="16" s="1"/>
  <c r="Z41" i="16" s="1"/>
  <c r="Z21" i="15" s="1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25" i="16" s="1"/>
  <c r="Z35" i="16" s="1"/>
  <c r="Z45" i="16" s="1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23" i="16" s="1"/>
  <c r="Z33" i="16" s="1"/>
  <c r="Z43" i="16" s="1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25" i="16" s="1"/>
  <c r="Y35" i="16" s="1"/>
  <c r="Y45" i="16" s="1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23" i="16" s="1"/>
  <c r="Y33" i="16" s="1"/>
  <c r="Y43" i="16" s="1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24" i="16" s="1"/>
  <c r="Z34" i="16" s="1"/>
  <c r="Z44" i="16" s="1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22" i="16" s="1"/>
  <c r="Z32" i="16" s="1"/>
  <c r="Z42" i="16" s="1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37" i="40"/>
  <c r="M66" i="40"/>
  <c r="M22" i="40"/>
  <c r="M51" i="40"/>
  <c r="M8" i="40"/>
  <c r="M33" i="18" l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R14" i="8" s="1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R33" i="18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B62" i="24" l="1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M1" i="9" l="1"/>
  <c r="B63" i="24"/>
  <c r="W62" i="25"/>
  <c r="M1" i="16"/>
  <c r="R16" i="16"/>
  <c r="R16" i="9"/>
  <c r="R1" i="9" s="1"/>
  <c r="V35" i="9"/>
  <c r="V45" i="9" s="1"/>
  <c r="V25" i="8" s="1"/>
  <c r="V35" i="8" s="1"/>
  <c r="V45" i="8" s="1"/>
  <c r="V15" i="17" s="1"/>
  <c r="V25" i="17" s="1"/>
  <c r="V35" i="17" s="1"/>
  <c r="V45" i="17" s="1"/>
  <c r="V55" i="17" s="1"/>
  <c r="V25" i="16" s="1"/>
  <c r="V35" i="16" s="1"/>
  <c r="V45" i="16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33" i="9"/>
  <c r="V43" i="9" s="1"/>
  <c r="V23" i="8" s="1"/>
  <c r="V33" i="8" s="1"/>
  <c r="V43" i="8" s="1"/>
  <c r="V13" i="17" s="1"/>
  <c r="V23" i="17" s="1"/>
  <c r="V33" i="17" s="1"/>
  <c r="V43" i="17" s="1"/>
  <c r="V53" i="17" s="1"/>
  <c r="V23" i="16" s="1"/>
  <c r="V33" i="16" s="1"/>
  <c r="V43" i="16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34" i="9"/>
  <c r="V44" i="9" s="1"/>
  <c r="V24" i="8" s="1"/>
  <c r="V34" i="8" s="1"/>
  <c r="V44" i="8" s="1"/>
  <c r="V14" i="17" s="1"/>
  <c r="V24" i="17" s="1"/>
  <c r="V34" i="17" s="1"/>
  <c r="V44" i="17" s="1"/>
  <c r="V54" i="17" s="1"/>
  <c r="V24" i="16" s="1"/>
  <c r="V34" i="16" s="1"/>
  <c r="V44" i="16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G16" i="39"/>
  <c r="AA53" i="1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AA63" i="10"/>
  <c r="AA53" i="9" s="1"/>
  <c r="AA53" i="8" s="1"/>
  <c r="AA63" i="17" s="1"/>
  <c r="AA53" i="16" s="1"/>
  <c r="AA53" i="15" s="1"/>
  <c r="AA63" i="14" s="1"/>
  <c r="AA53" i="13" s="1"/>
  <c r="AA53" i="19" s="1"/>
  <c r="AA73" i="18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B64" i="24" l="1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25" i="16" s="1"/>
  <c r="W35" i="16" s="1"/>
  <c r="W45" i="16" s="1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AA35" i="9"/>
  <c r="AA45" i="9" s="1"/>
  <c r="AA25" i="8" s="1"/>
  <c r="AA35" i="8" s="1"/>
  <c r="AA45" i="8" s="1"/>
  <c r="AA15" i="17" s="1"/>
  <c r="AA25" i="17" s="1"/>
  <c r="AA35" i="17" s="1"/>
  <c r="AA45" i="17" s="1"/>
  <c r="AA55" i="17" s="1"/>
  <c r="AA25" i="16" s="1"/>
  <c r="AA35" i="16" s="1"/>
  <c r="AA45" i="16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24" i="16" s="1"/>
  <c r="X34" i="16" s="1"/>
  <c r="X44" i="16" s="1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23" i="16" s="1"/>
  <c r="X33" i="16" s="1"/>
  <c r="X43" i="16" s="1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23" i="16" s="1"/>
  <c r="W33" i="16" s="1"/>
  <c r="W43" i="16" s="1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24" i="16" s="1"/>
  <c r="AC34" i="16" s="1"/>
  <c r="AC44" i="16" s="1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23" i="16" s="1"/>
  <c r="AC33" i="16" s="1"/>
  <c r="AC43" i="16" s="1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24" i="16" s="1"/>
  <c r="W34" i="16" s="1"/>
  <c r="W44" i="16" s="1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AA34" i="9"/>
  <c r="AA44" i="9" s="1"/>
  <c r="AA24" i="8" s="1"/>
  <c r="AA34" i="8" s="1"/>
  <c r="AA44" i="8" s="1"/>
  <c r="AA14" i="17" s="1"/>
  <c r="AA24" i="17" s="1"/>
  <c r="AA34" i="17" s="1"/>
  <c r="AA44" i="17" s="1"/>
  <c r="AA54" i="17" s="1"/>
  <c r="AA24" i="16" s="1"/>
  <c r="AA34" i="16" s="1"/>
  <c r="AA44" i="16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25" i="16" s="1"/>
  <c r="X35" i="16" s="1"/>
  <c r="X45" i="16" s="1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25" i="16" s="1"/>
  <c r="AC35" i="16" s="1"/>
  <c r="AC45" i="16" s="1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A33" i="9"/>
  <c r="AA43" i="9" s="1"/>
  <c r="AA23" i="8" s="1"/>
  <c r="AA33" i="8" s="1"/>
  <c r="AA43" i="8" s="1"/>
  <c r="AA13" i="17" s="1"/>
  <c r="AA23" i="17" s="1"/>
  <c r="AA33" i="17" s="1"/>
  <c r="AA43" i="17" s="1"/>
  <c r="AA53" i="17" s="1"/>
  <c r="AA23" i="16" s="1"/>
  <c r="AA33" i="16" s="1"/>
  <c r="AA43" i="16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B65" i="24" l="1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B66" i="24" l="1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22" i="16" s="1"/>
  <c r="AC32" i="16" s="1"/>
  <c r="AC42" i="16" s="1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AC31" i="9"/>
  <c r="AC41" i="9" s="1"/>
  <c r="AC21" i="8" s="1"/>
  <c r="AC31" i="8" s="1"/>
  <c r="AC41" i="8" s="1"/>
  <c r="AC11" i="17" s="1"/>
  <c r="AC21" i="17" s="1"/>
  <c r="AC31" i="17" s="1"/>
  <c r="AC41" i="17" s="1"/>
  <c r="AC51" i="17" s="1"/>
  <c r="AC21" i="16" s="1"/>
  <c r="AC31" i="16" s="1"/>
  <c r="AC41" i="16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B67" i="24" l="1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B68" i="24" l="1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W52" i="19"/>
  <c r="AA52" i="19"/>
  <c r="X52" i="19"/>
  <c r="X41" i="11"/>
  <c r="V41" i="10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X41" i="10"/>
  <c r="V41" i="9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Y22" i="16"/>
  <c r="X32" i="8"/>
  <c r="V22" i="17"/>
  <c r="X21" i="8"/>
  <c r="V21" i="17"/>
  <c r="W84" i="25" l="1"/>
  <c r="B85" i="24"/>
  <c r="Y32" i="16"/>
  <c r="Y21" i="16"/>
  <c r="X42" i="8"/>
  <c r="V32" i="17"/>
  <c r="X31" i="8"/>
  <c r="V31" i="17"/>
  <c r="W85" i="25" l="1"/>
  <c r="B86" i="24"/>
  <c r="Y31" i="16"/>
  <c r="Y42" i="16"/>
  <c r="X12" i="17"/>
  <c r="V42" i="17"/>
  <c r="X41" i="8"/>
  <c r="V41" i="17"/>
  <c r="W86" i="25" l="1"/>
  <c r="M9" i="9"/>
  <c r="K19" i="9" s="1"/>
  <c r="B87" i="24"/>
  <c r="M59" i="10" s="1"/>
  <c r="Y41" i="16"/>
  <c r="X22" i="17"/>
  <c r="R12" i="12"/>
  <c r="W12" i="12"/>
  <c r="V52" i="17"/>
  <c r="X11" i="17"/>
  <c r="R11" i="12"/>
  <c r="N16" i="12"/>
  <c r="W11" i="12"/>
  <c r="V51" i="17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V22" i="16"/>
  <c r="X21" i="17"/>
  <c r="AA11" i="12"/>
  <c r="R16" i="12"/>
  <c r="V21" i="16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X41" i="17"/>
  <c r="AA31" i="12"/>
  <c r="W41" i="12"/>
  <c r="V41" i="16"/>
  <c r="W90" i="25" l="1"/>
  <c r="B91" i="24"/>
  <c r="I16" i="39"/>
  <c r="Y42" i="15"/>
  <c r="Y31" i="15"/>
  <c r="W12" i="11"/>
  <c r="X22" i="16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X21" i="16"/>
  <c r="W21" i="11"/>
  <c r="B93" i="24" l="1"/>
  <c r="W92" i="25"/>
  <c r="Y22" i="14"/>
  <c r="Y11" i="14"/>
  <c r="W32" i="11"/>
  <c r="X42" i="16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W93" i="25"/>
  <c r="B94" i="24"/>
  <c r="Y21" i="14"/>
  <c r="Y32" i="14"/>
  <c r="AA32" i="11"/>
  <c r="W42" i="11"/>
  <c r="V32" i="15"/>
  <c r="W41" i="11"/>
  <c r="AA31" i="11"/>
  <c r="X41" i="16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X12" i="14"/>
  <c r="V42" i="14"/>
  <c r="AA41" i="10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X52" i="14"/>
  <c r="V32" i="13"/>
  <c r="AA41" i="9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W22" i="16"/>
  <c r="X22" i="18"/>
  <c r="V52" i="18"/>
  <c r="W21" i="16"/>
  <c r="AA51" i="17"/>
  <c r="X11" i="18"/>
  <c r="V51" i="18"/>
  <c r="B114" i="24" l="1"/>
  <c r="W113" i="25"/>
  <c r="W32" i="16"/>
  <c r="X32" i="18"/>
  <c r="AA22" i="16"/>
  <c r="V62" i="18"/>
  <c r="X21" i="18"/>
  <c r="AA21" i="16"/>
  <c r="W31" i="16"/>
  <c r="V61" i="18"/>
  <c r="B115" i="24" l="1"/>
  <c r="W114" i="25"/>
  <c r="X42" i="18"/>
  <c r="AA32" i="16"/>
  <c r="W42" i="16"/>
  <c r="AA31" i="16"/>
  <c r="W41" i="16"/>
  <c r="X31" i="18"/>
  <c r="B116" i="24" l="1"/>
  <c r="W115" i="25"/>
  <c r="AA42" i="16"/>
  <c r="X52" i="18"/>
  <c r="AA41" i="16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K49" i="8" s="1"/>
  <c r="B7" i="39"/>
  <c r="AA22" i="15"/>
  <c r="W32" i="15"/>
  <c r="W31" i="15"/>
  <c r="AA21" i="15"/>
  <c r="B120" i="24" l="1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M49" i="16" s="1"/>
  <c r="W209" i="25"/>
  <c r="W210" i="25" l="1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<sst xmlns="http://schemas.openxmlformats.org/spreadsheetml/2006/main" count="1383" uniqueCount="138">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</sst>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4" fontId="6" fillId="3" borderId="0" xfId="0" applyNumberFormat="1" applyFont="1" applyFill="1"/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4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0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50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9" t="s">
        <v>135</v>
      </c>
      <c r="I3" s="349"/>
      <c r="J3" s="349"/>
      <c r="K3" s="349"/>
      <c r="L3" s="349"/>
      <c r="M3" s="349"/>
      <c r="N3" s="5"/>
      <c r="O3" s="62"/>
      <c r="P3" s="143"/>
      <c r="Q3" s="346" t="s">
        <v>66</v>
      </c>
      <c r="R3" s="347"/>
      <c r="S3" s="348"/>
      <c r="T3" s="80"/>
      <c r="U3" s="350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50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7"/>
      <c r="E5" s="338"/>
      <c r="F5" s="339"/>
      <c r="G5" s="5"/>
      <c r="H5" s="343" t="s">
        <v>137</v>
      </c>
      <c r="I5" s="343"/>
      <c r="J5" s="343"/>
      <c r="K5" s="343"/>
      <c r="L5" s="343"/>
      <c r="M5" s="343"/>
      <c r="N5" s="343"/>
      <c r="O5" s="343"/>
      <c r="P5" s="68"/>
      <c r="Q5" s="5"/>
      <c r="R5" s="79"/>
      <c r="S5" s="79"/>
      <c r="T5" s="80"/>
      <c r="U5" s="350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7"/>
      <c r="E6" s="338"/>
      <c r="F6" s="339"/>
      <c r="G6" s="5"/>
      <c r="H6" s="343"/>
      <c r="I6" s="343"/>
      <c r="J6" s="343"/>
      <c r="K6" s="343"/>
      <c r="L6" s="343"/>
      <c r="M6" s="343"/>
      <c r="N6" s="343"/>
      <c r="O6" s="343"/>
      <c r="P6" s="68"/>
      <c r="Q6" s="5"/>
      <c r="R6" s="79"/>
      <c r="S6" s="79"/>
      <c r="T6" s="80"/>
      <c r="U6" s="350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7"/>
      <c r="E7" s="338"/>
      <c r="F7" s="339"/>
      <c r="G7" s="5"/>
      <c r="H7" s="343"/>
      <c r="I7" s="343"/>
      <c r="J7" s="343"/>
      <c r="K7" s="343"/>
      <c r="L7" s="343"/>
      <c r="M7" s="343"/>
      <c r="N7" s="343"/>
      <c r="O7" s="343"/>
      <c r="P7" s="68"/>
      <c r="Q7" s="5"/>
      <c r="R7" s="79"/>
      <c r="S7" s="79"/>
      <c r="T7" s="80"/>
      <c r="U7" s="350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50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50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50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52"/>
      <c r="B11" s="352"/>
      <c r="C11" s="352"/>
      <c r="D11" s="352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52"/>
      <c r="P11" s="352"/>
      <c r="Q11" s="352"/>
      <c r="R11" s="353"/>
      <c r="S11" s="353"/>
      <c r="T11" s="353"/>
      <c r="U11" s="350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50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2" t="s">
        <v>50</v>
      </c>
      <c r="I13" s="14"/>
      <c r="J13" s="22"/>
      <c r="K13" s="83" t="s">
        <v>20</v>
      </c>
      <c r="L13" s="52"/>
      <c r="M13" s="70"/>
      <c r="N13" s="13"/>
      <c r="O13" s="340"/>
      <c r="P13" s="341"/>
      <c r="Q13" s="357"/>
      <c r="R13" s="53"/>
      <c r="S13" s="344"/>
      <c r="T13" s="15"/>
      <c r="U13" s="350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2"/>
      <c r="I14" s="14"/>
      <c r="J14" s="22"/>
      <c r="K14" s="52"/>
      <c r="L14" s="52"/>
      <c r="M14" s="70"/>
      <c r="N14" s="13"/>
      <c r="O14" s="14"/>
      <c r="P14" s="148"/>
      <c r="Q14" s="351"/>
      <c r="R14" s="14"/>
      <c r="S14" s="345"/>
      <c r="T14" s="15"/>
      <c r="U14" s="350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1"/>
      <c r="E15" s="332"/>
      <c r="F15" s="333"/>
      <c r="G15" s="14"/>
      <c r="H15" s="21" t="s">
        <v>51</v>
      </c>
      <c r="I15" s="14"/>
      <c r="J15" s="51"/>
      <c r="K15" s="14" t="s">
        <v>17</v>
      </c>
      <c r="L15" s="14"/>
      <c r="M15" s="334"/>
      <c r="N15" s="335"/>
      <c r="O15" s="336"/>
      <c r="P15" s="148"/>
      <c r="Q15" s="138"/>
      <c r="R15" s="136"/>
      <c r="S15" s="139"/>
      <c r="T15" s="15"/>
      <c r="U15" s="350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1"/>
      <c r="E16" s="332"/>
      <c r="F16" s="333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50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50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50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50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50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50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50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50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06/04/22)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50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50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50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50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50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50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50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50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50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50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50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50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50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  <c r="N37" s="356"/>
      <c r="O37" s="356"/>
      <c r="P37" s="356"/>
      <c r="Q37" s="356"/>
      <c r="R37" s="356"/>
      <c r="S37" s="356"/>
      <c r="T37" s="356"/>
      <c r="U37" s="35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2" t="s">
        <v>50</v>
      </c>
      <c r="I39" s="14"/>
      <c r="J39" s="22"/>
      <c r="K39" s="83" t="s">
        <v>20</v>
      </c>
      <c r="L39" s="52"/>
      <c r="M39" s="70"/>
      <c r="N39" s="13"/>
      <c r="O39" s="340"/>
      <c r="P39" s="341"/>
      <c r="Q39" s="357"/>
      <c r="R39" s="53"/>
      <c r="S39" s="344"/>
      <c r="T39" s="15"/>
      <c r="U39" s="35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2"/>
      <c r="I40" s="14"/>
      <c r="J40" s="22"/>
      <c r="K40" s="52"/>
      <c r="L40" s="52"/>
      <c r="M40" s="70"/>
      <c r="N40" s="13"/>
      <c r="O40" s="14"/>
      <c r="P40" s="148"/>
      <c r="Q40" s="351"/>
      <c r="R40" s="14"/>
      <c r="S40" s="345"/>
      <c r="T40" s="15"/>
      <c r="U40" s="35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1"/>
      <c r="E41" s="332"/>
      <c r="F41" s="333"/>
      <c r="G41" s="14"/>
      <c r="H41" s="21" t="s">
        <v>51</v>
      </c>
      <c r="I41" s="14"/>
      <c r="J41" s="51"/>
      <c r="K41" s="14" t="s">
        <v>17</v>
      </c>
      <c r="L41" s="14"/>
      <c r="M41" s="334"/>
      <c r="N41" s="335"/>
      <c r="O41" s="336"/>
      <c r="P41" s="148"/>
      <c r="Q41" s="138"/>
      <c r="R41" s="136"/>
      <c r="S41" s="139"/>
      <c r="T41" s="15"/>
      <c r="U41" s="35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1"/>
      <c r="E42" s="332"/>
      <c r="F42" s="333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06/04/22)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2"/>
      <c r="L61" s="342"/>
      <c r="M61" s="358"/>
      <c r="N61" s="358"/>
      <c r="O61" s="358"/>
      <c r="P61" s="358"/>
      <c r="Q61" s="358"/>
      <c r="R61" s="358"/>
      <c r="S61" s="358"/>
      <c r="T61" s="15"/>
      <c r="U61" s="35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1"/>
      <c r="W62" s="206">
        <f>Admin!B62</f>
        <v>44717</v>
      </c>
    </row>
    <row r="63" spans="1:24" ht="22.5" customHeight="1" thickBot="1" x14ac:dyDescent="0.2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2" t="s">
        <v>50</v>
      </c>
      <c r="I65" s="14"/>
      <c r="J65" s="22"/>
      <c r="K65" s="83" t="s">
        <v>20</v>
      </c>
      <c r="L65" s="52"/>
      <c r="M65" s="70"/>
      <c r="N65" s="13"/>
      <c r="O65" s="340"/>
      <c r="P65" s="341"/>
      <c r="Q65" s="357"/>
      <c r="R65" s="53"/>
      <c r="S65" s="344"/>
      <c r="T65" s="15"/>
      <c r="U65" s="35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2"/>
      <c r="I66" s="14"/>
      <c r="J66" s="22"/>
      <c r="K66" s="52"/>
      <c r="L66" s="52"/>
      <c r="M66" s="70"/>
      <c r="N66" s="13"/>
      <c r="O66" s="14"/>
      <c r="P66" s="148"/>
      <c r="Q66" s="351"/>
      <c r="R66" s="14"/>
      <c r="S66" s="345"/>
      <c r="T66" s="15"/>
      <c r="U66" s="35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1"/>
      <c r="E67" s="332"/>
      <c r="F67" s="333"/>
      <c r="G67" s="14"/>
      <c r="H67" s="21" t="s">
        <v>51</v>
      </c>
      <c r="I67" s="14"/>
      <c r="J67" s="51"/>
      <c r="K67" s="14" t="s">
        <v>17</v>
      </c>
      <c r="L67" s="14"/>
      <c r="M67" s="334"/>
      <c r="N67" s="335"/>
      <c r="O67" s="336"/>
      <c r="P67" s="148"/>
      <c r="Q67" s="138"/>
      <c r="R67" s="136"/>
      <c r="S67" s="139"/>
      <c r="T67" s="15"/>
      <c r="U67" s="35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1"/>
      <c r="E68" s="332"/>
      <c r="F68" s="333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06/04/22)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1"/>
      <c r="W88" s="206">
        <f>Admin!B88</f>
        <v>44743</v>
      </c>
    </row>
    <row r="89" spans="1:23" ht="22.5" customHeight="1" thickBot="1" x14ac:dyDescent="0.2">
      <c r="A89" s="356"/>
      <c r="B89" s="356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2" t="s">
        <v>50</v>
      </c>
      <c r="I91" s="14"/>
      <c r="J91" s="22"/>
      <c r="K91" s="83" t="s">
        <v>20</v>
      </c>
      <c r="L91" s="52"/>
      <c r="M91" s="70"/>
      <c r="N91" s="13"/>
      <c r="O91" s="340"/>
      <c r="P91" s="341"/>
      <c r="Q91" s="357"/>
      <c r="R91" s="53"/>
      <c r="S91" s="344"/>
      <c r="T91" s="15"/>
      <c r="U91" s="35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2"/>
      <c r="I92" s="14"/>
      <c r="J92" s="22"/>
      <c r="K92" s="52"/>
      <c r="L92" s="52"/>
      <c r="M92" s="70"/>
      <c r="N92" s="13"/>
      <c r="O92" s="14"/>
      <c r="P92" s="148"/>
      <c r="Q92" s="351"/>
      <c r="R92" s="14"/>
      <c r="S92" s="345"/>
      <c r="T92" s="15"/>
      <c r="U92" s="35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1"/>
      <c r="E93" s="332"/>
      <c r="F93" s="333"/>
      <c r="G93" s="14"/>
      <c r="H93" s="21" t="s">
        <v>51</v>
      </c>
      <c r="I93" s="14"/>
      <c r="J93" s="51"/>
      <c r="K93" s="14" t="s">
        <v>17</v>
      </c>
      <c r="L93" s="14"/>
      <c r="M93" s="334"/>
      <c r="N93" s="335"/>
      <c r="O93" s="336"/>
      <c r="P93" s="148"/>
      <c r="Q93" s="138"/>
      <c r="R93" s="136"/>
      <c r="S93" s="139"/>
      <c r="T93" s="15"/>
      <c r="U93" s="35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1"/>
      <c r="E94" s="332"/>
      <c r="F94" s="333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1"/>
      <c r="E95" s="332"/>
      <c r="F95" s="333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06/04/22)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1"/>
      <c r="W114" s="206">
        <f>Admin!B114</f>
        <v>44769</v>
      </c>
    </row>
    <row r="115" spans="1:23" ht="22.5" customHeight="1" thickBot="1" x14ac:dyDescent="0.2">
      <c r="A115" s="356"/>
      <c r="B115" s="356"/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2" t="s">
        <v>50</v>
      </c>
      <c r="I117" s="14"/>
      <c r="J117" s="22"/>
      <c r="K117" s="83" t="s">
        <v>20</v>
      </c>
      <c r="L117" s="52"/>
      <c r="M117" s="70"/>
      <c r="N117" s="13"/>
      <c r="O117" s="340"/>
      <c r="P117" s="341"/>
      <c r="Q117" s="357"/>
      <c r="R117" s="53"/>
      <c r="S117" s="344"/>
      <c r="T117" s="15"/>
      <c r="U117" s="35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2"/>
      <c r="I118" s="14"/>
      <c r="J118" s="22"/>
      <c r="K118" s="52"/>
      <c r="L118" s="52"/>
      <c r="M118" s="70"/>
      <c r="N118" s="13"/>
      <c r="O118" s="14"/>
      <c r="P118" s="148"/>
      <c r="Q118" s="351"/>
      <c r="R118" s="14"/>
      <c r="S118" s="345"/>
      <c r="T118" s="15"/>
      <c r="U118" s="35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1"/>
      <c r="E119" s="332"/>
      <c r="F119" s="333"/>
      <c r="G119" s="14"/>
      <c r="H119" s="21" t="s">
        <v>51</v>
      </c>
      <c r="I119" s="14"/>
      <c r="J119" s="51"/>
      <c r="K119" s="14" t="s">
        <v>17</v>
      </c>
      <c r="L119" s="14"/>
      <c r="M119" s="334"/>
      <c r="N119" s="335"/>
      <c r="O119" s="336"/>
      <c r="P119" s="148"/>
      <c r="Q119" s="29"/>
      <c r="R119" s="136"/>
      <c r="S119" s="139"/>
      <c r="T119" s="15"/>
      <c r="U119" s="35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1"/>
      <c r="E120" s="332"/>
      <c r="F120" s="333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06/04/22)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1"/>
      <c r="W140" s="206">
        <f>Admin!B140</f>
        <v>44795</v>
      </c>
    </row>
    <row r="141" spans="1:23" ht="22.5" customHeight="1" thickBot="1" x14ac:dyDescent="0.2">
      <c r="A141" s="356"/>
      <c r="B141" s="356"/>
      <c r="C141" s="356"/>
      <c r="D141" s="356"/>
      <c r="E141" s="356"/>
      <c r="F141" s="356"/>
      <c r="G141" s="356"/>
      <c r="H141" s="356"/>
      <c r="I141" s="356"/>
      <c r="J141" s="356"/>
      <c r="K141" s="356"/>
      <c r="L141" s="356"/>
      <c r="M141" s="356"/>
      <c r="N141" s="356"/>
      <c r="O141" s="356"/>
      <c r="P141" s="356"/>
      <c r="Q141" s="356"/>
      <c r="R141" s="356"/>
      <c r="S141" s="356"/>
      <c r="T141" s="356"/>
      <c r="U141" s="35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M10" sqref="M10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4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04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">
        <v>105</v>
      </c>
      <c r="I3" s="373" t="s">
        <v>43</v>
      </c>
      <c r="J3" s="373" t="s">
        <v>44</v>
      </c>
      <c r="K3" s="406" t="s">
        <v>48</v>
      </c>
      <c r="L3" s="406" t="s">
        <v>31</v>
      </c>
      <c r="M3" s="425" t="s">
        <v>46</v>
      </c>
      <c r="N3" s="373" t="s">
        <v>1</v>
      </c>
      <c r="O3" s="392" t="s">
        <v>26</v>
      </c>
      <c r="P3" s="373" t="s">
        <v>106</v>
      </c>
      <c r="Q3" s="392" t="s">
        <v>2</v>
      </c>
      <c r="R3" s="425" t="s">
        <v>47</v>
      </c>
      <c r="S3" s="42"/>
      <c r="T3" s="392" t="s">
        <v>27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409"/>
      <c r="J4" s="409"/>
      <c r="K4" s="407"/>
      <c r="L4" s="407"/>
      <c r="M4" s="426"/>
      <c r="N4" s="374"/>
      <c r="O4" s="388"/>
      <c r="P4" s="374"/>
      <c r="Q4" s="388"/>
      <c r="R4" s="426"/>
      <c r="S4" s="42"/>
      <c r="T4" s="388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409"/>
      <c r="J5" s="409"/>
      <c r="K5" s="407"/>
      <c r="L5" s="407"/>
      <c r="M5" s="426"/>
      <c r="N5" s="374"/>
      <c r="O5" s="388"/>
      <c r="P5" s="374"/>
      <c r="Q5" s="388"/>
      <c r="R5" s="426"/>
      <c r="S5" s="42"/>
      <c r="T5" s="388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410"/>
      <c r="J6" s="410"/>
      <c r="K6" s="408"/>
      <c r="L6" s="408"/>
      <c r="M6" s="426"/>
      <c r="N6" s="375"/>
      <c r="O6" s="388"/>
      <c r="P6" s="375"/>
      <c r="Q6" s="388"/>
      <c r="R6" s="426"/>
      <c r="S6" s="41"/>
      <c r="T6" s="388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427"/>
      <c r="S8" s="428"/>
      <c r="T8" s="42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</v>
      </c>
      <c r="F9" s="35"/>
      <c r="G9" s="35"/>
      <c r="H9" s="379" t="s">
        <v>57</v>
      </c>
      <c r="I9" s="377"/>
      <c r="J9" s="378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2" t="s">
        <v>7</v>
      </c>
      <c r="G16" s="403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</v>
      </c>
      <c r="F19" s="35"/>
      <c r="G19" s="35"/>
      <c r="H19" s="379" t="s">
        <v>28</v>
      </c>
      <c r="I19" s="377"/>
      <c r="J19" s="378"/>
      <c r="K19" s="201">
        <f>M9+1</f>
        <v>44662</v>
      </c>
      <c r="L19" s="200" t="s">
        <v>76</v>
      </c>
      <c r="M19" s="202">
        <f>K19+6</f>
        <v>44668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</v>
      </c>
      <c r="F29" s="35"/>
      <c r="G29" s="35"/>
      <c r="H29" s="379" t="s">
        <v>28</v>
      </c>
      <c r="I29" s="377"/>
      <c r="J29" s="378"/>
      <c r="K29" s="201">
        <f>M19+1</f>
        <v>44669</v>
      </c>
      <c r="L29" s="200" t="s">
        <v>76</v>
      </c>
      <c r="M29" s="202">
        <f>K29+6</f>
        <v>44675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4</v>
      </c>
      <c r="F39" s="35"/>
      <c r="G39" s="35"/>
      <c r="H39" s="379" t="s">
        <v>28</v>
      </c>
      <c r="I39" s="377"/>
      <c r="J39" s="378"/>
      <c r="K39" s="201">
        <f>M29+1</f>
        <v>44676</v>
      </c>
      <c r="L39" s="200" t="s">
        <v>76</v>
      </c>
      <c r="M39" s="202">
        <f>K39+6</f>
        <v>44682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</v>
      </c>
      <c r="F49" s="35"/>
      <c r="G49" s="35"/>
      <c r="H49" s="379" t="s">
        <v>28</v>
      </c>
      <c r="I49" s="377"/>
      <c r="J49" s="378"/>
      <c r="K49" s="204">
        <f>Admin!B2</f>
        <v>44657</v>
      </c>
      <c r="L49" s="203" t="s">
        <v>76</v>
      </c>
      <c r="M49" s="205">
        <f>Admin!B26</f>
        <v>44681</v>
      </c>
      <c r="N49" s="20"/>
      <c r="O49" s="389" t="s">
        <v>49</v>
      </c>
      <c r="P49" s="390"/>
      <c r="Q49" s="390"/>
      <c r="R49" s="391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5</v>
      </c>
      <c r="F9" s="35"/>
      <c r="G9" s="35"/>
      <c r="H9" s="379" t="s">
        <v>28</v>
      </c>
      <c r="I9" s="377"/>
      <c r="J9" s="378"/>
      <c r="K9" s="204">
        <f>'Apr22'!M39+1</f>
        <v>44683</v>
      </c>
      <c r="L9" s="203" t="s">
        <v>76</v>
      </c>
      <c r="M9" s="205">
        <f>K9+6</f>
        <v>44689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IF(T$9="Y",'Apr22'!H41,0)</f>
        <v>0</v>
      </c>
      <c r="I11" s="89">
        <f>IF(T$9="Y",'Apr22'!I41,0)</f>
        <v>0</v>
      </c>
      <c r="J11" s="89">
        <f>IF(T$9="Y",'Apr22'!J41,0)</f>
        <v>0</v>
      </c>
      <c r="K11" s="89">
        <f>IF(T$9="Y",'Apr22'!K41,I11*J11)</f>
        <v>0</v>
      </c>
      <c r="L11" s="110">
        <f>IF(T$9="Y",'Apr22'!L41,0)</f>
        <v>0</v>
      </c>
      <c r="M11" s="110" t="str">
        <f>IF(E11=" "," ",IF(T$9="Y",'Apr22'!M41,IF((H11+K11+L11)&gt;0,H11+K11+L11,"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IF(Employee!H$34=E$9,Employee!D$34+SUM(M11)+'Apr22'!V41,SUM(M11)+'Apr22'!V41)</f>
        <v>0</v>
      </c>
      <c r="W11" s="49">
        <f>IF(Employee!H$34=E$9,Employee!D$35+SUM(N11)+'Apr22'!W41,SUM(N11)+'Apr22'!W41)</f>
        <v>0</v>
      </c>
      <c r="X11" s="49">
        <f>IF(O11=" ",'Apr22'!X41,O11+'Apr22'!X41)</f>
        <v>0</v>
      </c>
      <c r="Y11" s="49">
        <f>IF(P11=" ",'Apr22'!Y41,P11+'Apr22'!Y41)</f>
        <v>0</v>
      </c>
      <c r="Z11" s="49">
        <f>IF(Q11=" ",'Apr22'!Z41,Q11+'Apr22'!Z41)</f>
        <v>0</v>
      </c>
      <c r="AA11" s="49">
        <f>IF(R11=" ",'Apr22'!AA41,R11+'Apr22'!AA41)</f>
        <v>0</v>
      </c>
      <c r="AC11" s="49">
        <f>IF(T11=" ",'Apr22'!AC41,T11+'Apr22'!AC41)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IF(T$9="Y",'Apr22'!H42,0)</f>
        <v>0</v>
      </c>
      <c r="I12" s="92">
        <f>IF(T$9="Y",'Apr22'!I42,0)</f>
        <v>0</v>
      </c>
      <c r="J12" s="92">
        <f>IF(T$9="Y",'Apr22'!J42,0)</f>
        <v>0</v>
      </c>
      <c r="K12" s="92">
        <f>IF(T$9="Y",'Apr22'!K42,I12*J12)</f>
        <v>0</v>
      </c>
      <c r="L12" s="111">
        <f>IF(T$9="Y",'Apr22'!L42,0)</f>
        <v>0</v>
      </c>
      <c r="M12" s="111" t="str">
        <f>IF(E12=" "," ",IF(T$9="Y",'Apr22'!M42,IF((H12+K12+L12)&gt;0,H12+K12+L12,"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IF(Employee!H$60=E$9,Employee!D$60+SUM(M12)+'Apr22'!V42,SUM(M12)+'Apr22'!V42)</f>
        <v>0</v>
      </c>
      <c r="W12" s="49">
        <f>IF(Employee!H$60=E$9,Employee!D$61+SUM(N12)+'Apr22'!W42,SUM(N12)+'Apr22'!W42)</f>
        <v>0</v>
      </c>
      <c r="X12" s="49">
        <f>IF(O12=" ",'Apr22'!X42,O12+'Apr22'!X42)</f>
        <v>0</v>
      </c>
      <c r="Y12" s="49">
        <f>IF(P12=" ",'Apr22'!Y42,P12+'Apr22'!Y42)</f>
        <v>0</v>
      </c>
      <c r="Z12" s="49">
        <f>IF(Q12=" ",'Apr22'!Z42,Q12+'Apr22'!Z42)</f>
        <v>0</v>
      </c>
      <c r="AA12" s="49">
        <f>IF(R12=" ",'Apr22'!AA42,R12+'Apr22'!AA42)</f>
        <v>0</v>
      </c>
      <c r="AC12" s="49">
        <f>IF(T12=" ",'Apr22'!AC42,T12+'Apr22'!AC42)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IF(T$9="Y",'Apr22'!H43,0)</f>
        <v>0</v>
      </c>
      <c r="I13" s="92">
        <f>IF(T$9="Y",'Apr22'!I43,0)</f>
        <v>0</v>
      </c>
      <c r="J13" s="92">
        <f>IF(T$9="Y",'Apr22'!J43,0)</f>
        <v>0</v>
      </c>
      <c r="K13" s="92">
        <f>IF(T$9="Y",'Apr22'!K43,I13*J13)</f>
        <v>0</v>
      </c>
      <c r="L13" s="111">
        <f>IF(T$9="Y",'Apr22'!L43,0)</f>
        <v>0</v>
      </c>
      <c r="M13" s="111" t="str">
        <f>IF(E13=" "," ",IF(T$9="Y",'Apr22'!M43,IF((H13+K13+L13)&gt;0,H13+K13+L13,"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IF(Employee!H$86=E$9,Employee!D$86+SUM(M13)+'Apr22'!V43,SUM(M13)+'Apr22'!V43)</f>
        <v>0</v>
      </c>
      <c r="W13" s="49">
        <f>IF(Employee!H$86=E$9,Employee!D$87+SUM(N13)+'Apr22'!W43,SUM(N13)+'Apr22'!W43)</f>
        <v>0</v>
      </c>
      <c r="X13" s="49">
        <f>IF(O13=" ",'Apr22'!X43,O13+'Apr22'!X43)</f>
        <v>0</v>
      </c>
      <c r="Y13" s="49">
        <f>IF(P13=" ",'Apr22'!Y43,P13+'Apr22'!Y43)</f>
        <v>0</v>
      </c>
      <c r="Z13" s="49">
        <f>IF(Q13=" ",'Apr22'!Z43,Q13+'Apr22'!Z43)</f>
        <v>0</v>
      </c>
      <c r="AA13" s="49">
        <f>IF(R13=" ",'Apr22'!AA43,R13+'Apr22'!AA43)</f>
        <v>0</v>
      </c>
      <c r="AC13" s="49">
        <f>IF(T13=" ",'Apr22'!AC43,T13+'Apr22'!AC43)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IF(T$9="Y",'Apr22'!H44,0)</f>
        <v>0</v>
      </c>
      <c r="I14" s="92">
        <f>IF(T$9="Y",'Apr22'!I44,0)</f>
        <v>0</v>
      </c>
      <c r="J14" s="92">
        <f>IF(T$9="Y",'Apr22'!J44,0)</f>
        <v>0</v>
      </c>
      <c r="K14" s="92">
        <f>IF(T$9="Y",'Apr22'!K44,I14*J14)</f>
        <v>0</v>
      </c>
      <c r="L14" s="111">
        <f>IF(T$9="Y",'Apr22'!L44,0)</f>
        <v>0</v>
      </c>
      <c r="M14" s="111" t="str">
        <f>IF(E14=" "," ",IF(T$9="Y",'Apr22'!M44,IF((H14+K14+L14)&gt;0,H14+K14+L14,"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IF(Employee!H$112=E$9,Employee!D$112+SUM(M14)+'Apr22'!V44,SUM(M14)+'Apr22'!V44)</f>
        <v>0</v>
      </c>
      <c r="W14" s="49">
        <f>IF(Employee!H$112=E$9,Employee!D$113+SUM(N14)+'Apr22'!W44,SUM(N14)+'Apr22'!W44)</f>
        <v>0</v>
      </c>
      <c r="X14" s="49">
        <f>IF(O14=" ",'Apr22'!X44,O14+'Apr22'!X44)</f>
        <v>0</v>
      </c>
      <c r="Y14" s="49">
        <f>IF(P14=" ",'Apr22'!Y44,P14+'Apr22'!Y44)</f>
        <v>0</v>
      </c>
      <c r="Z14" s="49">
        <f>IF(Q14=" ",'Apr22'!Z44,Q14+'Apr22'!Z44)</f>
        <v>0</v>
      </c>
      <c r="AA14" s="49">
        <f>IF(R14=" ",'Apr22'!AA44,R14+'Apr22'!AA44)</f>
        <v>0</v>
      </c>
      <c r="AC14" s="49">
        <f>IF(T14=" ",'Apr22'!AC44,T14+'Apr22'!AC44)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IF(T$9="Y",'Apr22'!H45,0)</f>
        <v>0</v>
      </c>
      <c r="I15" s="245">
        <f>IF(T$9="Y",'Apr22'!I45,0)</f>
        <v>0</v>
      </c>
      <c r="J15" s="245">
        <f>IF(T$9="Y",'Apr22'!J45,0)</f>
        <v>0</v>
      </c>
      <c r="K15" s="245">
        <f>IF(T$9="Y",'Apr22'!K45,I15*J15)</f>
        <v>0</v>
      </c>
      <c r="L15" s="246">
        <f>IF(T$9="Y",'Apr22'!L45,0)</f>
        <v>0</v>
      </c>
      <c r="M15" s="111" t="str">
        <f>IF(E15=" "," ",IF(T$9="Y",'Apr22'!M45,IF((H15+K15+L15)&gt;0,H15+K15+L15,"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IF(Employee!H$138=E$9,Employee!D$138+SUM(M15)+'Apr22'!V45,SUM(M15)+'Apr22'!V45)</f>
        <v>0</v>
      </c>
      <c r="W15" s="49">
        <f>IF(Employee!H$138=E$9,Employee!D$139+SUM(N15)+'Apr22'!W45,SUM(N15)+'Apr22'!W45)</f>
        <v>0</v>
      </c>
      <c r="X15" s="49">
        <f>IF(O15=" ",'Apr22'!X45,O15+'Apr22'!X45)</f>
        <v>0</v>
      </c>
      <c r="Y15" s="49">
        <f>IF(P15=" ",'Apr22'!Y45,P15+'Apr22'!Y45)</f>
        <v>0</v>
      </c>
      <c r="Z15" s="49">
        <f>IF(Q15=" ",'Apr22'!Z45,Q15+'Apr22'!Z45)</f>
        <v>0</v>
      </c>
      <c r="AA15" s="49">
        <f>IF(R15=" ",'Apr22'!AA45,R15+'Apr22'!AA45)</f>
        <v>0</v>
      </c>
      <c r="AC15" s="49">
        <f>IF(T15=" ",'Apr22'!AC45,T15+'Apr22'!AC45)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6</v>
      </c>
      <c r="F19" s="35"/>
      <c r="G19" s="35"/>
      <c r="H19" s="379" t="s">
        <v>28</v>
      </c>
      <c r="I19" s="377"/>
      <c r="J19" s="378"/>
      <c r="K19" s="204">
        <f>M9+1</f>
        <v>44690</v>
      </c>
      <c r="L19" s="203" t="s">
        <v>76</v>
      </c>
      <c r="M19" s="205">
        <f>K19+6</f>
        <v>44696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7</v>
      </c>
      <c r="F29" s="35"/>
      <c r="G29" s="35"/>
      <c r="H29" s="379" t="s">
        <v>28</v>
      </c>
      <c r="I29" s="377"/>
      <c r="J29" s="378"/>
      <c r="K29" s="204">
        <f>M19+1</f>
        <v>44697</v>
      </c>
      <c r="L29" s="203" t="s">
        <v>76</v>
      </c>
      <c r="M29" s="205">
        <f>K29+6</f>
        <v>44703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8</v>
      </c>
      <c r="F39" s="35"/>
      <c r="G39" s="35"/>
      <c r="H39" s="379" t="s">
        <v>28</v>
      </c>
      <c r="I39" s="377"/>
      <c r="J39" s="378"/>
      <c r="K39" s="204">
        <f>M29+1</f>
        <v>44704</v>
      </c>
      <c r="L39" s="203" t="s">
        <v>76</v>
      </c>
      <c r="M39" s="205">
        <f>K39+6</f>
        <v>44710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2</v>
      </c>
      <c r="F49" s="35"/>
      <c r="G49" s="35"/>
      <c r="H49" s="379" t="s">
        <v>28</v>
      </c>
      <c r="I49" s="377"/>
      <c r="J49" s="378"/>
      <c r="K49" s="204">
        <f>Admin!B27</f>
        <v>44682</v>
      </c>
      <c r="L49" s="203" t="s">
        <v>76</v>
      </c>
      <c r="M49" s="205">
        <f>Admin!B57</f>
        <v>44712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IF(T$49="Y",'Apr22'!H51,0)</f>
        <v>0</v>
      </c>
      <c r="I51" s="89">
        <f>IF(T$49="Y",'Apr22'!I51,0)</f>
        <v>0</v>
      </c>
      <c r="J51" s="89">
        <f>IF(T$49="Y",'Apr22'!J51,0)</f>
        <v>0</v>
      </c>
      <c r="K51" s="89">
        <f>IF(T$49="Y",'Apr22'!K51,I51*J51)</f>
        <v>0</v>
      </c>
      <c r="L51" s="110">
        <f>IF(T$49="Y",'Apr22'!L51,0)</f>
        <v>0</v>
      </c>
      <c r="M51" s="99" t="str">
        <f>IF(E51=" "," ",IF(T$49="Y",'Apr22'!M51,IF((H51+K51+L51)&gt;0,H51+K51+L51,"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IF(Employee!H$35=E$49,Employee!D$34+SUM(M51)+'Apr22'!V51,SUM(M51)+'Apr22'!V51)</f>
        <v>0</v>
      </c>
      <c r="W51" s="49">
        <f>IF(Employee!H$35=E$49,Employee!D$35+SUM(N51)+'Apr22'!W51,SUM(N51)+'Apr22'!W51)</f>
        <v>0</v>
      </c>
      <c r="X51" s="49">
        <f>IF(O51=" ",'Apr22'!X51,O51+'Apr22'!X51)</f>
        <v>0</v>
      </c>
      <c r="Y51" s="49">
        <f>IF(P51=" ",'Apr22'!Y51,P51+'Apr22'!Y51)</f>
        <v>0</v>
      </c>
      <c r="Z51" s="49">
        <f>IF(Q51=" ",'Apr22'!Z51,Q51+'Apr22'!Z51)</f>
        <v>0</v>
      </c>
      <c r="AA51" s="49">
        <f>IF(R51=" ",'Apr22'!AA51,R51+'Apr22'!AA51)</f>
        <v>0</v>
      </c>
      <c r="AC51" s="49">
        <f>IF(T51=" ",'Apr22'!AC51,T51+'Apr22'!AC51)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IF(T$49="Y",'Apr22'!H52,0)</f>
        <v>0</v>
      </c>
      <c r="I52" s="92">
        <f>IF(T$49="Y",'Apr22'!I52,0)</f>
        <v>0</v>
      </c>
      <c r="J52" s="92">
        <f>IF(T$49="Y",'Apr22'!J52,0)</f>
        <v>0</v>
      </c>
      <c r="K52" s="92">
        <f>IF(T$49="Y",'Apr22'!K52,I52*J52)</f>
        <v>0</v>
      </c>
      <c r="L52" s="111">
        <f>IF(T$49="Y",'Apr22'!L52,0)</f>
        <v>0</v>
      </c>
      <c r="M52" s="100" t="str">
        <f>IF(E52=" "," ",IF(T$49="Y",'Apr22'!M52,IF((H52+K52+L52)&gt;0,H52+K52+L52,"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IF(Employee!H$61=E$49,Employee!D$60+SUM(M52)+'Apr22'!V52,SUM(M52)+'Apr22'!V52)</f>
        <v>0</v>
      </c>
      <c r="W52" s="49">
        <f>IF(Employee!H$61=E$49,Employee!D$61+SUM(N52)+'Apr22'!W52,SUM(N52)+'Apr22'!W52)</f>
        <v>0</v>
      </c>
      <c r="X52" s="49">
        <f>IF(O52=" ",'Apr22'!X52,O52+'Apr22'!X52)</f>
        <v>0</v>
      </c>
      <c r="Y52" s="49">
        <f>IF(P52=" ",'Apr22'!Y52,P52+'Apr22'!Y52)</f>
        <v>0</v>
      </c>
      <c r="Z52" s="49">
        <f>IF(Q52=" ",'Apr22'!Z52,Q52+'Apr22'!Z52)</f>
        <v>0</v>
      </c>
      <c r="AA52" s="49">
        <f>IF(R52=" ",'Apr22'!AA52,R52+'Apr22'!AA52)</f>
        <v>0</v>
      </c>
      <c r="AC52" s="49">
        <f>IF(T52=" ",'Apr22'!AC52,T52+'Apr22'!AC52)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IF(T$49="Y",'Apr22'!H53,0)</f>
        <v>0</v>
      </c>
      <c r="I53" s="92">
        <f>IF(T$49="Y",'Apr22'!I53,0)</f>
        <v>0</v>
      </c>
      <c r="J53" s="92">
        <f>IF(T$49="Y",'Apr22'!J53,0)</f>
        <v>0</v>
      </c>
      <c r="K53" s="92">
        <f>IF(T$49="Y",'Apr22'!K53,I53*J53)</f>
        <v>0</v>
      </c>
      <c r="L53" s="111">
        <f>IF(T$49="Y",'Apr22'!L53,0)</f>
        <v>0</v>
      </c>
      <c r="M53" s="100" t="str">
        <f>IF(E53=" "," ",IF(T$49="Y",'Apr22'!M53,IF((H53+K53+L53)&gt;0,H53+K53+L53,"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IF(Employee!H$87=E$49,Employee!D$86+SUM(M53)+'Apr22'!V53,SUM(M53)+'Apr22'!V53)</f>
        <v>0</v>
      </c>
      <c r="W53" s="49">
        <f>IF(Employee!H$87=E$49,Employee!D$7+SUM(N53)+'Apr22'!W53,SUM(N53)+'Apr22'!W53)</f>
        <v>0</v>
      </c>
      <c r="X53" s="49">
        <f>IF(O53=" ",'Apr22'!X53,O53+'Apr22'!X53)</f>
        <v>0</v>
      </c>
      <c r="Y53" s="49">
        <f>IF(P53=" ",'Apr22'!Y53,P53+'Apr22'!Y53)</f>
        <v>0</v>
      </c>
      <c r="Z53" s="49">
        <f>IF(Q53=" ",'Apr22'!Z53,Q53+'Apr22'!Z53)</f>
        <v>0</v>
      </c>
      <c r="AA53" s="49">
        <f>IF(R53=" ",'Apr22'!AA53,R53+'Apr22'!AA53)</f>
        <v>0</v>
      </c>
      <c r="AC53" s="49">
        <f>IF(T53=" ",'Apr22'!AC53,T53+'Apr22'!AC53)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IF(T$49="Y",'Apr22'!H54,0)</f>
        <v>0</v>
      </c>
      <c r="I54" s="92">
        <f>IF(T$49="Y",'Apr22'!I54,0)</f>
        <v>0</v>
      </c>
      <c r="J54" s="92">
        <f>IF(T$49="Y",'Apr22'!J54,0)</f>
        <v>0</v>
      </c>
      <c r="K54" s="92">
        <f>IF(T$49="Y",'Apr22'!K54,I54*J54)</f>
        <v>0</v>
      </c>
      <c r="L54" s="111">
        <f>IF(T$49="Y",'Apr22'!L54,0)</f>
        <v>0</v>
      </c>
      <c r="M54" s="100" t="str">
        <f>IF(E54=" "," ",IF(T$49="Y",'Apr22'!M54,IF((H54+K54+L54)&gt;0,H54+K54+L54,"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IF(Employee!H$113=E$49,Employee!D$112+SUM(M54)+'Apr22'!V54,SUM(M54)+'Apr22'!V54)</f>
        <v>0</v>
      </c>
      <c r="W54" s="49">
        <f>IF(Employee!H$113=E$49,Employee!D$113+SUM(N54)+'Apr22'!W54,SUM(N54)+'Apr22'!W54)</f>
        <v>0</v>
      </c>
      <c r="X54" s="49">
        <f>IF(O54=" ",'Apr22'!X54,O54+'Apr22'!X54)</f>
        <v>0</v>
      </c>
      <c r="Y54" s="49">
        <f>IF(P54=" ",'Apr22'!Y54,P54+'Apr22'!Y54)</f>
        <v>0</v>
      </c>
      <c r="Z54" s="49">
        <f>IF(Q54=" ",'Apr22'!Z54,Q54+'Apr22'!Z54)</f>
        <v>0</v>
      </c>
      <c r="AA54" s="49">
        <f>IF(R54=" ",'Apr22'!AA54,R54+'Apr22'!AA54)</f>
        <v>0</v>
      </c>
      <c r="AC54" s="49">
        <f>IF(T54=" ",'Apr22'!AC54,T54+'Apr22'!AC54)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IF(T$49="Y",'Apr22'!H55,0)</f>
        <v>0</v>
      </c>
      <c r="I55" s="245">
        <f>IF(T$49="Y",'Apr22'!I55,0)</f>
        <v>0</v>
      </c>
      <c r="J55" s="245">
        <f>IF(T$49="Y",'Apr22'!J55,0)</f>
        <v>0</v>
      </c>
      <c r="K55" s="245">
        <f>IF(T$49="Y",'Apr22'!K55,I55*J55)</f>
        <v>0</v>
      </c>
      <c r="L55" s="246">
        <f>IF(T$49="Y",'Apr22'!L55,0)</f>
        <v>0</v>
      </c>
      <c r="M55" s="100" t="str">
        <f>IF(E55=" "," ",IF(T$49="Y",'Apr22'!M55,IF((H55+K55+L55)&gt;0,H55+K55+L55,"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IF(Employee!H$139=E$49,Employee!D$138+SUM(M55)+'Apr22'!V55,SUM(M55)+'Apr22'!V55)</f>
        <v>0</v>
      </c>
      <c r="W55" s="49">
        <f>IF(Employee!H$139=E$49,Employee!D$139+SUM(N55)+'Apr22'!W55,SUM(N55)+'Apr22'!W55)</f>
        <v>0</v>
      </c>
      <c r="X55" s="49">
        <f>IF(O55=" ",'Apr22'!X55,O55+'Apr22'!X55)</f>
        <v>0</v>
      </c>
      <c r="Y55" s="49">
        <f>IF(P55=" ",'Apr22'!Y55,P55+'Apr22'!Y55)</f>
        <v>0</v>
      </c>
      <c r="Z55" s="49">
        <f>IF(Q55=" ",'Apr22'!Z55,Q55+'Apr22'!Z55)</f>
        <v>0</v>
      </c>
      <c r="AA55" s="49">
        <f>IF(R55=" ",'Apr22'!AA55,R55+'Apr22'!AA55)</f>
        <v>0</v>
      </c>
      <c r="AC55" s="49">
        <f>IF(T55=" ",'Apr22'!AC55,T55+'Apr22'!AC55)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AD60+'Apr22'!AD65</f>
        <v>0</v>
      </c>
      <c r="AE65" s="158">
        <f>AE60+'Apr22'!AE65</f>
        <v>0</v>
      </c>
      <c r="AF65" s="158">
        <f>AF60+'Apr22'!AF65</f>
        <v>0</v>
      </c>
      <c r="AG65" s="158">
        <f>AG60+'Apr22'!AG65</f>
        <v>0</v>
      </c>
    </row>
    <row r="66" spans="6:33" ht="14" thickTop="1" x14ac:dyDescent="0.15"/>
    <row r="67" spans="6:33" x14ac:dyDescent="0.15">
      <c r="AD67" s="162"/>
      <c r="AE67" s="158">
        <f>AE62+'Apr22'!AE67</f>
        <v>0</v>
      </c>
      <c r="AF67" s="158">
        <f>AF62+'Apr22'!AF67</f>
        <v>0</v>
      </c>
      <c r="AG67" s="158">
        <f>AG62+'Apr22'!AG67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2" t="s">
        <v>4</v>
      </c>
      <c r="J1" s="443"/>
      <c r="K1" s="443"/>
      <c r="L1" s="44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9</v>
      </c>
      <c r="F9" s="35"/>
      <c r="G9" s="35"/>
      <c r="H9" s="379" t="s">
        <v>28</v>
      </c>
      <c r="I9" s="377"/>
      <c r="J9" s="378"/>
      <c r="K9" s="204">
        <f>'May22'!M39+1</f>
        <v>44711</v>
      </c>
      <c r="L9" s="203" t="s">
        <v>76</v>
      </c>
      <c r="M9" s="205">
        <f>K9+6</f>
        <v>44717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IF(T$9="Y",'May22'!H41,0)</f>
        <v>0</v>
      </c>
      <c r="I11" s="89">
        <f>IF(T$9="Y",'May22'!I41,0)</f>
        <v>0</v>
      </c>
      <c r="J11" s="89">
        <f>IF(T$9="Y",'May22'!J41,0)</f>
        <v>0</v>
      </c>
      <c r="K11" s="89">
        <f>IF(T$9="Y",'May22'!K41,I11*J11)</f>
        <v>0</v>
      </c>
      <c r="L11" s="110">
        <f>IF(T$9="Y",'May22'!L41,0)</f>
        <v>0</v>
      </c>
      <c r="M11" s="110" t="str">
        <f>IF(E11=" "," ",IF(T$9="Y",'May22'!M41,IF((H11+K11+L11)&gt;0,H11+K11+L11,"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IF(Employee!H$34=E$9,Employee!D$34+SUM(M11)+'May22'!V41,SUM(M11)+'May22'!V41)</f>
        <v>0</v>
      </c>
      <c r="W11" s="49">
        <f>IF(Employee!H$34=E$9,Employee!D$35+SUM(N11)+'May22'!W41,SUM(N11)+'May22'!W41)</f>
        <v>0</v>
      </c>
      <c r="X11" s="49">
        <f>IF(O11=" ",'May22'!X41,O11+'May22'!X41)</f>
        <v>0</v>
      </c>
      <c r="Y11" s="49">
        <f>IF(P11=" ",'May22'!Y41,P11+'May22'!Y41)</f>
        <v>0</v>
      </c>
      <c r="Z11" s="49">
        <f>IF(Q11=" ",'May22'!Z41,Q11+'May22'!Z41)</f>
        <v>0</v>
      </c>
      <c r="AA11" s="49">
        <f>IF(R11=" ",'May22'!AA41,R11+'May22'!AA41)</f>
        <v>0</v>
      </c>
      <c r="AC11" s="49">
        <f>IF(T11=" ",'May22'!AC41,T11+'May22'!AC41)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IF(T$9="Y",'May22'!H42,0)</f>
        <v>0</v>
      </c>
      <c r="I12" s="92">
        <f>IF(T$9="Y",'May22'!I42,0)</f>
        <v>0</v>
      </c>
      <c r="J12" s="92">
        <f>IF(T$9="Y",'May22'!J42,0)</f>
        <v>0</v>
      </c>
      <c r="K12" s="92">
        <f>IF(T$9="Y",'May22'!K42,I12*J12)</f>
        <v>0</v>
      </c>
      <c r="L12" s="111">
        <f>IF(T$9="Y",'May22'!L42,0)</f>
        <v>0</v>
      </c>
      <c r="M12" s="111" t="str">
        <f>IF(E12=" "," ",IF(T$9="Y",'May22'!M42,IF((H12+K12+L12)&gt;0,H12+K12+L12,"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IF(Employee!H$60=E$9,Employee!D$60+SUM(M12)+'May22'!V42,SUM(M12)+'May22'!V42)</f>
        <v>0</v>
      </c>
      <c r="W12" s="49">
        <f>IF(Employee!H$60=E$9,Employee!D$61+SUM(N12)+'May22'!W42,SUM(N12)+'May22'!W42)</f>
        <v>0</v>
      </c>
      <c r="X12" s="49">
        <f>IF(O12=" ",'May22'!X42,O12+'May22'!X42)</f>
        <v>0</v>
      </c>
      <c r="Y12" s="49">
        <f>IF(P12=" ",'May22'!Y42,P12+'May22'!Y42)</f>
        <v>0</v>
      </c>
      <c r="Z12" s="49">
        <f>IF(Q12=" ",'May22'!Z42,Q12+'May22'!Z42)</f>
        <v>0</v>
      </c>
      <c r="AA12" s="49">
        <f>IF(R12=" ",'May22'!AA42,R12+'May22'!AA42)</f>
        <v>0</v>
      </c>
      <c r="AC12" s="49">
        <f>IF(T12=" ",'May22'!AC42,T12+'May22'!AC42)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IF(T$9="Y",'May22'!H43,0)</f>
        <v>0</v>
      </c>
      <c r="I13" s="92">
        <f>IF(T$9="Y",'May22'!I43,0)</f>
        <v>0</v>
      </c>
      <c r="J13" s="92">
        <f>IF(T$9="Y",'May22'!J43,0)</f>
        <v>0</v>
      </c>
      <c r="K13" s="92">
        <f>IF(T$9="Y",'May22'!K43,I13*J13)</f>
        <v>0</v>
      </c>
      <c r="L13" s="111">
        <f>IF(T$9="Y",'May22'!L43,0)</f>
        <v>0</v>
      </c>
      <c r="M13" s="111" t="str">
        <f>IF(E13=" "," ",IF(T$9="Y",'May22'!M43,IF((H13+K13+L13)&gt;0,H13+K13+L13,"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IF(Employee!H$86=E$9,Employee!D$86+SUM(M13)+'May22'!V43,SUM(M13)+'May22'!V43)</f>
        <v>0</v>
      </c>
      <c r="W13" s="49">
        <f>IF(Employee!H$86=E$9,Employee!D$87+SUM(N13)+'May22'!W43,SUM(N13)+'May22'!W43)</f>
        <v>0</v>
      </c>
      <c r="X13" s="49">
        <f>IF(O13=" ",'May22'!X43,O13+'May22'!X43)</f>
        <v>0</v>
      </c>
      <c r="Y13" s="49">
        <f>IF(P13=" ",'May22'!Y43,P13+'May22'!Y43)</f>
        <v>0</v>
      </c>
      <c r="Z13" s="49">
        <f>IF(Q13=" ",'May22'!Z43,Q13+'May22'!Z43)</f>
        <v>0</v>
      </c>
      <c r="AA13" s="49">
        <f>IF(R13=" ",'May22'!AA43,R13+'May22'!AA43)</f>
        <v>0</v>
      </c>
      <c r="AC13" s="49">
        <f>IF(T13=" ",'May22'!AC43,T13+'May22'!AC43)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IF(T$9="Y",'May22'!H44,0)</f>
        <v>0</v>
      </c>
      <c r="I14" s="92">
        <f>IF(T$9="Y",'May22'!I44,0)</f>
        <v>0</v>
      </c>
      <c r="J14" s="92">
        <f>IF(T$9="Y",'May22'!J44,0)</f>
        <v>0</v>
      </c>
      <c r="K14" s="92">
        <f>IF(T$9="Y",'May22'!K44,I14*J14)</f>
        <v>0</v>
      </c>
      <c r="L14" s="111">
        <f>IF(T$9="Y",'May22'!L44,0)</f>
        <v>0</v>
      </c>
      <c r="M14" s="111" t="str">
        <f>IF(E14=" "," ",IF(T$9="Y",'May22'!M44,IF((H14+K14+L14)&gt;0,H14+K14+L14,"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IF(Employee!H$112=E$9,Employee!D$112+SUM(M14)+'May22'!V44,SUM(M14)+'May22'!V44)</f>
        <v>0</v>
      </c>
      <c r="W14" s="49">
        <f>IF(Employee!H$112=E$9,Employee!D$113+SUM(N14)+'May22'!W44,SUM(N14)+'May22'!W44)</f>
        <v>0</v>
      </c>
      <c r="X14" s="49">
        <f>IF(O14=" ",'May22'!X44,O14+'May22'!X44)</f>
        <v>0</v>
      </c>
      <c r="Y14" s="49">
        <f>IF(P14=" ",'May22'!Y44,P14+'May22'!Y44)</f>
        <v>0</v>
      </c>
      <c r="Z14" s="49">
        <f>IF(Q14=" ",'May22'!Z44,Q14+'May22'!Z44)</f>
        <v>0</v>
      </c>
      <c r="AA14" s="49">
        <f>IF(R14=" ",'May22'!AA44,R14+'May22'!AA44)</f>
        <v>0</v>
      </c>
      <c r="AC14" s="49">
        <f>IF(T14=" ",'May22'!AC44,T14+'May22'!AC44)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IF(T$9="Y",'May22'!H45,0)</f>
        <v>0</v>
      </c>
      <c r="I15" s="245">
        <f>IF(T$9="Y",'May22'!I45,0)</f>
        <v>0</v>
      </c>
      <c r="J15" s="245">
        <f>IF(T$9="Y",'May22'!J45,0)</f>
        <v>0</v>
      </c>
      <c r="K15" s="245">
        <f>IF(T$9="Y",'May22'!K45,I15*J15)</f>
        <v>0</v>
      </c>
      <c r="L15" s="246">
        <f>IF(T$9="Y",'May22'!L45,0)</f>
        <v>0</v>
      </c>
      <c r="M15" s="111" t="str">
        <f>IF(E15=" "," ",IF(T$9="Y",'May22'!M45,IF((H15+K15+L15)&gt;0,H15+K15+L15,"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IF(Employee!H$138=E$9,Employee!D$138+SUM(M15)+'May22'!V45,SUM(M15)+'May22'!V45)</f>
        <v>0</v>
      </c>
      <c r="W15" s="49">
        <f>IF(Employee!H$138=E$9,Employee!D$139+SUM(N15)+'May22'!W45,SUM(N15)+'May22'!W45)</f>
        <v>0</v>
      </c>
      <c r="X15" s="49">
        <f>IF(O15=" ",'May22'!X45,O15+'May22'!X45)</f>
        <v>0</v>
      </c>
      <c r="Y15" s="49">
        <f>IF(P15=" ",'May22'!Y45,P15+'May22'!Y45)</f>
        <v>0</v>
      </c>
      <c r="Z15" s="49">
        <f>IF(Q15=" ",'May22'!Z45,Q15+'May22'!Z45)</f>
        <v>0</v>
      </c>
      <c r="AA15" s="49">
        <f>IF(R15=" ",'May22'!AA45,R15+'May22'!AA45)</f>
        <v>0</v>
      </c>
      <c r="AC15" s="49">
        <f>IF(T15=" ",'May22'!AC45,T15+'May22'!AC45)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10</v>
      </c>
      <c r="F19" s="35"/>
      <c r="G19" s="35"/>
      <c r="H19" s="379" t="s">
        <v>28</v>
      </c>
      <c r="I19" s="377"/>
      <c r="J19" s="378"/>
      <c r="K19" s="204">
        <f>M9+1</f>
        <v>44718</v>
      </c>
      <c r="L19" s="203" t="s">
        <v>76</v>
      </c>
      <c r="M19" s="205">
        <f>K19+6</f>
        <v>44724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11</v>
      </c>
      <c r="F29" s="35"/>
      <c r="G29" s="35"/>
      <c r="H29" s="379" t="s">
        <v>28</v>
      </c>
      <c r="I29" s="377"/>
      <c r="J29" s="378"/>
      <c r="K29" s="204">
        <f>M19+1</f>
        <v>44725</v>
      </c>
      <c r="L29" s="203" t="s">
        <v>76</v>
      </c>
      <c r="M29" s="205">
        <f>K29+6</f>
        <v>44731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12</v>
      </c>
      <c r="F39" s="35"/>
      <c r="G39" s="35"/>
      <c r="H39" s="379" t="s">
        <v>28</v>
      </c>
      <c r="I39" s="433"/>
      <c r="J39" s="434"/>
      <c r="K39" s="204">
        <f>M29+1</f>
        <v>44732</v>
      </c>
      <c r="L39" s="203" t="s">
        <v>76</v>
      </c>
      <c r="M39" s="205">
        <f>K39+6</f>
        <v>44738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24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9" t="s">
        <v>9</v>
      </c>
      <c r="C49" s="433"/>
      <c r="D49" s="434"/>
      <c r="E49" s="156">
        <v>13</v>
      </c>
      <c r="F49" s="35"/>
      <c r="G49" s="35"/>
      <c r="H49" s="379" t="s">
        <v>28</v>
      </c>
      <c r="I49" s="433"/>
      <c r="J49" s="434"/>
      <c r="K49" s="204">
        <f>M39+1</f>
        <v>44739</v>
      </c>
      <c r="L49" s="203" t="s">
        <v>76</v>
      </c>
      <c r="M49" s="205">
        <f>K49+6</f>
        <v>44745</v>
      </c>
      <c r="N49" s="20"/>
      <c r="O49" s="389" t="s">
        <v>63</v>
      </c>
      <c r="P49" s="435"/>
      <c r="Q49" s="435"/>
      <c r="R49" s="436"/>
      <c r="S49" s="35"/>
      <c r="T49" s="164"/>
      <c r="U49" s="324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4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4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4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4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4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4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4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30"/>
      <c r="C57" s="330"/>
      <c r="D57" s="330"/>
      <c r="E57" s="330"/>
      <c r="F57" s="330"/>
      <c r="G57" s="330"/>
      <c r="H57" s="330"/>
      <c r="I57" s="330"/>
      <c r="J57" s="330"/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24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3</v>
      </c>
      <c r="F59" s="35"/>
      <c r="G59" s="35"/>
      <c r="H59" s="379" t="s">
        <v>28</v>
      </c>
      <c r="I59" s="377"/>
      <c r="J59" s="378"/>
      <c r="K59" s="204">
        <f>Admin!B58</f>
        <v>44713</v>
      </c>
      <c r="L59" s="203" t="s">
        <v>76</v>
      </c>
      <c r="M59" s="205">
        <f>Admin!B87</f>
        <v>44742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IF(T$59="Y",'May22'!H51,0)</f>
        <v>0</v>
      </c>
      <c r="I61" s="89">
        <f>IF(T$59="Y",'May22'!I51,0)</f>
        <v>0</v>
      </c>
      <c r="J61" s="89">
        <f>IF(T$59="Y",'May22'!J51,0)</f>
        <v>0</v>
      </c>
      <c r="K61" s="89">
        <f>IF(T$59="Y",'May22'!K51,I61*J61)</f>
        <v>0</v>
      </c>
      <c r="L61" s="110">
        <f>IF(T$59="Y",'May22'!L51,0)</f>
        <v>0</v>
      </c>
      <c r="M61" s="99" t="str">
        <f>IF(E61=" "," ",IF(T$59="Y",'May22'!M51,IF((H61+K61+L61)&gt;0,H61+K61+L61,"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IF(Employee!H$35=E$59,Employee!D$34+SUM(M61)+'May22'!V51,SUM(M61)+'May22'!V51)</f>
        <v>0</v>
      </c>
      <c r="W61" s="49">
        <f>IF(Employee!H$35=E$59,Employee!D$35+SUM(N61)+'May22'!W51,SUM(N61)+'May22'!W51)</f>
        <v>0</v>
      </c>
      <c r="X61" s="49">
        <f>IF(O61=" ",'May22'!X51,O61+'May22'!X51)</f>
        <v>0</v>
      </c>
      <c r="Y61" s="49">
        <f>IF(P61=" ",'May22'!Y51,P61+'May22'!Y51)</f>
        <v>0</v>
      </c>
      <c r="Z61" s="49">
        <f>IF(Q61=" ",'May22'!Z51,Q61+'May22'!Z51)</f>
        <v>0</v>
      </c>
      <c r="AA61" s="49">
        <f>IF(R61=" ",'May22'!AA51,R61+'May22'!AA51)</f>
        <v>0</v>
      </c>
      <c r="AC61" s="49">
        <f>IF(T61=" ",'May22'!AC51,T61+'May22'!AC51)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IF(T$59="Y",'May22'!H52,0)</f>
        <v>0</v>
      </c>
      <c r="I62" s="92">
        <f>IF(T$59="Y",'May22'!I52,0)</f>
        <v>0</v>
      </c>
      <c r="J62" s="92">
        <f>IF(T$59="Y",'May22'!J52,0)</f>
        <v>0</v>
      </c>
      <c r="K62" s="92">
        <f>IF(T$59="Y",'May22'!K52,I62*J62)</f>
        <v>0</v>
      </c>
      <c r="L62" s="111">
        <f>IF(T$59="Y",'May22'!L52,0)</f>
        <v>0</v>
      </c>
      <c r="M62" s="100" t="str">
        <f>IF(E62=" "," ",IF(T$59="Y",'May22'!M52,IF((H62+K62+L62)&gt;0,H62+K62+L62,"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IF(Employee!H$61=E$59,Employee!D$60+SUM(M62)+'May22'!V52,SUM(M62)+'May22'!V52)</f>
        <v>0</v>
      </c>
      <c r="W62" s="49">
        <f>IF(Employee!H$61=E$59,Employee!D$61+SUM(N62)+'May22'!W52,SUM(N62)+'May22'!W52)</f>
        <v>0</v>
      </c>
      <c r="X62" s="49">
        <f>IF(O62=" ",'May22'!X52,O62+'May22'!X52)</f>
        <v>0</v>
      </c>
      <c r="Y62" s="49">
        <f>IF(P62=" ",'May22'!Y52,P62+'May22'!Y52)</f>
        <v>0</v>
      </c>
      <c r="Z62" s="49">
        <f>IF(Q62=" ",'May22'!Z52,Q62+'May22'!Z52)</f>
        <v>0</v>
      </c>
      <c r="AA62" s="49">
        <f>IF(R62=" ",'May22'!AA52,R62+'May22'!AA52)</f>
        <v>0</v>
      </c>
      <c r="AC62" s="49">
        <f>IF(T62=" ",'May22'!AC52,T62+'May22'!AC52)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IF(T$59="Y",'May22'!H53,0)</f>
        <v>0</v>
      </c>
      <c r="I63" s="92">
        <f>IF(T$59="Y",'May22'!I53,0)</f>
        <v>0</v>
      </c>
      <c r="J63" s="92">
        <f>IF(T$59="Y",'May22'!J53,0)</f>
        <v>0</v>
      </c>
      <c r="K63" s="92">
        <f>IF(T$59="Y",'May22'!K53,I63*J63)</f>
        <v>0</v>
      </c>
      <c r="L63" s="111">
        <f>IF(T$59="Y",'May22'!L53,0)</f>
        <v>0</v>
      </c>
      <c r="M63" s="100" t="str">
        <f>IF(E63=" "," ",IF(T$59="Y",'May22'!M53,IF((H63+K63+L63)&gt;0,H63+K63+L63,"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IF(Employee!H$87=E$59,Employee!D$86+SUM(M63)+'May22'!V53,SUM(M63)+'May22'!V53)</f>
        <v>0</v>
      </c>
      <c r="W63" s="49">
        <f>IF(Employee!H$87=E$59,Employee!D$87+SUM(N63)+'May22'!W53,SUM(N63)+'May22'!W53)</f>
        <v>0</v>
      </c>
      <c r="X63" s="49">
        <f>IF(O63=" ",'May22'!X53,O63+'May22'!X53)</f>
        <v>0</v>
      </c>
      <c r="Y63" s="49">
        <f>IF(P63=" ",'May22'!Y53,P63+'May22'!Y53)</f>
        <v>0</v>
      </c>
      <c r="Z63" s="49">
        <f>IF(Q63=" ",'May22'!Z53,Q63+'May22'!Z53)</f>
        <v>0</v>
      </c>
      <c r="AA63" s="49">
        <f>IF(R63=" ",'May22'!AA53,R63+'May22'!AA53)</f>
        <v>0</v>
      </c>
      <c r="AC63" s="49">
        <f>IF(T63=" ",'May22'!AC53,T63+'May22'!AC53)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IF(T$59="Y",'May22'!H54,0)</f>
        <v>0</v>
      </c>
      <c r="I64" s="92">
        <f>IF(T$59="Y",'May22'!I54,0)</f>
        <v>0</v>
      </c>
      <c r="J64" s="92">
        <f>IF(T$59="Y",'May22'!J54,0)</f>
        <v>0</v>
      </c>
      <c r="K64" s="92">
        <f>IF(T$59="Y",'May22'!K54,I64*J64)</f>
        <v>0</v>
      </c>
      <c r="L64" s="111">
        <f>IF(T$59="Y",'May22'!L54,0)</f>
        <v>0</v>
      </c>
      <c r="M64" s="100" t="str">
        <f>IF(E64=" "," ",IF(T$59="Y",'May22'!M54,IF((H64+K64+L64)&gt;0,H64+K64+L64,"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IF(Employee!H$113=E$59,Employee!D$112+SUM(M64)+'May22'!V54,SUM(M64)+'May22'!V54)</f>
        <v>0</v>
      </c>
      <c r="W64" s="49">
        <f>IF(Employee!H$113=E$59,Employee!D$113+SUM(N64)+'May22'!W54,SUM(N64)+'May22'!W54)</f>
        <v>0</v>
      </c>
      <c r="X64" s="49">
        <f>IF(O64=" ",'May22'!X54,O64+'May22'!X54)</f>
        <v>0</v>
      </c>
      <c r="Y64" s="49">
        <f>IF(P64=" ",'May22'!Y54,P64+'May22'!Y54)</f>
        <v>0</v>
      </c>
      <c r="Z64" s="49">
        <f>IF(Q64=" ",'May22'!Z54,Q64+'May22'!Z54)</f>
        <v>0</v>
      </c>
      <c r="AA64" s="49">
        <f>IF(R64=" ",'May22'!AA54,R64+'May22'!AA54)</f>
        <v>0</v>
      </c>
      <c r="AC64" s="49">
        <f>IF(T64=" ",'May22'!AC54,T64+'May22'!AC54)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IF(T$59="Y",'May22'!H55,0)</f>
        <v>0</v>
      </c>
      <c r="I65" s="245">
        <f>IF(T$59="Y",'May22'!I55,0)</f>
        <v>0</v>
      </c>
      <c r="J65" s="245">
        <f>IF(T$59="Y",'May22'!J55,0)</f>
        <v>0</v>
      </c>
      <c r="K65" s="245">
        <f>IF(T$59="Y",'May22'!K55,I65*J65)</f>
        <v>0</v>
      </c>
      <c r="L65" s="246">
        <f>IF(T$59="Y",'May22'!L55,0)</f>
        <v>0</v>
      </c>
      <c r="M65" s="100" t="str">
        <f>IF(E65=" "," ",IF(T$59="Y",'May22'!M55,IF((H65+K65+L65)&gt;0,H65+K65+L65,"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IF(Employee!H$139=E$59,Employee!D$138+SUM(M65)+'May22'!V55,SUM(M65)+'May22'!V55)</f>
        <v>0</v>
      </c>
      <c r="W65" s="49">
        <f>IF(Employee!H$139=E$59,Employee!D$139+SUM(N65)+'May22'!W55,SUM(N65)+'May22'!W55)</f>
        <v>0</v>
      </c>
      <c r="X65" s="49">
        <f>IF(O65=" ",'May22'!X55,O65+'May22'!X55)</f>
        <v>0</v>
      </c>
      <c r="Y65" s="49">
        <f>IF(P65=" ",'May22'!Y55,P65+'May22'!Y55)</f>
        <v>0</v>
      </c>
      <c r="Z65" s="49">
        <f>IF(Q65=" ",'May22'!Z55,Q65+'May22'!Z55)</f>
        <v>0</v>
      </c>
      <c r="AA65" s="49">
        <f>IF(R65=" ",'May22'!AA55,R65+'May22'!AA55)</f>
        <v>0</v>
      </c>
      <c r="AC65" s="49">
        <f>IF(T65=" ",'May22'!AC55,T65+'May22'!AC55)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AD70+'May22'!AD65</f>
        <v>0</v>
      </c>
      <c r="AE75" s="158">
        <f>AE70+'May22'!AE65</f>
        <v>0</v>
      </c>
      <c r="AF75" s="158">
        <f>AF70+'May22'!AF65</f>
        <v>0</v>
      </c>
      <c r="AG75" s="158">
        <f>AG70+'May22'!AG65</f>
        <v>0</v>
      </c>
    </row>
    <row r="76" spans="1:34" ht="14" thickTop="1" x14ac:dyDescent="0.15"/>
    <row r="77" spans="1:34" x14ac:dyDescent="0.15">
      <c r="AD77" s="162"/>
      <c r="AE77" s="158">
        <f>AE72+'May22'!AE67</f>
        <v>0</v>
      </c>
      <c r="AF77" s="158">
        <f>AF72+'May22'!AF67</f>
        <v>0</v>
      </c>
      <c r="AG77" s="158">
        <f>AG72+'May22'!AG67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15" customHeight="1" thickBot="1" x14ac:dyDescent="0.2">
      <c r="A7" s="324"/>
      <c r="B7" s="325"/>
      <c r="C7" s="325"/>
      <c r="D7" s="325"/>
      <c r="E7" s="326"/>
      <c r="F7" s="327"/>
      <c r="G7" s="160"/>
      <c r="H7" s="327"/>
      <c r="I7" s="327"/>
      <c r="J7" s="327"/>
      <c r="K7" s="327"/>
      <c r="L7" s="327"/>
      <c r="M7" s="328"/>
      <c r="N7" s="327"/>
      <c r="O7" s="327"/>
      <c r="P7" s="327"/>
      <c r="Q7" s="327"/>
      <c r="R7" s="328"/>
      <c r="S7" s="41"/>
      <c r="T7" s="327"/>
      <c r="U7" s="324"/>
      <c r="V7" s="327"/>
      <c r="W7" s="327"/>
      <c r="X7" s="327"/>
      <c r="Y7" s="329"/>
      <c r="Z7" s="327"/>
      <c r="AA7" s="327"/>
      <c r="AB7" s="41"/>
      <c r="AC7" s="327"/>
      <c r="AD7" s="323"/>
      <c r="AE7" s="323"/>
      <c r="AF7" s="323"/>
      <c r="AG7" s="323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14</v>
      </c>
      <c r="F9" s="35"/>
      <c r="G9" s="35"/>
      <c r="H9" s="379" t="s">
        <v>28</v>
      </c>
      <c r="I9" s="433"/>
      <c r="J9" s="434"/>
      <c r="K9" s="204">
        <f>Admin!B91</f>
        <v>44746</v>
      </c>
      <c r="L9" s="203" t="s">
        <v>76</v>
      </c>
      <c r="M9" s="205">
        <f>K9+6</f>
        <v>44752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IF(T$9="Y",'Jun22'!H41,0)</f>
        <v>0</v>
      </c>
      <c r="I11" s="89">
        <f>IF(T$9="Y",'Jun22'!I41,0)</f>
        <v>0</v>
      </c>
      <c r="J11" s="89">
        <f>IF(T$9="Y",'Jun22'!J41,0)</f>
        <v>0</v>
      </c>
      <c r="K11" s="89">
        <f>IF(T$9="Y",'Jun22'!K41,I11*J11)</f>
        <v>0</v>
      </c>
      <c r="L11" s="89">
        <f>IF(T$9="Y",'Jun22'!L41,0)</f>
        <v>0</v>
      </c>
      <c r="M11" s="99" t="str">
        <f>IF(E11=" "," ",IF(T$9="Y",'Jun22'!M41,IF((H11+K11+L11)&gt;0,H11+K11+L11,"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IF(Employee!H$34=E$9,Employee!D$34+SUM(M11)+'Jun22'!V51,SUM(M11)+'Jun22'!V51)</f>
        <v>0</v>
      </c>
      <c r="W11" s="49">
        <f>IF(Employee!H$34=E$9,Employee!D$35+SUM(N11)+'Jun22'!W51,SUM(N11)+'Jun22'!W51)</f>
        <v>0</v>
      </c>
      <c r="X11" s="49">
        <f>IF(O11=" ",'Jun22'!X51,O11+'Jun22'!X51)</f>
        <v>0</v>
      </c>
      <c r="Y11" s="49">
        <f>IF(P11=" ",'Jun22'!Y51,P11+'Jun22'!Y51)</f>
        <v>0</v>
      </c>
      <c r="Z11" s="49">
        <f>IF(Q11=" ",'Jun22'!Z51,Q11+'Jun22'!Z51)</f>
        <v>0</v>
      </c>
      <c r="AA11" s="49">
        <f>IF(R11=" ",'Jun22'!AA51,R11+'Jun22'!AA51)</f>
        <v>0</v>
      </c>
      <c r="AC11" s="49">
        <f>IF(T11=" ",'Jun22'!AC51,T11+'Jun22'!AC51)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IF(T$9="Y",'Jun22'!H42,0)</f>
        <v>0</v>
      </c>
      <c r="I12" s="92">
        <f>IF(T$9="Y",'Jun22'!I42,0)</f>
        <v>0</v>
      </c>
      <c r="J12" s="92">
        <f>IF(T$9="Y",'Jun22'!J42,0)</f>
        <v>0</v>
      </c>
      <c r="K12" s="92">
        <f>IF(T$9="Y",'Jun22'!K42,I12*J12)</f>
        <v>0</v>
      </c>
      <c r="L12" s="92">
        <f>IF(T$9="Y",'Jun22'!L42,0)</f>
        <v>0</v>
      </c>
      <c r="M12" s="100" t="str">
        <f>IF(E12=" "," ",IF(T$9="Y",'Jun22'!M42,IF((H12+K12+L12)&gt;0,H12+K12+L12,"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IF(Employee!H$60=E$9,Employee!D$60+SUM(M12)+'Jun22'!V52,SUM(M12)+'Jun22'!V52)</f>
        <v>0</v>
      </c>
      <c r="W12" s="49">
        <f>IF(Employee!H$60=E$9,Employee!D$61+SUM(N12)+'Jun22'!W52,SUM(N12)+'Jun22'!W52)</f>
        <v>0</v>
      </c>
      <c r="X12" s="49">
        <f>IF(O12=" ",'Jun22'!X52,O12+'Jun22'!X52)</f>
        <v>0</v>
      </c>
      <c r="Y12" s="49">
        <f>IF(P12=" ",'Jun22'!Y52,P12+'Jun22'!Y52)</f>
        <v>0</v>
      </c>
      <c r="Z12" s="49">
        <f>IF(Q12=" ",'Jun22'!Z52,Q12+'Jun22'!Z52)</f>
        <v>0</v>
      </c>
      <c r="AA12" s="49">
        <f>IF(R12=" ",'Jun22'!AA52,R12+'Jun22'!AA52)</f>
        <v>0</v>
      </c>
      <c r="AC12" s="49">
        <f>IF(T12=" ",'Jun22'!AC52,T12+'Jun22'!AC52)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IF(T$9="Y",'Jun22'!H43,0)</f>
        <v>0</v>
      </c>
      <c r="I13" s="92">
        <f>IF(T$9="Y",'Jun22'!I43,0)</f>
        <v>0</v>
      </c>
      <c r="J13" s="92">
        <f>IF(T$9="Y",'Jun22'!J43,0)</f>
        <v>0</v>
      </c>
      <c r="K13" s="92">
        <f>IF(T$9="Y",'Jun22'!K43,I13*J13)</f>
        <v>0</v>
      </c>
      <c r="L13" s="92">
        <f>IF(T$9="Y",'Jun22'!L43,0)</f>
        <v>0</v>
      </c>
      <c r="M13" s="100" t="str">
        <f>IF(E13=" "," ",IF(T$9="Y",'Jun22'!M43,IF((H13+K13+L13)&gt;0,H13+K13+L13,"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IF(Employee!H$86=E$9,Employee!D$86+SUM(M13)+'Jun22'!V53,SUM(M13)+'Jun22'!V53)</f>
        <v>0</v>
      </c>
      <c r="W13" s="49">
        <f>IF(Employee!H$86=E$9,Employee!D$87+SUM(N13)+'Jun22'!W53,SUM(N13)+'Jun22'!W53)</f>
        <v>0</v>
      </c>
      <c r="X13" s="49">
        <f>IF(O13=" ",'Jun22'!X53,O13+'Jun22'!X53)</f>
        <v>0</v>
      </c>
      <c r="Y13" s="49">
        <f>IF(P13=" ",'Jun22'!Y53,P13+'Jun22'!Y53)</f>
        <v>0</v>
      </c>
      <c r="Z13" s="49">
        <f>IF(Q13=" ",'Jun22'!Z53,Q13+'Jun22'!Z53)</f>
        <v>0</v>
      </c>
      <c r="AA13" s="49">
        <f>IF(R13=" ",'Jun22'!AA53,R13+'Jun22'!AA53)</f>
        <v>0</v>
      </c>
      <c r="AC13" s="49">
        <f>IF(T13=" ",'Jun22'!AC53,T13+'Jun22'!AC53)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IF(T$9="Y",'Jun22'!H44,0)</f>
        <v>0</v>
      </c>
      <c r="I14" s="92">
        <f>IF(T$9="Y",'Jun22'!I44,0)</f>
        <v>0</v>
      </c>
      <c r="J14" s="92">
        <f>IF(T$9="Y",'Jun22'!J44,0)</f>
        <v>0</v>
      </c>
      <c r="K14" s="92">
        <f>IF(T$9="Y",'Jun22'!K44,I14*J14)</f>
        <v>0</v>
      </c>
      <c r="L14" s="92">
        <f>IF(T$9="Y",'Jun22'!L44,0)</f>
        <v>0</v>
      </c>
      <c r="M14" s="100" t="str">
        <f>IF(E14=" "," ",IF(T$9="Y",'Jun22'!M44,IF((H14+K14+L14)&gt;0,H14+K14+L14,"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IF(Employee!H$112=E$9,Employee!D$112+SUM(M14)+'Jun22'!V54,SUM(M14)+'Jun22'!V54)</f>
        <v>0</v>
      </c>
      <c r="W14" s="49">
        <f>IF(Employee!H$112=E$9,Employee!D$113+SUM(N14)+'Jun22'!W54,SUM(N14)+'Jun22'!W54)</f>
        <v>0</v>
      </c>
      <c r="X14" s="49">
        <f>IF(O14=" ",'Jun22'!X54,O14+'Jun22'!X54)</f>
        <v>0</v>
      </c>
      <c r="Y14" s="49">
        <f>IF(P14=" ",'Jun22'!Y54,P14+'Jun22'!Y54)</f>
        <v>0</v>
      </c>
      <c r="Z14" s="49">
        <f>IF(Q14=" ",'Jun22'!Z54,Q14+'Jun22'!Z54)</f>
        <v>0</v>
      </c>
      <c r="AA14" s="49">
        <f>IF(R14=" ",'Jun22'!AA54,R14+'Jun22'!AA54)</f>
        <v>0</v>
      </c>
      <c r="AC14" s="49">
        <f>IF(T14=" ",'Jun22'!AC54,T14+'Jun22'!AC54)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IF(T$9="Y",'Jun22'!H45,0)</f>
        <v>0</v>
      </c>
      <c r="I15" s="245">
        <f>IF(T$9="Y",'Jun22'!I45,0)</f>
        <v>0</v>
      </c>
      <c r="J15" s="245">
        <f>IF(T$9="Y",'Jun22'!J45,0)</f>
        <v>0</v>
      </c>
      <c r="K15" s="245">
        <f>IF(T$9="Y",'Jun22'!K45,I15*J15)</f>
        <v>0</v>
      </c>
      <c r="L15" s="245">
        <f>IF(T$9="Y",'Jun22'!L45,0)</f>
        <v>0</v>
      </c>
      <c r="M15" s="247" t="str">
        <f>IF(E15=" "," ",IF(T$9="Y",'Jun22'!M45,IF((H15+K15+L15)&gt;0,H15+K15+L15,"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IF(Employee!H$138=E$9,Employee!D$138+SUM(M15)+'Jun22'!V55,SUM(M15)+'Jun22'!V55)</f>
        <v>0</v>
      </c>
      <c r="W15" s="49">
        <f>IF(Employee!H$138=E$9,Employee!D$139+SUM(N15)+'Jun22'!W55,SUM(N15)+'Jun22'!W55)</f>
        <v>0</v>
      </c>
      <c r="X15" s="49">
        <f>IF(O15=" ",'Jun22'!X55,O15+'Jun22'!X55)</f>
        <v>0</v>
      </c>
      <c r="Y15" s="49">
        <f>IF(P15=" ",'Jun22'!Y55,P15+'Jun22'!Y55)</f>
        <v>0</v>
      </c>
      <c r="Z15" s="49">
        <f>IF(Q15=" ",'Jun22'!Z55,Q15+'Jun22'!Z55)</f>
        <v>0</v>
      </c>
      <c r="AA15" s="49">
        <f>IF(R15=" ",'Jun22'!AA55,R15+'Jun22'!AA55)</f>
        <v>0</v>
      </c>
      <c r="AC15" s="49">
        <f>IF(T15=" ",'Jun22'!AC55,T15+'Jun22'!AC55)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15</v>
      </c>
      <c r="F19" s="35"/>
      <c r="G19" s="35"/>
      <c r="H19" s="379" t="s">
        <v>28</v>
      </c>
      <c r="I19" s="377"/>
      <c r="J19" s="378"/>
      <c r="K19" s="204">
        <f>M9+1</f>
        <v>44753</v>
      </c>
      <c r="L19" s="203" t="s">
        <v>76</v>
      </c>
      <c r="M19" s="205">
        <f>K19+6</f>
        <v>44759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16</v>
      </c>
      <c r="F29" s="35"/>
      <c r="G29" s="35"/>
      <c r="H29" s="379" t="s">
        <v>28</v>
      </c>
      <c r="I29" s="377"/>
      <c r="J29" s="378"/>
      <c r="K29" s="204">
        <f>M19+1</f>
        <v>44760</v>
      </c>
      <c r="L29" s="203" t="s">
        <v>76</v>
      </c>
      <c r="M29" s="205">
        <f>K29+6</f>
        <v>44766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17</v>
      </c>
      <c r="F39" s="35"/>
      <c r="G39" s="35"/>
      <c r="H39" s="379" t="s">
        <v>28</v>
      </c>
      <c r="I39" s="377"/>
      <c r="J39" s="378"/>
      <c r="K39" s="204">
        <f>M29+1</f>
        <v>44767</v>
      </c>
      <c r="L39" s="203" t="s">
        <v>76</v>
      </c>
      <c r="M39" s="205">
        <f>K39+6</f>
        <v>44773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4</v>
      </c>
      <c r="F49" s="35"/>
      <c r="G49" s="35"/>
      <c r="H49" s="379" t="s">
        <v>28</v>
      </c>
      <c r="I49" s="377"/>
      <c r="J49" s="378"/>
      <c r="K49" s="204">
        <f>Admin!B88</f>
        <v>44743</v>
      </c>
      <c r="L49" s="203" t="s">
        <v>76</v>
      </c>
      <c r="M49" s="205">
        <f>Admin!B118</f>
        <v>44773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IF(T$49="Y",'Jun22'!H61,0)</f>
        <v>0</v>
      </c>
      <c r="I51" s="89">
        <f>IF(T$49="Y",'Jun22'!I61,0)</f>
        <v>0</v>
      </c>
      <c r="J51" s="89">
        <f>IF(T$49="Y",'Jun22'!J61,0)</f>
        <v>0</v>
      </c>
      <c r="K51" s="89">
        <f>IF(T$49="Y",'Jun22'!K61,I51*J51)</f>
        <v>0</v>
      </c>
      <c r="L51" s="110">
        <f>IF(T$49="Y",'Jun22'!L61,0)</f>
        <v>0</v>
      </c>
      <c r="M51" s="99" t="str">
        <f>IF(E51=" "," ",IF(T$49="Y",'Jun22'!M61,IF((H51+K51+L51)&gt;0,H51+K51+L51,"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IF(Employee!H$35=E$49,Employee!D$34+SUM(M51)+'Jun22'!V61,SUM(M51)+'Jun22'!V61)</f>
        <v>0</v>
      </c>
      <c r="W51" s="49">
        <f>IF(Employee!H$35=E$49,Employee!D$35+SUM(N51)+'Jun22'!W61,SUM(N51)+'Jun22'!W61)</f>
        <v>0</v>
      </c>
      <c r="X51" s="49">
        <f>IF(O51=" ",'Jun22'!X61,O51+'Jun22'!X61)</f>
        <v>0</v>
      </c>
      <c r="Y51" s="49">
        <f>IF(P51=" ",'Jun22'!Y61,P51+'Jun22'!Y61)</f>
        <v>0</v>
      </c>
      <c r="Z51" s="49">
        <f>IF(Q51=" ",'Jun22'!Z61,Q51+'Jun22'!Z61)</f>
        <v>0</v>
      </c>
      <c r="AA51" s="49">
        <f>IF(R51=" ",'Jun22'!AA61,R51+'Jun22'!AA61)</f>
        <v>0</v>
      </c>
      <c r="AC51" s="49">
        <f>IF(T51=" ",'Jun22'!AC61,T51+'Jun22'!AC61)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IF(T$49="Y",'Jun22'!H62,0)</f>
        <v>0</v>
      </c>
      <c r="I52" s="92">
        <f>IF(T$49="Y",'Jun22'!I62,0)</f>
        <v>0</v>
      </c>
      <c r="J52" s="92">
        <f>IF(T$49="Y",'Jun22'!J62,0)</f>
        <v>0</v>
      </c>
      <c r="K52" s="92">
        <f>IF(T$49="Y",'Jun22'!K62,I52*J52)</f>
        <v>0</v>
      </c>
      <c r="L52" s="111">
        <f>IF(T$49="Y",'Jun22'!L62,0)</f>
        <v>0</v>
      </c>
      <c r="M52" s="100" t="str">
        <f>IF(E52=" "," ",IF(T$49="Y",'Jun22'!M62,IF((H52+K52+L52)&gt;0,H52+K52+L52,"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IF(Employee!H$61=E$49,Employee!D$60+SUM(M52)+'Jun22'!V62,SUM(M52)+'Jun22'!V62)</f>
        <v>0</v>
      </c>
      <c r="W52" s="49">
        <f>IF(Employee!H$61=E$49,Employee!D$61+SUM(N52)+'Jun22'!W62,SUM(N52)+'Jun22'!W62)</f>
        <v>0</v>
      </c>
      <c r="X52" s="49">
        <f>IF(O52=" ",'Jun22'!X62,O52+'Jun22'!X62)</f>
        <v>0</v>
      </c>
      <c r="Y52" s="49">
        <f>IF(P52=" ",'Jun22'!Y62,P52+'Jun22'!Y62)</f>
        <v>0</v>
      </c>
      <c r="Z52" s="49">
        <f>IF(Q52=" ",'Jun22'!Z62,Q52+'Jun22'!Z62)</f>
        <v>0</v>
      </c>
      <c r="AA52" s="49">
        <f>IF(R52=" ",'Jun22'!AA62,R52+'Jun22'!AA62)</f>
        <v>0</v>
      </c>
      <c r="AC52" s="49">
        <f>IF(T52=" ",'Jun22'!AC62,T52+'Jun22'!AC62)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IF(T$49="Y",'Jun22'!H63,0)</f>
        <v>0</v>
      </c>
      <c r="I53" s="92">
        <f>IF(T$49="Y",'Jun22'!I63,0)</f>
        <v>0</v>
      </c>
      <c r="J53" s="92">
        <f>IF(T$49="Y",'Jun22'!J63,0)</f>
        <v>0</v>
      </c>
      <c r="K53" s="92">
        <f>IF(T$49="Y",'Jun22'!K63,I53*J53)</f>
        <v>0</v>
      </c>
      <c r="L53" s="111">
        <f>IF(T$49="Y",'Jun22'!L63,0)</f>
        <v>0</v>
      </c>
      <c r="M53" s="100" t="str">
        <f>IF(E53=" "," ",IF(T$49="Y",'Jun22'!M63,IF((H53+K53+L53)&gt;0,H53+K53+L53,"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IF(Employee!H$87=E$49,Employee!D$86+SUM(M53)+'Jun22'!V63,SUM(M53)+'Jun22'!V63)</f>
        <v>0</v>
      </c>
      <c r="W53" s="49">
        <f>IF(Employee!H$87=E$49,Employee!D$87+SUM(N53)+'Jun22'!W63,SUM(N53)+'Jun22'!W63)</f>
        <v>0</v>
      </c>
      <c r="X53" s="49">
        <f>IF(O53=" ",'Jun22'!X63,O53+'Jun22'!X63)</f>
        <v>0</v>
      </c>
      <c r="Y53" s="49">
        <f>IF(P53=" ",'Jun22'!Y63,P53+'Jun22'!Y63)</f>
        <v>0</v>
      </c>
      <c r="Z53" s="49">
        <f>IF(Q53=" ",'Jun22'!Z63,Q53+'Jun22'!Z63)</f>
        <v>0</v>
      </c>
      <c r="AA53" s="49">
        <f>IF(R53=" ",'Jun22'!AA63,R53+'Jun22'!AA63)</f>
        <v>0</v>
      </c>
      <c r="AC53" s="49">
        <f>IF(T53=" ",'Jun22'!AC63,T53+'Jun22'!AC63)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IF(T$49="Y",'Jun22'!H64,0)</f>
        <v>0</v>
      </c>
      <c r="I54" s="92">
        <f>IF(T$49="Y",'Jun22'!I64,0)</f>
        <v>0</v>
      </c>
      <c r="J54" s="92">
        <f>IF(T$49="Y",'Jun22'!J64,0)</f>
        <v>0</v>
      </c>
      <c r="K54" s="92">
        <f>IF(T$49="Y",'Jun22'!K64,I54*J54)</f>
        <v>0</v>
      </c>
      <c r="L54" s="111">
        <f>IF(T$49="Y",'Jun22'!L64,0)</f>
        <v>0</v>
      </c>
      <c r="M54" s="100" t="str">
        <f>IF(E54=" "," ",IF(T$49="Y",'Jun22'!M64,IF((H54+K54+L54)&gt;0,H54+K54+L54,"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IF(Employee!H$113=E$49,Employee!D$112+SUM(M54)+'Jun22'!V64,SUM(M54)+'Jun22'!V64)</f>
        <v>0</v>
      </c>
      <c r="W54" s="49">
        <f>IF(Employee!H$113=E$49,Employee!D$113+SUM(N54)+'Jun22'!W64,SUM(N54)+'Jun22'!W64)</f>
        <v>0</v>
      </c>
      <c r="X54" s="49">
        <f>IF(O54=" ",'Jun22'!X64,O54+'Jun22'!X64)</f>
        <v>0</v>
      </c>
      <c r="Y54" s="49">
        <f>IF(P54=" ",'Jun22'!Y64,P54+'Jun22'!Y64)</f>
        <v>0</v>
      </c>
      <c r="Z54" s="49">
        <f>IF(Q54=" ",'Jun22'!Z64,Q54+'Jun22'!Z64)</f>
        <v>0</v>
      </c>
      <c r="AA54" s="49">
        <f>IF(R54=" ",'Jun22'!AA64,R54+'Jun22'!AA64)</f>
        <v>0</v>
      </c>
      <c r="AC54" s="49">
        <f>IF(T54=" ",'Jun22'!AC64,T54+'Jun22'!AC64)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IF(T$49="Y",'Jun22'!H65,0)</f>
        <v>0</v>
      </c>
      <c r="I55" s="245">
        <f>IF(T$49="Y",'Jun22'!I65,0)</f>
        <v>0</v>
      </c>
      <c r="J55" s="245">
        <f>IF(T$49="Y",'Jun22'!J65,0)</f>
        <v>0</v>
      </c>
      <c r="K55" s="245">
        <f>IF(T$49="Y",'Jun22'!K65,I55*J55)</f>
        <v>0</v>
      </c>
      <c r="L55" s="246">
        <f>IF(T$49="Y",'Jun22'!L65,0)</f>
        <v>0</v>
      </c>
      <c r="M55" s="100" t="str">
        <f>IF(E55=" "," ",IF(T$49="Y",'Jun22'!M65,IF((H55+K55+L55)&gt;0,H55+K55+L55,"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IF(Employee!H$139=E$49,Employee!D$138+SUM(M55)+'Jun22'!V65,SUM(M55)+'Jun22'!V65)</f>
        <v>0</v>
      </c>
      <c r="W55" s="49">
        <f>IF(Employee!H$139=E$49,Employee!D$139+SUM(N55)+'Jun22'!W65,SUM(N55)+'Jun22'!W65)</f>
        <v>0</v>
      </c>
      <c r="X55" s="49">
        <f>IF(O55=" ",'Jun22'!X65,O55+'Jun22'!X65)</f>
        <v>0</v>
      </c>
      <c r="Y55" s="49">
        <f>IF(P55=" ",'Jun22'!Y65,P55+'Jun22'!Y65)</f>
        <v>0</v>
      </c>
      <c r="Z55" s="49">
        <f>IF(Q55=" ",'Jun22'!Z65,Q55+'Jun22'!Z65)</f>
        <v>0</v>
      </c>
      <c r="AA55" s="49">
        <f>IF(R55=" ",'Jun22'!AA65,R55+'Jun22'!AA65)</f>
        <v>0</v>
      </c>
      <c r="AC55" s="49">
        <f>IF(T55=" ",'Jun22'!AC65,T55+'Jun22'!AC65)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AD60+'Jun22'!AD75</f>
        <v>0</v>
      </c>
      <c r="AE65" s="158">
        <f>AE60+'Jun22'!AE75</f>
        <v>0</v>
      </c>
      <c r="AF65" s="158">
        <f>AF60+'Jun22'!AF75</f>
        <v>0</v>
      </c>
      <c r="AG65" s="158">
        <f>AG60+'Jun22'!AG75</f>
        <v>0</v>
      </c>
    </row>
    <row r="66" spans="6:33" ht="14" thickTop="1" x14ac:dyDescent="0.15"/>
    <row r="67" spans="6:33" x14ac:dyDescent="0.15">
      <c r="AD67" s="162"/>
      <c r="AE67" s="158">
        <f>AE62+'Jun22'!AE77</f>
        <v>0</v>
      </c>
      <c r="AF67" s="158">
        <f>AF62+'Jun22'!AF77</f>
        <v>0</v>
      </c>
      <c r="AG67" s="158">
        <f>AG62+'Jun22'!AG77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18</v>
      </c>
      <c r="F9" s="35"/>
      <c r="G9" s="35"/>
      <c r="H9" s="379" t="s">
        <v>28</v>
      </c>
      <c r="I9" s="377"/>
      <c r="J9" s="378"/>
      <c r="K9" s="204">
        <f>Admin!B119</f>
        <v>44774</v>
      </c>
      <c r="L9" s="203" t="s">
        <v>76</v>
      </c>
      <c r="M9" s="205">
        <f>K9+6</f>
        <v>44780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IF(T$9="Y",'Jul22'!#REF!,0)</f>
        <v>0</v>
      </c>
      <c r="I11" s="89">
        <f>IF(T$9="Y",'Jul22'!#REF!,0)</f>
        <v>0</v>
      </c>
      <c r="J11" s="89">
        <f>IF(T$9="Y",'Jul22'!#REF!,0)</f>
        <v>0</v>
      </c>
      <c r="K11" s="89">
        <v>0</v>
      </c>
      <c r="L11" s="110">
        <f>IF(T$9="Y",'Jul22'!#REF!,0)</f>
        <v>0</v>
      </c>
      <c r="M11" s="110" t="str">
        <f>IF(E11=" "," ",IF(T$9="Y",'Jul22'!#REF!,IF((H11+K11+L11)&gt;0,H11+K11+L11,"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IF(Employee!H$34=E$9,Employee!D$34+SUM(M11)+'Jul22'!V41,SUM(M11)+'Jul22'!V41)</f>
        <v>0</v>
      </c>
      <c r="W11" s="49">
        <f>IF(Employee!H$34=E$9,Employee!D$35+SUM(N11)+'Jul22'!W41,SUM(N11)+'Jul22'!W41)</f>
        <v>0</v>
      </c>
      <c r="X11" s="49">
        <f>IF(O11=" ",'Jul22'!X41,O11+'Jul22'!X41)</f>
        <v>0</v>
      </c>
      <c r="Y11" s="49">
        <f>IF(P11=" ",'Jul22'!Y41,P11+'Jul22'!Y41)</f>
        <v>0</v>
      </c>
      <c r="Z11" s="49">
        <f>IF(Q11=" ",'Jul22'!Z41,Q11+'Jul22'!Z41)</f>
        <v>0</v>
      </c>
      <c r="AA11" s="49">
        <f>IF(R11=" ",'Jul22'!AA41,R11+'Jul22'!AA41)</f>
        <v>0</v>
      </c>
      <c r="AC11" s="49">
        <f>IF(T11=" ",'Jul22'!AC41,T11+'Jul22'!AC41)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IF(T$9="Y",'Jul22'!#REF!,0)</f>
        <v>0</v>
      </c>
      <c r="I12" s="92">
        <f>IF(T$9="Y",'Jul22'!#REF!,0)</f>
        <v>0</v>
      </c>
      <c r="J12" s="92">
        <f>IF(T$9="Y",'Jul22'!#REF!,0)</f>
        <v>0</v>
      </c>
      <c r="K12" s="92">
        <f>IF(T$9="Y",'Jul22'!#REF!,I12*J12)</f>
        <v>0</v>
      </c>
      <c r="L12" s="111">
        <f>IF(T$9="Y",'Jul22'!#REF!,0)</f>
        <v>0</v>
      </c>
      <c r="M12" s="111" t="str">
        <f>IF(E12=" "," ",IF(T$9="Y",'Jul22'!#REF!,IF((H12+K12+L12)&gt;0,H12+K12+L12,"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IF(Employee!H$60=E$9,Employee!D$60+SUM(M12)+'Jul22'!V42,SUM(M12)+'Jul22'!V42)</f>
        <v>0</v>
      </c>
      <c r="W12" s="49">
        <f>IF(Employee!H$60=E$9,Employee!D$61+SUM(N12)+'Jul22'!W42,SUM(N12)+'Jul22'!W42)</f>
        <v>0</v>
      </c>
      <c r="X12" s="49">
        <f>IF(O12=" ",'Jul22'!X42,O12+'Jul22'!X42)</f>
        <v>0</v>
      </c>
      <c r="Y12" s="49">
        <f>IF(P12=" ",'Jul22'!Y42,P12+'Jul22'!Y42)</f>
        <v>0</v>
      </c>
      <c r="Z12" s="49">
        <f>IF(Q12=" ",'Jul22'!Z42,Q12+'Jul22'!Z42)</f>
        <v>0</v>
      </c>
      <c r="AA12" s="49">
        <f>IF(R12=" ",'Jul22'!AA42,R12+'Jul22'!AA42)</f>
        <v>0</v>
      </c>
      <c r="AC12" s="49">
        <f>IF(T12=" ",'Jul22'!AC42,T12+'Jul22'!AC42)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IF(T$9="Y",'Jul22'!#REF!,0)</f>
        <v>0</v>
      </c>
      <c r="I13" s="92">
        <f>IF(T$9="Y",'Jul22'!#REF!,0)</f>
        <v>0</v>
      </c>
      <c r="J13" s="92">
        <f>IF(T$9="Y",'Jul22'!#REF!,0)</f>
        <v>0</v>
      </c>
      <c r="K13" s="92">
        <f>IF(T$9="Y",'Jul22'!#REF!,I13*J13)</f>
        <v>0</v>
      </c>
      <c r="L13" s="111">
        <f>IF(T$9="Y",'Jul22'!#REF!,0)</f>
        <v>0</v>
      </c>
      <c r="M13" s="111" t="str">
        <f>IF(E13=" "," ",IF(T$9="Y",'Jul22'!#REF!,IF((H13+K13+L13)&gt;0,H13+K13+L13,"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IF(Employee!H$86=E$9,Employee!D$86+SUM(M13)+'Jul22'!V43,SUM(M13)+'Jul22'!V43)</f>
        <v>0</v>
      </c>
      <c r="W13" s="49">
        <f>IF(Employee!H$86=E$9,Employee!D$87+SUM(N13)+'Jul22'!W43,SUM(N13)+'Jul22'!W43)</f>
        <v>0</v>
      </c>
      <c r="X13" s="49">
        <f>IF(O13=" ",'Jul22'!X43,O13+'Jul22'!X43)</f>
        <v>0</v>
      </c>
      <c r="Y13" s="49">
        <f>IF(P13=" ",'Jul22'!Y43,P13+'Jul22'!Y43)</f>
        <v>0</v>
      </c>
      <c r="Z13" s="49">
        <f>IF(Q13=" ",'Jul22'!Z43,Q13+'Jul22'!Z43)</f>
        <v>0</v>
      </c>
      <c r="AA13" s="49">
        <f>IF(R13=" ",'Jul22'!AA43,R13+'Jul22'!AA43)</f>
        <v>0</v>
      </c>
      <c r="AC13" s="49">
        <f>IF(T13=" ",'Jul22'!AC43,T13+'Jul22'!AC43)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IF(T$9="Y",'Jul22'!#REF!,0)</f>
        <v>0</v>
      </c>
      <c r="I14" s="92">
        <f>IF(T$9="Y",'Jul22'!#REF!,0)</f>
        <v>0</v>
      </c>
      <c r="J14" s="92">
        <f>IF(T$9="Y",'Jul22'!#REF!,0)</f>
        <v>0</v>
      </c>
      <c r="K14" s="92">
        <f>IF(T$9="Y",'Jul22'!#REF!,I14*J14)</f>
        <v>0</v>
      </c>
      <c r="L14" s="111">
        <f>IF(T$9="Y",'Jul22'!#REF!,0)</f>
        <v>0</v>
      </c>
      <c r="M14" s="111" t="str">
        <f>IF(E14=" "," ",IF(T$9="Y",'Jul22'!#REF!,IF((H14+K14+L14)&gt;0,H14+K14+L14,"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IF(Employee!H$112=E$9,Employee!D$112+SUM(M14)+'Jul22'!V44,SUM(M14)+'Jul22'!V44)</f>
        <v>0</v>
      </c>
      <c r="W14" s="49">
        <f>IF(Employee!H$112=E$9,Employee!D$113+SUM(N14)+'Jul22'!W44,SUM(N14)+'Jul22'!W44)</f>
        <v>0</v>
      </c>
      <c r="X14" s="49">
        <f>IF(O14=" ",'Jul22'!X44,O14+'Jul22'!X44)</f>
        <v>0</v>
      </c>
      <c r="Y14" s="49">
        <f>IF(P14=" ",'Jul22'!Y44,P14+'Jul22'!Y44)</f>
        <v>0</v>
      </c>
      <c r="Z14" s="49">
        <f>IF(Q14=" ",'Jul22'!Z44,Q14+'Jul22'!Z44)</f>
        <v>0</v>
      </c>
      <c r="AA14" s="49">
        <f>IF(R14=" ",'Jul22'!AA44,R14+'Jul22'!AA44)</f>
        <v>0</v>
      </c>
      <c r="AC14" s="49">
        <f>IF(T14=" ",'Jul22'!AC44,T14+'Jul22'!AC44)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IF(T$9="Y",'Jul22'!#REF!,0)</f>
        <v>0</v>
      </c>
      <c r="I15" s="245">
        <f>IF(T$9="Y",'Jul22'!#REF!,0)</f>
        <v>0</v>
      </c>
      <c r="J15" s="245">
        <f>IF(T$9="Y",'Jul22'!#REF!,0)</f>
        <v>0</v>
      </c>
      <c r="K15" s="245">
        <f>IF(T$9="Y",'Jul22'!#REF!,I15*J15)</f>
        <v>0</v>
      </c>
      <c r="L15" s="246">
        <f>IF(T$9="Y",'Jul22'!#REF!,0)</f>
        <v>0</v>
      </c>
      <c r="M15" s="246" t="str">
        <f>IF(E15=" "," ",IF(T$9="Y",'Jul22'!#REF!,IF((H15+K15+L15)&gt;0,H15+K15+L15,"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IF(Employee!H$138=E$9,Employee!D$138+SUM(M15)+'Jul22'!V45,SUM(M15)+'Jul22'!V45)</f>
        <v>0</v>
      </c>
      <c r="W15" s="49">
        <f>IF(Employee!H$138=E$9,Employee!D$139+SUM(N15)+'Jul22'!W45,SUM(N15)+'Jul22'!W45)</f>
        <v>0</v>
      </c>
      <c r="X15" s="49">
        <f>IF(O15=" ",'Jul22'!X45,O15+'Jul22'!X45)</f>
        <v>0</v>
      </c>
      <c r="Y15" s="49">
        <f>IF(P15=" ",'Jul22'!Y45,P15+'Jul22'!Y45)</f>
        <v>0</v>
      </c>
      <c r="Z15" s="49">
        <f>IF(Q15=" ",'Jul22'!Z45,Q15+'Jul22'!Z45)</f>
        <v>0</v>
      </c>
      <c r="AA15" s="49">
        <f>IF(R15=" ",'Jul22'!AA45,R15+'Jul22'!AA45)</f>
        <v>0</v>
      </c>
      <c r="AC15" s="49">
        <f>IF(T15=" ",'Jul22'!AC45,T15+'Jul22'!AC45)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19</v>
      </c>
      <c r="F19" s="35"/>
      <c r="G19" s="35"/>
      <c r="H19" s="379" t="s">
        <v>28</v>
      </c>
      <c r="I19" s="377"/>
      <c r="J19" s="378"/>
      <c r="K19" s="204">
        <f>M9+1</f>
        <v>44781</v>
      </c>
      <c r="L19" s="203" t="s">
        <v>76</v>
      </c>
      <c r="M19" s="205">
        <f>K19+6</f>
        <v>44787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20</v>
      </c>
      <c r="F29" s="35"/>
      <c r="G29" s="35"/>
      <c r="H29" s="379" t="s">
        <v>28</v>
      </c>
      <c r="I29" s="377"/>
      <c r="J29" s="378"/>
      <c r="K29" s="204">
        <f>M19+1</f>
        <v>44788</v>
      </c>
      <c r="L29" s="203" t="s">
        <v>76</v>
      </c>
      <c r="M29" s="205">
        <f>K29+6</f>
        <v>44794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21</v>
      </c>
      <c r="F39" s="35"/>
      <c r="G39" s="35"/>
      <c r="H39" s="379" t="s">
        <v>28</v>
      </c>
      <c r="I39" s="433"/>
      <c r="J39" s="434"/>
      <c r="K39" s="204">
        <f>M29+1</f>
        <v>44795</v>
      </c>
      <c r="L39" s="203" t="s">
        <v>76</v>
      </c>
      <c r="M39" s="205">
        <f>K39+6</f>
        <v>44801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5</v>
      </c>
      <c r="F49" s="35"/>
      <c r="G49" s="35"/>
      <c r="H49" s="379" t="s">
        <v>28</v>
      </c>
      <c r="I49" s="377"/>
      <c r="J49" s="378"/>
      <c r="K49" s="204">
        <f>Admin!B119</f>
        <v>44774</v>
      </c>
      <c r="L49" s="203" t="s">
        <v>76</v>
      </c>
      <c r="M49" s="205">
        <f>Admin!B149</f>
        <v>44804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IF(T$49="Y",'Jul22'!H51,0)</f>
        <v>0</v>
      </c>
      <c r="I51" s="89">
        <f>IF(T$49="Y",'Jul22'!I51,0)</f>
        <v>0</v>
      </c>
      <c r="J51" s="89">
        <f>IF(T$49="Y",'Jul22'!J51,0)</f>
        <v>0</v>
      </c>
      <c r="K51" s="89">
        <f>IF(T$49="Y",'Jul22'!K51,I51*J51)</f>
        <v>0</v>
      </c>
      <c r="L51" s="89">
        <f>IF(T$49="Y",'Jul22'!L51,0)</f>
        <v>0</v>
      </c>
      <c r="M51" s="99" t="str">
        <f>IF(E51=" "," ",IF(T$49="Y",'Jul22'!M51,IF((H51+K51+L51)&gt;0,H51+K51+L51,"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IF(Employee!H$35=E$49,Employee!D$34+SUM(M51)+'Jul22'!V51,SUM(M51)+'Jul22'!V51)</f>
        <v>0</v>
      </c>
      <c r="W51" s="49">
        <f>IF(Employee!H$35=E$49,Employee!D$35+SUM(N51)+'Jul22'!W51,SUM(N51)+'Jul22'!W51)</f>
        <v>0</v>
      </c>
      <c r="X51" s="49">
        <f>IF(O51=" ",'Jul22'!X51,O51+'Jul22'!X51)</f>
        <v>0</v>
      </c>
      <c r="Y51" s="49">
        <f>IF(P51=" ",'Jul22'!Y51,P51+'Jul22'!Y51)</f>
        <v>0</v>
      </c>
      <c r="Z51" s="49">
        <f>IF(Q51=" ",'Jul22'!Z51,Q51+'Jul22'!Z51)</f>
        <v>0</v>
      </c>
      <c r="AA51" s="49">
        <f>IF(R51=" ",'Jul22'!AA51,R51+'Jul22'!AA51)</f>
        <v>0</v>
      </c>
      <c r="AC51" s="49">
        <f>IF(T51=" ",'Jul22'!AC51,T51+'Jul22'!AC51)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IF(T$49="Y",'Jul22'!H52,0)</f>
        <v>0</v>
      </c>
      <c r="I52" s="92">
        <f>IF(T$49="Y",'Jul22'!I52,0)</f>
        <v>0</v>
      </c>
      <c r="J52" s="92">
        <f>IF(T$49="Y",'Jul22'!J52,0)</f>
        <v>0</v>
      </c>
      <c r="K52" s="92">
        <f>IF(T$49="Y",'Jul22'!K52,I52*J52)</f>
        <v>0</v>
      </c>
      <c r="L52" s="92">
        <f>IF(T$49="Y",'Jul22'!L52,0)</f>
        <v>0</v>
      </c>
      <c r="M52" s="100" t="str">
        <f>IF(E52=" "," ",IF(T$49="Y",'Jul22'!M52,IF((H52+K52+L52)&gt;0,H52+K52+L52,"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IF(Employee!H$61=E$49,Employee!D$60+SUM(M52)+'Jul22'!V52,SUM(M52)+'Jul22'!V52)</f>
        <v>0</v>
      </c>
      <c r="W52" s="49">
        <f>IF(Employee!H$61=E$49,Employee!D$61+SUM(N52)+'Jul22'!W52,SUM(N52)+'Jul22'!W52)</f>
        <v>0</v>
      </c>
      <c r="X52" s="49">
        <f>IF(O52=" ",'Jul22'!X52,O52+'Jul22'!X52)</f>
        <v>0</v>
      </c>
      <c r="Y52" s="49">
        <f>IF(P52=" ",'Jul22'!Y52,P52+'Jul22'!Y52)</f>
        <v>0</v>
      </c>
      <c r="Z52" s="49">
        <f>IF(Q52=" ",'Jul22'!Z52,Q52+'Jul22'!Z52)</f>
        <v>0</v>
      </c>
      <c r="AA52" s="49">
        <f>IF(R52=" ",'Jul22'!AA52,R52+'Jul22'!AA52)</f>
        <v>0</v>
      </c>
      <c r="AC52" s="49">
        <f>IF(T52=" ",'Jul22'!AC52,T52+'Jul22'!AC52)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IF(T$49="Y",'Jul22'!H53,0)</f>
        <v>0</v>
      </c>
      <c r="I53" s="92">
        <f>IF(T$49="Y",'Jul22'!I53,0)</f>
        <v>0</v>
      </c>
      <c r="J53" s="92">
        <f>IF(T$49="Y",'Jul22'!J53,0)</f>
        <v>0</v>
      </c>
      <c r="K53" s="92">
        <f>IF(T$49="Y",'Jul22'!K53,I53*J53)</f>
        <v>0</v>
      </c>
      <c r="L53" s="92">
        <f>IF(T$49="Y",'Jul22'!L53,0)</f>
        <v>0</v>
      </c>
      <c r="M53" s="100" t="str">
        <f>IF(E53=" "," ",IF(T$49="Y",'Jul22'!M53,IF((H53+K53+L53)&gt;0,H53+K53+L53,"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IF(Employee!H$87=E$49,Employee!D$86+SUM(M53)+'Jul22'!V53,SUM(M53)+'Jul22'!V53)</f>
        <v>0</v>
      </c>
      <c r="W53" s="49">
        <f>IF(Employee!H$87=E$49,Employee!D$87+SUM(N53)+'Jul22'!W53,SUM(N53)+'Jul22'!W53)</f>
        <v>0</v>
      </c>
      <c r="X53" s="49">
        <f>IF(O53=" ",'Jul22'!X53,O53+'Jul22'!X53)</f>
        <v>0</v>
      </c>
      <c r="Y53" s="49">
        <f>IF(P53=" ",'Jul22'!Y53,P53+'Jul22'!Y53)</f>
        <v>0</v>
      </c>
      <c r="Z53" s="49">
        <f>IF(Q53=" ",'Jul22'!Z53,Q53+'Jul22'!Z53)</f>
        <v>0</v>
      </c>
      <c r="AA53" s="49">
        <f>IF(R53=" ",'Jul22'!AA53,R53+'Jul22'!AA53)</f>
        <v>0</v>
      </c>
      <c r="AC53" s="49">
        <f>IF(T53=" ",'Jul22'!AC53,T53+'Jul22'!AC53)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IF(T$49="Y",'Jul22'!H54,0)</f>
        <v>0</v>
      </c>
      <c r="I54" s="92">
        <f>IF(T$49="Y",'Jul22'!I54,0)</f>
        <v>0</v>
      </c>
      <c r="J54" s="92">
        <f>IF(T$49="Y",'Jul22'!J54,0)</f>
        <v>0</v>
      </c>
      <c r="K54" s="92">
        <f>IF(T$49="Y",'Jul22'!K54,I54*J54)</f>
        <v>0</v>
      </c>
      <c r="L54" s="92">
        <f>IF(T$49="Y",'Jul22'!L54,0)</f>
        <v>0</v>
      </c>
      <c r="M54" s="100" t="str">
        <f>IF(E54=" "," ",IF(T$49="Y",'Jul22'!M54,IF((H54+K54+L54)&gt;0,H54+K54+L54,"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IF(Employee!H$113=E$49,Employee!D$112+SUM(M54)+'Jul22'!V54,SUM(M54)+'Jul22'!V54)</f>
        <v>0</v>
      </c>
      <c r="W54" s="49">
        <f>IF(Employee!H$113=E$49,Employee!D$113+SUM(N54)+'Jul22'!W54,SUM(N54)+'Jul22'!W54)</f>
        <v>0</v>
      </c>
      <c r="X54" s="49">
        <f>IF(O54=" ",'Jul22'!X54,O54+'Jul22'!X54)</f>
        <v>0</v>
      </c>
      <c r="Y54" s="49">
        <f>IF(P54=" ",'Jul22'!Y54,P54+'Jul22'!Y54)</f>
        <v>0</v>
      </c>
      <c r="Z54" s="49">
        <f>IF(Q54=" ",'Jul22'!Z54,Q54+'Jul22'!Z54)</f>
        <v>0</v>
      </c>
      <c r="AA54" s="49">
        <f>IF(R54=" ",'Jul22'!AA54,R54+'Jul22'!AA54)</f>
        <v>0</v>
      </c>
      <c r="AC54" s="49">
        <f>IF(T54=" ",'Jul22'!AC54,T54+'Jul22'!AC54)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IF(T$49="Y",'Jul22'!H55,0)</f>
        <v>0</v>
      </c>
      <c r="I55" s="92">
        <f>IF(T$49="Y",'Jul22'!I55,0)</f>
        <v>0</v>
      </c>
      <c r="J55" s="92">
        <f>IF(T$49="Y",'Jul22'!J55,0)</f>
        <v>0</v>
      </c>
      <c r="K55" s="92">
        <f>IF(T$49="Y",'Jul22'!K55,I55*J55)</f>
        <v>0</v>
      </c>
      <c r="L55" s="92">
        <f>IF(T$49="Y",'Jul22'!L55,0)</f>
        <v>0</v>
      </c>
      <c r="M55" s="100" t="str">
        <f>IF(E55=" "," ",IF(T$49="Y",'Jul22'!M55,IF((H55+K55+L55)&gt;0,H55+K55+L55,"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IF(Employee!H$139=E$49,Employee!D$138+SUM(M55)+'Jul22'!V55,SUM(M55)+'Jul22'!V55)</f>
        <v>0</v>
      </c>
      <c r="W55" s="49">
        <f>IF(Employee!H$139=E$49,Employee!D$139+SUM(N55)+'Jul22'!W55,SUM(N55)+'Jul22'!W55)</f>
        <v>0</v>
      </c>
      <c r="X55" s="49">
        <f>IF(O55=" ",'Jul22'!X55,O55+'Jul22'!X55)</f>
        <v>0</v>
      </c>
      <c r="Y55" s="49">
        <f>IF(P55=" ",'Jul22'!Y55,P55+'Jul22'!Y55)</f>
        <v>0</v>
      </c>
      <c r="Z55" s="49">
        <f>IF(Q55=" ",'Jul22'!Z55,Q55+'Jul22'!Z55)</f>
        <v>0</v>
      </c>
      <c r="AA55" s="49">
        <f>IF(R55=" ",'Jul22'!AA55,R55+'Jul22'!AA55)</f>
        <v>0</v>
      </c>
      <c r="AC55" s="49">
        <f>IF(T55=" ",'Jul22'!AC55,T55+'Jul22'!AC55)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AD60+'Jul22'!AD65</f>
        <v>0</v>
      </c>
      <c r="AE65" s="158">
        <f>AE60+'Jul22'!AE65</f>
        <v>0</v>
      </c>
      <c r="AF65" s="158">
        <f>AF60+'Jul22'!AF65</f>
        <v>0</v>
      </c>
      <c r="AG65" s="158">
        <f>AG60+'Jul22'!AG65</f>
        <v>0</v>
      </c>
    </row>
    <row r="66" spans="6:33" ht="14" thickTop="1" x14ac:dyDescent="0.15"/>
    <row r="67" spans="6:33" x14ac:dyDescent="0.15">
      <c r="AD67" s="162"/>
      <c r="AE67" s="158">
        <f>AE62+'Jul22'!AE67</f>
        <v>0</v>
      </c>
      <c r="AF67" s="158">
        <f>AF62+'Jul22'!AF67</f>
        <v>0</v>
      </c>
      <c r="AG67" s="158">
        <f>AG62+'Jul22'!AG67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22</v>
      </c>
      <c r="F9" s="35"/>
      <c r="G9" s="35"/>
      <c r="H9" s="379" t="s">
        <v>28</v>
      </c>
      <c r="I9" s="377"/>
      <c r="J9" s="378"/>
      <c r="K9" s="204">
        <f>'Aug22'!M39+1</f>
        <v>44802</v>
      </c>
      <c r="L9" s="203" t="s">
        <v>76</v>
      </c>
      <c r="M9" s="205">
        <f>K9+6</f>
        <v>44808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IF(T$9="Y",'Aug22'!H41,0)</f>
        <v>0</v>
      </c>
      <c r="I11" s="89">
        <f>IF(T$9="Y",'Aug22'!I41,0)</f>
        <v>0</v>
      </c>
      <c r="J11" s="89">
        <f>IF(T$9="Y",'Aug22'!J41,0)</f>
        <v>0</v>
      </c>
      <c r="K11" s="89">
        <f>IF(T$9="Y",'Aug22'!K41,I11*J11)</f>
        <v>0</v>
      </c>
      <c r="L11" s="110">
        <f>IF(T$9="Y",'Aug22'!L41,0)</f>
        <v>0</v>
      </c>
      <c r="M11" s="110" t="str">
        <f>IF(E11=" "," ",IF(T$9="Y",'Aug22'!M41,IF((H11+K11+L11)&gt;0,H11+K11+L11,"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IF(Employee!H$34=E$9,Employee!D$34+SUM(M11)+'Aug22'!V41,SUM(M11)+'Aug22'!V41)</f>
        <v>0</v>
      </c>
      <c r="W11" s="49">
        <f>IF(Employee!H$34=E$9,Employee!D$35+SUM(N11)+'Aug22'!W41,SUM(N11)+'Aug22'!W41)</f>
        <v>0</v>
      </c>
      <c r="X11" s="49">
        <f>IF(O11=" ",'Aug22'!X41,O11+'Aug22'!X41)</f>
        <v>0</v>
      </c>
      <c r="Y11" s="49">
        <f>IF(P11=" ",'Aug22'!Y41,P11+'Aug22'!Y41)</f>
        <v>0</v>
      </c>
      <c r="Z11" s="49">
        <f>IF(Q11=" ",'Aug22'!Z41,Q11+'Aug22'!Z41)</f>
        <v>0</v>
      </c>
      <c r="AA11" s="49">
        <f>IF(R11=" ",'Aug22'!AA41,R11+'Aug22'!AA41)</f>
        <v>0</v>
      </c>
      <c r="AC11" s="49">
        <f>IF(T11=" ",'Aug22'!AC41,T11+'Aug22'!AC41)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IF(T$9="Y",'Aug22'!H42,0)</f>
        <v>0</v>
      </c>
      <c r="I12" s="92">
        <f>IF(T$9="Y",'Aug22'!I42,0)</f>
        <v>0</v>
      </c>
      <c r="J12" s="92">
        <f>IF(T$9="Y",'Aug22'!J42,0)</f>
        <v>0</v>
      </c>
      <c r="K12" s="92">
        <f>IF(T$9="Y",'Aug22'!K42,I12*J12)</f>
        <v>0</v>
      </c>
      <c r="L12" s="111">
        <f>IF(T$9="Y",'Aug22'!L42,0)</f>
        <v>0</v>
      </c>
      <c r="M12" s="111" t="str">
        <f>IF(E12=" "," ",IF(T$9="Y",'Aug22'!M42,IF((H12+K12+L12)&gt;0,H12+K12+L12,"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IF(Employee!H$60=E$9,Employee!D$60+SUM(M12)+'Aug22'!V42,SUM(M12)+'Aug22'!V42)</f>
        <v>0</v>
      </c>
      <c r="W12" s="49">
        <f>IF(Employee!H$60=E$9,Employee!D$61+SUM(N12)+'Aug22'!W42,SUM(N12)+'Aug22'!W42)</f>
        <v>0</v>
      </c>
      <c r="X12" s="49">
        <f>IF(O12=" ",'Aug22'!X42,O12+'Aug22'!X42)</f>
        <v>0</v>
      </c>
      <c r="Y12" s="49">
        <f>IF(P12=" ",'Aug22'!Y42,P12+'Aug22'!Y42)</f>
        <v>0</v>
      </c>
      <c r="Z12" s="49">
        <f>IF(Q12=" ",'Aug22'!Z42,Q12+'Aug22'!Z42)</f>
        <v>0</v>
      </c>
      <c r="AA12" s="49">
        <f>IF(R12=" ",'Aug22'!AA42,R12+'Aug22'!AA42)</f>
        <v>0</v>
      </c>
      <c r="AC12" s="49">
        <f>IF(T12=" ",'Aug22'!AC42,T12+'Aug22'!AC42)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IF(T$9="Y",'Aug22'!H43,0)</f>
        <v>0</v>
      </c>
      <c r="I13" s="92">
        <f>IF(T$9="Y",'Aug22'!I43,0)</f>
        <v>0</v>
      </c>
      <c r="J13" s="92">
        <f>IF(T$9="Y",'Aug22'!J43,0)</f>
        <v>0</v>
      </c>
      <c r="K13" s="92">
        <f>IF(T$9="Y",'Aug22'!K43,I13*J13)</f>
        <v>0</v>
      </c>
      <c r="L13" s="111">
        <f>IF(T$9="Y",'Aug22'!L43,0)</f>
        <v>0</v>
      </c>
      <c r="M13" s="111" t="str">
        <f>IF(E13=" "," ",IF(T$9="Y",'Aug22'!M43,IF((H13+K13+L13)&gt;0,H13+K13+L13,"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IF(Employee!H$86=E$9,Employee!D$86+SUM(M13)+'Aug22'!V43,SUM(M13)+'Aug22'!V43)</f>
        <v>0</v>
      </c>
      <c r="W13" s="49">
        <f>IF(Employee!H$86=E$9,Employee!D$87+SUM(N13)+'Aug22'!W43,SUM(N13)+'Aug22'!W43)</f>
        <v>0</v>
      </c>
      <c r="X13" s="49">
        <f>IF(O13=" ",'Aug22'!X43,O13+'Aug22'!X43)</f>
        <v>0</v>
      </c>
      <c r="Y13" s="49">
        <f>IF(P13=" ",'Aug22'!Y43,P13+'Aug22'!Y43)</f>
        <v>0</v>
      </c>
      <c r="Z13" s="49">
        <f>IF(Q13=" ",'Aug22'!Z43,Q13+'Aug22'!Z43)</f>
        <v>0</v>
      </c>
      <c r="AA13" s="49">
        <f>IF(R13=" ",'Aug22'!AA43,R13+'Aug22'!AA43)</f>
        <v>0</v>
      </c>
      <c r="AC13" s="49">
        <f>IF(T13=" ",'Aug22'!AC43,T13+'Aug22'!AC43)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IF(T$9="Y",'Aug22'!H44,0)</f>
        <v>0</v>
      </c>
      <c r="I14" s="92">
        <f>IF(T$9="Y",'Aug22'!I44,0)</f>
        <v>0</v>
      </c>
      <c r="J14" s="92">
        <f>IF(T$9="Y",'Aug22'!J44,0)</f>
        <v>0</v>
      </c>
      <c r="K14" s="92">
        <f>IF(T$9="Y",'Aug22'!K44,I14*J14)</f>
        <v>0</v>
      </c>
      <c r="L14" s="111">
        <f>IF(T$9="Y",'Aug22'!L44,0)</f>
        <v>0</v>
      </c>
      <c r="M14" s="111" t="str">
        <f>IF(E14=" "," ",IF(T$9="Y",'Aug22'!M44,IF((H14+K14+L14)&gt;0,H14+K14+L14,"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IF(Employee!H$112=E$9,Employee!D$112+SUM(M14)+'Aug22'!V44,SUM(M14)+'Aug22'!V44)</f>
        <v>0</v>
      </c>
      <c r="W14" s="49">
        <f>IF(Employee!H$112=E$9,Employee!D$113+SUM(N14)+'Aug22'!W44,SUM(N14)+'Aug22'!W44)</f>
        <v>0</v>
      </c>
      <c r="X14" s="49">
        <f>IF(O14=" ",'Aug22'!X44,O14+'Aug22'!X44)</f>
        <v>0</v>
      </c>
      <c r="Y14" s="49">
        <f>IF(P14=" ",'Aug22'!Y44,P14+'Aug22'!Y44)</f>
        <v>0</v>
      </c>
      <c r="Z14" s="49">
        <f>IF(Q14=" ",'Aug22'!Z44,Q14+'Aug22'!Z44)</f>
        <v>0</v>
      </c>
      <c r="AA14" s="49">
        <f>IF(R14=" ",'Aug22'!AA44,R14+'Aug22'!AA44)</f>
        <v>0</v>
      </c>
      <c r="AC14" s="49">
        <f>IF(T14=" ",'Aug22'!AC44,T14+'Aug22'!AC44)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IF(T$9="Y",'Aug22'!H45,0)</f>
        <v>0</v>
      </c>
      <c r="I15" s="245">
        <f>IF(T$9="Y",'Aug22'!I45,0)</f>
        <v>0</v>
      </c>
      <c r="J15" s="245">
        <f>IF(T$9="Y",'Aug22'!J45,0)</f>
        <v>0</v>
      </c>
      <c r="K15" s="245">
        <f>IF(T$9="Y",'Aug22'!K45,I15*J15)</f>
        <v>0</v>
      </c>
      <c r="L15" s="246">
        <f>IF(T$9="Y",'Aug22'!L45,0)</f>
        <v>0</v>
      </c>
      <c r="M15" s="111" t="str">
        <f>IF(E15=" "," ",IF(T$9="Y",'Aug22'!M45,IF((H15+K15+L15)&gt;0,H15+K15+L15,"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IF(Employee!H$138=E$9,Employee!D$138+SUM(M15)+'Aug22'!V45,SUM(M15)+'Aug22'!V45)</f>
        <v>0</v>
      </c>
      <c r="W15" s="49">
        <f>IF(Employee!H$138=E$9,Employee!D$139+SUM(N15)+'Aug22'!W45,SUM(N15)+'Aug22'!W45)</f>
        <v>0</v>
      </c>
      <c r="X15" s="49">
        <f>IF(O15=" ",'Aug22'!X45,O15+'Aug22'!X45)</f>
        <v>0</v>
      </c>
      <c r="Y15" s="49">
        <f>IF(P15=" ",'Aug22'!Y45,P15+'Aug22'!Y45)</f>
        <v>0</v>
      </c>
      <c r="Z15" s="49">
        <f>IF(Q15=" ",'Aug22'!Z45,Q15+'Aug22'!Z45)</f>
        <v>0</v>
      </c>
      <c r="AA15" s="49">
        <f>IF(R15=" ",'Aug22'!AA45,R15+'Aug22'!AA45)</f>
        <v>0</v>
      </c>
      <c r="AC15" s="49">
        <f>IF(T15=" ",'Aug22'!AC45,T15+'Aug22'!AC45)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23</v>
      </c>
      <c r="F19" s="35"/>
      <c r="G19" s="35"/>
      <c r="H19" s="379" t="s">
        <v>28</v>
      </c>
      <c r="I19" s="377"/>
      <c r="J19" s="378"/>
      <c r="K19" s="204">
        <f>M9+1</f>
        <v>44809</v>
      </c>
      <c r="L19" s="203" t="s">
        <v>76</v>
      </c>
      <c r="M19" s="205">
        <f>K19+6</f>
        <v>44815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24</v>
      </c>
      <c r="F29" s="35"/>
      <c r="G29" s="35"/>
      <c r="H29" s="379" t="s">
        <v>28</v>
      </c>
      <c r="I29" s="377"/>
      <c r="J29" s="378"/>
      <c r="K29" s="204">
        <f>M19+1</f>
        <v>44816</v>
      </c>
      <c r="L29" s="203" t="s">
        <v>76</v>
      </c>
      <c r="M29" s="205">
        <f>K29+6</f>
        <v>44822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25</v>
      </c>
      <c r="F39" s="35"/>
      <c r="G39" s="35"/>
      <c r="H39" s="379" t="s">
        <v>28</v>
      </c>
      <c r="I39" s="433"/>
      <c r="J39" s="434"/>
      <c r="K39" s="204">
        <f>M29+1</f>
        <v>44823</v>
      </c>
      <c r="L39" s="203" t="s">
        <v>76</v>
      </c>
      <c r="M39" s="205">
        <f>K39+6</f>
        <v>44829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26</v>
      </c>
      <c r="F49" s="35"/>
      <c r="G49" s="35"/>
      <c r="H49" s="379" t="s">
        <v>28</v>
      </c>
      <c r="I49" s="433"/>
      <c r="J49" s="434"/>
      <c r="K49" s="204">
        <f>Admin!B175</f>
        <v>44830</v>
      </c>
      <c r="L49" s="203" t="s">
        <v>76</v>
      </c>
      <c r="M49" s="205">
        <f>K49+6</f>
        <v>44836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6</v>
      </c>
      <c r="F59" s="35"/>
      <c r="G59" s="35"/>
      <c r="H59" s="379" t="s">
        <v>28</v>
      </c>
      <c r="I59" s="377"/>
      <c r="J59" s="378"/>
      <c r="K59" s="204">
        <f>Admin!B150</f>
        <v>44805</v>
      </c>
      <c r="L59" s="203" t="s">
        <v>76</v>
      </c>
      <c r="M59" s="205">
        <f>Admin!B179</f>
        <v>44834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IF(T$59="Y",'Aug22'!H51,0)</f>
        <v>0</v>
      </c>
      <c r="I61" s="89">
        <f>IF(T$59="Y",'Aug22'!I51,0)</f>
        <v>0</v>
      </c>
      <c r="J61" s="89">
        <f>IF(T$59="Y",'Aug22'!J51,0)</f>
        <v>0</v>
      </c>
      <c r="K61" s="89">
        <f>IF(T$59="Y",'Aug22'!K51,I61*J61)</f>
        <v>0</v>
      </c>
      <c r="L61" s="110">
        <f>IF(T$59="Y",'Aug22'!L51,0)</f>
        <v>0</v>
      </c>
      <c r="M61" s="99" t="str">
        <f>IF(E61=" "," ",IF(T$59="Y",'Aug22'!M51,IF((H61+K61+L61)&gt;0,H61+K61+L61,"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IF(Employee!H$35=E$59,Employee!D$34+SUM(M61)+'Aug22'!V51,SUM(M61)+'Aug22'!V51)</f>
        <v>0</v>
      </c>
      <c r="W61" s="49">
        <f>IF(Employee!H$35=E$59,Employee!D$35+SUM(N61)+'Aug22'!W51,SUM(N61)+'Aug22'!W51)</f>
        <v>0</v>
      </c>
      <c r="X61" s="49">
        <f>IF(O61=" ",'Aug22'!X51,O61+'Aug22'!X51)</f>
        <v>0</v>
      </c>
      <c r="Y61" s="49">
        <f>IF(P61=" ",'Aug22'!Y51,P61+'Aug22'!Y51)</f>
        <v>0</v>
      </c>
      <c r="Z61" s="49">
        <f>IF(Q61=" ",'Aug22'!Z51,Q61+'Aug22'!Z51)</f>
        <v>0</v>
      </c>
      <c r="AA61" s="49">
        <f>IF(R61=" ",'Aug22'!AA51,R61+'Aug22'!AA51)</f>
        <v>0</v>
      </c>
      <c r="AC61" s="49">
        <f>IF(T61=" ",'Aug22'!AC51,T61+'Aug22'!AC51)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IF(T$59="Y",'Aug22'!H52,0)</f>
        <v>0</v>
      </c>
      <c r="I62" s="92">
        <f>IF(T$59="Y",'Aug22'!I52,0)</f>
        <v>0</v>
      </c>
      <c r="J62" s="92">
        <f>IF(T$59="Y",'Aug22'!J52,0)</f>
        <v>0</v>
      </c>
      <c r="K62" s="92">
        <f>IF(T$59="Y",'Aug22'!K52,I62*J62)</f>
        <v>0</v>
      </c>
      <c r="L62" s="111">
        <f>IF(T$59="Y",'Aug22'!L52,0)</f>
        <v>0</v>
      </c>
      <c r="M62" s="100" t="str">
        <f>IF(E62=" "," ",IF(T$59="Y",'Aug22'!M52,IF((H62+K62+L62)&gt;0,H62+K62+L62,"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IF(Employee!H$61=E$59,Employee!D$60+SUM(M62)+'Aug22'!V52,SUM(M62)+'Aug22'!V52)</f>
        <v>0</v>
      </c>
      <c r="W62" s="49">
        <f>IF(Employee!H$61=E$59,Employee!D$61+SUM(N62)+'Aug22'!W52,SUM(N62)+'Aug22'!W52)</f>
        <v>0</v>
      </c>
      <c r="X62" s="49">
        <f>IF(O62=" ",'Aug22'!X52,O62+'Aug22'!X52)</f>
        <v>0</v>
      </c>
      <c r="Y62" s="49">
        <f>IF(P62=" ",'Aug22'!Y52,P62+'Aug22'!Y52)</f>
        <v>0</v>
      </c>
      <c r="Z62" s="49">
        <f>IF(Q62=" ",'Aug22'!Z52,Q62+'Aug22'!Z52)</f>
        <v>0</v>
      </c>
      <c r="AA62" s="49">
        <f>IF(R62=" ",'Aug22'!AA52,R62+'Aug22'!AA52)</f>
        <v>0</v>
      </c>
      <c r="AC62" s="49">
        <f>IF(T62=" ",'Aug22'!AC52,T62+'Aug22'!AC52)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IF(T$59="Y",'Aug22'!H53,0)</f>
        <v>0</v>
      </c>
      <c r="I63" s="92">
        <f>IF(T$59="Y",'Aug22'!I53,0)</f>
        <v>0</v>
      </c>
      <c r="J63" s="92">
        <f>IF(T$59="Y",'Aug22'!J53,0)</f>
        <v>0</v>
      </c>
      <c r="K63" s="92">
        <f>IF(T$59="Y",'Aug22'!K53,I63*J63)</f>
        <v>0</v>
      </c>
      <c r="L63" s="111">
        <f>IF(T$59="Y",'Aug22'!L53,0)</f>
        <v>0</v>
      </c>
      <c r="M63" s="100" t="str">
        <f>IF(E63=" "," ",IF(T$59="Y",'Aug22'!M53,IF((H63+K63+L63)&gt;0,H63+K63+L63,"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IF(Employee!H$87=E$59,Employee!D$86+SUM(M63)+'Aug22'!V53,SUM(M63)+'Aug22'!V53)</f>
        <v>0</v>
      </c>
      <c r="W63" s="49">
        <f>IF(Employee!H$87=E$59,Employee!D$87+SUM(N63)+'Aug22'!W53,SUM(N63)+'Aug22'!W53)</f>
        <v>0</v>
      </c>
      <c r="X63" s="49">
        <f>IF(O63=" ",'Aug22'!X53,O63+'Aug22'!X53)</f>
        <v>0</v>
      </c>
      <c r="Y63" s="49">
        <f>IF(P63=" ",'Aug22'!Y53,P63+'Aug22'!Y53)</f>
        <v>0</v>
      </c>
      <c r="Z63" s="49">
        <f>IF(Q63=" ",'Aug22'!Z53,Q63+'Aug22'!Z53)</f>
        <v>0</v>
      </c>
      <c r="AA63" s="49">
        <f>IF(R63=" ",'Aug22'!AA53,R63+'Aug22'!AA53)</f>
        <v>0</v>
      </c>
      <c r="AC63" s="49">
        <f>IF(T63=" ",'Aug22'!AC53,T63+'Aug22'!AC53)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IF(T$59="Y",'Aug22'!H54,0)</f>
        <v>0</v>
      </c>
      <c r="I64" s="92">
        <f>IF(T$59="Y",'Aug22'!I54,0)</f>
        <v>0</v>
      </c>
      <c r="J64" s="92">
        <f>IF(T$59="Y",'Aug22'!J54,0)</f>
        <v>0</v>
      </c>
      <c r="K64" s="92">
        <f>IF(T$59="Y",'Aug22'!K54,I64*J64)</f>
        <v>0</v>
      </c>
      <c r="L64" s="111">
        <f>IF(T$59="Y",'Aug22'!L54,0)</f>
        <v>0</v>
      </c>
      <c r="M64" s="100" t="str">
        <f>IF(E64=" "," ",IF(T$59="Y",'Aug22'!M54,IF((H64+K64+L64)&gt;0,H64+K64+L64,"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IF(Employee!H$113=E$59,Employee!D$112+SUM(M64)+'Aug22'!V54,SUM(M64)+'Aug22'!V54)</f>
        <v>0</v>
      </c>
      <c r="W64" s="49">
        <f>IF(Employee!H$113=E$59,Employee!D$113+SUM(N64)+'Aug22'!W54,SUM(N64)+'Aug22'!W54)</f>
        <v>0</v>
      </c>
      <c r="X64" s="49">
        <f>IF(O64=" ",'Aug22'!X54,O64+'Aug22'!X54)</f>
        <v>0</v>
      </c>
      <c r="Y64" s="49">
        <f>IF(P64=" ",'Aug22'!Y54,P64+'Aug22'!Y54)</f>
        <v>0</v>
      </c>
      <c r="Z64" s="49">
        <f>IF(Q64=" ",'Aug22'!Z54,Q64+'Aug22'!Z54)</f>
        <v>0</v>
      </c>
      <c r="AA64" s="49">
        <f>IF(R64=" ",'Aug22'!AA54,R64+'Aug22'!AA54)</f>
        <v>0</v>
      </c>
      <c r="AC64" s="49">
        <f>IF(T64=" ",'Aug22'!AC54,T64+'Aug22'!AC54)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IF(T$59="Y",'Aug22'!H55,0)</f>
        <v>0</v>
      </c>
      <c r="I65" s="245">
        <f>IF(T$59="Y",'Aug22'!I55,0)</f>
        <v>0</v>
      </c>
      <c r="J65" s="245">
        <f>IF(T$59="Y",'Aug22'!J55,0)</f>
        <v>0</v>
      </c>
      <c r="K65" s="245">
        <f>IF(T$59="Y",'Aug22'!K55,I65*J65)</f>
        <v>0</v>
      </c>
      <c r="L65" s="246">
        <f>IF(T$59="Y",'Aug22'!L55,0)</f>
        <v>0</v>
      </c>
      <c r="M65" s="100" t="str">
        <f>IF(E65=" "," ",IF(T$59="Y",'Aug22'!M55,IF((H65+K65+L65)&gt;0,H65+K65+L65,"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IF(Employee!H$139=E$59,Employee!D$138+SUM(M65)+'Aug22'!V55,SUM(M65)+'Aug22'!V55)</f>
        <v>0</v>
      </c>
      <c r="W65" s="49">
        <f>IF(Employee!H$139=E$59,Employee!D$139+SUM(N65)+'Aug22'!W55,SUM(N65)+'Aug22'!W55)</f>
        <v>0</v>
      </c>
      <c r="X65" s="49">
        <f>IF(O65=" ",'Aug22'!X55,O65+'Aug22'!X55)</f>
        <v>0</v>
      </c>
      <c r="Y65" s="49">
        <f>IF(P65=" ",'Aug22'!Y55,P65+'Aug22'!Y55)</f>
        <v>0</v>
      </c>
      <c r="Z65" s="49">
        <f>IF(Q65=" ",'Aug22'!Z55,Q65+'Aug22'!Z55)</f>
        <v>0</v>
      </c>
      <c r="AA65" s="49">
        <f>IF(R65=" ",'Aug22'!AA55,R65+'Aug22'!AA55)</f>
        <v>0</v>
      </c>
      <c r="AC65" s="49">
        <f>IF(T65=" ",'Aug22'!AC55,T65+'Aug22'!AC55)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AD70+'Aug22'!AD65</f>
        <v>0</v>
      </c>
      <c r="AE75" s="158">
        <f>AE70+'Aug22'!AE65</f>
        <v>0</v>
      </c>
      <c r="AF75" s="158">
        <f>AF70+'Aug22'!AF65</f>
        <v>0</v>
      </c>
      <c r="AG75" s="158">
        <f>AG70+'Aug22'!AG65</f>
        <v>0</v>
      </c>
    </row>
    <row r="76" spans="1:34" ht="14" thickTop="1" x14ac:dyDescent="0.15"/>
    <row r="77" spans="1:34" x14ac:dyDescent="0.15">
      <c r="AD77" s="162"/>
      <c r="AE77" s="158">
        <f>AE72+'Aug22'!AE67</f>
        <v>0</v>
      </c>
      <c r="AF77" s="158">
        <f>AF72+'Aug22'!AF67</f>
        <v>0</v>
      </c>
      <c r="AG77" s="158">
        <f>AG72+'Aug22'!AG67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433"/>
      <c r="D9" s="434"/>
      <c r="E9" s="156">
        <v>27</v>
      </c>
      <c r="F9" s="35"/>
      <c r="G9" s="35"/>
      <c r="H9" s="379" t="s">
        <v>28</v>
      </c>
      <c r="I9" s="433"/>
      <c r="J9" s="434"/>
      <c r="K9" s="204">
        <f>Admin!B182</f>
        <v>44837</v>
      </c>
      <c r="L9" s="203" t="s">
        <v>76</v>
      </c>
      <c r="M9" s="205">
        <f>Admin!B188</f>
        <v>44843</v>
      </c>
      <c r="N9" s="20"/>
      <c r="O9" s="389" t="s">
        <v>63</v>
      </c>
      <c r="P9" s="435"/>
      <c r="Q9" s="435"/>
      <c r="R9" s="436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IF(T$9="Y",'Sep22'!H51,0)</f>
        <v>0</v>
      </c>
      <c r="I11" s="89">
        <f>IF(T$9="Y",'Sep22'!I51,0)</f>
        <v>0</v>
      </c>
      <c r="J11" s="89">
        <f>IF(T$9="Y",'Sep22'!J51,0)</f>
        <v>0</v>
      </c>
      <c r="K11" s="89">
        <f>IF(T$9="Y",'Sep22'!K51,I11*J11)</f>
        <v>0</v>
      </c>
      <c r="L11" s="110">
        <f>IF(T$9="Y",'Sep22'!L51,0)</f>
        <v>0</v>
      </c>
      <c r="M11" s="99" t="str">
        <f>IF(E11=" "," ",IF(T$9="Y",'Sep22'!M51,IF((H11+K11+L11)&gt;0,H11+K11+L11,"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IF(Employee!H$34=E$9,Employee!D$34+SUM(M11)+'Sep22'!V51,SUM(M11)+'Sep22'!V51)</f>
        <v>0</v>
      </c>
      <c r="W11" s="49">
        <f>IF(Employee!H$34=E$9,Employee!D$35+SUM(N11)+'Sep22'!W51,SUM(N11)+'Sep22'!W51)</f>
        <v>0</v>
      </c>
      <c r="X11" s="49">
        <f>IF(O11=" ",'Sep22'!X51,O11+'Sep22'!X51)</f>
        <v>0</v>
      </c>
      <c r="Y11" s="49">
        <f>IF(P11=" ",'Sep22'!Y51,P11+'Sep22'!Y51)</f>
        <v>0</v>
      </c>
      <c r="Z11" s="49">
        <f>IF(Q11=" ",'Sep22'!Z51,Q11+'Sep22'!Z51)</f>
        <v>0</v>
      </c>
      <c r="AA11" s="49">
        <f>IF(R11=" ",'Sep22'!AA51,R11+'Sep22'!AA51)</f>
        <v>0</v>
      </c>
      <c r="AC11" s="49">
        <f>IF(T11=" ",'Sep22'!AC51,T11+'Sep22'!AC51)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IF(T$9="Y",'Sep22'!H52,0)</f>
        <v>0</v>
      </c>
      <c r="I12" s="92">
        <f>IF(T$9="Y",'Sep22'!I52,0)</f>
        <v>0</v>
      </c>
      <c r="J12" s="92">
        <f>IF(T$9="Y",'Sep22'!J52,0)</f>
        <v>0</v>
      </c>
      <c r="K12" s="92">
        <f>IF(T$9="Y",'Sep22'!K52,I12*J12)</f>
        <v>0</v>
      </c>
      <c r="L12" s="111">
        <f>IF(T$9="Y",'Sep22'!L52,0)</f>
        <v>0</v>
      </c>
      <c r="M12" s="100" t="str">
        <f>IF(E12=" "," ",IF(T$9="Y",'Sep22'!M52,IF((H12+K12+L12)&gt;0,H12+K12+L12,"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IF(Employee!H$60=E$9,Employee!D$60+SUM(M12)+'Sep22'!V52,SUM(M12)+'Sep22'!V52)</f>
        <v>0</v>
      </c>
      <c r="W12" s="49">
        <f>IF(Employee!H$60=E$9,Employee!D$61+SUM(N12)+'Sep22'!W52,SUM(N12)+'Sep22'!W52)</f>
        <v>0</v>
      </c>
      <c r="X12" s="49">
        <f>IF(O12=" ",'Sep22'!X52,O12+'Sep22'!X52)</f>
        <v>0</v>
      </c>
      <c r="Y12" s="49">
        <f>IF(P12=" ",'Sep22'!Y52,P12+'Sep22'!Y52)</f>
        <v>0</v>
      </c>
      <c r="Z12" s="49">
        <f>IF(Q12=" ",'Sep22'!Z52,Q12+'Sep22'!Z52)</f>
        <v>0</v>
      </c>
      <c r="AA12" s="49">
        <f>IF(R12=" ",'Sep22'!AA52,R12+'Sep22'!AA52)</f>
        <v>0</v>
      </c>
      <c r="AC12" s="49">
        <f>IF(T12=" ",'Sep22'!AC52,T12+'Sep22'!AC52)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IF(T$9="Y",'Sep22'!H53,0)</f>
        <v>0</v>
      </c>
      <c r="I13" s="92">
        <f>IF(T$9="Y",'Sep22'!I53,0)</f>
        <v>0</v>
      </c>
      <c r="J13" s="92">
        <f>IF(T$9="Y",'Sep22'!J53,0)</f>
        <v>0</v>
      </c>
      <c r="K13" s="92">
        <f>IF(T$9="Y",'Sep22'!K53,I13*J13)</f>
        <v>0</v>
      </c>
      <c r="L13" s="111">
        <f>IF(T$9="Y",'Sep22'!L53,0)</f>
        <v>0</v>
      </c>
      <c r="M13" s="100" t="str">
        <f>IF(E13=" "," ",IF(T$9="Y",'Sep22'!M53,IF((H13+K13+L13)&gt;0,H13+K13+L13,"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IF(Employee!H$86=E$9,Employee!D$86+SUM(M13)+'Sep22'!V53,SUM(M13)+'Sep22'!V53)</f>
        <v>0</v>
      </c>
      <c r="W13" s="49">
        <f>IF(Employee!H$86=E$9,Employee!D$87+SUM(N13)+'Sep22'!W53,SUM(N13)+'Sep22'!W53)</f>
        <v>0</v>
      </c>
      <c r="X13" s="49">
        <f>IF(O13=" ",'Sep22'!X53,O13+'Sep22'!X53)</f>
        <v>0</v>
      </c>
      <c r="Y13" s="49">
        <f>IF(P13=" ",'Sep22'!Y53,P13+'Sep22'!Y53)</f>
        <v>0</v>
      </c>
      <c r="Z13" s="49">
        <f>IF(Q13=" ",'Sep22'!Z53,Q13+'Sep22'!Z53)</f>
        <v>0</v>
      </c>
      <c r="AA13" s="49">
        <f>IF(R13=" ",'Sep22'!AA53,R13+'Sep22'!AA53)</f>
        <v>0</v>
      </c>
      <c r="AC13" s="49">
        <f>IF(T13=" ",'Sep22'!AC53,T13+'Sep22'!AC53)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IF(T$9="Y",'Sep22'!H54,0)</f>
        <v>0</v>
      </c>
      <c r="I14" s="92">
        <f>IF(T$9="Y",'Sep22'!I54,0)</f>
        <v>0</v>
      </c>
      <c r="J14" s="92">
        <f>IF(T$9="Y",'Sep22'!J54,0)</f>
        <v>0</v>
      </c>
      <c r="K14" s="92">
        <f>IF(T$9="Y",'Sep22'!K54,I14*J14)</f>
        <v>0</v>
      </c>
      <c r="L14" s="111">
        <f>IF(T$9="Y",'Sep22'!L54,0)</f>
        <v>0</v>
      </c>
      <c r="M14" s="100" t="str">
        <f>IF(E14=" "," ",IF(T$9="Y",'Sep22'!M54,IF((H14+K14+L14)&gt;0,H14+K14+L14,"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IF(Employee!H$112=E$9,Employee!D$112+SUM(M14)+'Sep22'!V54,SUM(M14)+'Sep22'!V54)</f>
        <v>0</v>
      </c>
      <c r="W14" s="49">
        <f>IF(Employee!H$112=E$9,Employee!D$113+SUM(N14)+'Sep22'!W54,SUM(N14)+'Sep22'!W54)</f>
        <v>0</v>
      </c>
      <c r="X14" s="49">
        <f>IF(O14=" ",'Sep22'!X54,O14+'Sep22'!X54)</f>
        <v>0</v>
      </c>
      <c r="Y14" s="49">
        <f>IF(P14=" ",'Sep22'!Y54,P14+'Sep22'!Y54)</f>
        <v>0</v>
      </c>
      <c r="Z14" s="49">
        <f>IF(Q14=" ",'Sep22'!Z54,Q14+'Sep22'!Z54)</f>
        <v>0</v>
      </c>
      <c r="AA14" s="49">
        <f>IF(R14=" ",'Sep22'!AA54,R14+'Sep22'!AA54)</f>
        <v>0</v>
      </c>
      <c r="AC14" s="49">
        <f>IF(T14=" ",'Sep22'!AC54,T14+'Sep22'!AC54)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IF(T$9="Y",'Sep22'!H55,0)</f>
        <v>0</v>
      </c>
      <c r="I15" s="245">
        <f>IF(T$9="Y",'Sep22'!I55,0)</f>
        <v>0</v>
      </c>
      <c r="J15" s="245">
        <f>IF(T$9="Y",'Sep22'!J55,0)</f>
        <v>0</v>
      </c>
      <c r="K15" s="245">
        <f>IF(T$9="Y",'Sep22'!K55,I15*J15)</f>
        <v>0</v>
      </c>
      <c r="L15" s="246">
        <f>IF(T$9="Y",'Sep22'!L55,0)</f>
        <v>0</v>
      </c>
      <c r="M15" s="247" t="str">
        <f>IF(E15=" "," ",IF(T$9="Y",'Sep22'!M55,IF((H15+K15+L15)&gt;0,H15+K15+L15,"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IF(Employee!H$138=E$9,Employee!D$138+SUM(M15)+'Sep22'!V55,SUM(M15)+'Sep22'!V55)</f>
        <v>0</v>
      </c>
      <c r="W15" s="49">
        <f>IF(Employee!H$138=E$9,Employee!D$139+SUM(N15)+'Sep22'!W55,SUM(N15)+'Sep22'!W55)</f>
        <v>0</v>
      </c>
      <c r="X15" s="49">
        <f>IF(O15=" ",'Sep22'!X55,O15+'Sep22'!X55)</f>
        <v>0</v>
      </c>
      <c r="Y15" s="49">
        <f>IF(P15=" ",'Sep22'!Y55,P15+'Sep22'!Y55)</f>
        <v>0</v>
      </c>
      <c r="Z15" s="49">
        <f>IF(Q15=" ",'Sep22'!Z55,Q15+'Sep22'!Z55)</f>
        <v>0</v>
      </c>
      <c r="AA15" s="49">
        <f>IF(R15=" ",'Sep22'!AA55,R15+'Sep22'!AA55)</f>
        <v>0</v>
      </c>
      <c r="AC15" s="49">
        <f>IF(T15=" ",'Sep22'!AC55,T15+'Sep22'!AC55)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439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86"/>
      <c r="H18" s="87"/>
      <c r="I18" s="87"/>
      <c r="J18" s="87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28</v>
      </c>
      <c r="F19" s="35"/>
      <c r="G19" s="35"/>
      <c r="H19" s="379" t="s">
        <v>28</v>
      </c>
      <c r="I19" s="377"/>
      <c r="J19" s="378"/>
      <c r="K19" s="204">
        <f>M9+1</f>
        <v>44844</v>
      </c>
      <c r="L19" s="203" t="s">
        <v>76</v>
      </c>
      <c r="M19" s="205">
        <f>K19+6</f>
        <v>44850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IF(Employee!H$34=E$19,Employee!D$34+SUM(M21)+'Sep22'!V51,SUM(M21)+'Sep22'!V51)</f>
        <v>0</v>
      </c>
      <c r="W21" s="49">
        <f>IF(Employee!H$34=E$19,Employee!D$35+SUM(N21)+'Sep22'!W51,SUM(N21)+'Sep22'!W51)</f>
        <v>0</v>
      </c>
      <c r="X21" s="49">
        <f>IF(O21=" ",'Sep22'!X51,O21+'Sep22'!X51)</f>
        <v>0</v>
      </c>
      <c r="Y21" s="49">
        <f>IF(P21=" ",'Sep22'!Y51,P21+'Sep22'!Y51)</f>
        <v>0</v>
      </c>
      <c r="Z21" s="49">
        <f>IF(Q21=" ",'Sep22'!Z51,Q21+'Sep22'!Z51)</f>
        <v>0</v>
      </c>
      <c r="AA21" s="49">
        <f>IF(R21=" ",'Sep22'!AA51,R21+'Sep22'!AA51)</f>
        <v>0</v>
      </c>
      <c r="AC21" s="49">
        <f>IF(T21=" ",'Sep22'!AC51,T21+'Sep22'!AC51)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IF(Employee!H$60=E$19,Employee!D$60+SUM(M22)+'Sep22'!V52,SUM(M22)+'Sep22'!V52)</f>
        <v>0</v>
      </c>
      <c r="W22" s="49">
        <f>IF(Employee!H$60=E$19,Employee!D$61+SUM(N22)+'Sep22'!W52,SUM(N22)+'Sep22'!W52)</f>
        <v>0</v>
      </c>
      <c r="X22" s="49">
        <f>IF(O22=" ",'Sep22'!X52,O22+'Sep22'!X52)</f>
        <v>0</v>
      </c>
      <c r="Y22" s="49">
        <f>IF(P22=" ",'Sep22'!Y52,P22+'Sep22'!Y52)</f>
        <v>0</v>
      </c>
      <c r="Z22" s="49">
        <f>IF(Q22=" ",'Sep22'!Z52,Q22+'Sep22'!Z52)</f>
        <v>0</v>
      </c>
      <c r="AA22" s="49">
        <f>IF(R22=" ",'Sep22'!AA52,R22+'Sep22'!AA52)</f>
        <v>0</v>
      </c>
      <c r="AC22" s="49">
        <f>IF(T22=" ",'Sep22'!AC52,T22+'Sep22'!AC52)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3">IF(T$19="Y",H13,0)</f>
        <v>0</v>
      </c>
      <c r="I23" s="92">
        <f t="shared" ref="I23:I25" si="4">IF(T$19="Y",I13,0)</f>
        <v>0</v>
      </c>
      <c r="J23" s="92">
        <f t="shared" ref="J23:J25" si="5">IF(T$19="Y",J13,0)</f>
        <v>0</v>
      </c>
      <c r="K23" s="92">
        <f t="shared" ref="K23:K25" si="6">IF(T$19="Y",K13,I23*J23)</f>
        <v>0</v>
      </c>
      <c r="L23" s="92">
        <f t="shared" ref="L23:L25" si="7">IF(T$19="Y",L13,0)</f>
        <v>0</v>
      </c>
      <c r="M23" s="100" t="str">
        <f t="shared" ref="M23:M25" si="8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IF(Employee!H$86=E$19,Employee!D$86+SUM(M23)+'Sep22'!V53,SUM(M23)+'Sep22'!V53)</f>
        <v>0</v>
      </c>
      <c r="W23" s="49">
        <f>IF(Employee!H$86=E$19,Employee!D$87+SUM(N23)+'Sep22'!W53,SUM(N23)+'Sep22'!W53)</f>
        <v>0</v>
      </c>
      <c r="X23" s="49">
        <f>IF(O23=" ",'Sep22'!X53,O23+'Sep22'!X53)</f>
        <v>0</v>
      </c>
      <c r="Y23" s="49">
        <f>IF(P23=" ",'Sep22'!Y53,P23+'Sep22'!Y53)</f>
        <v>0</v>
      </c>
      <c r="Z23" s="49">
        <f>IF(Q23=" ",'Sep22'!Z53,Q23+'Sep22'!Z53)</f>
        <v>0</v>
      </c>
      <c r="AA23" s="49">
        <f>IF(R23=" ",'Sep22'!AA53,R23+'Sep22'!AA53)</f>
        <v>0</v>
      </c>
      <c r="AC23" s="49">
        <f>IF(T23=" ",'Sep22'!AC53,T23+'Sep22'!AC53)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3"/>
        <v>0</v>
      </c>
      <c r="I24" s="92">
        <f t="shared" si="4"/>
        <v>0</v>
      </c>
      <c r="J24" s="92">
        <f t="shared" si="5"/>
        <v>0</v>
      </c>
      <c r="K24" s="92">
        <f t="shared" si="6"/>
        <v>0</v>
      </c>
      <c r="L24" s="92">
        <f t="shared" si="7"/>
        <v>0</v>
      </c>
      <c r="M24" s="100" t="str">
        <f t="shared" si="8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IF(Employee!H$112=E$19,Employee!D$112+SUM(M24)+'Sep22'!V54,SUM(M24)+'Sep22'!V54)</f>
        <v>0</v>
      </c>
      <c r="W24" s="49">
        <f>IF(Employee!H$112=E$19,Employee!D$113+SUM(N24)+'Sep22'!W54,SUM(N24)+'Sep22'!W54)</f>
        <v>0</v>
      </c>
      <c r="X24" s="49">
        <f>IF(O24=" ",'Sep22'!X54,O24+'Sep22'!X54)</f>
        <v>0</v>
      </c>
      <c r="Y24" s="49">
        <f>IF(P24=" ",'Sep22'!Y54,P24+'Sep22'!Y54)</f>
        <v>0</v>
      </c>
      <c r="Z24" s="49">
        <f>IF(Q24=" ",'Sep22'!Z54,Q24+'Sep22'!Z54)</f>
        <v>0</v>
      </c>
      <c r="AA24" s="49">
        <f>IF(R24=" ",'Sep22'!AA54,R24+'Sep22'!AA54)</f>
        <v>0</v>
      </c>
      <c r="AC24" s="49">
        <f>IF(T24=" ",'Sep22'!AC54,T24+'Sep22'!AC54)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3"/>
        <v>0</v>
      </c>
      <c r="I25" s="245">
        <f t="shared" si="4"/>
        <v>0</v>
      </c>
      <c r="J25" s="245">
        <f t="shared" si="5"/>
        <v>0</v>
      </c>
      <c r="K25" s="245">
        <f t="shared" si="6"/>
        <v>0</v>
      </c>
      <c r="L25" s="245">
        <f t="shared" si="7"/>
        <v>0</v>
      </c>
      <c r="M25" s="247" t="str">
        <f t="shared" si="8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IF(Employee!H$138=E$19,Employee!D$138+SUM(M25)+'Sep22'!V55,SUM(M25)+'Sep22'!V55)</f>
        <v>0</v>
      </c>
      <c r="W25" s="49">
        <f>IF(Employee!H$138=E$19,Employee!D$139+SUM(N25)+'Sep22'!W55,SUM(N25)+'Sep22'!W55)</f>
        <v>0</v>
      </c>
      <c r="X25" s="49">
        <f>IF(O25=" ",'Sep22'!X55,O25+'Sep22'!X55)</f>
        <v>0</v>
      </c>
      <c r="Y25" s="49">
        <f>IF(P25=" ",'Sep22'!Y55,P25+'Sep22'!Y55)</f>
        <v>0</v>
      </c>
      <c r="Z25" s="49">
        <f>IF(Q25=" ",'Sep22'!Z55,Q25+'Sep22'!Z55)</f>
        <v>0</v>
      </c>
      <c r="AA25" s="49">
        <f>IF(R25=" ",'Sep22'!AA55,R25+'Sep22'!AA55)</f>
        <v>0</v>
      </c>
      <c r="AC25" s="49">
        <f>IF(T25=" ",'Sep22'!AC55,T25+'Sep22'!AC55)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7"/>
      <c r="H26" s="101"/>
      <c r="I26" s="102"/>
      <c r="J26" s="102"/>
      <c r="K26" s="134"/>
      <c r="L26" s="134"/>
      <c r="M26" s="133">
        <f t="shared" ref="M26:R26" si="9">SUM(M21:M25)</f>
        <v>0</v>
      </c>
      <c r="N26" s="127">
        <f t="shared" si="9"/>
        <v>0</v>
      </c>
      <c r="O26" s="127">
        <f t="shared" si="9"/>
        <v>0</v>
      </c>
      <c r="P26" s="127">
        <f t="shared" si="9"/>
        <v>0</v>
      </c>
      <c r="Q26" s="127">
        <f t="shared" si="9"/>
        <v>0</v>
      </c>
      <c r="R26" s="127">
        <f t="shared" si="9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29</v>
      </c>
      <c r="F29" s="35"/>
      <c r="G29" s="35"/>
      <c r="H29" s="379" t="s">
        <v>28</v>
      </c>
      <c r="I29" s="377"/>
      <c r="J29" s="378"/>
      <c r="K29" s="204">
        <f>M19+1</f>
        <v>44851</v>
      </c>
      <c r="L29" s="203" t="s">
        <v>76</v>
      </c>
      <c r="M29" s="205">
        <f>K29+6</f>
        <v>44857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0">IF(P31=0,Y21,P31+Y21)</f>
        <v>0</v>
      </c>
      <c r="Z31" s="49">
        <f t="shared" si="10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0"/>
        <v>0</v>
      </c>
      <c r="Z32" s="49">
        <f t="shared" si="10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0"/>
        <v>0</v>
      </c>
      <c r="Z33" s="49">
        <f t="shared" si="10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0"/>
        <v>0</v>
      </c>
      <c r="Z34" s="49">
        <f t="shared" si="10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0"/>
        <v>0</v>
      </c>
      <c r="Z35" s="49">
        <f t="shared" si="10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11">SUM(M31:M35)</f>
        <v>0</v>
      </c>
      <c r="N36" s="127">
        <f t="shared" si="11"/>
        <v>0</v>
      </c>
      <c r="O36" s="127">
        <f t="shared" si="11"/>
        <v>0</v>
      </c>
      <c r="P36" s="127">
        <f t="shared" si="11"/>
        <v>0</v>
      </c>
      <c r="Q36" s="127">
        <f t="shared" si="11"/>
        <v>0</v>
      </c>
      <c r="R36" s="127">
        <f t="shared" si="11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377"/>
      <c r="D38" s="377"/>
      <c r="E38" s="378"/>
      <c r="F38" s="32"/>
      <c r="G38" s="32"/>
      <c r="H38" s="43"/>
      <c r="I38" s="43"/>
      <c r="J38" s="43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377"/>
      <c r="D39" s="378"/>
      <c r="E39" s="156">
        <v>30</v>
      </c>
      <c r="F39" s="35"/>
      <c r="G39" s="35"/>
      <c r="H39" s="379" t="s">
        <v>28</v>
      </c>
      <c r="I39" s="377"/>
      <c r="J39" s="378"/>
      <c r="K39" s="204">
        <f>M29+1</f>
        <v>44858</v>
      </c>
      <c r="L39" s="203" t="s">
        <v>76</v>
      </c>
      <c r="M39" s="205">
        <f>K39+6</f>
        <v>44864</v>
      </c>
      <c r="N39" s="20"/>
      <c r="O39" s="389" t="s">
        <v>63</v>
      </c>
      <c r="P39" s="390"/>
      <c r="Q39" s="390"/>
      <c r="R39" s="391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2">IF(P41=0,Y31,P41+Y31)</f>
        <v>0</v>
      </c>
      <c r="Z41" s="49">
        <f t="shared" si="12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2"/>
        <v>0</v>
      </c>
      <c r="Z42" s="49">
        <f t="shared" si="12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2"/>
        <v>0</v>
      </c>
      <c r="Z43" s="49">
        <f t="shared" si="12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2"/>
        <v>0</v>
      </c>
      <c r="Z44" s="49">
        <f t="shared" si="12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2"/>
        <v>0</v>
      </c>
      <c r="Z45" s="49">
        <f t="shared" si="12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378"/>
      <c r="H46" s="124"/>
      <c r="I46" s="125"/>
      <c r="J46" s="125"/>
      <c r="K46" s="126"/>
      <c r="L46" s="126"/>
      <c r="M46" s="127">
        <f t="shared" ref="M46:R46" si="13">SUM(M41:M45)</f>
        <v>0</v>
      </c>
      <c r="N46" s="127">
        <f t="shared" si="13"/>
        <v>0</v>
      </c>
      <c r="O46" s="127">
        <f t="shared" si="13"/>
        <v>0</v>
      </c>
      <c r="P46" s="127">
        <f t="shared" si="13"/>
        <v>0</v>
      </c>
      <c r="Q46" s="127">
        <f t="shared" si="13"/>
        <v>0</v>
      </c>
      <c r="R46" s="127">
        <f t="shared" si="13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7</v>
      </c>
      <c r="F49" s="35"/>
      <c r="G49" s="35"/>
      <c r="H49" s="379" t="s">
        <v>28</v>
      </c>
      <c r="I49" s="377"/>
      <c r="J49" s="378"/>
      <c r="K49" s="204">
        <f>Admin!B180</f>
        <v>44835</v>
      </c>
      <c r="L49" s="203" t="s">
        <v>76</v>
      </c>
      <c r="M49" s="205">
        <f>Admin!B210</f>
        <v>44865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IF(T$49="Y",'Sep22'!H61,0)</f>
        <v>0</v>
      </c>
      <c r="I51" s="89">
        <f>IF(T$49="Y",'Sep22'!I61,0)</f>
        <v>0</v>
      </c>
      <c r="J51" s="89">
        <f>IF(T$49="Y",'Sep22'!J61,0)</f>
        <v>0</v>
      </c>
      <c r="K51" s="89">
        <f>IF(T$49="Y",'Sep22'!K61,I51*J51)</f>
        <v>0</v>
      </c>
      <c r="L51" s="110">
        <f>IF(T$49="Y",'Sep22'!L61,0)</f>
        <v>0</v>
      </c>
      <c r="M51" s="99" t="str">
        <f>IF(E51=" "," ",IF(T$49="Y",'Sep22'!M61,IF((H51+K51+L51)&gt;0,H51+K51+L51,"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IF(Employee!H$35=E$49,Employee!D$34+SUM(M51)+'Sep22'!V61,SUM(M51)+'Sep22'!V61)</f>
        <v>0</v>
      </c>
      <c r="W51" s="49">
        <f>IF(Employee!H$35=E$49,Employee!D$35+SUM(N51)+'Sep22'!W61,SUM(N51)+'Sep22'!W61)</f>
        <v>0</v>
      </c>
      <c r="X51" s="49">
        <f>IF(O51=" ",'Sep22'!X61,O51+'Sep22'!X61)</f>
        <v>0</v>
      </c>
      <c r="Y51" s="49">
        <f>IF(P51=" ",'Sep22'!Y61,P51+'Sep22'!Y61)</f>
        <v>0</v>
      </c>
      <c r="Z51" s="49">
        <f>IF(Q51=" ",'Sep22'!Z61,Q51+'Sep22'!Z61)</f>
        <v>0</v>
      </c>
      <c r="AA51" s="49">
        <f>IF(R51=" ",'Sep22'!AA61,R51+'Sep22'!AA61)</f>
        <v>0</v>
      </c>
      <c r="AC51" s="49">
        <f>IF(T51=" ",'Sep22'!AC61,T51+'Sep22'!AC61)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IF(T$49="Y",'Sep22'!H62,0)</f>
        <v>0</v>
      </c>
      <c r="I52" s="92">
        <f>IF(T$49="Y",'Sep22'!I62,0)</f>
        <v>0</v>
      </c>
      <c r="J52" s="92">
        <f>IF(T$49="Y",'Sep22'!J62,0)</f>
        <v>0</v>
      </c>
      <c r="K52" s="92">
        <f>IF(T$49="Y",'Sep22'!K62,I52*J52)</f>
        <v>0</v>
      </c>
      <c r="L52" s="111">
        <f>IF(T$49="Y",'Sep22'!L62,0)</f>
        <v>0</v>
      </c>
      <c r="M52" s="100" t="str">
        <f>IF(E52=" "," ",IF(T$49="Y",'Sep22'!M62,IF((H52+K52+L52)&gt;0,H52+K52+L52,"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IF(Employee!H$61=E$49,Employee!D$60+SUM(M52)+'Sep22'!V62,SUM(M52)+'Sep22'!V62)</f>
        <v>0</v>
      </c>
      <c r="W52" s="49">
        <f>IF(Employee!H$61=E$49,Employee!D$61+SUM(N52)+'Sep22'!W62,SUM(N52)+'Sep22'!W62)</f>
        <v>0</v>
      </c>
      <c r="X52" s="49">
        <f>IF(O52=" ",'Sep22'!X62,O52+'Sep22'!X62)</f>
        <v>0</v>
      </c>
      <c r="Y52" s="49">
        <f>IF(P52=" ",'Sep22'!Y62,P52+'Sep22'!Y62)</f>
        <v>0</v>
      </c>
      <c r="Z52" s="49">
        <f>IF(Q52=" ",'Sep22'!Z62,Q52+'Sep22'!Z62)</f>
        <v>0</v>
      </c>
      <c r="AA52" s="49">
        <f>IF(R52=" ",'Sep22'!AA62,R52+'Sep22'!AA62)</f>
        <v>0</v>
      </c>
      <c r="AC52" s="49">
        <f>IF(T52=" ",'Sep22'!AC62,T52+'Sep22'!AC62)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IF(T$49="Y",'Sep22'!H63,0)</f>
        <v>0</v>
      </c>
      <c r="I53" s="92">
        <f>IF(T$49="Y",'Sep22'!I63,0)</f>
        <v>0</v>
      </c>
      <c r="J53" s="92">
        <f>IF(T$49="Y",'Sep22'!J63,0)</f>
        <v>0</v>
      </c>
      <c r="K53" s="92">
        <f>IF(T$49="Y",'Sep22'!K63,I53*J53)</f>
        <v>0</v>
      </c>
      <c r="L53" s="111">
        <f>IF(T$49="Y",'Sep22'!L63,0)</f>
        <v>0</v>
      </c>
      <c r="M53" s="100" t="str">
        <f>IF(E53=" "," ",IF(T$49="Y",'Sep22'!M63,IF((H53+K53+L53)&gt;0,H53+K53+L53,"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IF(Employee!H$87=E$49,Employee!D$86+SUM(M53)+'Sep22'!V63,SUM(M53)+'Sep22'!V63)</f>
        <v>0</v>
      </c>
      <c r="W53" s="49">
        <f>IF(Employee!H$87=E$49,Employee!D$87+SUM(N53)+'Sep22'!W63,SUM(N53)+'Sep22'!W63)</f>
        <v>0</v>
      </c>
      <c r="X53" s="49">
        <f>IF(O53=" ",'Sep22'!X63,O53+'Sep22'!X63)</f>
        <v>0</v>
      </c>
      <c r="Y53" s="49">
        <f>IF(P53=" ",'Sep22'!Y63,P53+'Sep22'!Y63)</f>
        <v>0</v>
      </c>
      <c r="Z53" s="49">
        <f>IF(Q53=" ",'Sep22'!Z63,Q53+'Sep22'!Z63)</f>
        <v>0</v>
      </c>
      <c r="AA53" s="49">
        <f>IF(R53=" ",'Sep22'!AA63,R53+'Sep22'!AA63)</f>
        <v>0</v>
      </c>
      <c r="AC53" s="49">
        <f>IF(T53=" ",'Sep22'!AC63,T53+'Sep22'!AC63)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IF(T$49="Y",'Sep22'!H64,0)</f>
        <v>0</v>
      </c>
      <c r="I54" s="92">
        <f>IF(T$49="Y",'Sep22'!I64,0)</f>
        <v>0</v>
      </c>
      <c r="J54" s="92">
        <f>IF(T$49="Y",'Sep22'!J64,0)</f>
        <v>0</v>
      </c>
      <c r="K54" s="92">
        <f>IF(T$49="Y",'Sep22'!K64,I54*J54)</f>
        <v>0</v>
      </c>
      <c r="L54" s="111">
        <f>IF(T$49="Y",'Sep22'!L64,0)</f>
        <v>0</v>
      </c>
      <c r="M54" s="100" t="str">
        <f>IF(E54=" "," ",IF(T$49="Y",'Sep22'!M64,IF((H54+K54+L54)&gt;0,H54+K54+L54,"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IF(Employee!H$113=E$49,Employee!D$112+SUM(M54)+'Sep22'!V64,SUM(M54)+'Sep22'!V64)</f>
        <v>0</v>
      </c>
      <c r="W54" s="49">
        <f>IF(Employee!H$113=E$49,Employee!D$113+SUM(N54)+'Sep22'!W64,SUM(N54)+'Sep22'!W64)</f>
        <v>0</v>
      </c>
      <c r="X54" s="49">
        <f>IF(O54=" ",'Sep22'!X64,O54+'Sep22'!X64)</f>
        <v>0</v>
      </c>
      <c r="Y54" s="49">
        <f>IF(P54=" ",'Sep22'!Y64,P54+'Sep22'!Y64)</f>
        <v>0</v>
      </c>
      <c r="Z54" s="49">
        <f>IF(Q54=" ",'Sep22'!Z64,Q54+'Sep22'!Z64)</f>
        <v>0</v>
      </c>
      <c r="AA54" s="49">
        <f>IF(R54=" ",'Sep22'!AA64,R54+'Sep22'!AA64)</f>
        <v>0</v>
      </c>
      <c r="AC54" s="49">
        <f>IF(T54=" ",'Sep22'!AC64,T54+'Sep22'!AC64)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IF(T$49="Y",'Sep22'!H65,0)</f>
        <v>0</v>
      </c>
      <c r="I55" s="245">
        <f>IF(T$49="Y",'Sep22'!I65,0)</f>
        <v>0</v>
      </c>
      <c r="J55" s="245">
        <f>IF(T$49="Y",'Sep22'!J65,0)</f>
        <v>0</v>
      </c>
      <c r="K55" s="245">
        <f>IF(T$49="Y",'Sep22'!K65,I55*J55)</f>
        <v>0</v>
      </c>
      <c r="L55" s="246">
        <f>IF(T$49="Y",'Sep22'!L65,0)</f>
        <v>0</v>
      </c>
      <c r="M55" s="100" t="str">
        <f>IF(E55=" "," ",IF(T$49="Y",'Sep22'!M65,IF((H55+K55+L55)&gt;0,H55+K55+L55,"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IF(Employee!H$139=E$49,Employee!D$138+SUM(M55)+'Sep22'!V65,SUM(M55)+'Sep22'!V65)</f>
        <v>0</v>
      </c>
      <c r="W55" s="49">
        <f>IF(Employee!H$139=E$49,Employee!D$139+SUM(N55)+'Sep22'!W65,SUM(N55)+'Sep22'!W65)</f>
        <v>0</v>
      </c>
      <c r="X55" s="49">
        <f>IF(O55=" ",'Sep22'!X65,O55+'Sep22'!X65)</f>
        <v>0</v>
      </c>
      <c r="Y55" s="49">
        <f>IF(P55=" ",'Sep22'!Y65,P55+'Sep22'!Y65)</f>
        <v>0</v>
      </c>
      <c r="Z55" s="49">
        <f>IF(Q55=" ",'Sep22'!Z65,Q55+'Sep22'!Z65)</f>
        <v>0</v>
      </c>
      <c r="AA55" s="49">
        <f>IF(R55=" ",'Sep22'!AA65,R55+'Sep22'!AA65)</f>
        <v>0</v>
      </c>
      <c r="AC55" s="49">
        <f>IF(T55=" ",'Sep22'!AC65,T55+'Sep22'!AC65)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AD60+'Sep22'!AD75</f>
        <v>0</v>
      </c>
      <c r="AE65" s="158">
        <f>AE60+'Sep22'!AE75</f>
        <v>0</v>
      </c>
      <c r="AF65" s="158">
        <f>AF60+'Sep22'!AF75</f>
        <v>0</v>
      </c>
      <c r="AG65" s="158">
        <f>AG60+'Sep22'!AG75</f>
        <v>0</v>
      </c>
    </row>
    <row r="66" spans="6:33" ht="14" thickTop="1" x14ac:dyDescent="0.15"/>
    <row r="67" spans="6:33" x14ac:dyDescent="0.15">
      <c r="AD67" s="162"/>
      <c r="AE67" s="158">
        <f>AE62+'Sep22'!AE77</f>
        <v>0</v>
      </c>
      <c r="AF67" s="158">
        <f>AF62+'Sep22'!AF77</f>
        <v>0</v>
      </c>
      <c r="AG67" s="158">
        <f>AG62+'Sep22'!AG77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31</v>
      </c>
      <c r="F9" s="35"/>
      <c r="G9" s="35"/>
      <c r="H9" s="379" t="s">
        <v>28</v>
      </c>
      <c r="I9" s="377"/>
      <c r="J9" s="378"/>
      <c r="K9" s="204">
        <f>Admin!B210</f>
        <v>44865</v>
      </c>
      <c r="L9" s="203" t="s">
        <v>76</v>
      </c>
      <c r="M9" s="205">
        <f>K9+6</f>
        <v>44871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IF(T$9="Y",'Oct22'!H41,0)</f>
        <v>0</v>
      </c>
      <c r="I11" s="89">
        <f>IF(T$9="Y",'Oct22'!I41,0)</f>
        <v>0</v>
      </c>
      <c r="J11" s="89">
        <f>IF(T$9="Y",'Oct22'!J41,0)</f>
        <v>0</v>
      </c>
      <c r="K11" s="89">
        <f>IF(T$9="Y",'Oct22'!K41,I11*J11)</f>
        <v>0</v>
      </c>
      <c r="L11" s="110">
        <f>IF(T$9="Y",'Oct22'!L41,0)</f>
        <v>0</v>
      </c>
      <c r="M11" s="99" t="str">
        <f>IF(E11=" "," ",IF(T$9="Y",'Oct22'!M41,IF((H11+K11+L11)&gt;0,H11+K11+L11,"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IF(Employee!H$34=E$9,Employee!D$34+SUM(M11)+'Oct22'!V41,SUM(M11)+'Oct22'!V41)</f>
        <v>0</v>
      </c>
      <c r="W11" s="49">
        <f>IF(Employee!H$34=E$9,Employee!D$35+SUM(N11)+'Oct22'!W41,SUM(N11)+'Oct22'!W41)</f>
        <v>0</v>
      </c>
      <c r="X11" s="49">
        <f>IF(O11=" ",'Oct22'!X41,O11+'Oct22'!X41)</f>
        <v>0</v>
      </c>
      <c r="Y11" s="49">
        <f>IF(P11=" ",'Oct22'!Y41,P11+'Oct22'!Y41)</f>
        <v>0</v>
      </c>
      <c r="Z11" s="49">
        <f>IF(Q11=" ",'Oct22'!Z41,Q11+'Oct22'!Z41)</f>
        <v>0</v>
      </c>
      <c r="AA11" s="49">
        <f>IF(R11=" ",'Oct22'!AA41,R11+'Oct22'!AA41)</f>
        <v>0</v>
      </c>
      <c r="AC11" s="49">
        <f>IF(T11=" ",'Oct22'!AC41,T11+'Oct22'!AC41)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IF(T$9="Y",'Oct22'!H42,0)</f>
        <v>0</v>
      </c>
      <c r="I12" s="92">
        <f>IF(T$9="Y",'Oct22'!I42,0)</f>
        <v>0</v>
      </c>
      <c r="J12" s="92">
        <f>IF(T$9="Y",'Oct22'!J42,0)</f>
        <v>0</v>
      </c>
      <c r="K12" s="92">
        <f>IF(T$9="Y",'Oct22'!K42,I12*J12)</f>
        <v>0</v>
      </c>
      <c r="L12" s="111">
        <f>IF(T$9="Y",'Oct22'!L42,0)</f>
        <v>0</v>
      </c>
      <c r="M12" s="100" t="str">
        <f>IF(E12=" "," ",IF(T$9="Y",'Oct22'!M42,IF((H12+K12+L12)&gt;0,H12+K12+L12,"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IF(Employee!H$60=E$9,Employee!D$60+SUM(M12)+'Oct22'!V42,SUM(M12)+'Oct22'!V42)</f>
        <v>0</v>
      </c>
      <c r="W12" s="49">
        <f>IF(Employee!H$60=E$9,Employee!D$61+SUM(N12)+'Oct22'!W42,SUM(N12)+'Oct22'!W42)</f>
        <v>0</v>
      </c>
      <c r="X12" s="49">
        <f>IF(O12=" ",'Oct22'!X42,O12+'Oct22'!X42)</f>
        <v>0</v>
      </c>
      <c r="Y12" s="49">
        <f>IF(P12=" ",'Oct22'!Y42,P12+'Oct22'!Y42)</f>
        <v>0</v>
      </c>
      <c r="Z12" s="49">
        <f>IF(Q12=" ",'Oct22'!Z42,Q12+'Oct22'!Z42)</f>
        <v>0</v>
      </c>
      <c r="AA12" s="49">
        <f>IF(R12=" ",'Oct22'!AA42,R12+'Oct22'!AA42)</f>
        <v>0</v>
      </c>
      <c r="AC12" s="49">
        <f>IF(T12=" ",'Oct22'!AC42,T12+'Oct22'!AC42)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IF(T$9="Y",'Oct22'!H43,0)</f>
        <v>0</v>
      </c>
      <c r="I13" s="92">
        <f>IF(T$9="Y",'Oct22'!I43,0)</f>
        <v>0</v>
      </c>
      <c r="J13" s="92">
        <f>IF(T$9="Y",'Oct22'!J43,0)</f>
        <v>0</v>
      </c>
      <c r="K13" s="92">
        <f>IF(T$9="Y",'Oct22'!K43,I13*J13)</f>
        <v>0</v>
      </c>
      <c r="L13" s="111">
        <f>IF(T$9="Y",'Oct22'!L43,0)</f>
        <v>0</v>
      </c>
      <c r="M13" s="100" t="str">
        <f>IF(E13=" "," ",IF(T$9="Y",'Oct22'!M43,IF((H13+K13+L13)&gt;0,H13+K13+L13,"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IF(Employee!H$86=E$9,Employee!D$86+SUM(M13)+'Oct22'!V43,SUM(M13)+'Oct22'!V43)</f>
        <v>0</v>
      </c>
      <c r="W13" s="49">
        <f>IF(Employee!H$86=E$9,Employee!D$87+SUM(N13)+'Oct22'!W43,SUM(N13)+'Oct22'!W43)</f>
        <v>0</v>
      </c>
      <c r="X13" s="49">
        <f>IF(O13=" ",'Oct22'!X43,O13+'Oct22'!X43)</f>
        <v>0</v>
      </c>
      <c r="Y13" s="49">
        <f>IF(P13=" ",'Oct22'!Y43,P13+'Oct22'!Y43)</f>
        <v>0</v>
      </c>
      <c r="Z13" s="49">
        <f>IF(Q13=" ",'Oct22'!Z43,Q13+'Oct22'!Z43)</f>
        <v>0</v>
      </c>
      <c r="AA13" s="49">
        <f>IF(R13=" ",'Oct22'!AA43,R13+'Oct22'!AA43)</f>
        <v>0</v>
      </c>
      <c r="AC13" s="49">
        <f>IF(T13=" ",'Oct22'!AC43,T13+'Oct22'!AC43)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IF(T$9="Y",'Oct22'!H44,0)</f>
        <v>0</v>
      </c>
      <c r="I14" s="92">
        <f>IF(T$9="Y",'Oct22'!I44,0)</f>
        <v>0</v>
      </c>
      <c r="J14" s="92">
        <f>IF(T$9="Y",'Oct22'!J44,0)</f>
        <v>0</v>
      </c>
      <c r="K14" s="92">
        <f>IF(T$9="Y",'Oct22'!K44,I14*J14)</f>
        <v>0</v>
      </c>
      <c r="L14" s="111">
        <f>IF(T$9="Y",'Oct22'!L44,0)</f>
        <v>0</v>
      </c>
      <c r="M14" s="100" t="str">
        <f>IF(E14=" "," ",IF(T$9="Y",'Oct22'!M44,IF((H14+K14+L14)&gt;0,H14+K14+L14,"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IF(Employee!H$112=E$9,Employee!D$112+SUM(M14)+'Oct22'!V44,SUM(M14)+'Oct22'!V44)</f>
        <v>0</v>
      </c>
      <c r="W14" s="49">
        <f>IF(Employee!H$112=E$9,Employee!D$113+SUM(N14)+'Oct22'!W44,SUM(N14)+'Oct22'!W44)</f>
        <v>0</v>
      </c>
      <c r="X14" s="49">
        <f>IF(O14=" ",'Oct22'!X44,O14+'Oct22'!X44)</f>
        <v>0</v>
      </c>
      <c r="Y14" s="49">
        <f>IF(P14=" ",'Oct22'!Y44,P14+'Oct22'!Y44)</f>
        <v>0</v>
      </c>
      <c r="Z14" s="49">
        <f>IF(Q14=" ",'Oct22'!Z44,Q14+'Oct22'!Z44)</f>
        <v>0</v>
      </c>
      <c r="AA14" s="49">
        <f>IF(R14=" ",'Oct22'!AA44,R14+'Oct22'!AA44)</f>
        <v>0</v>
      </c>
      <c r="AC14" s="49">
        <f>IF(T14=" ",'Oct22'!AC44,T14+'Oct22'!AC44)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IF(T$9="Y",'Oct22'!H45,0)</f>
        <v>0</v>
      </c>
      <c r="I15" s="245">
        <f>IF(T$9="Y",'Oct22'!I45,0)</f>
        <v>0</v>
      </c>
      <c r="J15" s="245">
        <f>IF(T$9="Y",'Oct22'!J45,0)</f>
        <v>0</v>
      </c>
      <c r="K15" s="245">
        <f>IF(T$9="Y",'Oct22'!K45,I15*J15)</f>
        <v>0</v>
      </c>
      <c r="L15" s="246">
        <f>IF(T$9="Y",'Oct22'!L45,0)</f>
        <v>0</v>
      </c>
      <c r="M15" s="247" t="str">
        <f>IF(E15=" "," ",IF(T$9="Y",'Oct22'!M45,IF((H15+K15+L15)&gt;0,H15+K15+L15,"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IF(Employee!H$138=E$9,Employee!D$138+SUM(M15)+'Oct22'!V45,SUM(M15)+'Oct22'!V45)</f>
        <v>0</v>
      </c>
      <c r="W15" s="49">
        <f>IF(Employee!H$138=E$9,Employee!D$139+SUM(N15)+'Oct22'!W45,SUM(N15)+'Oct22'!W45)</f>
        <v>0</v>
      </c>
      <c r="X15" s="49">
        <f>IF(O15=" ",'Oct22'!X45,O15+'Oct22'!X45)</f>
        <v>0</v>
      </c>
      <c r="Y15" s="49">
        <f>IF(P15=" ",'Oct22'!Y45,P15+'Oct22'!Y45)</f>
        <v>0</v>
      </c>
      <c r="Z15" s="49">
        <f>IF(Q15=" ",'Oct22'!Z45,Q15+'Oct22'!Z45)</f>
        <v>0</v>
      </c>
      <c r="AA15" s="49">
        <f>IF(R15=" ",'Oct22'!AA45,R15+'Oct22'!AA45)</f>
        <v>0</v>
      </c>
      <c r="AC15" s="49">
        <f>IF(T15=" ",'Oct22'!AC45,T15+'Oct22'!AC45)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32</v>
      </c>
      <c r="F19" s="35"/>
      <c r="G19" s="35"/>
      <c r="H19" s="379" t="s">
        <v>28</v>
      </c>
      <c r="I19" s="377"/>
      <c r="J19" s="378"/>
      <c r="K19" s="204">
        <f>M9+1</f>
        <v>44872</v>
      </c>
      <c r="L19" s="203" t="s">
        <v>76</v>
      </c>
      <c r="M19" s="205">
        <f>K19+6</f>
        <v>44878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33</v>
      </c>
      <c r="F29" s="35"/>
      <c r="G29" s="35"/>
      <c r="H29" s="379" t="s">
        <v>28</v>
      </c>
      <c r="I29" s="377"/>
      <c r="J29" s="378"/>
      <c r="K29" s="204">
        <f>M19+1</f>
        <v>44879</v>
      </c>
      <c r="L29" s="203" t="s">
        <v>76</v>
      </c>
      <c r="M29" s="205">
        <f>K29+6</f>
        <v>44885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34</v>
      </c>
      <c r="F39" s="35"/>
      <c r="G39" s="35"/>
      <c r="H39" s="379" t="s">
        <v>28</v>
      </c>
      <c r="I39" s="433"/>
      <c r="J39" s="434"/>
      <c r="K39" s="204">
        <f>M29+1</f>
        <v>44886</v>
      </c>
      <c r="L39" s="203" t="s">
        <v>76</v>
      </c>
      <c r="M39" s="205">
        <f>K39+6</f>
        <v>44892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8</v>
      </c>
      <c r="F49" s="35"/>
      <c r="G49" s="35"/>
      <c r="H49" s="379" t="s">
        <v>28</v>
      </c>
      <c r="I49" s="377"/>
      <c r="J49" s="378"/>
      <c r="K49" s="204">
        <f>Admin!B211</f>
        <v>44866</v>
      </c>
      <c r="L49" s="203" t="s">
        <v>76</v>
      </c>
      <c r="M49" s="205">
        <f>Admin!B240</f>
        <v>44895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IF(T$49="Y",'Oct22'!H51,0)</f>
        <v>0</v>
      </c>
      <c r="I51" s="89">
        <f>IF(T$49="Y",'Oct22'!I51,0)</f>
        <v>0</v>
      </c>
      <c r="J51" s="89">
        <f>IF(T$49="Y",'Oct22'!J51,0)</f>
        <v>0</v>
      </c>
      <c r="K51" s="89">
        <f>IF(T$49="Y",'Oct22'!K51,I51*J51)</f>
        <v>0</v>
      </c>
      <c r="L51" s="110">
        <f>IF(T$49="Y",'Oct22'!L51,0)</f>
        <v>0</v>
      </c>
      <c r="M51" s="99" t="str">
        <f>IF(E51=" "," ",IF(T$49="Y",'Oct22'!M51,IF((H51+K51+L51)&gt;0,H51+K51+L51,"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IF(Employee!H$35=E$49,Employee!D$34+SUM(M51)+'Oct22'!V51,SUM(M51)+'Oct22'!V51)</f>
        <v>0</v>
      </c>
      <c r="W51" s="49">
        <f>IF(Employee!H$35=E$49,Employee!D$35+SUM(N51)+'Oct22'!W51,SUM(N51)+'Oct22'!W51)</f>
        <v>0</v>
      </c>
      <c r="X51" s="49">
        <f>IF(O51=" ",'Oct22'!X51,O51+'Oct22'!X51)</f>
        <v>0</v>
      </c>
      <c r="Y51" s="49">
        <f>IF(P51=" ",'Oct22'!Y51,P51+'Oct22'!Y51)</f>
        <v>0</v>
      </c>
      <c r="Z51" s="49">
        <f>IF(Q51=" ",'Oct22'!Z51,Q51+'Oct22'!Z51)</f>
        <v>0</v>
      </c>
      <c r="AA51" s="49">
        <f>IF(R51=" ",'Oct22'!AA51,R51+'Oct22'!AA51)</f>
        <v>0</v>
      </c>
      <c r="AC51" s="49">
        <f>IF(T51=" ",'Oct22'!AC51,T51+'Oct22'!AC51)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IF(T$49="Y",'Oct22'!H52,0)</f>
        <v>0</v>
      </c>
      <c r="I52" s="92">
        <f>IF(T$49="Y",'Oct22'!I52,0)</f>
        <v>0</v>
      </c>
      <c r="J52" s="92">
        <f>IF(T$49="Y",'Oct22'!J52,0)</f>
        <v>0</v>
      </c>
      <c r="K52" s="92">
        <f>IF(T$49="Y",'Oct22'!K52,I52*J52)</f>
        <v>0</v>
      </c>
      <c r="L52" s="111">
        <f>IF(T$49="Y",'Oct22'!L52,0)</f>
        <v>0</v>
      </c>
      <c r="M52" s="100" t="str">
        <f>IF(E52=" "," ",IF(T$49="Y",'Oct22'!M52,IF((H52+K52+L52)&gt;0,H52+K52+L52,"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IF(Employee!H$61=E$49,Employee!D$60+SUM(M52)+'Oct22'!V52,SUM(M52)+'Oct22'!V52)</f>
        <v>0</v>
      </c>
      <c r="W52" s="49">
        <f>IF(Employee!H$61=E$49,Employee!D$61+SUM(N52)+'Oct22'!W52,SUM(N52)+'Oct22'!W52)</f>
        <v>0</v>
      </c>
      <c r="X52" s="49">
        <f>IF(O52=" ",'Oct22'!X52,O52+'Oct22'!X52)</f>
        <v>0</v>
      </c>
      <c r="Y52" s="49">
        <f>IF(P52=" ",'Oct22'!Y52,P52+'Oct22'!Y52)</f>
        <v>0</v>
      </c>
      <c r="Z52" s="49">
        <f>IF(Q52=" ",'Oct22'!Z52,Q52+'Oct22'!Z52)</f>
        <v>0</v>
      </c>
      <c r="AA52" s="49">
        <f>IF(R52=" ",'Oct22'!AA52,R52+'Oct22'!AA52)</f>
        <v>0</v>
      </c>
      <c r="AC52" s="49">
        <f>IF(T52=" ",'Oct22'!AC52,T52+'Oct22'!AC52)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IF(T$49="Y",'Oct22'!H53,0)</f>
        <v>0</v>
      </c>
      <c r="I53" s="92">
        <f>IF(T$49="Y",'Oct22'!I53,0)</f>
        <v>0</v>
      </c>
      <c r="J53" s="92">
        <f>IF(T$49="Y",'Oct22'!J53,0)</f>
        <v>0</v>
      </c>
      <c r="K53" s="92">
        <f>IF(T$49="Y",'Oct22'!K53,I53*J53)</f>
        <v>0</v>
      </c>
      <c r="L53" s="111">
        <f>IF(T$49="Y",'Oct22'!L53,0)</f>
        <v>0</v>
      </c>
      <c r="M53" s="100" t="str">
        <f>IF(E53=" "," ",IF(T$49="Y",'Oct22'!M53,IF((H53+K53+L53)&gt;0,H53+K53+L53,"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IF(Employee!H$87=E$49,Employee!D$86+SUM(M53)+'Oct22'!V53,SUM(M53)+'Oct22'!V53)</f>
        <v>0</v>
      </c>
      <c r="W53" s="49">
        <f>IF(Employee!H$87=E$49,Employee!D$87+SUM(N53)+'Oct22'!W53,SUM(N53)+'Oct22'!W53)</f>
        <v>0</v>
      </c>
      <c r="X53" s="49">
        <f>IF(O53=" ",'Oct22'!X53,O53+'Oct22'!X53)</f>
        <v>0</v>
      </c>
      <c r="Y53" s="49">
        <f>IF(P53=" ",'Oct22'!Y53,P53+'Oct22'!Y53)</f>
        <v>0</v>
      </c>
      <c r="Z53" s="49">
        <f>IF(Q53=" ",'Oct22'!Z53,Q53+'Oct22'!Z53)</f>
        <v>0</v>
      </c>
      <c r="AA53" s="49">
        <f>IF(R53=" ",'Oct22'!AA53,R53+'Oct22'!AA53)</f>
        <v>0</v>
      </c>
      <c r="AC53" s="49">
        <f>IF(T53=" ",'Oct22'!AC53,T53+'Oct22'!AC53)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IF(T$49="Y",'Oct22'!H54,0)</f>
        <v>0</v>
      </c>
      <c r="I54" s="92">
        <f>IF(T$49="Y",'Oct22'!I54,0)</f>
        <v>0</v>
      </c>
      <c r="J54" s="92">
        <f>IF(T$49="Y",'Oct22'!J54,0)</f>
        <v>0</v>
      </c>
      <c r="K54" s="92">
        <f>IF(T$49="Y",'Oct22'!K54,I54*J54)</f>
        <v>0</v>
      </c>
      <c r="L54" s="111">
        <f>IF(T$49="Y",'Oct22'!L54,0)</f>
        <v>0</v>
      </c>
      <c r="M54" s="100" t="str">
        <f>IF(E54=" "," ",IF(T$49="Y",'Oct22'!M54,IF((H54+K54+L54)&gt;0,H54+K54+L54,"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IF(Employee!H$113=E$49,Employee!D$112+SUM(M54)+'Oct22'!V54,SUM(M54)+'Oct22'!V54)</f>
        <v>0</v>
      </c>
      <c r="W54" s="49">
        <f>IF(Employee!H$113=E$49,Employee!D$113+SUM(N54)+'Oct22'!W54,SUM(N54)+'Oct22'!W54)</f>
        <v>0</v>
      </c>
      <c r="X54" s="49">
        <f>IF(O54=" ",'Oct22'!X54,O54+'Oct22'!X54)</f>
        <v>0</v>
      </c>
      <c r="Y54" s="49">
        <f>IF(P54=" ",'Oct22'!Y54,P54+'Oct22'!Y54)</f>
        <v>0</v>
      </c>
      <c r="Z54" s="49">
        <f>IF(Q54=" ",'Oct22'!Z54,Q54+'Oct22'!Z54)</f>
        <v>0</v>
      </c>
      <c r="AA54" s="49">
        <f>IF(R54=" ",'Oct22'!AA54,R54+'Oct22'!AA54)</f>
        <v>0</v>
      </c>
      <c r="AC54" s="49">
        <f>IF(T54=" ",'Oct22'!AC54,T54+'Oct22'!AC54)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IF(T$49="Y",'Oct22'!H55,0)</f>
        <v>0</v>
      </c>
      <c r="I55" s="245">
        <f>IF(T$49="Y",'Oct22'!I55,0)</f>
        <v>0</v>
      </c>
      <c r="J55" s="245">
        <f>IF(T$49="Y",'Oct22'!J55,0)</f>
        <v>0</v>
      </c>
      <c r="K55" s="245">
        <f>IF(T$49="Y",'Oct22'!K55,I55*J55)</f>
        <v>0</v>
      </c>
      <c r="L55" s="246">
        <f>IF(T$49="Y",'Oct22'!L55,0)</f>
        <v>0</v>
      </c>
      <c r="M55" s="100" t="str">
        <f>IF(E55=" "," ",IF(T$49="Y",'Oct22'!M55,IF((H55+K55+L55)&gt;0,H55+K55+L55,"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IF(Employee!H$139=E$49,Employee!D$138+SUM(M55)+'Oct22'!V55,SUM(M55)+'Oct22'!V55)</f>
        <v>0</v>
      </c>
      <c r="W55" s="49">
        <f>IF(Employee!H$139=E$49,Employee!D$139+SUM(N55)+'Oct22'!W55,SUM(N55)+'Oct22'!W55)</f>
        <v>0</v>
      </c>
      <c r="X55" s="49">
        <f>IF(O55=" ",'Oct22'!X55,O55+'Oct22'!X55)</f>
        <v>0</v>
      </c>
      <c r="Y55" s="49">
        <f>IF(P55=" ",'Oct22'!Y55,P55+'Oct22'!Y55)</f>
        <v>0</v>
      </c>
      <c r="Z55" s="49">
        <f>IF(Q55=" ",'Oct22'!Z55,Q55+'Oct22'!Z55)</f>
        <v>0</v>
      </c>
      <c r="AA55" s="49">
        <f>IF(R55=" ",'Oct22'!AA55,R55+'Oct22'!AA55)</f>
        <v>0</v>
      </c>
      <c r="AC55" s="49">
        <f>IF(T55=" ",'Oct22'!AC55,T55+'Oct22'!AC55)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AD60+'Oct22'!AD65</f>
        <v>0</v>
      </c>
      <c r="AE65" s="158">
        <f>AE60+'Oct22'!AE65</f>
        <v>0</v>
      </c>
      <c r="AF65" s="158">
        <f>AF60+'Oct22'!AF65</f>
        <v>0</v>
      </c>
      <c r="AG65" s="158">
        <f>AG60+'Oct22'!AG65</f>
        <v>0</v>
      </c>
    </row>
    <row r="66" spans="6:33" ht="14" thickTop="1" x14ac:dyDescent="0.15"/>
    <row r="67" spans="6:33" x14ac:dyDescent="0.15">
      <c r="AD67" s="162"/>
      <c r="AE67" s="158">
        <f>AE62+'Oct22'!AE67</f>
        <v>0</v>
      </c>
      <c r="AF67" s="158">
        <f>AF62+'Oct22'!AF67</f>
        <v>0</v>
      </c>
      <c r="AG67" s="158">
        <f>AG62+'Oct22'!AG67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SUM(AD70:AG70)+SUM(AE72:AG72)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35</v>
      </c>
      <c r="F9" s="35"/>
      <c r="G9" s="35"/>
      <c r="H9" s="379" t="s">
        <v>28</v>
      </c>
      <c r="I9" s="377"/>
      <c r="J9" s="378"/>
      <c r="K9" s="204">
        <f>'Nov22'!M39+1</f>
        <v>44893</v>
      </c>
      <c r="L9" s="203" t="s">
        <v>76</v>
      </c>
      <c r="M9" s="205">
        <f>K9+6</f>
        <v>44899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IF(T$9="Y",'Nov22'!H41,0)</f>
        <v>0</v>
      </c>
      <c r="I11" s="89">
        <f>IF(T$9="Y",'Nov22'!I41,0)</f>
        <v>0</v>
      </c>
      <c r="J11" s="89">
        <f>IF(T$9="Y",'Nov22'!J41,0)</f>
        <v>0</v>
      </c>
      <c r="K11" s="89">
        <f>IF(T$9="Y",'Nov22'!K41,I11*J11)</f>
        <v>0</v>
      </c>
      <c r="L11" s="110">
        <f>IF(T$9="Y",'Nov22'!L41,0)</f>
        <v>0</v>
      </c>
      <c r="M11" s="110" t="str">
        <f>IF(E11=" "," ",IF(T$9="Y",'Nov22'!M41,IF((H11+K11+L11)&gt;0,H11+K11+L11,"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IF(Employee!H$34=E$9,Employee!D$34+SUM(M11)+'Nov22'!V41,SUM(M11)+'Nov22'!V41)</f>
        <v>0</v>
      </c>
      <c r="W11" s="49">
        <f>IF(Employee!H$34=E$9,Employee!D$35+SUM(N11)+'Nov22'!W41,SUM(N11)+'Nov22'!W41)</f>
        <v>0</v>
      </c>
      <c r="X11" s="49">
        <f>IF(O11=" ",'Nov22'!X41,O11+'Nov22'!X41)</f>
        <v>0</v>
      </c>
      <c r="Y11" s="49">
        <f>IF(P11=" ",'Nov22'!Y41,P11+'Nov22'!Y41)</f>
        <v>0</v>
      </c>
      <c r="Z11" s="49">
        <f>IF(Q11=" ",'Nov22'!Z41,Q11+'Nov22'!Z41)</f>
        <v>0</v>
      </c>
      <c r="AA11" s="49">
        <f>IF(R11=" ",'Nov22'!AA41,R11+'Nov22'!AA41)</f>
        <v>0</v>
      </c>
      <c r="AC11" s="49">
        <f>IF(T11=" ",'Nov22'!AC41,T11+'Nov22'!AC41)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IF(T$9="Y",'Nov22'!H42,0)</f>
        <v>0</v>
      </c>
      <c r="I12" s="92">
        <f>IF(T$9="Y",'Nov22'!I42,0)</f>
        <v>0</v>
      </c>
      <c r="J12" s="92">
        <f>IF(T$9="Y",'Nov22'!J42,0)</f>
        <v>0</v>
      </c>
      <c r="K12" s="92">
        <f>IF(T$9="Y",'Nov22'!K42,I12*J12)</f>
        <v>0</v>
      </c>
      <c r="L12" s="111">
        <f>IF(T$9="Y",'Nov22'!L42,0)</f>
        <v>0</v>
      </c>
      <c r="M12" s="111" t="str">
        <f>IF(E12=" "," ",IF(T$9="Y",'Nov22'!M42,IF((H12+K12+L12)&gt;0,H12+K12+L12,"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IF(Employee!H$60=E$9,Employee!D$60+SUM(M12)+'Nov22'!V42,SUM(M12)+'Nov22'!V42)</f>
        <v>0</v>
      </c>
      <c r="W12" s="49">
        <f>IF(Employee!H$60=E$9,Employee!D$61+SUM(N12)+'Nov22'!W42,SUM(N12)+'Nov22'!W42)</f>
        <v>0</v>
      </c>
      <c r="X12" s="49">
        <f>IF(O12=" ",'Nov22'!X42,O12+'Nov22'!X42)</f>
        <v>0</v>
      </c>
      <c r="Y12" s="49">
        <f>IF(P12=" ",'Nov22'!Y42,P12+'Nov22'!Y42)</f>
        <v>0</v>
      </c>
      <c r="Z12" s="49">
        <f>IF(Q12=" ",'Nov22'!Z42,Q12+'Nov22'!Z42)</f>
        <v>0</v>
      </c>
      <c r="AA12" s="49">
        <f>IF(R12=" ",'Nov22'!AA42,R12+'Nov22'!AA42)</f>
        <v>0</v>
      </c>
      <c r="AC12" s="49">
        <f>IF(T12=" ",'Nov22'!AC42,T12+'Nov22'!AC42)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IF(T$9="Y",'Nov22'!H43,0)</f>
        <v>0</v>
      </c>
      <c r="I13" s="92">
        <f>IF(T$9="Y",'Nov22'!I43,0)</f>
        <v>0</v>
      </c>
      <c r="J13" s="92">
        <f>IF(T$9="Y",'Nov22'!J43,0)</f>
        <v>0</v>
      </c>
      <c r="K13" s="92">
        <f>IF(T$9="Y",'Nov22'!K43,I13*J13)</f>
        <v>0</v>
      </c>
      <c r="L13" s="111">
        <f>IF(T$9="Y",'Nov22'!L43,0)</f>
        <v>0</v>
      </c>
      <c r="M13" s="111" t="str">
        <f>IF(E13=" "," ",IF(T$9="Y",'Nov22'!M43,IF((H13+K13+L13)&gt;0,H13+K13+L13,"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IF(Employee!H$86=E$9,Employee!D$86+SUM(M13)+'Nov22'!V43,SUM(M13)+'Nov22'!V43)</f>
        <v>0</v>
      </c>
      <c r="W13" s="49">
        <f>IF(Employee!H$86=E$9,Employee!D$87+SUM(N13)+'Nov22'!W43,SUM(N13)+'Nov22'!W43)</f>
        <v>0</v>
      </c>
      <c r="X13" s="49">
        <f>IF(O13=" ",'Nov22'!X43,O13+'Nov22'!X43)</f>
        <v>0</v>
      </c>
      <c r="Y13" s="49">
        <f>IF(P13=" ",'Nov22'!Y43,P13+'Nov22'!Y43)</f>
        <v>0</v>
      </c>
      <c r="Z13" s="49">
        <f>IF(Q13=" ",'Nov22'!Z43,Q13+'Nov22'!Z43)</f>
        <v>0</v>
      </c>
      <c r="AA13" s="49">
        <f>IF(R13=" ",'Nov22'!AA43,R13+'Nov22'!AA43)</f>
        <v>0</v>
      </c>
      <c r="AC13" s="49">
        <f>IF(T13=" ",'Nov22'!AC43,T13+'Nov22'!AC43)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IF(T$9="Y",'Nov22'!H44,0)</f>
        <v>0</v>
      </c>
      <c r="I14" s="92">
        <f>IF(T$9="Y",'Nov22'!I44,0)</f>
        <v>0</v>
      </c>
      <c r="J14" s="92">
        <f>IF(T$9="Y",'Nov22'!J44,0)</f>
        <v>0</v>
      </c>
      <c r="K14" s="92">
        <f>IF(T$9="Y",'Nov22'!K44,I14*J14)</f>
        <v>0</v>
      </c>
      <c r="L14" s="111">
        <f>IF(T$9="Y",'Nov22'!L44,0)</f>
        <v>0</v>
      </c>
      <c r="M14" s="111" t="str">
        <f>IF(E14=" "," ",IF(T$9="Y",'Nov22'!M44,IF((H14+K14+L14)&gt;0,H14+K14+L14,"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IF(Employee!H$112=E$9,Employee!D$112+SUM(M14)+'Nov22'!V44,SUM(M14)+'Nov22'!V44)</f>
        <v>0</v>
      </c>
      <c r="W14" s="49">
        <f>IF(Employee!H$112=E$9,Employee!D$113+SUM(N14)+'Nov22'!W44,SUM(N14)+'Nov22'!W44)</f>
        <v>0</v>
      </c>
      <c r="X14" s="49">
        <f>IF(O14=" ",'Nov22'!X44,O14+'Nov22'!X44)</f>
        <v>0</v>
      </c>
      <c r="Y14" s="49">
        <f>IF(P14=" ",'Nov22'!Y44,P14+'Nov22'!Y44)</f>
        <v>0</v>
      </c>
      <c r="Z14" s="49">
        <f>IF(Q14=" ",'Nov22'!Z44,Q14+'Nov22'!Z44)</f>
        <v>0</v>
      </c>
      <c r="AA14" s="49">
        <f>IF(R14=" ",'Nov22'!AA44,R14+'Nov22'!AA44)</f>
        <v>0</v>
      </c>
      <c r="AC14" s="49">
        <f>IF(T14=" ",'Nov22'!AC44,T14+'Nov22'!AC44)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IF(T$9="Y",'Nov22'!H45,0)</f>
        <v>0</v>
      </c>
      <c r="I15" s="245">
        <f>IF(T$9="Y",'Nov22'!I45,0)</f>
        <v>0</v>
      </c>
      <c r="J15" s="245">
        <f>IF(T$9="Y",'Nov22'!J45,0)</f>
        <v>0</v>
      </c>
      <c r="K15" s="245">
        <f>IF(T$9="Y",'Nov22'!K45,I15*J15)</f>
        <v>0</v>
      </c>
      <c r="L15" s="246">
        <f>IF(T$9="Y",'Nov22'!L45,0)</f>
        <v>0</v>
      </c>
      <c r="M15" s="111" t="str">
        <f>IF(E15=" "," ",IF(T$9="Y",'Nov22'!M45,IF((H15+K15+L15)&gt;0,H15+K15+L15,"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IF(Employee!H$138=E$9,Employee!D$138+SUM(M15)+'Nov22'!V45,SUM(M15)+'Nov22'!V45)</f>
        <v>0</v>
      </c>
      <c r="W15" s="49">
        <f>IF(Employee!H$138=E$9,Employee!D$139+SUM(N15)+'Nov22'!W45,SUM(N15)+'Nov22'!W45)</f>
        <v>0</v>
      </c>
      <c r="X15" s="49">
        <f>IF(O15=" ",'Nov22'!X45,O15+'Nov22'!X45)</f>
        <v>0</v>
      </c>
      <c r="Y15" s="49">
        <f>IF(P15=" ",'Nov22'!Y45,P15+'Nov22'!Y45)</f>
        <v>0</v>
      </c>
      <c r="Z15" s="49">
        <f>IF(Q15=" ",'Nov22'!Z45,Q15+'Nov22'!Z45)</f>
        <v>0</v>
      </c>
      <c r="AA15" s="49">
        <f>IF(R15=" ",'Nov22'!AA45,R15+'Nov22'!AA45)</f>
        <v>0</v>
      </c>
      <c r="AC15" s="49">
        <f>IF(T15=" ",'Nov22'!AC45,T15+'Nov22'!AC45)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36</v>
      </c>
      <c r="F19" s="35"/>
      <c r="G19" s="35"/>
      <c r="H19" s="379" t="s">
        <v>28</v>
      </c>
      <c r="I19" s="377"/>
      <c r="J19" s="378"/>
      <c r="K19" s="204">
        <f>M9+1</f>
        <v>44900</v>
      </c>
      <c r="L19" s="203" t="s">
        <v>76</v>
      </c>
      <c r="M19" s="205">
        <f>K19+6</f>
        <v>44906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37</v>
      </c>
      <c r="F29" s="35"/>
      <c r="G29" s="35"/>
      <c r="H29" s="379" t="s">
        <v>28</v>
      </c>
      <c r="I29" s="377"/>
      <c r="J29" s="378"/>
      <c r="K29" s="204">
        <f>M19+1</f>
        <v>44907</v>
      </c>
      <c r="L29" s="203" t="s">
        <v>76</v>
      </c>
      <c r="M29" s="205">
        <f>K29+6</f>
        <v>44913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38</v>
      </c>
      <c r="F39" s="35"/>
      <c r="G39" s="35"/>
      <c r="H39" s="379" t="s">
        <v>28</v>
      </c>
      <c r="I39" s="433"/>
      <c r="J39" s="434"/>
      <c r="K39" s="204">
        <f>M29+1</f>
        <v>44914</v>
      </c>
      <c r="L39" s="203" t="s">
        <v>76</v>
      </c>
      <c r="M39" s="205">
        <f>K39+6</f>
        <v>44920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39</v>
      </c>
      <c r="F49" s="35"/>
      <c r="G49" s="35"/>
      <c r="H49" s="379" t="s">
        <v>28</v>
      </c>
      <c r="I49" s="433"/>
      <c r="J49" s="434"/>
      <c r="K49" s="204">
        <f>M39+1</f>
        <v>44921</v>
      </c>
      <c r="L49" s="203" t="s">
        <v>76</v>
      </c>
      <c r="M49" s="205">
        <f>K49+6</f>
        <v>44927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24</v>
      </c>
      <c r="C58" s="377"/>
      <c r="D58" s="377"/>
      <c r="E58" s="378"/>
      <c r="F58" s="32"/>
      <c r="G58" s="32"/>
      <c r="H58" s="43"/>
      <c r="I58" s="43"/>
      <c r="J58" s="43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10</v>
      </c>
      <c r="C59" s="377"/>
      <c r="D59" s="378"/>
      <c r="E59" s="156">
        <v>9</v>
      </c>
      <c r="F59" s="35"/>
      <c r="G59" s="35"/>
      <c r="H59" s="379" t="s">
        <v>28</v>
      </c>
      <c r="I59" s="377"/>
      <c r="J59" s="378"/>
      <c r="K59" s="204">
        <f>Admin!B241</f>
        <v>44896</v>
      </c>
      <c r="L59" s="203" t="s">
        <v>76</v>
      </c>
      <c r="M59" s="205">
        <f>Admin!B271</f>
        <v>44926</v>
      </c>
      <c r="N59" s="20"/>
      <c r="O59" s="389" t="s">
        <v>64</v>
      </c>
      <c r="P59" s="390"/>
      <c r="Q59" s="390"/>
      <c r="R59" s="391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IF(T$59="Y",'Nov22'!H51,0)</f>
        <v>0</v>
      </c>
      <c r="I61" s="89">
        <f>IF(T$59="Y",'Nov22'!I51,0)</f>
        <v>0</v>
      </c>
      <c r="J61" s="89">
        <f>IF(T$59="Y",'Nov22'!J51,0)</f>
        <v>0</v>
      </c>
      <c r="K61" s="89">
        <f>IF(T$59="Y",'Nov22'!K51,I61*J61)</f>
        <v>0</v>
      </c>
      <c r="L61" s="110">
        <f>IF(T$59="Y",'Nov22'!L51,0)</f>
        <v>0</v>
      </c>
      <c r="M61" s="99" t="str">
        <f>IF(E61=" "," ",IF(T$59="Y",'Nov22'!M51,IF((H61+K61+L61)&gt;0,H61+K61+L61,"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IF(Employee!H$35=E$59,Employee!D$34+SUM(M61)+'Nov22'!V51,SUM(M61)+'Nov22'!V51)</f>
        <v>0</v>
      </c>
      <c r="W61" s="49">
        <f>IF(Employee!H$35=E$59,Employee!D$35+SUM(N61)+'Nov22'!W51,SUM(N61)+'Nov22'!W51)</f>
        <v>0</v>
      </c>
      <c r="X61" s="49">
        <f>IF(O61=" ",'Nov22'!X51,O61+'Nov22'!X51)</f>
        <v>0</v>
      </c>
      <c r="Y61" s="49">
        <f>IF(P61=" ",'Nov22'!Y51,P61+'Nov22'!Y51)</f>
        <v>0</v>
      </c>
      <c r="Z61" s="49">
        <f>IF(Q61=" ",'Nov22'!Z51,Q61+'Nov22'!Z51)</f>
        <v>0</v>
      </c>
      <c r="AA61" s="49">
        <f>IF(R61=" ",'Nov22'!AA51,R61+'Nov22'!AA51)</f>
        <v>0</v>
      </c>
      <c r="AC61" s="49">
        <f>IF(T61=" ",'Nov22'!AC51,T61+'Nov22'!AC51)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IF(T$59="Y",'Nov22'!H52,0)</f>
        <v>0</v>
      </c>
      <c r="I62" s="92">
        <f>IF(T$59="Y",'Nov22'!I52,0)</f>
        <v>0</v>
      </c>
      <c r="J62" s="92">
        <f>IF(T$59="Y",'Nov22'!J52,0)</f>
        <v>0</v>
      </c>
      <c r="K62" s="92">
        <f>IF(T$59="Y",'Nov22'!K52,I62*J62)</f>
        <v>0</v>
      </c>
      <c r="L62" s="111">
        <f>IF(T$59="Y",'Nov22'!L52,0)</f>
        <v>0</v>
      </c>
      <c r="M62" s="100" t="str">
        <f>IF(E62=" "," ",IF(T$59="Y",'Nov22'!M52,IF((H62+K62+L62)&gt;0,H62+K62+L62,"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IF(Employee!H$61=E$59,Employee!D$60+SUM(M62)+'Nov22'!V52,SUM(M62)+'Nov22'!V52)</f>
        <v>0</v>
      </c>
      <c r="W62" s="49">
        <f>IF(Employee!H$61=E$59,Employee!D$61+SUM(N62)+'Nov22'!W52,SUM(N62)+'Nov22'!W52)</f>
        <v>0</v>
      </c>
      <c r="X62" s="49">
        <f>IF(O62=" ",'Nov22'!X52,O62+'Nov22'!X52)</f>
        <v>0</v>
      </c>
      <c r="Y62" s="49">
        <f>IF(P62=" ",'Nov22'!Y52,P62+'Nov22'!Y52)</f>
        <v>0</v>
      </c>
      <c r="Z62" s="49">
        <f>IF(Q62=" ",'Nov22'!Z52,Q62+'Nov22'!Z52)</f>
        <v>0</v>
      </c>
      <c r="AA62" s="49">
        <f>IF(R62=" ",'Nov22'!AA52,R62+'Nov22'!AA52)</f>
        <v>0</v>
      </c>
      <c r="AC62" s="49">
        <f>IF(T62=" ",'Nov22'!AC52,T62+'Nov22'!AC52)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IF(T$59="Y",'Nov22'!H53,0)</f>
        <v>0</v>
      </c>
      <c r="I63" s="92">
        <f>IF(T$59="Y",'Nov22'!I53,0)</f>
        <v>0</v>
      </c>
      <c r="J63" s="92">
        <f>IF(T$59="Y",'Nov22'!J53,0)</f>
        <v>0</v>
      </c>
      <c r="K63" s="92">
        <f>IF(T$59="Y",'Nov22'!K53,I63*J63)</f>
        <v>0</v>
      </c>
      <c r="L63" s="111">
        <f>IF(T$59="Y",'Nov22'!L53,0)</f>
        <v>0</v>
      </c>
      <c r="M63" s="100" t="str">
        <f>IF(E63=" "," ",IF(T$59="Y",'Nov22'!M53,IF((H63+K63+L63)&gt;0,H63+K63+L63,"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IF(Employee!H$87=E$59,Employee!D$86+SUM(M63)+'Nov22'!V53,SUM(M63)+'Nov22'!V53)</f>
        <v>0</v>
      </c>
      <c r="W63" s="49">
        <f>IF(Employee!H$87=E$59,Employee!D$87+SUM(N63)+'Nov22'!W53,SUM(N63)+'Nov22'!W53)</f>
        <v>0</v>
      </c>
      <c r="X63" s="49">
        <f>IF(O63=" ",'Nov22'!X53,O63+'Nov22'!X53)</f>
        <v>0</v>
      </c>
      <c r="Y63" s="49">
        <f>IF(P63=" ",'Nov22'!Y53,P63+'Nov22'!Y53)</f>
        <v>0</v>
      </c>
      <c r="Z63" s="49">
        <f>IF(Q63=" ",'Nov22'!Z53,Q63+'Nov22'!Z53)</f>
        <v>0</v>
      </c>
      <c r="AA63" s="49">
        <f>IF(R63=" ",'Nov22'!AA53,R63+'Nov22'!AA53)</f>
        <v>0</v>
      </c>
      <c r="AC63" s="49">
        <f>IF(T63=" ",'Nov22'!AC53,T63+'Nov22'!AC53)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IF(T$59="Y",'Nov22'!H54,0)</f>
        <v>0</v>
      </c>
      <c r="I64" s="92">
        <f>IF(T$59="Y",'Nov22'!I54,0)</f>
        <v>0</v>
      </c>
      <c r="J64" s="92">
        <f>IF(T$59="Y",'Nov22'!J54,0)</f>
        <v>0</v>
      </c>
      <c r="K64" s="92">
        <f>IF(T$59="Y",'Nov22'!K54,I64*J64)</f>
        <v>0</v>
      </c>
      <c r="L64" s="111">
        <f>IF(T$59="Y",'Nov22'!L54,0)</f>
        <v>0</v>
      </c>
      <c r="M64" s="100" t="str">
        <f>IF(E64=" "," ",IF(T$59="Y",'Nov22'!M54,IF((H64+K64+L64)&gt;0,H64+K64+L64,"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IF(Employee!H$113=E$59,Employee!D$112+SUM(M64)+'Nov22'!V54,SUM(M64)+'Nov22'!V54)</f>
        <v>0</v>
      </c>
      <c r="W64" s="49">
        <f>IF(Employee!H$113=E$59,Employee!D$113+SUM(N64)+'Nov22'!W54,SUM(N64)+'Nov22'!W54)</f>
        <v>0</v>
      </c>
      <c r="X64" s="49">
        <f>IF(O64=" ",'Nov22'!X54,O64+'Nov22'!X54)</f>
        <v>0</v>
      </c>
      <c r="Y64" s="49">
        <f>IF(P64=" ",'Nov22'!Y54,P64+'Nov22'!Y54)</f>
        <v>0</v>
      </c>
      <c r="Z64" s="49">
        <f>IF(Q64=" ",'Nov22'!Z54,Q64+'Nov22'!Z54)</f>
        <v>0</v>
      </c>
      <c r="AA64" s="49">
        <f>IF(R64=" ",'Nov22'!AA54,R64+'Nov22'!AA54)</f>
        <v>0</v>
      </c>
      <c r="AC64" s="49">
        <f>IF(T64=" ",'Nov22'!AC54,T64+'Nov22'!AC54)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IF(T$59="Y",'Nov22'!H55,0)</f>
        <v>0</v>
      </c>
      <c r="I65" s="245">
        <f>IF(T$59="Y",'Nov22'!I55,0)</f>
        <v>0</v>
      </c>
      <c r="J65" s="245">
        <f>IF(T$59="Y",'Nov22'!J55,0)</f>
        <v>0</v>
      </c>
      <c r="K65" s="245">
        <f>IF(T$59="Y",'Nov22'!K55,I65*J65)</f>
        <v>0</v>
      </c>
      <c r="L65" s="246">
        <f>IF(T$59="Y",'Nov22'!L55,0)</f>
        <v>0</v>
      </c>
      <c r="M65" s="100" t="str">
        <f>IF(E65=" "," ",IF(T$59="Y",'Nov22'!M55,IF((H65+K65+L65)&gt;0,H65+K65+L65,"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IF(Employee!H$139=E$59,Employee!D$138+SUM(M65)+'Nov22'!V55,SUM(M65)+'Nov22'!V55)</f>
        <v>0</v>
      </c>
      <c r="W65" s="49">
        <f>IF(Employee!H$139=E$59,Employee!D$139+SUM(N65)+'Nov22'!W55,SUM(N65)+'Nov22'!W55)</f>
        <v>0</v>
      </c>
      <c r="X65" s="49">
        <f>IF(O65=" ",'Nov22'!X55,O65+'Nov22'!X55)</f>
        <v>0</v>
      </c>
      <c r="Y65" s="49">
        <f>IF(P65=" ",'Nov22'!Y55,P65+'Nov22'!Y55)</f>
        <v>0</v>
      </c>
      <c r="Z65" s="49">
        <f>IF(Q65=" ",'Nov22'!Z55,Q65+'Nov22'!Z55)</f>
        <v>0</v>
      </c>
      <c r="AA65" s="49">
        <f>IF(R65=" ",'Nov22'!AA55,R65+'Nov22'!AA55)</f>
        <v>0</v>
      </c>
      <c r="AC65" s="49">
        <f>IF(T65=" ",'Nov22'!AC55,T65+'Nov22'!AC55)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378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9" t="s">
        <v>74</v>
      </c>
      <c r="N69" s="360"/>
      <c r="O69" s="360"/>
      <c r="P69" s="360"/>
      <c r="Q69" s="360"/>
      <c r="R69" s="360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AD70+'Nov22'!AD65</f>
        <v>0</v>
      </c>
      <c r="AE75" s="158">
        <f>AE70+'Nov22'!AE65</f>
        <v>0</v>
      </c>
      <c r="AF75" s="158">
        <f>AF70+'Nov22'!AF65</f>
        <v>0</v>
      </c>
      <c r="AG75" s="158">
        <f>AG70+'Nov22'!AG65</f>
        <v>0</v>
      </c>
    </row>
    <row r="76" spans="1:34" ht="14" thickTop="1" x14ac:dyDescent="0.15"/>
    <row r="77" spans="1:34" x14ac:dyDescent="0.15">
      <c r="AD77" s="162"/>
      <c r="AE77" s="158">
        <f>AE72+'Nov22'!AE67</f>
        <v>0</v>
      </c>
      <c r="AF77" s="158">
        <f>AF72+'Nov22'!AF67</f>
        <v>0</v>
      </c>
      <c r="AG77" s="158">
        <f>AG72+'Nov22'!AG67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381" t="s">
        <v>66</v>
      </c>
      <c r="C1" s="382"/>
      <c r="D1" s="382"/>
      <c r="E1" s="382"/>
      <c r="F1" s="383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40</v>
      </c>
      <c r="F9" s="35"/>
      <c r="G9" s="35"/>
      <c r="H9" s="379" t="s">
        <v>28</v>
      </c>
      <c r="I9" s="377"/>
      <c r="J9" s="378"/>
      <c r="K9" s="204">
        <f>'Dec22'!M49+1</f>
        <v>44928</v>
      </c>
      <c r="L9" s="203" t="s">
        <v>76</v>
      </c>
      <c r="M9" s="205">
        <f>K9+6</f>
        <v>44934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IF(T$9="Y",'Dec22'!H51,0)</f>
        <v>0</v>
      </c>
      <c r="I11" s="89">
        <f>IF(T$9="Y",'Dec22'!I51,0)</f>
        <v>0</v>
      </c>
      <c r="J11" s="89">
        <f>IF(T$9="Y",'Dec22'!J51,0)</f>
        <v>0</v>
      </c>
      <c r="K11" s="89">
        <f>IF(T$9="Y",'Dec22'!K51,I11*J11)</f>
        <v>0</v>
      </c>
      <c r="L11" s="110">
        <f>IF(T$9="Y",'Dec22'!L51,0)</f>
        <v>0</v>
      </c>
      <c r="M11" s="110" t="str">
        <f>IF(E11=" "," ",IF(T$9="Y",'Dec22'!M51,IF((H11+K11+L11)&gt;0,H11+K11+L11,"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IF(Employee!H$34=E$9,Employee!D$34+SUM(M11)+'Dec22'!V51,SUM(M11)+'Dec22'!V51)</f>
        <v>0</v>
      </c>
      <c r="W11" s="49">
        <f>IF(Employee!H$34=E$9,Employee!D$35+SUM(N11)+'Dec22'!W51,SUM(N11)+'Dec22'!W51)</f>
        <v>0</v>
      </c>
      <c r="X11" s="49">
        <f>IF(O11=" ",'Dec22'!X51,O11+'Dec22'!X51)</f>
        <v>0</v>
      </c>
      <c r="Y11" s="49">
        <f>IF(P11=" ",'Dec22'!Y51,P11+'Dec22'!Y51)</f>
        <v>0</v>
      </c>
      <c r="Z11" s="49">
        <f>IF(Q11=" ",'Dec22'!Z51,Q11+'Dec22'!Z51)</f>
        <v>0</v>
      </c>
      <c r="AA11" s="49">
        <f>IF(R11=" ",'Dec22'!AA51,R11+'Dec22'!AA51)</f>
        <v>0</v>
      </c>
      <c r="AC11" s="49">
        <f>IF(T11=" ",'Dec22'!AC51,T11+'Dec22'!AC51)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IF(T$9="Y",'Dec22'!H52,0)</f>
        <v>0</v>
      </c>
      <c r="I12" s="92">
        <f>IF(T$9="Y",'Dec22'!I52,0)</f>
        <v>0</v>
      </c>
      <c r="J12" s="92">
        <f>IF(T$9="Y",'Dec22'!J52,0)</f>
        <v>0</v>
      </c>
      <c r="K12" s="92">
        <f>IF(T$9="Y",'Dec22'!K52,I12*J12)</f>
        <v>0</v>
      </c>
      <c r="L12" s="111">
        <f>IF(T$9="Y",'Dec22'!L52,0)</f>
        <v>0</v>
      </c>
      <c r="M12" s="111" t="str">
        <f>IF(E12=" "," ",IF(T$9="Y",'Dec22'!M52,IF((H12+K12+L12)&gt;0,H12+K12+L12,"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IF(Employee!H$60=E$9,Employee!D$60+SUM(M12)+'Dec22'!V52,SUM(M12)+'Dec22'!V52)</f>
        <v>0</v>
      </c>
      <c r="W12" s="49">
        <f>IF(Employee!H$60=E$9,Employee!D$61+SUM(N12)+'Dec22'!W52,SUM(N12)+'Dec22'!W52)</f>
        <v>0</v>
      </c>
      <c r="X12" s="49">
        <f>IF(O12=" ",'Dec22'!X52,O12+'Dec22'!X52)</f>
        <v>0</v>
      </c>
      <c r="Y12" s="49">
        <f>IF(P12=" ",'Dec22'!Y52,P12+'Dec22'!Y52)</f>
        <v>0</v>
      </c>
      <c r="Z12" s="49">
        <f>IF(Q12=" ",'Dec22'!Z52,Q12+'Dec22'!Z52)</f>
        <v>0</v>
      </c>
      <c r="AA12" s="49">
        <f>IF(R12=" ",'Dec22'!AA52,R12+'Dec22'!AA52)</f>
        <v>0</v>
      </c>
      <c r="AC12" s="49">
        <f>IF(T12=" ",'Dec22'!AC52,T12+'Dec22'!AC52)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IF(T$9="Y",'Dec22'!H53,0)</f>
        <v>0</v>
      </c>
      <c r="I13" s="92">
        <f>IF(T$9="Y",'Dec22'!I53,0)</f>
        <v>0</v>
      </c>
      <c r="J13" s="92">
        <f>IF(T$9="Y",'Dec22'!J53,0)</f>
        <v>0</v>
      </c>
      <c r="K13" s="92">
        <f>IF(T$9="Y",'Dec22'!K53,I13*J13)</f>
        <v>0</v>
      </c>
      <c r="L13" s="111">
        <f>IF(T$9="Y",'Dec22'!L53,0)</f>
        <v>0</v>
      </c>
      <c r="M13" s="111" t="str">
        <f>IF(E13=" "," ",IF(T$9="Y",'Dec22'!M53,IF((H13+K13+L13)&gt;0,H13+K13+L13,"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IF(Employee!H$86=E$9,Employee!D$86+SUM(M13)+'Dec22'!V53,SUM(M13)+'Dec22'!V53)</f>
        <v>0</v>
      </c>
      <c r="W13" s="49">
        <f>IF(Employee!H$86=E$9,Employee!D$87+SUM(N13)+'Dec22'!W53,SUM(N13)+'Dec22'!W53)</f>
        <v>0</v>
      </c>
      <c r="X13" s="49">
        <f>IF(O13=" ",'Dec22'!X53,O13+'Dec22'!X53)</f>
        <v>0</v>
      </c>
      <c r="Y13" s="49">
        <f>IF(P13=" ",'Dec22'!Y53,P13+'Dec22'!Y53)</f>
        <v>0</v>
      </c>
      <c r="Z13" s="49">
        <f>IF(Q13=" ",'Dec22'!Z53,Q13+'Dec22'!Z53)</f>
        <v>0</v>
      </c>
      <c r="AA13" s="49">
        <f>IF(R13=" ",'Dec22'!AA53,R13+'Dec22'!AA53)</f>
        <v>0</v>
      </c>
      <c r="AC13" s="49">
        <f>IF(T13=" ",'Dec22'!AC53,T13+'Dec22'!AC53)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IF(T$9="Y",'Dec22'!H54,0)</f>
        <v>0</v>
      </c>
      <c r="I14" s="92">
        <f>IF(T$9="Y",'Dec22'!I54,0)</f>
        <v>0</v>
      </c>
      <c r="J14" s="92">
        <f>IF(T$9="Y",'Dec22'!J54,0)</f>
        <v>0</v>
      </c>
      <c r="K14" s="92">
        <f>IF(T$9="Y",'Dec22'!K54,I14*J14)</f>
        <v>0</v>
      </c>
      <c r="L14" s="111">
        <f>IF(T$9="Y",'Dec22'!L54,0)</f>
        <v>0</v>
      </c>
      <c r="M14" s="111" t="str">
        <f>IF(E14=" "," ",IF(T$9="Y",'Dec22'!M54,IF((H14+K14+L14)&gt;0,H14+K14+L14,"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IF(Employee!H$112=E$9,Employee!D$112+SUM(M14)+'Dec22'!V54,SUM(M14)+'Dec22'!V54)</f>
        <v>0</v>
      </c>
      <c r="W14" s="49">
        <f>IF(Employee!H$112=E$9,Employee!D$113+SUM(N14)+'Dec22'!W54,SUM(N14)+'Dec22'!W54)</f>
        <v>0</v>
      </c>
      <c r="X14" s="49">
        <f>IF(O14=" ",'Dec22'!X54,O14+'Dec22'!X54)</f>
        <v>0</v>
      </c>
      <c r="Y14" s="49">
        <f>IF(P14=" ",'Dec22'!Y54,P14+'Dec22'!Y54)</f>
        <v>0</v>
      </c>
      <c r="Z14" s="49">
        <f>IF(Q14=" ",'Dec22'!Z54,Q14+'Dec22'!Z54)</f>
        <v>0</v>
      </c>
      <c r="AA14" s="49">
        <f>IF(R14=" ",'Dec22'!AA54,R14+'Dec22'!AA54)</f>
        <v>0</v>
      </c>
      <c r="AC14" s="49">
        <f>IF(T14=" ",'Dec22'!AC54,T14+'Dec22'!AC54)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IF(T$9="Y",'Dec22'!H55,0)</f>
        <v>0</v>
      </c>
      <c r="I15" s="245">
        <f>IF(T$9="Y",'Dec22'!I55,0)</f>
        <v>0</v>
      </c>
      <c r="J15" s="245">
        <f>IF(T$9="Y",'Dec22'!J55,0)</f>
        <v>0</v>
      </c>
      <c r="K15" s="245">
        <f>IF(T$9="Y",'Dec22'!K55,I15*J15)</f>
        <v>0</v>
      </c>
      <c r="L15" s="246">
        <f>IF(T$9="Y",'Dec22'!L55,0)</f>
        <v>0</v>
      </c>
      <c r="M15" s="111" t="str">
        <f>IF(E15=" "," ",IF(T$9="Y",'Dec22'!M55,IF((H15+K15+L15)&gt;0,H15+K15+L15,"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IF(Employee!H$138=E$9,Employee!D$138+SUM(M15)+'Dec22'!V55,SUM(M15)+'Dec22'!V55)</f>
        <v>0</v>
      </c>
      <c r="W15" s="49">
        <f>IF(Employee!H$138=E$9,Employee!D$139+SUM(N15)+'Dec22'!W55,SUM(N15)+'Dec22'!W55)</f>
        <v>0</v>
      </c>
      <c r="X15" s="49">
        <f>IF(O15=" ",'Dec22'!X55,O15+'Dec22'!X55)</f>
        <v>0</v>
      </c>
      <c r="Y15" s="49">
        <f>IF(P15=" ",'Dec22'!Y55,P15+'Dec22'!Y55)</f>
        <v>0</v>
      </c>
      <c r="Z15" s="49">
        <f>IF(Q15=" ",'Dec22'!Z55,Q15+'Dec22'!Z55)</f>
        <v>0</v>
      </c>
      <c r="AA15" s="49">
        <f>IF(R15=" ",'Dec22'!AA55,R15+'Dec22'!AA55)</f>
        <v>0</v>
      </c>
      <c r="AC15" s="49">
        <f>IF(T15=" ",'Dec22'!AC55,T15+'Dec22'!AC55)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41</v>
      </c>
      <c r="F19" s="35"/>
      <c r="G19" s="35"/>
      <c r="H19" s="379" t="s">
        <v>28</v>
      </c>
      <c r="I19" s="377"/>
      <c r="J19" s="378"/>
      <c r="K19" s="204">
        <f>M9+1</f>
        <v>44935</v>
      </c>
      <c r="L19" s="203" t="s">
        <v>76</v>
      </c>
      <c r="M19" s="205">
        <f>K19+6</f>
        <v>44941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42</v>
      </c>
      <c r="F29" s="35"/>
      <c r="G29" s="35"/>
      <c r="H29" s="379" t="s">
        <v>28</v>
      </c>
      <c r="I29" s="377"/>
      <c r="J29" s="378"/>
      <c r="K29" s="204">
        <f>M19+1</f>
        <v>44942</v>
      </c>
      <c r="L29" s="203" t="s">
        <v>76</v>
      </c>
      <c r="M29" s="205">
        <f>K29+6</f>
        <v>44948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43</v>
      </c>
      <c r="F39" s="35"/>
      <c r="G39" s="35"/>
      <c r="H39" s="379" t="s">
        <v>28</v>
      </c>
      <c r="I39" s="433"/>
      <c r="J39" s="434"/>
      <c r="K39" s="204">
        <f>M29+1</f>
        <v>44949</v>
      </c>
      <c r="L39" s="203" t="s">
        <v>76</v>
      </c>
      <c r="M39" s="205">
        <f>K39+6</f>
        <v>44955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10</v>
      </c>
      <c r="F49" s="35"/>
      <c r="G49" s="35"/>
      <c r="H49" s="379" t="s">
        <v>28</v>
      </c>
      <c r="I49" s="377"/>
      <c r="J49" s="378"/>
      <c r="K49" s="204">
        <f>Admin!B272</f>
        <v>44927</v>
      </c>
      <c r="L49" s="203" t="s">
        <v>76</v>
      </c>
      <c r="M49" s="205">
        <f>Admin!B302</f>
        <v>44957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IF(T$49="Y",'Dec22'!H61,0)</f>
        <v>0</v>
      </c>
      <c r="I51" s="89">
        <f>IF(T$49="Y",'Dec22'!I61,0)</f>
        <v>0</v>
      </c>
      <c r="J51" s="89">
        <f>IF(T$49="Y",'Dec22'!J61,0)</f>
        <v>0</v>
      </c>
      <c r="K51" s="89">
        <f>IF(T$49="Y",'Dec22'!K61,I51*J51)</f>
        <v>0</v>
      </c>
      <c r="L51" s="110">
        <f>IF(T$49="Y",'Dec22'!L61,0)</f>
        <v>0</v>
      </c>
      <c r="M51" s="99" t="str">
        <f>IF(E51=" "," ",IF(T$49="Y",'Dec22'!M61,IF((H51+K51+L51)&gt;0,H51+K51+L51,"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IF(Employee!H$35=E$49,Employee!D$34+SUM(M51)+'Dec22'!V61,SUM(M51)+'Dec22'!V61)</f>
        <v>0</v>
      </c>
      <c r="W51" s="49">
        <f>IF(Employee!H$35=E$49,Employee!D$35+SUM(N51)+'Dec22'!W61,SUM(N51)+'Dec22'!W61)</f>
        <v>0</v>
      </c>
      <c r="X51" s="49">
        <f>IF(O51=" ",'Dec22'!X61,O51+'Dec22'!X61)</f>
        <v>0</v>
      </c>
      <c r="Y51" s="49">
        <f>IF(P51=" ",'Dec22'!Y61,P51+'Dec22'!Y61)</f>
        <v>0</v>
      </c>
      <c r="Z51" s="49">
        <f>IF(Q51=" ",'Dec22'!Z61,Q51+'Dec22'!Z61)</f>
        <v>0</v>
      </c>
      <c r="AA51" s="49">
        <f>IF(R51=" ",'Dec22'!AA61,R51+'Dec22'!AA61)</f>
        <v>0</v>
      </c>
      <c r="AC51" s="49">
        <f>IF(T51=" ",'Dec22'!AC61,T51+'Dec22'!AC61)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IF(T$49="Y",'Dec22'!H62,0)</f>
        <v>0</v>
      </c>
      <c r="I52" s="92">
        <f>IF(T$49="Y",'Dec22'!I62,0)</f>
        <v>0</v>
      </c>
      <c r="J52" s="92">
        <f>IF(T$49="Y",'Dec22'!J62,0)</f>
        <v>0</v>
      </c>
      <c r="K52" s="92">
        <f>IF(T$49="Y",'Dec22'!K62,I52*J52)</f>
        <v>0</v>
      </c>
      <c r="L52" s="111">
        <f>IF(T$49="Y",'Dec22'!L62,0)</f>
        <v>0</v>
      </c>
      <c r="M52" s="100" t="str">
        <f>IF(E52=" "," ",IF(T$49="Y",'Dec22'!M62,IF((H52+K52+L52)&gt;0,H52+K52+L52,"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IF(Employee!H$61=E$49,Employee!D$60+SUM(M52)+'Dec22'!V62,SUM(M52)+'Dec22'!V62)</f>
        <v>0</v>
      </c>
      <c r="W52" s="49">
        <f>IF(Employee!H$61=E$49,Employee!D$61+SUM(N52)+'Dec22'!W62,SUM(N52)+'Dec22'!W62)</f>
        <v>0</v>
      </c>
      <c r="X52" s="49">
        <f>IF(O52=" ",'Dec22'!X62,O52+'Dec22'!X62)</f>
        <v>0</v>
      </c>
      <c r="Y52" s="49">
        <f>IF(P52=" ",'Dec22'!Y62,P52+'Dec22'!Y62)</f>
        <v>0</v>
      </c>
      <c r="Z52" s="49">
        <f>IF(Q52=" ",'Dec22'!Z62,Q52+'Dec22'!Z62)</f>
        <v>0</v>
      </c>
      <c r="AA52" s="49">
        <f>IF(R52=" ",'Dec22'!AA62,R52+'Dec22'!AA62)</f>
        <v>0</v>
      </c>
      <c r="AC52" s="49">
        <f>IF(T52=" ",'Dec22'!AC62,T52+'Dec22'!AC62)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IF(T$49="Y",'Dec22'!H63,0)</f>
        <v>0</v>
      </c>
      <c r="I53" s="92">
        <f>IF(T$49="Y",'Dec22'!I63,0)</f>
        <v>0</v>
      </c>
      <c r="J53" s="92">
        <f>IF(T$49="Y",'Dec22'!J63,0)</f>
        <v>0</v>
      </c>
      <c r="K53" s="92">
        <f>IF(T$49="Y",'Dec22'!K63,I53*J53)</f>
        <v>0</v>
      </c>
      <c r="L53" s="111">
        <f>IF(T$49="Y",'Dec22'!L63,0)</f>
        <v>0</v>
      </c>
      <c r="M53" s="100" t="str">
        <f>IF(E53=" "," ",IF(T$49="Y",'Dec22'!M63,IF((H53+K53+L53)&gt;0,H53+K53+L53,"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IF(Employee!H$87=E$49,Employee!D$86+SUM(M53)+'Dec22'!V63,SUM(M53)+'Dec22'!V63)</f>
        <v>0</v>
      </c>
      <c r="W53" s="49">
        <f>IF(Employee!H$87=E$49,Employee!D$87+SUM(N53)+'Dec22'!W63,SUM(N53)+'Dec22'!W63)</f>
        <v>0</v>
      </c>
      <c r="X53" s="49">
        <f>IF(O53=" ",'Dec22'!X63,O53+'Dec22'!X63)</f>
        <v>0</v>
      </c>
      <c r="Y53" s="49">
        <f>IF(P53=" ",'Dec22'!Y63,P53+'Dec22'!Y63)</f>
        <v>0</v>
      </c>
      <c r="Z53" s="49">
        <f>IF(Q53=" ",'Dec22'!Z63,Q53+'Dec22'!Z63)</f>
        <v>0</v>
      </c>
      <c r="AA53" s="49">
        <f>IF(R53=" ",'Dec22'!AA63,R53+'Dec22'!AA63)</f>
        <v>0</v>
      </c>
      <c r="AC53" s="49">
        <f>IF(T53=" ",'Dec22'!AC63,T53+'Dec22'!AC63)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IF(T$49="Y",'Dec22'!H64,0)</f>
        <v>0</v>
      </c>
      <c r="I54" s="92">
        <f>IF(T$49="Y",'Dec22'!I64,0)</f>
        <v>0</v>
      </c>
      <c r="J54" s="92">
        <f>IF(T$49="Y",'Dec22'!J64,0)</f>
        <v>0</v>
      </c>
      <c r="K54" s="92">
        <f>IF(T$49="Y",'Dec22'!K64,I54*J54)</f>
        <v>0</v>
      </c>
      <c r="L54" s="111">
        <f>IF(T$49="Y",'Dec22'!L64,0)</f>
        <v>0</v>
      </c>
      <c r="M54" s="100" t="str">
        <f>IF(E54=" "," ",IF(T$49="Y",'Dec22'!M64,IF((H54+K54+L54)&gt;0,H54+K54+L54,"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IF(Employee!H$113=E$49,Employee!D$112+SUM(M54)+'Dec22'!V64,SUM(M54)+'Dec22'!V64)</f>
        <v>0</v>
      </c>
      <c r="W54" s="49">
        <f>IF(Employee!H$113=E$49,Employee!D$113+SUM(N54)+'Dec22'!W64,SUM(N54)+'Dec22'!W64)</f>
        <v>0</v>
      </c>
      <c r="X54" s="49">
        <f>IF(O54=" ",'Dec22'!X64,O54+'Dec22'!X64)</f>
        <v>0</v>
      </c>
      <c r="Y54" s="49">
        <f>IF(P54=" ",'Dec22'!Y64,P54+'Dec22'!Y64)</f>
        <v>0</v>
      </c>
      <c r="Z54" s="49">
        <f>IF(Q54=" ",'Dec22'!Z64,Q54+'Dec22'!Z64)</f>
        <v>0</v>
      </c>
      <c r="AA54" s="49">
        <f>IF(R54=" ",'Dec22'!AA64,R54+'Dec22'!AA64)</f>
        <v>0</v>
      </c>
      <c r="AC54" s="49">
        <f>IF(T54=" ",'Dec22'!AC64,T54+'Dec22'!AC64)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IF(T$49="Y",'Dec22'!H65,0)</f>
        <v>0</v>
      </c>
      <c r="I55" s="245">
        <f>IF(T$49="Y",'Dec22'!I65,0)</f>
        <v>0</v>
      </c>
      <c r="J55" s="245">
        <f>IF(T$49="Y",'Dec22'!J65,0)</f>
        <v>0</v>
      </c>
      <c r="K55" s="245">
        <f>IF(T$49="Y",'Dec22'!K65,I55*J55)</f>
        <v>0</v>
      </c>
      <c r="L55" s="246">
        <f>IF(T$49="Y",'Dec22'!L65,0)</f>
        <v>0</v>
      </c>
      <c r="M55" s="100" t="str">
        <f>IF(E55=" "," ",IF(T$49="Y",'Dec22'!M65,IF((H55+K55+L55)&gt;0,H55+K55+L55,"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IF(Employee!H$139=E$49,Employee!D$138+SUM(M55)+'Dec22'!V65,SUM(M55)+'Dec22'!V65)</f>
        <v>0</v>
      </c>
      <c r="W55" s="49">
        <f>IF(Employee!H$139=E$49,Employee!D$139+SUM(N55)+'Dec22'!W65,SUM(N55)+'Dec22'!W65)</f>
        <v>0</v>
      </c>
      <c r="X55" s="49">
        <f>IF(O55=" ",'Dec22'!X65,O55+'Dec22'!X65)</f>
        <v>0</v>
      </c>
      <c r="Y55" s="49">
        <f>IF(P55=" ",'Dec22'!Y65,P55+'Dec22'!Y65)</f>
        <v>0</v>
      </c>
      <c r="Z55" s="49">
        <f>IF(Q55=" ",'Dec22'!Z65,Q55+'Dec22'!Z65)</f>
        <v>0</v>
      </c>
      <c r="AA55" s="49">
        <f>IF(R55=" ",'Dec22'!AA65,R55+'Dec22'!AA65)</f>
        <v>0</v>
      </c>
      <c r="AC55" s="49">
        <f>IF(T55=" ",'Dec22'!AC65,T55+'Dec22'!AC65)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AD60+'Dec22'!AD75</f>
        <v>0</v>
      </c>
      <c r="AE65" s="158">
        <f>AE60+'Dec22'!AE75</f>
        <v>0</v>
      </c>
      <c r="AF65" s="158">
        <f>AF60+'Dec22'!AF75</f>
        <v>0</v>
      </c>
      <c r="AG65" s="158">
        <f>AG60+'Dec22'!AG75</f>
        <v>0</v>
      </c>
    </row>
    <row r="66" spans="6:33" ht="14" thickTop="1" x14ac:dyDescent="0.15"/>
    <row r="67" spans="6:33" x14ac:dyDescent="0.15">
      <c r="AD67" s="162"/>
      <c r="AE67" s="158">
        <f>AE62+'Dec22'!AE77</f>
        <v>0</v>
      </c>
      <c r="AF67" s="158">
        <f>AF62+'Dec22'!AF77</f>
        <v>0</v>
      </c>
      <c r="AG67" s="158">
        <f>AG62+'Dec22'!AG77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9"/>
      <c r="B1" s="447" t="s">
        <v>66</v>
      </c>
      <c r="C1" s="448"/>
      <c r="D1" s="448"/>
      <c r="E1" s="448"/>
      <c r="F1" s="449"/>
      <c r="G1" s="414">
        <f>SUM(AD60:AG60)+SUM(AE62:AG62)</f>
        <v>0</v>
      </c>
      <c r="H1" s="415"/>
      <c r="I1" s="411" t="s">
        <v>4</v>
      </c>
      <c r="J1" s="412"/>
      <c r="K1" s="412"/>
      <c r="L1" s="413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8"/>
    </row>
    <row r="2" spans="1:34" s="179" customFormat="1" ht="14.25" customHeight="1" thickBot="1" x14ac:dyDescent="0.2">
      <c r="A2" s="429"/>
      <c r="B2" s="450"/>
      <c r="C2" s="451"/>
      <c r="D2" s="451"/>
      <c r="E2" s="451"/>
      <c r="F2" s="452"/>
      <c r="G2" s="414"/>
      <c r="H2" s="415"/>
      <c r="I2" s="419" t="s">
        <v>70</v>
      </c>
      <c r="J2" s="419"/>
      <c r="K2" s="419"/>
      <c r="L2" s="420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8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44</v>
      </c>
      <c r="F9" s="35"/>
      <c r="G9" s="35"/>
      <c r="H9" s="379" t="s">
        <v>28</v>
      </c>
      <c r="I9" s="377"/>
      <c r="J9" s="378"/>
      <c r="K9" s="204">
        <f>'Jan23'!M39+1</f>
        <v>44956</v>
      </c>
      <c r="L9" s="203" t="s">
        <v>76</v>
      </c>
      <c r="M9" s="205">
        <f>K9+6</f>
        <v>44962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IF(T$9="Y",'Jan23'!H41,0)</f>
        <v>0</v>
      </c>
      <c r="I11" s="89">
        <f>IF(T$9="Y",'Jan23'!I41,0)</f>
        <v>0</v>
      </c>
      <c r="J11" s="89">
        <f>IF(T$9="Y",'Jan23'!J41,0)</f>
        <v>0</v>
      </c>
      <c r="K11" s="89">
        <f>IF(T$9="Y",'Jan23'!K41,I11*J11)</f>
        <v>0</v>
      </c>
      <c r="L11" s="110">
        <f>IF(T$9="Y",'Jan23'!L41,0)</f>
        <v>0</v>
      </c>
      <c r="M11" s="110" t="str">
        <f>IF(E11=" "," ",IF(T$9="Y",'Jan23'!M41,IF((H11+K11+L11)&gt;0,H11+K11+L11,"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IF(Employee!H$34=E$9,Employee!D$34+SUM(M11)+'Jan23'!V41,SUM(M11)+'Jan23'!V41)</f>
        <v>0</v>
      </c>
      <c r="W11" s="49">
        <f>IF(Employee!H$34=E$9,Employee!D$35+SUM(N11)+'Jan23'!W41,SUM(N11)+'Jan23'!W41)</f>
        <v>0</v>
      </c>
      <c r="X11" s="49">
        <f>IF(O11=" ",'Jan23'!X41,O11+'Jan23'!X41)</f>
        <v>0</v>
      </c>
      <c r="Y11" s="49">
        <f>IF(P11=" ",'Jan23'!Y41,P11+'Jan23'!Y41)</f>
        <v>0</v>
      </c>
      <c r="Z11" s="49">
        <f>IF(Q11=" ",'Jan23'!Z41,Q11+'Jan23'!Z41)</f>
        <v>0</v>
      </c>
      <c r="AA11" s="49">
        <f>IF(R11=" ",'Jan23'!AA41,R11+'Jan23'!AA41)</f>
        <v>0</v>
      </c>
      <c r="AC11" s="49">
        <f>IF(T11=" ",'Jan23'!AC41,T11+'Jan23'!AC41)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IF(T$9="Y",'Jan23'!H42,0)</f>
        <v>0</v>
      </c>
      <c r="I12" s="92">
        <f>IF(T$9="Y",'Jan23'!I42,0)</f>
        <v>0</v>
      </c>
      <c r="J12" s="92">
        <f>IF(T$9="Y",'Jan23'!J42,0)</f>
        <v>0</v>
      </c>
      <c r="K12" s="92">
        <f>IF(T$9="Y",'Jan23'!K42,I12*J12)</f>
        <v>0</v>
      </c>
      <c r="L12" s="111">
        <f>IF(T$9="Y",'Jan23'!L42,0)</f>
        <v>0</v>
      </c>
      <c r="M12" s="111" t="str">
        <f>IF(E12=" "," ",IF(T$9="Y",'Jan23'!M42,IF((H12+K12+L12)&gt;0,H12+K12+L12,"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IF(Employee!H$60=E$9,Employee!D$60+SUM(M12)+'Jan23'!V42,SUM(M12)+'Jan23'!V42)</f>
        <v>0</v>
      </c>
      <c r="W12" s="49">
        <f>IF(Employee!H$60=E$9,Employee!D$61+SUM(N12)+'Jan23'!W42,SUM(N12)+'Jan23'!W42)</f>
        <v>0</v>
      </c>
      <c r="X12" s="49">
        <f>IF(O12=" ",'Jan23'!X42,O12+'Jan23'!X42)</f>
        <v>0</v>
      </c>
      <c r="Y12" s="49">
        <f>IF(P12=" ",'Jan23'!Y42,P12+'Jan23'!Y42)</f>
        <v>0</v>
      </c>
      <c r="Z12" s="49">
        <f>IF(Q12=" ",'Jan23'!Z42,Q12+'Jan23'!Z42)</f>
        <v>0</v>
      </c>
      <c r="AA12" s="49">
        <f>IF(R12=" ",'Jan23'!AA42,R12+'Jan23'!AA42)</f>
        <v>0</v>
      </c>
      <c r="AC12" s="49">
        <f>IF(T12=" ",'Jan23'!AC42,T12+'Jan23'!AC42)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IF(T$9="Y",'Jan23'!H43,0)</f>
        <v>0</v>
      </c>
      <c r="I13" s="92">
        <f>IF(T$9="Y",'Jan23'!I43,0)</f>
        <v>0</v>
      </c>
      <c r="J13" s="92">
        <f>IF(T$9="Y",'Jan23'!J43,0)</f>
        <v>0</v>
      </c>
      <c r="K13" s="92">
        <f>IF(T$9="Y",'Jan23'!K43,I13*J13)</f>
        <v>0</v>
      </c>
      <c r="L13" s="111">
        <f>IF(T$9="Y",'Jan23'!L43,0)</f>
        <v>0</v>
      </c>
      <c r="M13" s="111" t="str">
        <f>IF(E13=" "," ",IF(T$9="Y",'Jan23'!M43,IF((H13+K13+L13)&gt;0,H13+K13+L13,"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IF(Employee!H$86=E$9,Employee!D$86+SUM(M13)+'Jan23'!V43,SUM(M13)+'Jan23'!V43)</f>
        <v>0</v>
      </c>
      <c r="W13" s="49">
        <f>IF(Employee!H$86=E$9,Employee!D$87+SUM(N13)+'Jan23'!W43,SUM(N13)+'Jan23'!W43)</f>
        <v>0</v>
      </c>
      <c r="X13" s="49">
        <f>IF(O13=" ",'Jan23'!X43,O13+'Jan23'!X43)</f>
        <v>0</v>
      </c>
      <c r="Y13" s="49">
        <f>IF(P13=" ",'Jan23'!Y43,P13+'Jan23'!Y43)</f>
        <v>0</v>
      </c>
      <c r="Z13" s="49">
        <f>IF(Q13=" ",'Jan23'!Z43,Q13+'Jan23'!Z43)</f>
        <v>0</v>
      </c>
      <c r="AA13" s="49">
        <f>IF(R13=" ",'Jan23'!AA43,R13+'Jan23'!AA43)</f>
        <v>0</v>
      </c>
      <c r="AC13" s="49">
        <f>IF(T13=" ",'Jan23'!AC43,T13+'Jan23'!AC43)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IF(T$9="Y",'Jan23'!H44,0)</f>
        <v>0</v>
      </c>
      <c r="I14" s="92">
        <f>IF(T$9="Y",'Jan23'!I44,0)</f>
        <v>0</v>
      </c>
      <c r="J14" s="92">
        <f>IF(T$9="Y",'Jan23'!J44,0)</f>
        <v>0</v>
      </c>
      <c r="K14" s="92">
        <f>IF(T$9="Y",'Jan23'!K44,I14*J14)</f>
        <v>0</v>
      </c>
      <c r="L14" s="111">
        <f>IF(T$9="Y",'Jan23'!L44,0)</f>
        <v>0</v>
      </c>
      <c r="M14" s="111" t="str">
        <f>IF(E14=" "," ",IF(T$9="Y",'Jan23'!M44,IF((H14+K14+L14)&gt;0,H14+K14+L14,"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IF(Employee!H$112=E$9,Employee!D$112+SUM(M14)+'Jan23'!V44,SUM(M14)+'Jan23'!V44)</f>
        <v>0</v>
      </c>
      <c r="W14" s="49">
        <f>IF(Employee!H$112=E$9,Employee!D$113+SUM(N14)+'Jan23'!W44,SUM(N14)+'Jan23'!W44)</f>
        <v>0</v>
      </c>
      <c r="X14" s="49">
        <f>IF(O14=" ",'Jan23'!X44,O14+'Jan23'!X44)</f>
        <v>0</v>
      </c>
      <c r="Y14" s="49">
        <f>IF(P14=" ",'Jan23'!Y44,P14+'Jan23'!Y44)</f>
        <v>0</v>
      </c>
      <c r="Z14" s="49">
        <f>IF(Q14=" ",'Jan23'!Z44,Q14+'Jan23'!Z44)</f>
        <v>0</v>
      </c>
      <c r="AA14" s="49">
        <f>IF(R14=" ",'Jan23'!AA44,R14+'Jan23'!AA44)</f>
        <v>0</v>
      </c>
      <c r="AC14" s="49">
        <f>IF(T14=" ",'Jan23'!AC44,T14+'Jan23'!AC44)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IF(T$9="Y",'Jan23'!H45,0)</f>
        <v>0</v>
      </c>
      <c r="I15" s="245">
        <f>IF(T$9="Y",'Jan23'!I45,0)</f>
        <v>0</v>
      </c>
      <c r="J15" s="245">
        <f>IF(T$9="Y",'Jan23'!J45,0)</f>
        <v>0</v>
      </c>
      <c r="K15" s="245">
        <f>IF(T$9="Y",'Jan23'!K45,I15*J15)</f>
        <v>0</v>
      </c>
      <c r="L15" s="246">
        <f>IF(T$19="Y",'Jan23'!L45,0)</f>
        <v>0</v>
      </c>
      <c r="M15" s="111" t="str">
        <f>IF(E15=" "," ",IF(T$9="Y",'Jan23'!M45,IF((H15+K15+L15)&gt;0,H15+K15+L15,"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IF(Employee!H$138=E$9,Employee!D$138+SUM(M15)+'Jan23'!V45,SUM(M15)+'Jan23'!V45)</f>
        <v>0</v>
      </c>
      <c r="W15" s="49">
        <f>IF(Employee!H$138=E$9,Employee!D$139+SUM(N15)+'Jan23'!W45,SUM(N15)+'Jan23'!W45)</f>
        <v>0</v>
      </c>
      <c r="X15" s="49">
        <f>IF(O15=" ",'Jan23'!X45,O15+'Jan23'!X45)</f>
        <v>0</v>
      </c>
      <c r="Y15" s="49">
        <f>IF(P15=" ",'Jan23'!Y45,P15+'Jan23'!Y45)</f>
        <v>0</v>
      </c>
      <c r="Z15" s="49">
        <f>IF(Q15=" ",'Jan23'!Z45,Q15+'Jan23'!Z45)</f>
        <v>0</v>
      </c>
      <c r="AA15" s="49">
        <f>IF(R15=" ",'Jan23'!AA45,R15+'Jan23'!AA45)</f>
        <v>0</v>
      </c>
      <c r="AC15" s="49">
        <f>IF(T15=" ",'Jan23'!AC45,T15+'Jan23'!AC45)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45</v>
      </c>
      <c r="F19" s="35"/>
      <c r="G19" s="35"/>
      <c r="H19" s="379" t="s">
        <v>28</v>
      </c>
      <c r="I19" s="377"/>
      <c r="J19" s="378"/>
      <c r="K19" s="204">
        <f>M9+1</f>
        <v>44963</v>
      </c>
      <c r="L19" s="203" t="s">
        <v>76</v>
      </c>
      <c r="M19" s="205">
        <f>K19+6</f>
        <v>44969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46</v>
      </c>
      <c r="F29" s="35"/>
      <c r="G29" s="35"/>
      <c r="H29" s="379" t="s">
        <v>28</v>
      </c>
      <c r="I29" s="377"/>
      <c r="J29" s="378"/>
      <c r="K29" s="204">
        <f>M19+1</f>
        <v>44970</v>
      </c>
      <c r="L29" s="203" t="s">
        <v>76</v>
      </c>
      <c r="M29" s="205">
        <f>K29+6</f>
        <v>44976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47</v>
      </c>
      <c r="F39" s="35"/>
      <c r="G39" s="35"/>
      <c r="H39" s="379" t="s">
        <v>28</v>
      </c>
      <c r="I39" s="433"/>
      <c r="J39" s="434"/>
      <c r="K39" s="204">
        <f>M29+1</f>
        <v>44977</v>
      </c>
      <c r="L39" s="203" t="s">
        <v>76</v>
      </c>
      <c r="M39" s="205">
        <f>K39+6</f>
        <v>44983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24</v>
      </c>
      <c r="C48" s="377"/>
      <c r="D48" s="377"/>
      <c r="E48" s="378"/>
      <c r="F48" s="32"/>
      <c r="G48" s="32"/>
      <c r="H48" s="43"/>
      <c r="I48" s="43"/>
      <c r="J48" s="43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10</v>
      </c>
      <c r="C49" s="377"/>
      <c r="D49" s="378"/>
      <c r="E49" s="156">
        <v>11</v>
      </c>
      <c r="F49" s="35"/>
      <c r="G49" s="35"/>
      <c r="H49" s="379" t="s">
        <v>28</v>
      </c>
      <c r="I49" s="377"/>
      <c r="J49" s="378"/>
      <c r="K49" s="204">
        <f>Admin!B303</f>
        <v>44958</v>
      </c>
      <c r="L49" s="203" t="s">
        <v>76</v>
      </c>
      <c r="M49" s="205">
        <f>Admin!B330</f>
        <v>44985</v>
      </c>
      <c r="N49" s="20"/>
      <c r="O49" s="389" t="s">
        <v>64</v>
      </c>
      <c r="P49" s="390"/>
      <c r="Q49" s="390"/>
      <c r="R49" s="391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IF(T$49="Y",'Jan23'!H51,0)</f>
        <v>0</v>
      </c>
      <c r="I51" s="89">
        <f>IF(T$49="Y",'Jan23'!I51,0)</f>
        <v>0</v>
      </c>
      <c r="J51" s="89">
        <f>IF(T$49="Y",'Jan23'!J51,0)</f>
        <v>0</v>
      </c>
      <c r="K51" s="89">
        <f>IF(T$49="Y",'Jan23'!K51,I51*J51)</f>
        <v>0</v>
      </c>
      <c r="L51" s="110">
        <f>IF(T$49="Y",'Jan23'!L51,0)</f>
        <v>0</v>
      </c>
      <c r="M51" s="99" t="str">
        <f>IF(E51=" "," ",IF(T$49="Y",'Jan23'!M51,IF((H51+K51+L51)&gt;0,H51+K51+L51,"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IF(Employee!H$35=E$49,Employee!D$34+SUM(M51)+'Jan23'!V51,SUM(M51)+'Jan23'!V51)</f>
        <v>0</v>
      </c>
      <c r="W51" s="49">
        <f>IF(Employee!H$35=E$49,Employee!D$35+SUM(N51)+'Jan23'!W51,SUM(N51)+'Jan23'!W51)</f>
        <v>0</v>
      </c>
      <c r="X51" s="49">
        <f>IF(O51=" ",'Jan23'!X51,O51+'Jan23'!X51)</f>
        <v>0</v>
      </c>
      <c r="Y51" s="49">
        <f>IF(P51=" ",'Jan23'!Y51,P51+'Jan23'!Y51)</f>
        <v>0</v>
      </c>
      <c r="Z51" s="49">
        <f>IF(Q51=" ",'Jan23'!Z51,Q51+'Jan23'!Z51)</f>
        <v>0</v>
      </c>
      <c r="AA51" s="49">
        <f>IF(R51=" ",'Jan23'!AA51,R51+'Jan23'!AA51)</f>
        <v>0</v>
      </c>
      <c r="AC51" s="49">
        <f>IF(T51=" ",'Jan23'!AC51,T51+'Jan23'!AC51)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IF(T$49="Y",'Jan23'!H52,0)</f>
        <v>0</v>
      </c>
      <c r="I52" s="92">
        <f>IF(T$49="Y",'Jan23'!I52,0)</f>
        <v>0</v>
      </c>
      <c r="J52" s="92">
        <f>IF(T$49="Y",'Jan23'!J52,0)</f>
        <v>0</v>
      </c>
      <c r="K52" s="92">
        <f>IF(T$49="Y",'Jan23'!K52,I52*J52)</f>
        <v>0</v>
      </c>
      <c r="L52" s="111">
        <f>IF(T$49="Y",'Jan23'!L52,0)</f>
        <v>0</v>
      </c>
      <c r="M52" s="100" t="str">
        <f>IF(E52=" "," ",IF(T$49="Y",'Jan23'!M52,IF((H52+K52+L52)&gt;0,H52+K52+L52,"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IF(Employee!H$61=E$49,Employee!D$60+SUM(M52)+'Jan23'!V52,SUM(M52)+'Jan23'!V52)</f>
        <v>0</v>
      </c>
      <c r="W52" s="49">
        <f>IF(Employee!H$61=E$49,Employee!D$61+SUM(N52)+'Jan23'!W52,SUM(N52)+'Jan23'!W52)</f>
        <v>0</v>
      </c>
      <c r="X52" s="49">
        <f>IF(O52=" ",'Jan23'!X52,O52+'Jan23'!X52)</f>
        <v>0</v>
      </c>
      <c r="Y52" s="49">
        <f>IF(P52=" ",'Jan23'!Y52,P52+'Jan23'!Y52)</f>
        <v>0</v>
      </c>
      <c r="Z52" s="49">
        <f>IF(Q52=" ",'Jan23'!Z52,Q52+'Jan23'!Z52)</f>
        <v>0</v>
      </c>
      <c r="AA52" s="49">
        <f>IF(R52=" ",'Jan23'!AA52,R52+'Jan23'!AA52)</f>
        <v>0</v>
      </c>
      <c r="AC52" s="49">
        <f>IF(T52=" ",'Jan23'!AC52,T52+'Jan23'!AC52)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IF(T$49="Y",'Jan23'!H53,0)</f>
        <v>0</v>
      </c>
      <c r="I53" s="92">
        <f>IF(T$49="Y",'Jan23'!I53,0)</f>
        <v>0</v>
      </c>
      <c r="J53" s="92">
        <f>IF(T$49="Y",'Jan23'!J53,0)</f>
        <v>0</v>
      </c>
      <c r="K53" s="92">
        <f>IF(T$49="Y",'Jan23'!K53,I53*J53)</f>
        <v>0</v>
      </c>
      <c r="L53" s="111">
        <f>IF(T$49="Y",'Jan23'!L53,0)</f>
        <v>0</v>
      </c>
      <c r="M53" s="100" t="str">
        <f>IF(E53=" "," ",IF(T$49="Y",'Jan23'!M53,IF((H53+K53+L53)&gt;0,H53+K53+L53,"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IF(Employee!H$87=E$49,Employee!D$86+SUM(M53)+'Jan23'!V53,SUM(M53)+'Jan23'!V53)</f>
        <v>0</v>
      </c>
      <c r="W53" s="49">
        <f>IF(Employee!H$87=E$49,Employee!D$87+SUM(N53)+'Jan23'!W53,SUM(N53)+'Jan23'!W53)</f>
        <v>0</v>
      </c>
      <c r="X53" s="49">
        <f>IF(O53=" ",'Jan23'!X53,O53+'Jan23'!X53)</f>
        <v>0</v>
      </c>
      <c r="Y53" s="49">
        <f>IF(P53=" ",'Jan23'!Y53,P53+'Jan23'!Y53)</f>
        <v>0</v>
      </c>
      <c r="Z53" s="49">
        <f>IF(Q53=" ",'Jan23'!Z53,Q53+'Jan23'!Z53)</f>
        <v>0</v>
      </c>
      <c r="AA53" s="49">
        <f>IF(R53=" ",'Jan23'!AA53,R53+'Jan23'!AA53)</f>
        <v>0</v>
      </c>
      <c r="AC53" s="49">
        <f>IF(T53=" ",'Jan23'!AC53,T53+'Jan23'!AC53)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IF(T$49="Y",'Jan23'!H54,0)</f>
        <v>0</v>
      </c>
      <c r="I54" s="92">
        <f>IF(T$49="Y",'Jan23'!I54,0)</f>
        <v>0</v>
      </c>
      <c r="J54" s="92">
        <f>IF(T$49="Y",'Jan23'!J54,0)</f>
        <v>0</v>
      </c>
      <c r="K54" s="92">
        <f>IF(T$49="Y",'Jan23'!K54,I54*J54)</f>
        <v>0</v>
      </c>
      <c r="L54" s="111">
        <f>IF(T$49="Y",'Jan23'!L54,0)</f>
        <v>0</v>
      </c>
      <c r="M54" s="100" t="str">
        <f>IF(E54=" "," ",IF(T$49="Y",'Jan23'!M54,IF((H54+K54+L54)&gt;0,H54+K54+L54,"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IF(Employee!H$113=E$49,Employee!D$112+SUM(M54)+'Jan23'!V54,SUM(M54)+'Jan23'!V54)</f>
        <v>0</v>
      </c>
      <c r="W54" s="49">
        <f>IF(Employee!H$113=E$49,Employee!D$113+SUM(N54)+'Jan23'!W54,SUM(N54)+'Jan23'!W54)</f>
        <v>0</v>
      </c>
      <c r="X54" s="49">
        <f>IF(O54=" ",'Jan23'!X54,O54+'Jan23'!X54)</f>
        <v>0</v>
      </c>
      <c r="Y54" s="49">
        <f>IF(P54=" ",'Jan23'!Y54,P54+'Jan23'!Y54)</f>
        <v>0</v>
      </c>
      <c r="Z54" s="49">
        <f>IF(Q54=" ",'Jan23'!Z54,Q54+'Jan23'!Z54)</f>
        <v>0</v>
      </c>
      <c r="AA54" s="49">
        <f>IF(R54=" ",'Jan23'!AA54,R54+'Jan23'!AA54)</f>
        <v>0</v>
      </c>
      <c r="AC54" s="49">
        <f>IF(T54=" ",'Jan23'!AC54,T54+'Jan23'!AC54)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IF(T$49="Y",'Jan23'!H55,0)</f>
        <v>0</v>
      </c>
      <c r="I55" s="245">
        <f>IF(T$49="Y",'Jan23'!I55,0)</f>
        <v>0</v>
      </c>
      <c r="J55" s="245">
        <f>IF(T$49="Y",'Jan23'!J55,0)</f>
        <v>0</v>
      </c>
      <c r="K55" s="245">
        <f>IF(T$49="Y",'Jan23'!K55,I55*J55)</f>
        <v>0</v>
      </c>
      <c r="L55" s="246">
        <f>IF(T$49="Y",'Jan23'!L55,0)</f>
        <v>0</v>
      </c>
      <c r="M55" s="100" t="str">
        <f>IF(E55=" "," ",IF(T$49="Y",'Jan23'!M55,IF((H55+K55+L55)&gt;0,H55+K55+L55,"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IF(Employee!H$139=E$49,Employee!D$138+SUM(M55)+'Jan23'!V55,SUM(M55)+'Jan23'!V55)</f>
        <v>0</v>
      </c>
      <c r="W55" s="49">
        <f>IF(Employee!H$139=E$49,Employee!D$139+SUM(N55)+'Jan23'!W55,SUM(N55)+'Jan23'!W55)</f>
        <v>0</v>
      </c>
      <c r="X55" s="49">
        <f>IF(O55=" ",'Jan23'!X55,O55+'Jan23'!X55)</f>
        <v>0</v>
      </c>
      <c r="Y55" s="49">
        <f>IF(P55=" ",'Jan23'!Y55,P55+'Jan23'!Y55)</f>
        <v>0</v>
      </c>
      <c r="Z55" s="49">
        <f>IF(Q55=" ",'Jan23'!Z55,Q55+'Jan23'!Z55)</f>
        <v>0</v>
      </c>
      <c r="AA55" s="49">
        <f>IF(R55=" ",'Jan23'!AA55,R55+'Jan23'!AA55)</f>
        <v>0</v>
      </c>
      <c r="AC55" s="49">
        <f>IF(T55=" ",'Jan23'!AC55,T55+'Jan23'!AC55)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378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9" t="s">
        <v>74</v>
      </c>
      <c r="N59" s="360"/>
      <c r="O59" s="360"/>
      <c r="P59" s="360"/>
      <c r="Q59" s="360"/>
      <c r="R59" s="360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AD60+'Jan23'!AD65</f>
        <v>0</v>
      </c>
      <c r="AE65" s="158">
        <f>AE60+'Jan23'!AE65</f>
        <v>0</v>
      </c>
      <c r="AF65" s="158">
        <f>AF60+'Jan23'!AF65</f>
        <v>0</v>
      </c>
      <c r="AG65" s="158">
        <f>AG60+'Jan23'!AG65</f>
        <v>0</v>
      </c>
    </row>
    <row r="66" spans="6:33" ht="14" thickTop="1" x14ac:dyDescent="0.15"/>
    <row r="67" spans="6:33" x14ac:dyDescent="0.15">
      <c r="AD67" s="162"/>
      <c r="AE67" s="158">
        <f>AE62+'Jan23'!AE67</f>
        <v>0</v>
      </c>
      <c r="AF67" s="158">
        <f>AF62+'Jan23'!AF67</f>
        <v>0</v>
      </c>
      <c r="AG67" s="158">
        <f>AG62+'Jan23'!AG67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C11" sqref="C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9"/>
      <c r="B1" s="381" t="s">
        <v>66</v>
      </c>
      <c r="C1" s="382"/>
      <c r="D1" s="382"/>
      <c r="E1" s="382"/>
      <c r="F1" s="383"/>
      <c r="G1" s="440">
        <f>SUM(AD80:AG80)+SUM(AE82:AG82)</f>
        <v>0</v>
      </c>
      <c r="H1" s="441"/>
      <c r="I1" s="443" t="s">
        <v>4</v>
      </c>
      <c r="J1" s="445"/>
      <c r="K1" s="445"/>
      <c r="L1" s="446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00"/>
      <c r="V1" s="361" t="s">
        <v>25</v>
      </c>
      <c r="W1" s="362"/>
      <c r="X1" s="362"/>
      <c r="Y1" s="362"/>
      <c r="Z1" s="362"/>
      <c r="AA1" s="362"/>
      <c r="AB1" s="362"/>
      <c r="AC1" s="363"/>
      <c r="AD1" s="393" t="s">
        <v>62</v>
      </c>
      <c r="AE1" s="393"/>
      <c r="AF1" s="393"/>
      <c r="AG1" s="393"/>
      <c r="AH1" s="24"/>
    </row>
    <row r="2" spans="1:34" s="4" customFormat="1" ht="15" customHeight="1" thickBot="1" x14ac:dyDescent="0.2">
      <c r="A2" s="429"/>
      <c r="B2" s="384"/>
      <c r="C2" s="385"/>
      <c r="D2" s="385"/>
      <c r="E2" s="385"/>
      <c r="F2" s="386"/>
      <c r="G2" s="414"/>
      <c r="H2" s="415"/>
      <c r="I2" s="419" t="s">
        <v>70</v>
      </c>
      <c r="J2" s="419"/>
      <c r="K2" s="419"/>
      <c r="L2" s="420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00"/>
      <c r="V2" s="364"/>
      <c r="W2" s="365"/>
      <c r="X2" s="365"/>
      <c r="Y2" s="365"/>
      <c r="Z2" s="365"/>
      <c r="AA2" s="365"/>
      <c r="AB2" s="365"/>
      <c r="AC2" s="366"/>
      <c r="AD2" s="365"/>
      <c r="AE2" s="365"/>
      <c r="AF2" s="365"/>
      <c r="AG2" s="365"/>
      <c r="AH2" s="24"/>
    </row>
    <row r="3" spans="1:34" s="7" customFormat="1" ht="15" customHeight="1" thickTop="1" x14ac:dyDescent="0.15">
      <c r="A3" s="405"/>
      <c r="B3" s="416" t="s">
        <v>72</v>
      </c>
      <c r="C3" s="416" t="s">
        <v>45</v>
      </c>
      <c r="D3" s="416" t="s">
        <v>6</v>
      </c>
      <c r="E3" s="421" t="s">
        <v>38</v>
      </c>
      <c r="F3" s="424" t="s">
        <v>0</v>
      </c>
      <c r="G3" s="105" t="s">
        <v>39</v>
      </c>
      <c r="H3" s="373" t="str">
        <f>'Apr22'!H3:H6</f>
        <v>Statutory Pay</v>
      </c>
      <c r="I3" s="373" t="str">
        <f>'Apr22'!I3:I6</f>
        <v>Basic hours</v>
      </c>
      <c r="J3" s="373" t="str">
        <f>'Apr22'!J3:J6</f>
        <v>Hourly rate</v>
      </c>
      <c r="K3" s="373" t="str">
        <f>'Apr22'!K3:K6</f>
        <v>Basic    wages</v>
      </c>
      <c r="L3" s="373" t="str">
        <f>'Apr22'!L3:L6</f>
        <v>Overtime Bonus Gratuities</v>
      </c>
      <c r="M3" s="430" t="str">
        <f>'Apr22'!M3:M6</f>
        <v>GROSS WAGES</v>
      </c>
      <c r="N3" s="373" t="str">
        <f>'Apr22'!N3:N6</f>
        <v>Income Tax</v>
      </c>
      <c r="O3" s="373" t="str">
        <f>'Apr22'!O3:O6</f>
        <v>Employees National Insurance</v>
      </c>
      <c r="P3" s="373" t="str">
        <f>'Apr22'!P3:P6</f>
        <v>Student Loans</v>
      </c>
      <c r="Q3" s="373" t="str">
        <f>'Apr22'!Q3:Q6</f>
        <v>Other Deductions</v>
      </c>
      <c r="R3" s="430" t="str">
        <f>'Apr22'!R3:R6</f>
        <v>NET      PAY</v>
      </c>
      <c r="S3" s="42"/>
      <c r="T3" s="373" t="str">
        <f>'Apr22'!T3:T6</f>
        <v>Employers National Insurance</v>
      </c>
      <c r="U3" s="401"/>
      <c r="V3" s="387" t="s">
        <v>5</v>
      </c>
      <c r="W3" s="387" t="s">
        <v>1</v>
      </c>
      <c r="X3" s="387" t="s">
        <v>26</v>
      </c>
      <c r="Y3" s="397" t="s">
        <v>22</v>
      </c>
      <c r="Z3" s="387" t="s">
        <v>2</v>
      </c>
      <c r="AA3" s="387" t="s">
        <v>3</v>
      </c>
      <c r="AB3" s="42"/>
      <c r="AC3" s="387" t="s">
        <v>27</v>
      </c>
      <c r="AD3" s="394" t="s">
        <v>58</v>
      </c>
      <c r="AE3" s="394" t="s">
        <v>59</v>
      </c>
      <c r="AF3" s="394" t="s">
        <v>60</v>
      </c>
      <c r="AG3" s="394" t="s">
        <v>61</v>
      </c>
      <c r="AH3" s="160"/>
    </row>
    <row r="4" spans="1:34" s="7" customFormat="1" ht="15" customHeight="1" x14ac:dyDescent="0.15">
      <c r="A4" s="405"/>
      <c r="B4" s="417"/>
      <c r="C4" s="417"/>
      <c r="D4" s="417"/>
      <c r="E4" s="422"/>
      <c r="F4" s="388"/>
      <c r="G4" s="106" t="s">
        <v>40</v>
      </c>
      <c r="H4" s="374"/>
      <c r="I4" s="374"/>
      <c r="J4" s="374"/>
      <c r="K4" s="374"/>
      <c r="L4" s="374"/>
      <c r="M4" s="431"/>
      <c r="N4" s="374"/>
      <c r="O4" s="374"/>
      <c r="P4" s="374"/>
      <c r="Q4" s="374"/>
      <c r="R4" s="431"/>
      <c r="S4" s="42"/>
      <c r="T4" s="374"/>
      <c r="U4" s="401"/>
      <c r="V4" s="388"/>
      <c r="W4" s="388"/>
      <c r="X4" s="388"/>
      <c r="Y4" s="398"/>
      <c r="Z4" s="388"/>
      <c r="AA4" s="388"/>
      <c r="AB4" s="42"/>
      <c r="AC4" s="388"/>
      <c r="AD4" s="395"/>
      <c r="AE4" s="395"/>
      <c r="AF4" s="395"/>
      <c r="AG4" s="395"/>
      <c r="AH4" s="160"/>
    </row>
    <row r="5" spans="1:34" s="7" customFormat="1" ht="15" customHeight="1" x14ac:dyDescent="0.15">
      <c r="A5" s="405"/>
      <c r="B5" s="417"/>
      <c r="C5" s="417"/>
      <c r="D5" s="417"/>
      <c r="E5" s="422"/>
      <c r="F5" s="388"/>
      <c r="G5" s="106" t="s">
        <v>41</v>
      </c>
      <c r="H5" s="374"/>
      <c r="I5" s="374"/>
      <c r="J5" s="374"/>
      <c r="K5" s="374"/>
      <c r="L5" s="374"/>
      <c r="M5" s="431"/>
      <c r="N5" s="374"/>
      <c r="O5" s="374"/>
      <c r="P5" s="374"/>
      <c r="Q5" s="374"/>
      <c r="R5" s="431"/>
      <c r="S5" s="42"/>
      <c r="T5" s="374"/>
      <c r="U5" s="401"/>
      <c r="V5" s="388"/>
      <c r="W5" s="388"/>
      <c r="X5" s="388"/>
      <c r="Y5" s="398"/>
      <c r="Z5" s="388"/>
      <c r="AA5" s="388"/>
      <c r="AB5" s="42"/>
      <c r="AC5" s="388"/>
      <c r="AD5" s="395"/>
      <c r="AE5" s="395"/>
      <c r="AF5" s="395"/>
      <c r="AG5" s="395"/>
      <c r="AH5" s="160"/>
    </row>
    <row r="6" spans="1:34" s="8" customFormat="1" ht="15" customHeight="1" x14ac:dyDescent="0.15">
      <c r="A6" s="405"/>
      <c r="B6" s="418"/>
      <c r="C6" s="418"/>
      <c r="D6" s="418"/>
      <c r="E6" s="423"/>
      <c r="F6" s="388"/>
      <c r="G6" s="107" t="s">
        <v>42</v>
      </c>
      <c r="H6" s="375"/>
      <c r="I6" s="375"/>
      <c r="J6" s="375"/>
      <c r="K6" s="375"/>
      <c r="L6" s="375"/>
      <c r="M6" s="432"/>
      <c r="N6" s="375"/>
      <c r="O6" s="375"/>
      <c r="P6" s="375"/>
      <c r="Q6" s="375"/>
      <c r="R6" s="432"/>
      <c r="S6" s="41"/>
      <c r="T6" s="375"/>
      <c r="U6" s="401"/>
      <c r="V6" s="388"/>
      <c r="W6" s="388"/>
      <c r="X6" s="388"/>
      <c r="Y6" s="399"/>
      <c r="Z6" s="388"/>
      <c r="AA6" s="388"/>
      <c r="AB6" s="41"/>
      <c r="AC6" s="388"/>
      <c r="AD6" s="396"/>
      <c r="AE6" s="396"/>
      <c r="AF6" s="396"/>
      <c r="AG6" s="396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6" t="s">
        <v>23</v>
      </c>
      <c r="C8" s="377"/>
      <c r="D8" s="377"/>
      <c r="E8" s="378"/>
      <c r="F8" s="32"/>
      <c r="G8" s="86"/>
      <c r="H8" s="87"/>
      <c r="I8" s="87"/>
      <c r="J8" s="87"/>
      <c r="K8" s="46"/>
      <c r="L8" s="46"/>
      <c r="M8" s="43"/>
      <c r="N8" s="32"/>
      <c r="O8" s="369" t="s">
        <v>28</v>
      </c>
      <c r="P8" s="370"/>
      <c r="Q8" s="371"/>
      <c r="R8" s="367"/>
      <c r="S8" s="368"/>
      <c r="T8" s="368"/>
      <c r="U8" s="33"/>
      <c r="AH8" s="35"/>
    </row>
    <row r="9" spans="1:34" ht="18" customHeight="1" thickTop="1" thickBot="1" x14ac:dyDescent="0.2">
      <c r="A9" s="34"/>
      <c r="B9" s="379" t="s">
        <v>9</v>
      </c>
      <c r="C9" s="377"/>
      <c r="D9" s="378"/>
      <c r="E9" s="156">
        <v>48</v>
      </c>
      <c r="F9" s="35"/>
      <c r="G9" s="35"/>
      <c r="H9" s="379" t="s">
        <v>28</v>
      </c>
      <c r="I9" s="377"/>
      <c r="J9" s="378"/>
      <c r="K9" s="204">
        <f>'Feb23'!M39+1</f>
        <v>44984</v>
      </c>
      <c r="L9" s="203" t="s">
        <v>76</v>
      </c>
      <c r="M9" s="205">
        <f>K9+6</f>
        <v>44990</v>
      </c>
      <c r="N9" s="20"/>
      <c r="O9" s="389" t="s">
        <v>63</v>
      </c>
      <c r="P9" s="390"/>
      <c r="Q9" s="390"/>
      <c r="R9" s="391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IF(T$9="Y",'Feb23'!H41,0)</f>
        <v>0</v>
      </c>
      <c r="I11" s="89">
        <f>IF(T$9="Y",'Feb23'!I41,0)</f>
        <v>0</v>
      </c>
      <c r="J11" s="89">
        <f>IF(T$9="Y",'Feb23'!J41,0)</f>
        <v>0</v>
      </c>
      <c r="K11" s="89">
        <f>IF(T$9="Y",'Feb23'!K41,I11*J11)</f>
        <v>0</v>
      </c>
      <c r="L11" s="110">
        <f>IF(T$9="Y",'Feb23'!L41,0)</f>
        <v>0</v>
      </c>
      <c r="M11" s="110" t="str">
        <f>IF(E11=" "," ",IF(T$9="Y",'Feb23'!M41,IF((H11+K11+L11)&gt;0,H11+K11+L11,"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IF(Employee!H$34=E$9,Employee!D$34+SUM(M11)+'Feb23'!V41,SUM(M11)+'Feb23'!V41)</f>
        <v>0</v>
      </c>
      <c r="W11" s="49">
        <f>IF(Employee!H$34=E$9,Employee!D$35+SUM(N11)+'Feb23'!W41,SUM(N11)+'Feb23'!W41)</f>
        <v>0</v>
      </c>
      <c r="X11" s="49">
        <f>IF(O11=" ",'Feb23'!X41,O11+'Feb23'!X41)</f>
        <v>0</v>
      </c>
      <c r="Y11" s="49">
        <f>IF(P11=" ",'Feb23'!Y41,P11+'Feb23'!Y41)</f>
        <v>0</v>
      </c>
      <c r="Z11" s="49">
        <f>IF(Q11=" ",'Feb23'!Z41,Q11+'Feb23'!Z41)</f>
        <v>0</v>
      </c>
      <c r="AA11" s="49">
        <f>IF(R11=" ",'Feb23'!AA41,R11+'Feb23'!AA41)</f>
        <v>0</v>
      </c>
      <c r="AC11" s="49">
        <f>IF(T11=" ",'Feb23'!AC41,T11+'Feb23'!AC41)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IF(T$9="Y",'Feb23'!H42,0)</f>
        <v>0</v>
      </c>
      <c r="I12" s="92">
        <f>IF(T$9="Y",'Feb23'!I42,0)</f>
        <v>0</v>
      </c>
      <c r="J12" s="92">
        <f>IF(T$9="Y",'Feb23'!J42,0)</f>
        <v>0</v>
      </c>
      <c r="K12" s="92">
        <f>IF(T$9="Y",'Feb23'!K42,I12*J12)</f>
        <v>0</v>
      </c>
      <c r="L12" s="111">
        <f>IF(T$9="Y",'Feb23'!L42,0)</f>
        <v>0</v>
      </c>
      <c r="M12" s="111" t="str">
        <f>IF(E12=" "," ",IF(T$9="Y",'Feb23'!M42,IF((H12+K12+L12)&gt;0,H12+K12+L12,"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IF(Employee!H$60=E$9,Employee!D$60+SUM(M12)+'Feb23'!V42,SUM(M12)+'Feb23'!V42)</f>
        <v>0</v>
      </c>
      <c r="W12" s="49">
        <f>IF(Employee!H$60=E$9,Employee!D$61+SUM(N12)+'Feb23'!W42,SUM(N12)+'Feb23'!W42)</f>
        <v>0</v>
      </c>
      <c r="X12" s="49">
        <f>IF(O12=" ",'Feb23'!X42,O12+'Feb23'!X42)</f>
        <v>0</v>
      </c>
      <c r="Y12" s="49">
        <f>IF(P12=" ",'Feb23'!Y42,P12+'Feb23'!Y42)</f>
        <v>0</v>
      </c>
      <c r="Z12" s="49">
        <f>IF(Q12=" ",'Feb23'!Z42,Q12+'Feb23'!Z42)</f>
        <v>0</v>
      </c>
      <c r="AA12" s="49">
        <f>IF(R12=" ",'Feb23'!AA42,R12+'Feb23'!AA42)</f>
        <v>0</v>
      </c>
      <c r="AC12" s="49">
        <f>IF(T12=" ",'Feb23'!AC42,T12+'Feb23'!AC42)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IF(T$9="Y",'Feb23'!H43,0)</f>
        <v>0</v>
      </c>
      <c r="I13" s="92">
        <f>IF(T$9="Y",'Feb23'!I43,0)</f>
        <v>0</v>
      </c>
      <c r="J13" s="92">
        <f>IF(T$9="Y",'Feb23'!J43,0)</f>
        <v>0</v>
      </c>
      <c r="K13" s="92">
        <f>IF(T$9="Y",'Feb23'!K43,I13*J13)</f>
        <v>0</v>
      </c>
      <c r="L13" s="111">
        <f>IF(T$9="Y",'Feb23'!L43,0)</f>
        <v>0</v>
      </c>
      <c r="M13" s="111" t="str">
        <f>IF(E13=" "," ",IF(T$9="Y",'Feb23'!M43,IF((H13+K13+L13)&gt;0,H13+K13+L13,"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IF(Employee!H$86=E$9,Employee!D$86+SUM(M13)+'Feb23'!V43,SUM(M13)+'Feb23'!V43)</f>
        <v>0</v>
      </c>
      <c r="W13" s="49">
        <f>IF(Employee!H$86=E$9,Employee!D$87+SUM(N13)+'Feb23'!W43,SUM(N13)+'Feb23'!W43)</f>
        <v>0</v>
      </c>
      <c r="X13" s="49">
        <f>IF(O13=" ",'Feb23'!X43,O13+'Feb23'!X43)</f>
        <v>0</v>
      </c>
      <c r="Y13" s="49">
        <f>IF(P13=" ",'Feb23'!Y43,P13+'Feb23'!Y43)</f>
        <v>0</v>
      </c>
      <c r="Z13" s="49">
        <f>IF(Q13=" ",'Feb23'!Z43,Q13+'Feb23'!Z43)</f>
        <v>0</v>
      </c>
      <c r="AA13" s="49">
        <f>IF(R13=" ",'Feb23'!AA43,R13+'Feb23'!AA43)</f>
        <v>0</v>
      </c>
      <c r="AC13" s="49">
        <f>IF(T13=" ",'Feb23'!AC43,T13+'Feb23'!AC43)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IF(T$9="Y",'Feb23'!H44,0)</f>
        <v>0</v>
      </c>
      <c r="I14" s="92">
        <f>IF(T$9="Y",'Feb23'!I44,0)</f>
        <v>0</v>
      </c>
      <c r="J14" s="92">
        <f>IF(T$9="Y",'Feb23'!J44,0)</f>
        <v>0</v>
      </c>
      <c r="K14" s="92">
        <f>IF(T$9="Y",'Feb23'!K44,I14*J14)</f>
        <v>0</v>
      </c>
      <c r="L14" s="111">
        <f>IF(T$9="Y",'Feb23'!L44,0)</f>
        <v>0</v>
      </c>
      <c r="M14" s="111" t="str">
        <f>IF(E14=" "," ",IF(T$9="Y",'Feb23'!M44,IF((H14+K14+L14)&gt;0,H14+K14+L14,"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IF(Employee!H$112=E$9,Employee!D$112+SUM(M14)+'Feb23'!V44,SUM(M14)+'Feb23'!V44)</f>
        <v>0</v>
      </c>
      <c r="W14" s="49">
        <f>IF(Employee!H$112=E$9,Employee!D$113+SUM(N14)+'Feb23'!W44,SUM(N14)+'Feb23'!W44)</f>
        <v>0</v>
      </c>
      <c r="X14" s="49">
        <f>IF(O14=" ",'Feb23'!X44,O14+'Feb23'!X44)</f>
        <v>0</v>
      </c>
      <c r="Y14" s="49">
        <f>IF(P14=" ",'Feb23'!Y44,P14+'Feb23'!Y44)</f>
        <v>0</v>
      </c>
      <c r="Z14" s="49">
        <f>IF(Q14=" ",'Feb23'!Z44,Q14+'Feb23'!Z44)</f>
        <v>0</v>
      </c>
      <c r="AA14" s="49">
        <f>IF(R14=" ",'Feb23'!AA44,R14+'Feb23'!AA44)</f>
        <v>0</v>
      </c>
      <c r="AC14" s="49">
        <f>IF(T14=" ",'Feb23'!AC44,T14+'Feb23'!AC44)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IF(T$9="Y",'Feb23'!H45,0)</f>
        <v>0</v>
      </c>
      <c r="I15" s="245">
        <f>IF(T$9="Y",'Feb23'!I45,0)</f>
        <v>0</v>
      </c>
      <c r="J15" s="245">
        <f>IF(T$9="Y",'Feb23'!J45,0)</f>
        <v>0</v>
      </c>
      <c r="K15" s="245">
        <f>IF(T$9="Y",'Feb23'!K45,I15*J15)</f>
        <v>0</v>
      </c>
      <c r="L15" s="246">
        <f>IF(T$9="Y",'Feb23'!L45,0)</f>
        <v>0</v>
      </c>
      <c r="M15" s="111" t="str">
        <f>IF(E15=" "," ",IF(T$9="Y",'Feb23'!M45,IF((H15+K15+L15)&gt;0,H15+K15+L15,"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IF(Employee!H$138=E$9,Employee!D$138+SUM(M15)+'Feb23'!V45,SUM(M15)+'Feb23'!V45)</f>
        <v>0</v>
      </c>
      <c r="W15" s="49">
        <f>IF(Employee!H$138=E$9,Employee!D$139+SUM(N15)+'Feb23'!W45,SUM(N15)+'Feb23'!W45)</f>
        <v>0</v>
      </c>
      <c r="X15" s="49">
        <f>IF(O15=" ",'Feb23'!X45,O15+'Feb23'!X45)</f>
        <v>0</v>
      </c>
      <c r="Y15" s="49">
        <f>IF(P15=" ",'Feb23'!Y45,P15+'Feb23'!Y45)</f>
        <v>0</v>
      </c>
      <c r="Z15" s="49">
        <f>IF(Q15=" ",'Feb23'!Z45,Q15+'Feb23'!Z45)</f>
        <v>0</v>
      </c>
      <c r="AA15" s="49">
        <f>IF(R15=" ",'Feb23'!AA45,R15+'Feb23'!AA45)</f>
        <v>0</v>
      </c>
      <c r="AC15" s="49">
        <f>IF(T15=" ",'Feb23'!AC45,T15+'Feb23'!AC45)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77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6" t="s">
        <v>23</v>
      </c>
      <c r="C18" s="377"/>
      <c r="D18" s="377"/>
      <c r="E18" s="378"/>
      <c r="F18" s="32"/>
      <c r="G18" s="32"/>
      <c r="H18" s="43"/>
      <c r="I18" s="43"/>
      <c r="J18" s="43"/>
      <c r="K18" s="46"/>
      <c r="L18" s="46"/>
      <c r="M18" s="43"/>
      <c r="N18" s="32"/>
      <c r="O18" s="369" t="s">
        <v>28</v>
      </c>
      <c r="P18" s="370"/>
      <c r="Q18" s="371"/>
      <c r="R18" s="367"/>
      <c r="S18" s="368"/>
      <c r="T18" s="368"/>
      <c r="U18" s="33"/>
      <c r="AH18" s="35"/>
    </row>
    <row r="19" spans="1:34" ht="18" customHeight="1" thickTop="1" thickBot="1" x14ac:dyDescent="0.2">
      <c r="A19" s="34"/>
      <c r="B19" s="379" t="s">
        <v>9</v>
      </c>
      <c r="C19" s="377"/>
      <c r="D19" s="378"/>
      <c r="E19" s="156">
        <v>49</v>
      </c>
      <c r="F19" s="35"/>
      <c r="G19" s="35"/>
      <c r="H19" s="379" t="s">
        <v>28</v>
      </c>
      <c r="I19" s="377"/>
      <c r="J19" s="378"/>
      <c r="K19" s="204">
        <f>M9+1</f>
        <v>44991</v>
      </c>
      <c r="L19" s="203" t="s">
        <v>76</v>
      </c>
      <c r="M19" s="205">
        <f>K19+6</f>
        <v>44997</v>
      </c>
      <c r="N19" s="20"/>
      <c r="O19" s="389" t="s">
        <v>63</v>
      </c>
      <c r="P19" s="390"/>
      <c r="Q19" s="390"/>
      <c r="R19" s="391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80" t="s">
        <v>7</v>
      </c>
      <c r="G26" s="378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6" t="s">
        <v>23</v>
      </c>
      <c r="C28" s="377"/>
      <c r="D28" s="377"/>
      <c r="E28" s="378"/>
      <c r="F28" s="32"/>
      <c r="G28" s="32"/>
      <c r="H28" s="43"/>
      <c r="I28" s="43"/>
      <c r="J28" s="43"/>
      <c r="K28" s="46"/>
      <c r="L28" s="46"/>
      <c r="M28" s="43"/>
      <c r="N28" s="32"/>
      <c r="O28" s="369" t="s">
        <v>28</v>
      </c>
      <c r="P28" s="370"/>
      <c r="Q28" s="371"/>
      <c r="R28" s="367"/>
      <c r="S28" s="368"/>
      <c r="T28" s="368"/>
      <c r="U28" s="33"/>
      <c r="AH28" s="35"/>
    </row>
    <row r="29" spans="1:34" ht="18" customHeight="1" thickTop="1" thickBot="1" x14ac:dyDescent="0.2">
      <c r="A29" s="34"/>
      <c r="B29" s="379" t="s">
        <v>9</v>
      </c>
      <c r="C29" s="377"/>
      <c r="D29" s="378"/>
      <c r="E29" s="156">
        <v>50</v>
      </c>
      <c r="F29" s="35"/>
      <c r="G29" s="35"/>
      <c r="H29" s="379" t="s">
        <v>28</v>
      </c>
      <c r="I29" s="377"/>
      <c r="J29" s="378"/>
      <c r="K29" s="204">
        <f>M19+1</f>
        <v>44998</v>
      </c>
      <c r="L29" s="203" t="s">
        <v>76</v>
      </c>
      <c r="M29" s="205">
        <f>K29+6</f>
        <v>45004</v>
      </c>
      <c r="N29" s="20"/>
      <c r="O29" s="389" t="s">
        <v>63</v>
      </c>
      <c r="P29" s="390"/>
      <c r="Q29" s="390"/>
      <c r="R29" s="391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80" t="s">
        <v>7</v>
      </c>
      <c r="G36" s="378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6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9" t="s">
        <v>28</v>
      </c>
      <c r="P38" s="370"/>
      <c r="Q38" s="371"/>
      <c r="R38" s="367"/>
      <c r="S38" s="368"/>
      <c r="T38" s="368"/>
      <c r="U38" s="33"/>
      <c r="AH38" s="35"/>
    </row>
    <row r="39" spans="1:34" ht="18" customHeight="1" thickTop="1" thickBot="1" x14ac:dyDescent="0.2">
      <c r="A39" s="34"/>
      <c r="B39" s="379" t="s">
        <v>9</v>
      </c>
      <c r="C39" s="433"/>
      <c r="D39" s="434"/>
      <c r="E39" s="156">
        <v>51</v>
      </c>
      <c r="F39" s="35"/>
      <c r="G39" s="35"/>
      <c r="H39" s="379" t="s">
        <v>28</v>
      </c>
      <c r="I39" s="433"/>
      <c r="J39" s="434"/>
      <c r="K39" s="204">
        <f>M29+1</f>
        <v>45005</v>
      </c>
      <c r="L39" s="203" t="s">
        <v>76</v>
      </c>
      <c r="M39" s="205">
        <f>K39+6</f>
        <v>45011</v>
      </c>
      <c r="N39" s="20"/>
      <c r="O39" s="389" t="s">
        <v>63</v>
      </c>
      <c r="P39" s="435"/>
      <c r="Q39" s="435"/>
      <c r="R39" s="436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80" t="s">
        <v>7</v>
      </c>
      <c r="G46" s="43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6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9" t="s">
        <v>28</v>
      </c>
      <c r="P48" s="370"/>
      <c r="Q48" s="371"/>
      <c r="R48" s="367"/>
      <c r="S48" s="368"/>
      <c r="T48" s="368"/>
      <c r="U48" s="33"/>
      <c r="AH48" s="35"/>
    </row>
    <row r="49" spans="1:34" ht="18" customHeight="1" thickTop="1" thickBot="1" x14ac:dyDescent="0.2">
      <c r="A49" s="34"/>
      <c r="B49" s="379" t="s">
        <v>9</v>
      </c>
      <c r="C49" s="433"/>
      <c r="D49" s="434"/>
      <c r="E49" s="156">
        <v>52</v>
      </c>
      <c r="F49" s="35"/>
      <c r="G49" s="35"/>
      <c r="H49" s="379" t="s">
        <v>28</v>
      </c>
      <c r="I49" s="433"/>
      <c r="J49" s="434"/>
      <c r="K49" s="204">
        <f>M39+1</f>
        <v>45012</v>
      </c>
      <c r="L49" s="203" t="s">
        <v>76</v>
      </c>
      <c r="M49" s="205">
        <f>K49+6</f>
        <v>45018</v>
      </c>
      <c r="N49" s="20"/>
      <c r="O49" s="389" t="s">
        <v>63</v>
      </c>
      <c r="P49" s="435"/>
      <c r="Q49" s="435"/>
      <c r="R49" s="436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80" t="s">
        <v>7</v>
      </c>
      <c r="G56" s="439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6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9" t="s">
        <v>28</v>
      </c>
      <c r="P58" s="370"/>
      <c r="Q58" s="371"/>
      <c r="R58" s="367"/>
      <c r="S58" s="368"/>
      <c r="T58" s="368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9" t="s">
        <v>9</v>
      </c>
      <c r="C59" s="433"/>
      <c r="D59" s="434"/>
      <c r="E59" s="156">
        <v>53</v>
      </c>
      <c r="F59" s="35"/>
      <c r="G59" s="35"/>
      <c r="H59" s="379" t="s">
        <v>28</v>
      </c>
      <c r="I59" s="433"/>
      <c r="J59" s="434"/>
      <c r="K59" s="204">
        <f>M49+1</f>
        <v>45019</v>
      </c>
      <c r="L59" s="203" t="s">
        <v>76</v>
      </c>
      <c r="M59" s="205">
        <f>K59+4</f>
        <v>45023</v>
      </c>
      <c r="N59" s="20"/>
      <c r="O59" s="389" t="s">
        <v>63</v>
      </c>
      <c r="P59" s="435"/>
      <c r="Q59" s="435"/>
      <c r="R59" s="436"/>
      <c r="S59" s="35"/>
      <c r="T59" s="164"/>
      <c r="U59" s="37"/>
      <c r="AH59" s="35"/>
    </row>
    <row r="60" spans="1:34" ht="18" customHeight="1" thickTop="1" x14ac:dyDescent="0.15">
      <c r="A60" s="34"/>
      <c r="B60" s="453" t="s">
        <v>65</v>
      </c>
      <c r="C60" s="454"/>
      <c r="D60" s="454"/>
      <c r="E60" s="454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80" t="s">
        <v>7</v>
      </c>
      <c r="G66" s="43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6" t="s">
        <v>24</v>
      </c>
      <c r="C68" s="377"/>
      <c r="D68" s="377"/>
      <c r="E68" s="378"/>
      <c r="F68" s="32"/>
      <c r="G68" s="32"/>
      <c r="H68" s="43"/>
      <c r="I68" s="43"/>
      <c r="J68" s="43"/>
      <c r="K68" s="46"/>
      <c r="L68" s="46"/>
      <c r="M68" s="43"/>
      <c r="N68" s="32"/>
      <c r="O68" s="369" t="s">
        <v>28</v>
      </c>
      <c r="P68" s="370"/>
      <c r="Q68" s="371"/>
      <c r="R68" s="367"/>
      <c r="S68" s="368"/>
      <c r="T68" s="368"/>
      <c r="U68" s="33"/>
      <c r="AH68" s="35"/>
    </row>
    <row r="69" spans="1:34" ht="18" customHeight="1" thickTop="1" thickBot="1" x14ac:dyDescent="0.2">
      <c r="A69" s="34"/>
      <c r="B69" s="379" t="s">
        <v>10</v>
      </c>
      <c r="C69" s="377"/>
      <c r="D69" s="378"/>
      <c r="E69" s="156">
        <v>12</v>
      </c>
      <c r="F69" s="35"/>
      <c r="G69" s="35"/>
      <c r="H69" s="379" t="s">
        <v>28</v>
      </c>
      <c r="I69" s="377"/>
      <c r="J69" s="378"/>
      <c r="K69" s="204">
        <f>Admin!B331</f>
        <v>44986</v>
      </c>
      <c r="L69" s="203" t="s">
        <v>76</v>
      </c>
      <c r="M69" s="205">
        <f>Admin!B361</f>
        <v>45016</v>
      </c>
      <c r="N69" s="20"/>
      <c r="O69" s="389" t="s">
        <v>64</v>
      </c>
      <c r="P69" s="390"/>
      <c r="Q69" s="390"/>
      <c r="R69" s="391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IF(T$69="Y",'Feb23'!H51,0)</f>
        <v>0</v>
      </c>
      <c r="I71" s="89">
        <f>IF(T$69="Y",'Feb23'!I51,0)</f>
        <v>0</v>
      </c>
      <c r="J71" s="89">
        <f>IF(T$69="Y",'Feb23'!J51,0)</f>
        <v>0</v>
      </c>
      <c r="K71" s="89">
        <f>IF(T$69="Y",'Feb23'!K51,I71*J71)</f>
        <v>0</v>
      </c>
      <c r="L71" s="110">
        <f>IF(T$69="Y",'Feb23'!L51,0)</f>
        <v>0</v>
      </c>
      <c r="M71" s="99" t="str">
        <f>IF(E71=" "," ",IF(T$69="Y",'Feb23'!M51,IF((H71+K71+L71)&gt;0,H71+K71+L71,"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IF(Employee!H$35=E$69,Employee!D$34+SUM(M71)+'Feb23'!V51,SUM(M71)+'Feb23'!V51)</f>
        <v>0</v>
      </c>
      <c r="W71" s="49">
        <f>IF(Employee!H$35=E$69,Employee!D$35+SUM(N71)+'Feb23'!W51,SUM(N71)+'Feb23'!W51)</f>
        <v>0</v>
      </c>
      <c r="X71" s="49">
        <f>IF(O71=" ",'Feb23'!X51,O71+'Feb23'!X51)</f>
        <v>0</v>
      </c>
      <c r="Y71" s="49">
        <f>IF(P71=" ",'Feb23'!Y51,P71+'Feb23'!Y51)</f>
        <v>0</v>
      </c>
      <c r="Z71" s="49">
        <f>IF(Q71=" ",'Feb23'!Z51,Q71+'Feb23'!Z51)</f>
        <v>0</v>
      </c>
      <c r="AA71" s="49">
        <f>IF(R71=" ",'Feb23'!AA51,R71+'Feb23'!AA51)</f>
        <v>0</v>
      </c>
      <c r="AC71" s="49">
        <f>IF(T71=" ",'Feb23'!AC51,T71+'Feb23'!AC51)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IF(T$69="Y",'Feb23'!H52,0)</f>
        <v>0</v>
      </c>
      <c r="I72" s="92">
        <f>IF(T$69="Y",'Feb23'!I52,0)</f>
        <v>0</v>
      </c>
      <c r="J72" s="92">
        <f>IF(T$69="Y",'Feb23'!J52,0)</f>
        <v>0</v>
      </c>
      <c r="K72" s="92">
        <f>IF(T$69="Y",'Feb23'!K52,I72*J72)</f>
        <v>0</v>
      </c>
      <c r="L72" s="111">
        <f>IF(T$69="Y",'Feb23'!L52,0)</f>
        <v>0</v>
      </c>
      <c r="M72" s="100" t="str">
        <f>IF(E72=" "," ",IF(T$69="Y",'Feb23'!M52,IF((H72+K72+L72)&gt;0,H72+K72+L72,"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IF(Employee!H$61=E$69,Employee!D$60+SUM(M72)+'Feb23'!V52,SUM(M72)+'Feb23'!V52)</f>
        <v>0</v>
      </c>
      <c r="W72" s="49">
        <f>IF(Employee!H$61=E$69,Employee!D$61+SUM(N72)+'Feb23'!W52,SUM(N72)+'Feb23'!W52)</f>
        <v>0</v>
      </c>
      <c r="X72" s="49">
        <f>IF(O72=" ",'Feb23'!X52,O72+'Feb23'!X52)</f>
        <v>0</v>
      </c>
      <c r="Y72" s="49">
        <f>IF(P72=" ",'Feb23'!Y52,P72+'Feb23'!Y52)</f>
        <v>0</v>
      </c>
      <c r="Z72" s="49">
        <f>IF(Q72=" ",'Feb23'!Z52,Q72+'Feb23'!Z52)</f>
        <v>0</v>
      </c>
      <c r="AA72" s="49">
        <f>IF(R72=" ",'Feb23'!AA52,R72+'Feb23'!AA52)</f>
        <v>0</v>
      </c>
      <c r="AC72" s="49">
        <f>IF(T72=" ",'Feb23'!AC52,T72+'Feb23'!AC52)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IF(T$69="Y",'Feb23'!H53,0)</f>
        <v>0</v>
      </c>
      <c r="I73" s="92">
        <f>IF(T$69="Y",'Feb23'!I53,0)</f>
        <v>0</v>
      </c>
      <c r="J73" s="92">
        <f>IF(T$69="Y",'Feb23'!J53,0)</f>
        <v>0</v>
      </c>
      <c r="K73" s="92">
        <f>IF(T$69="Y",'Feb23'!K53,I73*J73)</f>
        <v>0</v>
      </c>
      <c r="L73" s="111">
        <f>IF(T$69="Y",'Feb23'!L53,0)</f>
        <v>0</v>
      </c>
      <c r="M73" s="100" t="str">
        <f>IF(E73=" "," ",IF(T$69="Y",'Feb23'!M53,IF((H73+K73+L73)&gt;0,H73+K73+L73,"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IF(Employee!H$87=E$69,Employee!D$86+SUM(M73)+'Feb23'!V53,SUM(M73)+'Feb23'!V53)</f>
        <v>0</v>
      </c>
      <c r="W73" s="49">
        <f>IF(Employee!H$87=E$69,Employee!D$87+SUM(N73)+'Feb23'!W53,SUM(N73)+'Feb23'!W53)</f>
        <v>0</v>
      </c>
      <c r="X73" s="49">
        <f>IF(O73=" ",'Feb23'!X53,O73+'Feb23'!X53)</f>
        <v>0</v>
      </c>
      <c r="Y73" s="49">
        <f>IF(P73=" ",'Feb23'!Y53,P73+'Feb23'!Y53)</f>
        <v>0</v>
      </c>
      <c r="Z73" s="49">
        <f>IF(Q73=" ",'Feb23'!Z53,Q73+'Feb23'!Z53)</f>
        <v>0</v>
      </c>
      <c r="AA73" s="49">
        <f>IF(R73=" ",'Feb23'!AA53,R73+'Feb23'!AA53)</f>
        <v>0</v>
      </c>
      <c r="AC73" s="49">
        <f>IF(T73=" ",'Feb23'!AC53,T73+'Feb23'!AC53)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IF(T$69="Y",'Feb23'!H54,0)</f>
        <v>0</v>
      </c>
      <c r="I74" s="92">
        <f>IF(T$69="Y",'Feb23'!I54,0)</f>
        <v>0</v>
      </c>
      <c r="J74" s="92">
        <f>IF(T$69="Y",'Feb23'!J54,0)</f>
        <v>0</v>
      </c>
      <c r="K74" s="92">
        <f>IF(T$69="Y",'Feb23'!K54,I74*J74)</f>
        <v>0</v>
      </c>
      <c r="L74" s="111">
        <f>IF(T$69="Y",'Feb23'!L54,0)</f>
        <v>0</v>
      </c>
      <c r="M74" s="100" t="str">
        <f>IF(E74=" "," ",IF(T$69="Y",'Feb23'!M54,IF((H74+K74+L74)&gt;0,H74+K74+L74,"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IF(Employee!H$113=E$69,Employee!D$112+SUM(M74)+'Feb23'!V54,SUM(M74)+'Feb23'!V54)</f>
        <v>0</v>
      </c>
      <c r="W74" s="49">
        <f>IF(Employee!H$113=E$69,Employee!D$113+SUM(N74)+'Feb23'!W54,SUM(N74)+'Feb23'!W54)</f>
        <v>0</v>
      </c>
      <c r="X74" s="49">
        <f>IF(O74=" ",'Feb23'!X54,O74+'Feb23'!X54)</f>
        <v>0</v>
      </c>
      <c r="Y74" s="49">
        <f>IF(P74=" ",'Feb23'!Y54,P74+'Feb23'!Y54)</f>
        <v>0</v>
      </c>
      <c r="Z74" s="49">
        <f>IF(Q74=" ",'Feb23'!Z54,Q74+'Feb23'!Z54)</f>
        <v>0</v>
      </c>
      <c r="AA74" s="49">
        <f>IF(R74=" ",'Feb23'!AA54,R74+'Feb23'!AA54)</f>
        <v>0</v>
      </c>
      <c r="AC74" s="49">
        <f>IF(T74=" ",'Feb23'!AC54,T74+'Feb23'!AC54)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IF(T$69="Y",'Feb23'!H55,0)</f>
        <v>0</v>
      </c>
      <c r="I75" s="245">
        <f>IF(T$69="Y",'Feb23'!I55,0)</f>
        <v>0</v>
      </c>
      <c r="J75" s="245">
        <f>IF(T$69="Y",'Feb23'!J55,0)</f>
        <v>0</v>
      </c>
      <c r="K75" s="245">
        <f>IF(T$69="Y",'Feb23'!K55,I75*J75)</f>
        <v>0</v>
      </c>
      <c r="L75" s="246">
        <f>IF(T$69="Y",'Feb23'!L55,0)</f>
        <v>0</v>
      </c>
      <c r="M75" s="100" t="str">
        <f>IF(E75=" "," ",IF(T$69="Y",'Feb23'!M55,IF((H75+K75+L75)&gt;0,H75+K75+L75,"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IF(Employee!H$139=E$69,Employee!D$138+SUM(M75)+'Feb23'!V55,SUM(M75)+'Feb23'!V55)</f>
        <v>0</v>
      </c>
      <c r="W75" s="49">
        <f>IF(Employee!H$139=E$69,Employee!D$139+SUM(N75)+'Feb23'!W55,SUM(N75)+'Feb23'!W55)</f>
        <v>0</v>
      </c>
      <c r="X75" s="49">
        <f>IF(O75=" ",'Feb23'!X55,O75+'Feb23'!X55)</f>
        <v>0</v>
      </c>
      <c r="Y75" s="49">
        <f>IF(P75=" ",'Feb23'!Y55,P75+'Feb23'!Y55)</f>
        <v>0</v>
      </c>
      <c r="Z75" s="49">
        <f>IF(Q75=" ",'Feb23'!Z55,Q75+'Feb23'!Z55)</f>
        <v>0</v>
      </c>
      <c r="AA75" s="49">
        <f>IF(R75=" ",'Feb23'!AA55,R75+'Feb23'!AA55)</f>
        <v>0</v>
      </c>
      <c r="AC75" s="49">
        <f>IF(T75=" ",'Feb23'!AC55,T75+'Feb23'!AC55)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80" t="s">
        <v>7</v>
      </c>
      <c r="G76" s="378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9" t="s">
        <v>74</v>
      </c>
      <c r="N79" s="360"/>
      <c r="O79" s="360"/>
      <c r="P79" s="360"/>
      <c r="Q79" s="360"/>
      <c r="R79" s="360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AD80+'Feb23'!AD65</f>
        <v>0</v>
      </c>
      <c r="AE85" s="158">
        <f>AE80+'Feb23'!AE65</f>
        <v>0</v>
      </c>
      <c r="AF85" s="158">
        <f>AF80+'Feb23'!AF65</f>
        <v>0</v>
      </c>
      <c r="AG85" s="158">
        <f>AG80+'Feb23'!AG65</f>
        <v>0</v>
      </c>
    </row>
    <row r="86" spans="6:33" ht="14" thickTop="1" x14ac:dyDescent="0.15"/>
    <row r="87" spans="6:33" x14ac:dyDescent="0.15">
      <c r="AD87" s="162"/>
      <c r="AE87" s="158">
        <f>AE82+'Feb23'!AE67</f>
        <v>0</v>
      </c>
      <c r="AF87" s="158">
        <f>AF82+'Feb23'!AF67</f>
        <v>0</v>
      </c>
      <c r="AG87" s="158">
        <f>AG82+'Feb23'!AG67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F5" sqref="F5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Apr22</v>
      </c>
      <c r="I3" s="489" t="str">
        <f>IF(M3="ERROR","Enter W or M in cell F3"," ")</f>
        <v xml:space="preserve"> </v>
      </c>
      <c r="J3" s="489"/>
      <c r="K3" s="489"/>
      <c r="L3" s="489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9" t="str">
        <f>IF(M3="ERROR","Enter 1 to 53 in cell F4"," ")</f>
        <v xml:space="preserve"> </v>
      </c>
      <c r="J4" s="489"/>
      <c r="K4" s="489"/>
      <c r="L4" s="489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80"/>
      <c r="B6" s="480"/>
      <c r="C6" s="480"/>
      <c r="D6" s="480"/>
      <c r="E6" s="480"/>
      <c r="F6" s="480"/>
      <c r="G6" s="480"/>
      <c r="H6" s="480"/>
      <c r="I6" s="480"/>
      <c r="J6" s="480"/>
      <c r="K6" s="480"/>
      <c r="L6" s="480"/>
      <c r="M6" s="480"/>
      <c r="N6" s="480"/>
    </row>
    <row r="7" spans="1:14" ht="25" customHeight="1" x14ac:dyDescent="0.2">
      <c r="A7" s="256"/>
      <c r="B7" s="457" t="str">
        <f ca="1">IF(M14=" "," ",Employee!$D$5)</f>
        <v xml:space="preserve"> </v>
      </c>
      <c r="C7" s="457"/>
      <c r="D7" s="457"/>
      <c r="E7" s="457"/>
      <c r="F7" s="457"/>
      <c r="G7" s="458" t="str">
        <f ca="1">IF(G14=" "," ",Employee!$D$15)</f>
        <v xml:space="preserve"> </v>
      </c>
      <c r="H7" s="459"/>
      <c r="I7" s="455" t="str">
        <f ca="1">IF(G14=" "," ",Employee!$D$16)</f>
        <v xml:space="preserve"> </v>
      </c>
      <c r="J7" s="456"/>
      <c r="K7" s="456"/>
      <c r="L7" s="481" t="str">
        <f ca="1">INDIRECT($H$3 &amp; "!B" &amp; $H$4)</f>
        <v>WEEKLY PAYROLL</v>
      </c>
      <c r="M7" s="481"/>
      <c r="N7" s="257"/>
    </row>
    <row r="8" spans="1:14" ht="18" customHeight="1" x14ac:dyDescent="0.15">
      <c r="A8" s="258"/>
      <c r="B8" s="467" t="str">
        <f ca="1">IF(M14=" "," ",Employee!$D$6)</f>
        <v xml:space="preserve"> </v>
      </c>
      <c r="C8" s="467"/>
      <c r="D8" s="479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7" t="str">
        <f ca="1">IF(M14=" "," ",Employee!$D$7)</f>
        <v xml:space="preserve"> </v>
      </c>
      <c r="C9" s="467"/>
      <c r="D9" s="467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44661</v>
      </c>
      <c r="J9" s="472" t="s">
        <v>6</v>
      </c>
      <c r="K9" s="472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4"/>
      <c r="E10" s="475"/>
      <c r="F10" s="488"/>
      <c r="G10" s="488"/>
      <c r="H10" s="253" t="str">
        <f>"Tax "&amp;IF($F$3="W","Week","Month")</f>
        <v>Tax Week</v>
      </c>
      <c r="I10" s="268">
        <f ca="1">INDIRECT($H$3 &amp; "!E" &amp; $H$4+1)</f>
        <v>1</v>
      </c>
      <c r="J10" s="468" t="str">
        <f ca="1">IF(M8=" "," ",INDIRECT($H$3 &amp; "!D" &amp; $H$4+2+C10))</f>
        <v xml:space="preserve"> </v>
      </c>
      <c r="K10" s="468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262"/>
    </row>
    <row r="12" spans="1:14" ht="21" customHeight="1" x14ac:dyDescent="0.15">
      <c r="A12" s="258"/>
      <c r="B12" s="460" t="s">
        <v>122</v>
      </c>
      <c r="C12" s="461"/>
      <c r="D12" s="461"/>
      <c r="E12" s="461"/>
      <c r="F12" s="461"/>
      <c r="G12" s="462" t="s">
        <v>121</v>
      </c>
      <c r="H12" s="470" t="s">
        <v>120</v>
      </c>
      <c r="I12" s="470"/>
      <c r="J12" s="470"/>
      <c r="K12" s="470"/>
      <c r="L12" s="470"/>
      <c r="M12" s="473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3"/>
      <c r="H13" s="251" t="s">
        <v>128</v>
      </c>
      <c r="I13" s="252" t="s">
        <v>112</v>
      </c>
      <c r="J13" s="469" t="s">
        <v>111</v>
      </c>
      <c r="K13" s="469"/>
      <c r="L13" s="248" t="s">
        <v>2</v>
      </c>
      <c r="M13" s="462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6" t="str">
        <f ca="1">IF(M8=" "," ",INDIRECT($H$3 &amp; "!P" &amp; $H$4+2+C10))</f>
        <v xml:space="preserve"> </v>
      </c>
      <c r="K14" s="476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4" t="s">
        <v>110</v>
      </c>
      <c r="C15" s="464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4" t="s">
        <v>109</v>
      </c>
      <c r="F16" s="485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6" t="str">
        <f ca="1">IF(M8=" "," ",INDIRECT($H$3 &amp; "!Y" &amp; $H$4+2+C10))</f>
        <v xml:space="preserve"> </v>
      </c>
      <c r="K16" s="476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1"/>
      <c r="K17" s="471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7" t="s">
        <v>108</v>
      </c>
      <c r="K18" s="478"/>
      <c r="L18" s="478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80"/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</row>
    <row r="21" spans="1:14" ht="25" customHeight="1" x14ac:dyDescent="0.2">
      <c r="A21" s="256"/>
      <c r="B21" s="457" t="str">
        <f ca="1">IF(M28=" "," ",Employee!$D$5)</f>
        <v xml:space="preserve"> </v>
      </c>
      <c r="C21" s="457"/>
      <c r="D21" s="457"/>
      <c r="E21" s="457"/>
      <c r="F21" s="457"/>
      <c r="G21" s="458" t="str">
        <f ca="1">IF(G28=" "," ",Employee!$D$41)</f>
        <v xml:space="preserve"> </v>
      </c>
      <c r="H21" s="459"/>
      <c r="I21" s="455" t="str">
        <f ca="1">IF(G28=" "," ",Employee!$D$42)</f>
        <v xml:space="preserve"> </v>
      </c>
      <c r="J21" s="456"/>
      <c r="K21" s="456"/>
      <c r="L21" s="481" t="s">
        <v>23</v>
      </c>
      <c r="M21" s="481"/>
      <c r="N21" s="257"/>
    </row>
    <row r="22" spans="1:14" ht="18" customHeight="1" x14ac:dyDescent="0.15">
      <c r="A22" s="258"/>
      <c r="B22" s="467" t="str">
        <f ca="1">IF(M28=" "," ",Employee!$D$6)</f>
        <v xml:space="preserve"> </v>
      </c>
      <c r="C22" s="467"/>
      <c r="D22" s="479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7" t="str">
        <f ca="1">IF(M28=" "," ",Employee!$D$7)</f>
        <v xml:space="preserve"> </v>
      </c>
      <c r="C23" s="467"/>
      <c r="D23" s="467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72" t="s">
        <v>6</v>
      </c>
      <c r="K23" s="472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1"/>
      <c r="G24" s="471"/>
      <c r="H24" s="253" t="s">
        <v>124</v>
      </c>
      <c r="I24" s="268">
        <f ca="1">I10</f>
        <v>1</v>
      </c>
      <c r="J24" s="468" t="str">
        <f ca="1">IF(M22=" "," ",INDIRECT($H$3 &amp; "!D" &amp; $H$4+2+C24))</f>
        <v xml:space="preserve"> </v>
      </c>
      <c r="K24" s="468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1"/>
      <c r="C25" s="471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262"/>
    </row>
    <row r="26" spans="1:14" ht="21" customHeight="1" x14ac:dyDescent="0.15">
      <c r="A26" s="258"/>
      <c r="B26" s="460" t="s">
        <v>122</v>
      </c>
      <c r="C26" s="461"/>
      <c r="D26" s="461"/>
      <c r="E26" s="461"/>
      <c r="F26" s="461"/>
      <c r="G26" s="462" t="s">
        <v>121</v>
      </c>
      <c r="H26" s="460" t="s">
        <v>120</v>
      </c>
      <c r="I26" s="470"/>
      <c r="J26" s="470"/>
      <c r="K26" s="470"/>
      <c r="L26" s="470"/>
      <c r="M26" s="482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3"/>
      <c r="H27" s="252" t="s">
        <v>128</v>
      </c>
      <c r="I27" s="252" t="s">
        <v>112</v>
      </c>
      <c r="J27" s="469" t="s">
        <v>111</v>
      </c>
      <c r="K27" s="469"/>
      <c r="L27" s="248" t="s">
        <v>2</v>
      </c>
      <c r="M27" s="48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6" t="str">
        <f ca="1">IF(M22=" "," ",INDIRECT($H$3 &amp; "!P" &amp; $H$4+2+C24))</f>
        <v xml:space="preserve"> </v>
      </c>
      <c r="K28" s="476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4" t="s">
        <v>110</v>
      </c>
      <c r="C29" s="464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4" t="s">
        <v>109</v>
      </c>
      <c r="F30" s="485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6" t="str">
        <f ca="1">IF(M22=" "," ",INDIRECT($H$3 &amp; "!Y" &amp; $H$4+2+C24))</f>
        <v xml:space="preserve"> </v>
      </c>
      <c r="K30" s="476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1"/>
      <c r="K31" s="471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7" t="s">
        <v>108</v>
      </c>
      <c r="K32" s="478"/>
      <c r="L32" s="478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6"/>
      <c r="B34" s="487"/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</row>
    <row r="35" spans="1:14" ht="21" customHeight="1" x14ac:dyDescent="0.15">
      <c r="A35" s="480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</row>
    <row r="36" spans="1:14" ht="25" customHeight="1" x14ac:dyDescent="0.2">
      <c r="A36" s="256"/>
      <c r="B36" s="457" t="str">
        <f ca="1">IF(M43=" "," ",Employee!$D$5)</f>
        <v xml:space="preserve"> </v>
      </c>
      <c r="C36" s="457"/>
      <c r="D36" s="457"/>
      <c r="E36" s="457"/>
      <c r="F36" s="457"/>
      <c r="G36" s="458" t="str">
        <f ca="1">IF(G43=" "," ",Employee!$D$67)</f>
        <v xml:space="preserve"> </v>
      </c>
      <c r="H36" s="459"/>
      <c r="I36" s="455" t="str">
        <f ca="1">IF(G43=" "," ",Employee!$D$68)</f>
        <v xml:space="preserve"> </v>
      </c>
      <c r="J36" s="456"/>
      <c r="K36" s="456"/>
      <c r="L36" s="481" t="s">
        <v>23</v>
      </c>
      <c r="M36" s="481"/>
      <c r="N36" s="257"/>
    </row>
    <row r="37" spans="1:14" ht="18" customHeight="1" x14ac:dyDescent="0.15">
      <c r="A37" s="258"/>
      <c r="B37" s="467" t="str">
        <f ca="1">IF(M43=" "," ",Employee!$D$6)</f>
        <v xml:space="preserve"> </v>
      </c>
      <c r="C37" s="467"/>
      <c r="D37" s="479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7" t="str">
        <f ca="1">IF(M43=" "," ",Employee!$D$7)</f>
        <v xml:space="preserve"> </v>
      </c>
      <c r="C38" s="467"/>
      <c r="D38" s="467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72" t="s">
        <v>6</v>
      </c>
      <c r="K38" s="472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1"/>
      <c r="G39" s="471"/>
      <c r="H39" s="253" t="s">
        <v>124</v>
      </c>
      <c r="I39" s="268">
        <f ca="1">I24</f>
        <v>1</v>
      </c>
      <c r="J39" s="468" t="str">
        <f ca="1">IF(M37=" "," ",INDIRECT($H$3 &amp; "!D" &amp; $H$4+2+C39))</f>
        <v xml:space="preserve"> </v>
      </c>
      <c r="K39" s="468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1"/>
      <c r="C40" s="471"/>
      <c r="D40" s="471"/>
      <c r="E40" s="471"/>
      <c r="F40" s="471"/>
      <c r="G40" s="471"/>
      <c r="H40" s="471"/>
      <c r="I40" s="471"/>
      <c r="J40" s="471"/>
      <c r="K40" s="471"/>
      <c r="L40" s="471"/>
      <c r="M40" s="471"/>
      <c r="N40" s="262"/>
    </row>
    <row r="41" spans="1:14" ht="21" customHeight="1" x14ac:dyDescent="0.15">
      <c r="A41" s="258"/>
      <c r="B41" s="460" t="s">
        <v>122</v>
      </c>
      <c r="C41" s="461"/>
      <c r="D41" s="461"/>
      <c r="E41" s="461"/>
      <c r="F41" s="461"/>
      <c r="G41" s="462" t="s">
        <v>121</v>
      </c>
      <c r="H41" s="460" t="s">
        <v>120</v>
      </c>
      <c r="I41" s="470"/>
      <c r="J41" s="470"/>
      <c r="K41" s="470"/>
      <c r="L41" s="470"/>
      <c r="M41" s="482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3"/>
      <c r="H42" s="252" t="s">
        <v>128</v>
      </c>
      <c r="I42" s="252" t="s">
        <v>112</v>
      </c>
      <c r="J42" s="469" t="s">
        <v>111</v>
      </c>
      <c r="K42" s="469"/>
      <c r="L42" s="248" t="s">
        <v>2</v>
      </c>
      <c r="M42" s="48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6" t="str">
        <f ca="1">IF(M37=" "," ",INDIRECT($H$3 &amp; "!P" &amp; $H$4+2+C39))</f>
        <v xml:space="preserve"> </v>
      </c>
      <c r="K43" s="476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4" t="s">
        <v>110</v>
      </c>
      <c r="C44" s="464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4" t="s">
        <v>109</v>
      </c>
      <c r="F45" s="485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6" t="str">
        <f ca="1">IF(M37=" "," ",INDIRECT($H$3 &amp; "!Y" &amp; $H$4+2+C39))</f>
        <v xml:space="preserve"> </v>
      </c>
      <c r="K45" s="476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1"/>
      <c r="K46" s="471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7" t="s">
        <v>108</v>
      </c>
      <c r="K47" s="478"/>
      <c r="L47" s="478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80"/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</row>
    <row r="50" spans="1:14" ht="25" customHeight="1" x14ac:dyDescent="0.2">
      <c r="A50" s="256"/>
      <c r="B50" s="457" t="str">
        <f ca="1">IF(M57=" "," ",Employee!$D$5)</f>
        <v xml:space="preserve"> </v>
      </c>
      <c r="C50" s="457"/>
      <c r="D50" s="457"/>
      <c r="E50" s="457"/>
      <c r="F50" s="457"/>
      <c r="G50" s="458" t="str">
        <f ca="1">IF(G57=" "," ",Employee!$D$93)</f>
        <v xml:space="preserve"> </v>
      </c>
      <c r="H50" s="459"/>
      <c r="I50" s="455" t="str">
        <f ca="1">IF(G57=" "," ",Employee!$D$94)</f>
        <v xml:space="preserve"> </v>
      </c>
      <c r="J50" s="456"/>
      <c r="K50" s="456"/>
      <c r="L50" s="481" t="s">
        <v>23</v>
      </c>
      <c r="M50" s="481"/>
      <c r="N50" s="257"/>
    </row>
    <row r="51" spans="1:14" ht="18" customHeight="1" x14ac:dyDescent="0.15">
      <c r="A51" s="258"/>
      <c r="B51" s="467" t="str">
        <f ca="1">IF(M57=" "," ",Employee!$D$6)</f>
        <v xml:space="preserve"> </v>
      </c>
      <c r="C51" s="467"/>
      <c r="D51" s="479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7" t="str">
        <f ca="1">IF(M57=" "," ",Employee!$D$7)</f>
        <v xml:space="preserve"> </v>
      </c>
      <c r="C52" s="467"/>
      <c r="D52" s="467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72" t="s">
        <v>6</v>
      </c>
      <c r="K52" s="472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1"/>
      <c r="G53" s="471"/>
      <c r="H53" s="253" t="s">
        <v>124</v>
      </c>
      <c r="I53" s="268">
        <f ca="1">I39</f>
        <v>1</v>
      </c>
      <c r="J53" s="468" t="str">
        <f ca="1">IF(M51=" "," ",INDIRECT($H$3 &amp; "!D" &amp; $H$4+2+C53))</f>
        <v xml:space="preserve"> </v>
      </c>
      <c r="K53" s="468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1"/>
      <c r="C54" s="471"/>
      <c r="D54" s="471"/>
      <c r="E54" s="471"/>
      <c r="F54" s="471"/>
      <c r="G54" s="471"/>
      <c r="H54" s="471"/>
      <c r="I54" s="471"/>
      <c r="J54" s="471"/>
      <c r="K54" s="471"/>
      <c r="L54" s="471"/>
      <c r="M54" s="471"/>
      <c r="N54" s="262"/>
    </row>
    <row r="55" spans="1:14" ht="21" customHeight="1" x14ac:dyDescent="0.15">
      <c r="A55" s="258"/>
      <c r="B55" s="460" t="s">
        <v>122</v>
      </c>
      <c r="C55" s="461"/>
      <c r="D55" s="461"/>
      <c r="E55" s="461"/>
      <c r="F55" s="461"/>
      <c r="G55" s="462" t="s">
        <v>121</v>
      </c>
      <c r="H55" s="460" t="s">
        <v>120</v>
      </c>
      <c r="I55" s="470"/>
      <c r="J55" s="470"/>
      <c r="K55" s="470"/>
      <c r="L55" s="470"/>
      <c r="M55" s="482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3"/>
      <c r="H56" s="252" t="s">
        <v>128</v>
      </c>
      <c r="I56" s="252" t="s">
        <v>112</v>
      </c>
      <c r="J56" s="469" t="s">
        <v>111</v>
      </c>
      <c r="K56" s="469"/>
      <c r="L56" s="248" t="s">
        <v>2</v>
      </c>
      <c r="M56" s="48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6" t="str">
        <f ca="1">IF(M51=" "," ",INDIRECT($H$3 &amp; "!P" &amp; $H$4+2+C53))</f>
        <v xml:space="preserve"> </v>
      </c>
      <c r="K57" s="476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4" t="s">
        <v>110</v>
      </c>
      <c r="C58" s="464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4" t="s">
        <v>109</v>
      </c>
      <c r="F59" s="485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6" t="str">
        <f ca="1">IF(M51=" "," ",INDIRECT($H$3 &amp; "!Y" &amp; $H$4+2+C53))</f>
        <v xml:space="preserve"> </v>
      </c>
      <c r="K59" s="476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1"/>
      <c r="K60" s="471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7" t="s">
        <v>108</v>
      </c>
      <c r="K61" s="478"/>
      <c r="L61" s="478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6"/>
      <c r="B63" s="487"/>
      <c r="C63" s="487"/>
      <c r="D63" s="487"/>
      <c r="E63" s="487"/>
      <c r="F63" s="487"/>
      <c r="G63" s="487"/>
      <c r="H63" s="487"/>
      <c r="I63" s="487"/>
      <c r="J63" s="487"/>
      <c r="K63" s="487"/>
      <c r="L63" s="487"/>
      <c r="M63" s="487"/>
      <c r="N63" s="487"/>
    </row>
    <row r="64" spans="1:14" ht="21" customHeight="1" x14ac:dyDescent="0.15">
      <c r="A64" s="480"/>
      <c r="B64" s="480"/>
      <c r="C64" s="480"/>
      <c r="D64" s="480"/>
      <c r="E64" s="480"/>
      <c r="F64" s="480"/>
      <c r="G64" s="480"/>
      <c r="H64" s="480"/>
      <c r="I64" s="480"/>
      <c r="J64" s="480"/>
      <c r="K64" s="480"/>
      <c r="L64" s="480"/>
      <c r="M64" s="480"/>
      <c r="N64" s="480"/>
    </row>
    <row r="65" spans="1:14" ht="25" customHeight="1" x14ac:dyDescent="0.2">
      <c r="A65" s="256"/>
      <c r="B65" s="457" t="str">
        <f ca="1">IF(M72=" "," ",Employee!$D$5)</f>
        <v xml:space="preserve"> </v>
      </c>
      <c r="C65" s="457"/>
      <c r="D65" s="457"/>
      <c r="E65" s="457"/>
      <c r="F65" s="457"/>
      <c r="G65" s="458" t="str">
        <f ca="1">IF(G72=" "," ",Employee!$D$119)</f>
        <v xml:space="preserve"> </v>
      </c>
      <c r="H65" s="459"/>
      <c r="I65" s="455" t="str">
        <f ca="1">IF(G72=" "," ",Employee!$D$120)</f>
        <v xml:space="preserve"> </v>
      </c>
      <c r="J65" s="456"/>
      <c r="K65" s="456"/>
      <c r="L65" s="481" t="s">
        <v>23</v>
      </c>
      <c r="M65" s="481"/>
      <c r="N65" s="257"/>
    </row>
    <row r="66" spans="1:14" ht="18" customHeight="1" x14ac:dyDescent="0.15">
      <c r="A66" s="258"/>
      <c r="B66" s="467" t="str">
        <f ca="1">IF(M72=" "," ",Employee!$D$6)</f>
        <v xml:space="preserve"> </v>
      </c>
      <c r="C66" s="467"/>
      <c r="D66" s="479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7" t="str">
        <f ca="1">IF(M72=" "," ",Employee!$D$7)</f>
        <v xml:space="preserve"> </v>
      </c>
      <c r="C67" s="467"/>
      <c r="D67" s="467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72" t="s">
        <v>6</v>
      </c>
      <c r="K67" s="472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1"/>
      <c r="G68" s="471"/>
      <c r="H68" s="253" t="s">
        <v>124</v>
      </c>
      <c r="I68" s="268">
        <f ca="1">I53</f>
        <v>1</v>
      </c>
      <c r="J68" s="468" t="str">
        <f ca="1">IF(M66=" "," ",INDIRECT($H$3 &amp; "!D" &amp; $H$4+2+C68))</f>
        <v xml:space="preserve"> </v>
      </c>
      <c r="K68" s="468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1"/>
      <c r="C69" s="471"/>
      <c r="D69" s="471"/>
      <c r="E69" s="471"/>
      <c r="F69" s="471"/>
      <c r="G69" s="471"/>
      <c r="H69" s="471"/>
      <c r="I69" s="471"/>
      <c r="J69" s="471"/>
      <c r="K69" s="471"/>
      <c r="L69" s="471"/>
      <c r="M69" s="471"/>
      <c r="N69" s="262"/>
    </row>
    <row r="70" spans="1:14" ht="21" customHeight="1" x14ac:dyDescent="0.15">
      <c r="A70" s="258"/>
      <c r="B70" s="460" t="s">
        <v>122</v>
      </c>
      <c r="C70" s="461"/>
      <c r="D70" s="461"/>
      <c r="E70" s="461"/>
      <c r="F70" s="461"/>
      <c r="G70" s="462" t="s">
        <v>121</v>
      </c>
      <c r="H70" s="460" t="s">
        <v>120</v>
      </c>
      <c r="I70" s="470"/>
      <c r="J70" s="470"/>
      <c r="K70" s="470"/>
      <c r="L70" s="470"/>
      <c r="M70" s="482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3"/>
      <c r="H71" s="252" t="s">
        <v>113</v>
      </c>
      <c r="I71" s="252" t="s">
        <v>112</v>
      </c>
      <c r="J71" s="469" t="s">
        <v>111</v>
      </c>
      <c r="K71" s="469"/>
      <c r="L71" s="248" t="s">
        <v>2</v>
      </c>
      <c r="M71" s="48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6" t="str">
        <f ca="1">IF(M66=" "," ",INDIRECT($H$3 &amp; "!P" &amp; $H$4+2+C68))</f>
        <v xml:space="preserve"> </v>
      </c>
      <c r="K72" s="476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4" t="s">
        <v>110</v>
      </c>
      <c r="C73" s="464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4" t="s">
        <v>109</v>
      </c>
      <c r="F74" s="485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6" t="str">
        <f ca="1">IF(M66=" "," ",INDIRECT($H$3 &amp; "!Y" &amp; $H$4+2+C68))</f>
        <v xml:space="preserve"> </v>
      </c>
      <c r="K74" s="476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1"/>
      <c r="K75" s="471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7" t="s">
        <v>108</v>
      </c>
      <c r="K76" s="478"/>
      <c r="L76" s="478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80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0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44681</v>
      </c>
      <c r="C4" s="229">
        <f>Admin!$B$45</f>
        <v>44700</v>
      </c>
      <c r="D4" s="227">
        <f>'Apr22'!T1+'Apr22'!O1</f>
        <v>0</v>
      </c>
      <c r="E4" s="228">
        <f>'Apr22'!N1</f>
        <v>0</v>
      </c>
      <c r="F4" s="228">
        <f>'Apr22'!AD60+'Apr22'!AE60+'Apr22'!AF60+'Apr22'!AG60</f>
        <v>0</v>
      </c>
      <c r="G4" s="228">
        <f>'Apr22'!AE62+'Apr22'!AF62+'Apr22'!AG62</f>
        <v>0</v>
      </c>
      <c r="H4" s="228">
        <f>'Apr22'!P1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44712</v>
      </c>
      <c r="C5" s="229">
        <f>Admin!$B$76</f>
        <v>44731</v>
      </c>
      <c r="D5" s="227">
        <f>'May22'!T1+'May22'!O1</f>
        <v>0</v>
      </c>
      <c r="E5" s="228">
        <f>'May22'!N1</f>
        <v>0</v>
      </c>
      <c r="F5" s="228">
        <f>'May22'!AD60+'May22'!AE60+'May22'!AF60+'May22'!AG60</f>
        <v>0</v>
      </c>
      <c r="G5" s="228">
        <f>'May22'!AE62+'May22'!AF62+'May22'!AG62</f>
        <v>0</v>
      </c>
      <c r="H5" s="228">
        <f>'May22'!P1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44742</v>
      </c>
      <c r="C6" s="229">
        <f>Admin!$B$106</f>
        <v>44761</v>
      </c>
      <c r="D6" s="227">
        <f>'Jun22'!T1+'Jun22'!O1</f>
        <v>0</v>
      </c>
      <c r="E6" s="228">
        <f>'Jun22'!N1</f>
        <v>0</v>
      </c>
      <c r="F6" s="228">
        <f>'Jun22'!AD70+'Jun22'!AE70+'Jun22'!AF70+'Jun22'!AG70</f>
        <v>0</v>
      </c>
      <c r="G6" s="228">
        <f>'Jun22'!AE72+'Jun22'!AF72+'Jun22'!AG72</f>
        <v>0</v>
      </c>
      <c r="H6" s="228">
        <f>'Jun22'!P1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44773</v>
      </c>
      <c r="C7" s="229">
        <f>Admin!$B$137</f>
        <v>44792</v>
      </c>
      <c r="D7" s="227">
        <f>'Jul22'!T1+'Jul22'!O1</f>
        <v>0</v>
      </c>
      <c r="E7" s="228">
        <f>'Jul22'!N1</f>
        <v>0</v>
      </c>
      <c r="F7" s="228">
        <f>'Jul22'!AD60+'Jul22'!AE60+'Jul22'!AF60+'Jul22'!AG60</f>
        <v>0</v>
      </c>
      <c r="G7" s="228">
        <f>'Jul22'!AE62+'Jul22'!AF62+'Jul22'!AG62</f>
        <v>0</v>
      </c>
      <c r="H7" s="228">
        <f>'Jul22'!P1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44804</v>
      </c>
      <c r="C8" s="229">
        <f>Admin!$B$168</f>
        <v>44823</v>
      </c>
      <c r="D8" s="227">
        <f>'Aug22'!T1+'Aug22'!O1</f>
        <v>0</v>
      </c>
      <c r="E8" s="228">
        <f>'Aug22'!N1</f>
        <v>0</v>
      </c>
      <c r="F8" s="228">
        <f>'Aug22'!AD60+'Aug22'!AE60+'Aug22'!AF60+'Aug22'!AG60</f>
        <v>0</v>
      </c>
      <c r="G8" s="228">
        <f>'Aug22'!AE62+'Aug22'!AF62+'Aug22'!AG62</f>
        <v>0</v>
      </c>
      <c r="H8" s="228">
        <f>'Aug22'!P1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44834</v>
      </c>
      <c r="C9" s="229">
        <f>Admin!$B$198</f>
        <v>44853</v>
      </c>
      <c r="D9" s="227">
        <f>'Sep22'!T1+'Sep22'!O1</f>
        <v>0</v>
      </c>
      <c r="E9" s="228">
        <f>'Sep22'!N1</f>
        <v>0</v>
      </c>
      <c r="F9" s="228">
        <f>'Sep22'!AD70+'Sep22'!AE70+'Sep22'!AF70+'Sep22'!AG70</f>
        <v>0</v>
      </c>
      <c r="G9" s="228">
        <f>'Sep22'!AE72+'Sep22'!AF72+'Sep22'!AG72</f>
        <v>0</v>
      </c>
      <c r="H9" s="228">
        <f>'Sep22'!P1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44865</v>
      </c>
      <c r="C10" s="229">
        <f>Admin!$B$229</f>
        <v>44884</v>
      </c>
      <c r="D10" s="227">
        <f>'Oct22'!T1+'Oct22'!O1</f>
        <v>0</v>
      </c>
      <c r="E10" s="228">
        <f>'Oct22'!N1</f>
        <v>0</v>
      </c>
      <c r="F10" s="228">
        <f>'Oct22'!AD60+'Oct22'!AE60+'Oct22'!AF60+'Oct22'!AG60</f>
        <v>0</v>
      </c>
      <c r="G10" s="228">
        <f>'Oct22'!AE62+'Oct22'!AF62+'Oct22'!AG62</f>
        <v>0</v>
      </c>
      <c r="H10" s="228">
        <f>'Oct22'!P1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44895</v>
      </c>
      <c r="C11" s="229">
        <f>Admin!$B$259</f>
        <v>44914</v>
      </c>
      <c r="D11" s="227">
        <f>'Nov22'!T1+'Nov22'!O1</f>
        <v>0</v>
      </c>
      <c r="E11" s="228">
        <f>'Nov22'!N1</f>
        <v>0</v>
      </c>
      <c r="F11" s="228">
        <f>'Nov22'!AD60+'Nov22'!AE60+'Nov22'!AF60+'Nov22'!AG60</f>
        <v>0</v>
      </c>
      <c r="G11" s="228">
        <f>'Nov22'!AE62+'Nov22'!AF62+'Nov22'!AG62</f>
        <v>0</v>
      </c>
      <c r="H11" s="228">
        <f>'Nov22'!P1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44926</v>
      </c>
      <c r="C12" s="229">
        <f>Admin!$B$290</f>
        <v>44945</v>
      </c>
      <c r="D12" s="227">
        <f>'Dec22'!T1+'Dec22'!O1</f>
        <v>0</v>
      </c>
      <c r="E12" s="228">
        <f>'Dec22'!N1</f>
        <v>0</v>
      </c>
      <c r="F12" s="228">
        <f>'Dec22'!AD70+'Dec22'!AE70+'Dec22'!AF70+'Dec22'!AG70</f>
        <v>0</v>
      </c>
      <c r="G12" s="228">
        <f>'Dec22'!AE72+'Dec22'!AF72+'Dec22'!AG72</f>
        <v>0</v>
      </c>
      <c r="H12" s="228">
        <f>'Dec22'!P1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44957</v>
      </c>
      <c r="C13" s="229">
        <f>Admin!$B$321</f>
        <v>44976</v>
      </c>
      <c r="D13" s="227">
        <f>'Jan23'!T1+'Jan23'!O1</f>
        <v>0</v>
      </c>
      <c r="E13" s="228">
        <f>'Jan23'!N1</f>
        <v>0</v>
      </c>
      <c r="F13" s="228">
        <f>'Jan23'!AD60+'Jan23'!AE60+'Jan23'!AF60+'Jan23'!AG60</f>
        <v>0</v>
      </c>
      <c r="G13" s="228">
        <f>'Jan23'!AE62+'Jan23'!AF62+'Jan23'!AG62</f>
        <v>0</v>
      </c>
      <c r="H13" s="228">
        <f>'Jan23'!P1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44985</v>
      </c>
      <c r="C14" s="229">
        <f>Admin!$B$350</f>
        <v>45005</v>
      </c>
      <c r="D14" s="227">
        <f>'Feb23'!T1+'Feb23'!O1</f>
        <v>0</v>
      </c>
      <c r="E14" s="228">
        <f>'Feb23'!N1</f>
        <v>0</v>
      </c>
      <c r="F14" s="228">
        <f>'Feb23'!AD60+'Feb23'!AE60+'Feb23'!AF60+'Feb23'!AG60</f>
        <v>0</v>
      </c>
      <c r="G14" s="228">
        <f>'Feb23'!AE62+'Feb23'!AF62+'Feb23'!AG62</f>
        <v>0</v>
      </c>
      <c r="H14" s="228">
        <f>'Feb23'!P1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45016</v>
      </c>
      <c r="C15" s="229">
        <f>Admin!$B$381</f>
        <v>45036</v>
      </c>
      <c r="D15" s="227">
        <f>'Mar23'!T1+'Mar23'!O1</f>
        <v>0</v>
      </c>
      <c r="E15" s="228">
        <f>'Mar23'!N1</f>
        <v>0</v>
      </c>
      <c r="F15" s="228">
        <f>'Mar23'!AD80+'Mar23'!AE80+'Mar23'!AF80+'Mar23'!AG80</f>
        <v>0</v>
      </c>
      <c r="G15" s="228">
        <f>'Mar23'!AE82+'Mar23'!AF82+'Mar23'!AG82</f>
        <v>0</v>
      </c>
      <c r="H15" s="228">
        <f>'Mar23'!P1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0"/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9"/>
    <col min="3" max="4" width="9.1640625" style="320"/>
    <col min="5" max="5" width="5.6640625" style="306" customWidth="1"/>
    <col min="6" max="6" width="9.1640625" style="321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1" customWidth="1"/>
    <col min="14" max="14" width="10.5" style="321" customWidth="1"/>
    <col min="15" max="15" width="4.33203125" style="321" customWidth="1"/>
    <col min="16" max="16" width="9.83203125" style="321" bestFit="1" customWidth="1"/>
    <col min="17" max="17" width="4.33203125" style="321" customWidth="1"/>
    <col min="18" max="18" width="9.83203125" style="321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1" t="s">
        <v>77</v>
      </c>
      <c r="H1" s="492"/>
      <c r="I1" s="493">
        <f>B366</f>
        <v>45021</v>
      </c>
      <c r="J1" s="494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TEXT(DATE(YEAR(B$2),MONTH(B$2)+(D2-1),1),"MmmYY")</f>
        <v>Apr22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TEXT(DATE(YEAR(B$2),MONTH(B$2)+(D3-1),1),"MmmYY")</f>
        <v>Apr22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5" t="s">
        <v>88</v>
      </c>
      <c r="I3" s="496"/>
      <c r="J3" s="496"/>
      <c r="K3" s="496"/>
      <c r="L3" s="496"/>
      <c r="M3" s="497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Apr22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Apr22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Apr22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Apr22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Apr22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Apr22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Apr22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Apr22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Apr22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Apr22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Apr22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Apr22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Apr22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Apr22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Apr22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Apr22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Apr22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Apr22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Apr22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Apr22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Apr22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Apr22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Apr22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Apr22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May22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May22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May22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May22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May22</v>
      </c>
      <c r="B32" s="308">
        <f t="shared" si="1"/>
        <v>44687</v>
      </c>
      <c r="C32" s="317">
        <v>5</v>
      </c>
      <c r="D32" s="317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May22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May22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May22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May22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May22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May22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May22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May22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May22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May22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May22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May22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May22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May22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May22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May22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May22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May22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May22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May22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May22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May22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May22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Jun22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Jun22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Jun22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Jun22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Jun22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Jun22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Jun22</v>
      </c>
      <c r="B62" s="308">
        <f t="shared" si="1"/>
        <v>44717</v>
      </c>
      <c r="C62" s="317">
        <v>9</v>
      </c>
      <c r="D62" s="317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16" t="str">
        <f t="shared" si="0"/>
        <v>Jun22</v>
      </c>
      <c r="B63" s="308">
        <f t="shared" si="1"/>
        <v>44718</v>
      </c>
      <c r="C63" s="317">
        <v>10</v>
      </c>
      <c r="D63" s="317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Jun22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Jun22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Jun22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TEXT(DATE(YEAR(B$2),MONTH(B$2)+(D67-1),1),"MmmYY")</f>
        <v>Jun22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Jun22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Jun22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Jun22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Jun22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Jun22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Jun22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Jun22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Jun22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Jun22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Jun22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Jun22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Jun22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Jun22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Jun22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Jun22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Jun22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Jun22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Jun22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Jun22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Jun22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Jun22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Jun22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Jun22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Jul22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Jul22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16" t="str">
        <f t="shared" si="2"/>
        <v>Jul22</v>
      </c>
      <c r="B93" s="308">
        <f t="shared" si="3"/>
        <v>44748</v>
      </c>
      <c r="C93" s="317">
        <v>14</v>
      </c>
      <c r="D93" s="317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Jul22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Jul22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Jul22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Jul22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Jul22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Jul22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Jul22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Jul22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Jul22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Jul22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Jul22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Jul22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Jul22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Jul22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Jul22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Jul22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Jul22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Jul22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Jul22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Jul22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Jul22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Jul22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Jul22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Jul22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Jul22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Aug22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Aug22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Aug22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Aug22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Aug22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16" t="str">
        <f t="shared" si="2"/>
        <v>Aug22</v>
      </c>
      <c r="B124" s="308">
        <f t="shared" si="3"/>
        <v>44779</v>
      </c>
      <c r="C124" s="317">
        <v>18</v>
      </c>
      <c r="D124" s="317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Aug22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Aug22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Aug22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Aug22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Aug22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Aug22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TEXT(DATE(YEAR(B$2),MONTH(B$2)+(D131-1),1),"MmmYY")</f>
        <v>Aug22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Aug22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Aug22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Aug22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Aug22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Aug22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Aug22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Aug22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Aug22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Aug22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Aug22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Aug22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Aug22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Aug22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Aug22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Aug22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Sep22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Sep22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Sep22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Sep22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Sep22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Sep22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Sep22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Sep22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16" t="str">
        <f t="shared" si="4"/>
        <v>Sep22</v>
      </c>
      <c r="B155" s="322">
        <f t="shared" si="5"/>
        <v>44810</v>
      </c>
      <c r="C155" s="317">
        <v>23</v>
      </c>
      <c r="D155" s="317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Sep22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Sep22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Sep22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Sep22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Sep22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Sep22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Sep22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Sep22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Sep22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Sep22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Sep22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Sep22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Sep22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Sep22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Sep22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Sep22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Sep22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Sep22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Sep22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Sep22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Sep22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Sep22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Sep22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Sep22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Sep22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Sep22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Oct22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Oct22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Oct22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16" t="str">
        <f t="shared" si="4"/>
        <v>Oct22</v>
      </c>
      <c r="B185" s="322">
        <f t="shared" si="5"/>
        <v>44840</v>
      </c>
      <c r="C185" s="317">
        <v>27</v>
      </c>
      <c r="D185" s="317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Oct22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Oct22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Oct22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Oct22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Oct22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Oct22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Oct22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Oct22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Oct22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TEXT(DATE(YEAR(B$2),MONTH(B$2)+(D195-1),1),"MmmYY")</f>
        <v>Oct22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Oct22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Oct22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Oct22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Oct22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Oct22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Oct22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Oct22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Oct22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Oct22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Oct22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Oct22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Oct22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Oct22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Oct22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Nov22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Nov22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Nov22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Nov22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Nov22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16" t="str">
        <f t="shared" si="6"/>
        <v>Nov22</v>
      </c>
      <c r="B215" s="308">
        <f t="shared" si="7"/>
        <v>44870</v>
      </c>
      <c r="C215" s="317">
        <v>31</v>
      </c>
      <c r="D215" s="317">
        <v>8</v>
      </c>
      <c r="E215" s="318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16" t="str">
        <f t="shared" si="6"/>
        <v>Nov22</v>
      </c>
      <c r="B216" s="322">
        <f t="shared" si="7"/>
        <v>44871</v>
      </c>
      <c r="C216" s="317">
        <v>31</v>
      </c>
      <c r="D216" s="317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Nov22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Nov22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Nov22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Nov22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Nov22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Nov22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Nov22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Nov22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Nov22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Nov22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Nov22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Nov22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Nov22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Nov22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Nov22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Nov22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Nov22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Nov22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Nov22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Nov22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Nov22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Dec22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Dec22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Dec22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Dec22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Dec22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Dec22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Dec22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Dec22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16" t="str">
        <f t="shared" si="6"/>
        <v>Dec22</v>
      </c>
      <c r="B246" s="322">
        <f t="shared" si="7"/>
        <v>44901</v>
      </c>
      <c r="C246" s="317">
        <v>36</v>
      </c>
      <c r="D246" s="317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Dec22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Dec22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Dec22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Dec22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Dec22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Dec22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Dec22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Dec22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Dec22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Dec22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Dec22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Dec22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TEXT(DATE(YEAR(B$2),MONTH(B$2)+(D259-1),1),"MmmYY")</f>
        <v>Dec22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Dec22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Dec22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Dec22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Dec22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Dec22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Dec22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Dec22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Dec22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Dec22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Dec22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Dec22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Dec22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Dec22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Jan23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Jan23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Jan23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16" t="str">
        <f t="shared" si="8"/>
        <v>Jan23</v>
      </c>
      <c r="B276" s="322">
        <f t="shared" si="9"/>
        <v>44931</v>
      </c>
      <c r="C276" s="317">
        <v>40</v>
      </c>
      <c r="D276" s="317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16" t="str">
        <f t="shared" si="8"/>
        <v>Jan23</v>
      </c>
      <c r="B277" s="322">
        <f t="shared" si="9"/>
        <v>44932</v>
      </c>
      <c r="C277" s="317">
        <v>40</v>
      </c>
      <c r="D277" s="317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Jan23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Jan23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Jan23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Jan23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Jan23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Jan23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Jan23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Jan23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Jan23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Jan23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Jan23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Jan23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Jan23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Jan23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Jan23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Jan23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Jan23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Jan23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Jan23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Jan23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Jan23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Jan23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Jan23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Feb23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Feb23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Feb23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Feb23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Feb23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Feb23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Feb23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16" t="str">
        <f t="shared" si="8"/>
        <v>Feb23</v>
      </c>
      <c r="B308" s="322">
        <f t="shared" si="9"/>
        <v>44963</v>
      </c>
      <c r="C308" s="317">
        <v>45</v>
      </c>
      <c r="D308" s="317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Feb23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Feb23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Feb23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Feb23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Feb23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Feb23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Feb23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Feb23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Feb23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Feb23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Feb23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Feb23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Feb23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Feb23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TEXT(DATE(YEAR(B$2),MONTH(B$2)+(D323-1),1),"MmmYY")</f>
        <v>Feb23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Feb23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Feb23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Feb23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Feb23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Feb23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Mar23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Mar23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Mar23</v>
      </c>
      <c r="B331" s="308">
        <f t="shared" si="11"/>
        <v>44986</v>
      </c>
      <c r="C331" s="317">
        <v>48</v>
      </c>
      <c r="D331" s="309">
        <v>12</v>
      </c>
      <c r="E331" s="318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Mar23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Mar23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Mar23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Mar23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16" t="str">
        <f t="shared" si="10"/>
        <v>Mar23</v>
      </c>
      <c r="B336" s="322">
        <f t="shared" si="11"/>
        <v>44991</v>
      </c>
      <c r="C336" s="317">
        <v>49</v>
      </c>
      <c r="D336" s="317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Mar23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Mar23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Mar23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Mar23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Mar23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Mar23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Mar23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Mar23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Mar23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Mar23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Mar23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Mar23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Mar23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Mar23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Mar23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Mar23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Mar23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Mar23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Mar23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Mar23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Mar23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Mar23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Mar23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Mar23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Mar23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Mar23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Mar23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Mar23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Mar23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Mar23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Mar23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Mar23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Mar23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Mar23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Mar23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Mar23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Mar23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Mar23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Mar23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Mar23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Mar23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Mar23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Mar23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Mar23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Mar23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Apr22</vt:lpstr>
      <vt:lpstr>May22</vt:lpstr>
      <vt:lpstr>Jun22</vt:lpstr>
      <vt:lpstr>Jul22</vt:lpstr>
      <vt:lpstr>Aug22</vt:lpstr>
      <vt:lpstr>Sep22</vt:lpstr>
      <vt:lpstr>Oct22</vt:lpstr>
      <vt:lpstr>Nov22</vt:lpstr>
      <vt:lpstr>Dec22</vt:lpstr>
      <vt:lpstr>Jan23</vt:lpstr>
      <vt:lpstr>Feb23</vt:lpstr>
      <vt:lpstr>Mar23</vt:lpstr>
      <vt:lpstr>Payslips</vt:lpstr>
      <vt:lpstr>Payment</vt:lpstr>
      <vt:lpstr>Admin</vt:lpstr>
      <vt:lpstr>'Apr22'!Print_Titles</vt:lpstr>
      <vt:lpstr>'Aug22'!Print_Titles</vt:lpstr>
      <vt:lpstr>'Dec22'!Print_Titles</vt:lpstr>
      <vt:lpstr>'Feb23'!Print_Titles</vt:lpstr>
      <vt:lpstr>'Jan23'!Print_Titles</vt:lpstr>
      <vt:lpstr>'Jul22'!Print_Titles</vt:lpstr>
      <vt:lpstr>'Jun22'!Print_Titles</vt:lpstr>
      <vt:lpstr>'Mar23'!Print_Titles</vt:lpstr>
      <vt:lpstr>'May22'!Print_Titles</vt:lpstr>
      <vt:lpstr>'Nov22'!Print_Titles</vt:lpstr>
      <vt:lpstr>'Oct22'!Print_Titles</vt:lpstr>
      <vt:lpstr>'Sep22'!Print_Titles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2024-07-16T15:58:19Z</dcterms:modified>
</cp:coreProperties>
</file>