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lf Employed 2025-04-05 (Apr25) Excel 2007/"/>
    </mc:Choice>
  </mc:AlternateContent>
  <xr:revisionPtr revIDLastSave="0" documentId="13_ncr:1_{8645E79F-5AA8-E746-A94C-E29DA582049A}" xr6:coauthVersionLast="47" xr6:coauthVersionMax="47" xr10:uidLastSave="{00000000-0000-0000-0000-000000000000}"/>
  <bookViews>
    <workbookView xWindow="2860" yWindow="18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52" i="16" l="1"/>
  <c r="D144" i="16" l="1"/>
  <c r="D80" i="18"/>
  <c r="D139" i="16"/>
  <c r="O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<sst xmlns="http://schemas.openxmlformats.org/spreadsheetml/2006/main" count="819" uniqueCount="439">
  <si>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</si>
  <si>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</si>
  <si>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</si>
  <si>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</si>
  <si>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</si>
  <si>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</si>
  <si>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</si>
  <si>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</si>
  <si>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</si>
  <si>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</si>
  <si>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</si>
  <si>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</si>
  <si>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</si>
  <si>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</si>
  <si>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</si>
  <si>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</si>
  <si>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</si>
  <si>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</si>
  <si>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</si>
  <si>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</si>
  <si>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</si>
  <si>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</si>
  <si>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</si>
  <si>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</si>
  <si>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</si>
  <si>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</si>
  <si>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</si>
  <si>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</si>
  <si>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</si>
  <si>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</si>
  <si>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</si>
  <si>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</si>
  <si>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</si>
  <si>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</si>
  <si>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</si>
  <si>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</si>
  <si>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</si>
  <si>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</si>
  <si>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</si>
  <si>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</si>
  <si>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</si>
  <si>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</si>
  <si>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</si>
  <si>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</si>
  <si>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</si>
  <si>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</si>
  <si>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</si>
  <si>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</si>
  <si>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</si>
  <si>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</si>
  <si>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</si>
  <si>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</si>
  <si>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</si>
  <si>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</si>
  <si>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</si>
  <si>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</si>
  <si>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</si>
  <si>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</si>
  <si>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</si>
  <si>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</si>
  <si>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</si>
  <si>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</si>
  <si>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</si>
  <si>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&amp; Promotion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</si>
  <si>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</si>
  <si>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</si>
  <si>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</si>
  <si>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</si>
  <si>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</si>
  <si>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</si>
  <si>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</si>
  <si>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</si>
  <si>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</si>
  <si>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</si>
  <si>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</si>
  <si>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</si>
  <si>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</si>
  <si>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</si>
  <si>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</si>
  <si>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</si>
  <si>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</si>
  <si>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</si>
  <si>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</si>
  <si>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</si>
  <si>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</si>
  <si>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</si>
  <si>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</si>
  <si>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</si>
  <si>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</si>
  <si>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</si>
  <si>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</si>
  <si>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</si>
  <si>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</si>
  <si>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</si>
  <si>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</si>
  <si>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</si>
  <si>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</si>
  <si>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</si>
  <si>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</si>
  <si>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</si>
  <si>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</si>
  <si>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</si>
  <si>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</si>
  <si>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</si>
  <si>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</si>
  <si>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</si>
  <si>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</si>
  <si>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</si>
  <si>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</si>
  <si>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</si>
  <si>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</si>
  <si>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</si>
  <si>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</si>
  <si>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</si>
  <si>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</si>
  <si>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</si>
  <si>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</si>
  <si>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</si>
  <si>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</si>
  <si>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</si>
  <si>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</si>
  <si>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</si>
  <si>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</si>
  <si>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</si>
  <si>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</si>
  <si>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</si>
  <si>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</si>
  <si>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</si>
  <si>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</si>
  <si>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</si>
  <si>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</si>
  <si>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</si>
  <si>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</si>
  <si>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</si>
  <si>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</si>
  <si>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</si>
  <si>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</si>
  <si>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</si>
  <si>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</si>
  <si>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</si>
  <si>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</si>
  <si>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</si>
  <si>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</si>
  <si>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</si>
  <si>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</si>
  <si>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</si>
  <si>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</si>
  <si>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</si>
  <si>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</si>
  <si>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</si>
  <si>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</si>
  <si>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</si>
  <si>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</si>
  <si>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</si>
  <si>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</si>
  <si>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</si>
  <si>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</si>
  <si>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</si>
  <si>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</si>
  <si>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</si>
  <si>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</si>
  <si>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</si>
  <si>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</si>
  <si>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</si>
  <si>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</si>
  <si>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</si>
  <si>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</si>
  <si>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</si>
  <si>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</si>
  <si>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</si>
  <si>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</si>
  <si>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</si>
  <si>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</si>
  <si>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</si>
  <si>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</si>
  <si>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</si>
  <si>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</si>
  <si>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</si>
  <si>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</si>
  <si>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</si>
  <si>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</si>
  <si>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</si>
  <si>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</si>
  <si>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</si>
  <si>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</si>
  <si>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</si>
  <si>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</si>
  <si>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</si>
  <si>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</si>
  <si>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</si>
  <si>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</si>
  <si>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</si>
  <si>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</si>
  <si>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</si>
  <si>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</si>
  <si>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</si>
  <si>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</si>
  <si>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</si>
  <si>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</si>
  <si>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</si>
  <si>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</si>
  <si>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</si>
  <si>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</si>
  <si>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</si>
  <si>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</si>
  <si>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</si>
  <si>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</si>
  <si>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</si>
  <si>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</si>
  <si>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</si>
  <si>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</si>
  <si>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</si>
  <si>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</si>
  <si>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</si>
  <si>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</si>
  <si>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</si>
  <si>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</si>
  <si>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</si>
  <si>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</si>
  <si>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</si>
  <si>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</si>
  <si>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</si>
  <si>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</si>
  <si>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</si>
  <si>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</si>
  <si>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</si>
  <si>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</si>
  <si>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</si>
  <si>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</si>
  <si>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</si>
  <si>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</si>
  <si>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</si>
  <si>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</si>
  <si>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</si>
  <si>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</si>
  <si>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</si>
  <si>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</si>
  <si>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</si>
  <si>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</si>
  <si>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</si>
  <si>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</si>
  <si>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</si>
  <si>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</si>
  <si>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</si>
  <si>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</si>
  <si>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</si>
  <si>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</si>
  <si>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</si>
  <si>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</si>
  <si>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</si>
  <si>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</si>
  <si>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</si>
  <si>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</si>
  <si>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</si>
  <si>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</si>
  <si>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</si>
  <si>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</si>
  <si>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</si>
  <si>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</si>
  <si>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</si>
  <si>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</si>
  <si>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</si>
  <si>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</si>
  <si>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</si>
  <si>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</si>
  <si>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</si>
  <si>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</si>
  <si>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</si>
  <si>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</si>
  <si>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</si>
  <si>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</si>
  <si>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</si>
  <si>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</si>
  <si>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</si>
  <si>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</si>
  <si>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</si>
  <si>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</si>
  <si>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</si>
  <si>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</si>
  <si>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</si>
  <si>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</si>
  <si>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</si>
  <si>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</si>
  <si>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</si>
  <si>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</si>
  <si>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</si>
  <si>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</si>
  <si>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</si>
  <si>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</si>
  <si>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</si>
  <si>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</si>
  <si>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</si>
  <si>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</si>
  <si>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</si>
  <si>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</si>
  <si>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</si>
  <si>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</si>
  <si>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</si>
  <si>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</si>
  <si>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</si>
  <si>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</si>
  <si>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</si>
  <si>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</si>
  <si>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</si>
  <si>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</si>
  <si>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</si>
  <si>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</si>
  <si>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</si>
  <si>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</si>
  <si>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</si>
  <si>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</si>
  <si>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</si>
  <si>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</si>
  <si>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</si>
  <si>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</si>
  <si>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</si>
  <si>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</si>
  <si>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</si>
  <si>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</si>
  <si>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</si>
  <si>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</si>
  <si>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</si>
  <si>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</si>
  <si>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</si>
  <si>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</si>
  <si>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</si>
  <si>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</si>
  <si>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</si>
  <si>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</si>
  <si>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</si>
  <si>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</si>
  <si>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</si>
  <si>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</si>
  <si>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</si>
  <si>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</si>
  <si>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</si>
  <si>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</si>
  <si>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</si>
  <si>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</si>
  <si>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</si>
  <si>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</si>
  <si>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</si>
  <si>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</si>
  <si>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</si>
  <si>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</si>
  <si>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</si>
  <si>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</si>
  <si>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</si>
  <si>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</si>
  <si>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</si>
  <si>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</si>
  <si>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</si>
  <si>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</si>
  <si>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</si>
  <si>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</si>
  <si>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</si>
  <si>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</si>
  <si>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</si>
  <si>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</si>
  <si>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</si>
  <si>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</si>
  <si>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</si>
  <si>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</si>
  <si>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</si>
  <si>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</si>
  <si>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</si>
  <si>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</si>
  <si>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</si>
  <si>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</si>
  <si>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</si>
  <si>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</si>
  <si>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</si>
  <si>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</si>
  <si>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</si>
  <si>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</si>
  <si>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</si>
  <si>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</si>
  <si>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</si>
  <si>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</si>
  <si>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</si>
  <si>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</si>
  <si>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</si>
  <si>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</si>
  <si>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</si>
  <si>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</si>
  <si>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</si>
  <si>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</si>
  <si>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</si>
  <si>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</si>
  <si>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</si>
  <si>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</si>
  <si>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</si>
  <si>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</si>
  <si>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</si>
  <si>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</si>
  <si>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</si>
  <si>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</si>
  <si>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</si>
  <si>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</si>
  <si>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</si>
  <si>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</si>
  <si>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</si>
  <si>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</si>
  <si>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</si>
  <si>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</si>
  <si>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</si>
  <si>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2024-25</t>
  </si>
  <si>
    <t>COPY DETAILS TO HMRC FORM          Submit HMRC RETURN ONLINE                   by 31st January 2025</t>
  </si>
  <si>
    <t>Not captured in DIY Accounting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</si>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</sst>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26" fillId="0" borderId="36" xfId="0" applyFont="1" applyBorder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30" t="s">
        <v>146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22"/>
      <c r="D5" s="323"/>
      <c r="E5" s="323"/>
      <c r="F5" s="323"/>
      <c r="G5" s="323"/>
      <c r="H5" s="323"/>
      <c r="I5" s="323"/>
      <c r="J5" s="324"/>
      <c r="K5" s="181"/>
      <c r="L5" s="181"/>
      <c r="M5" s="181"/>
      <c r="N5" s="181"/>
      <c r="O5" s="322"/>
      <c r="P5" s="324"/>
      <c r="Q5" s="181"/>
      <c r="R5" s="322"/>
      <c r="S5" s="323"/>
      <c r="T5" s="323"/>
      <c r="U5" s="324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22"/>
      <c r="D7" s="323"/>
      <c r="E7" s="323"/>
      <c r="F7" s="323"/>
      <c r="G7" s="323"/>
      <c r="H7" s="323"/>
      <c r="I7" s="323"/>
      <c r="J7" s="324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28" t="s">
        <v>18</v>
      </c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22"/>
      <c r="D12" s="323"/>
      <c r="E12" s="323"/>
      <c r="F12" s="323"/>
      <c r="G12" s="323"/>
      <c r="H12" s="323"/>
      <c r="I12" s="323"/>
      <c r="J12" s="324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22"/>
      <c r="D14" s="323"/>
      <c r="E14" s="323"/>
      <c r="F14" s="323"/>
      <c r="G14" s="323"/>
      <c r="H14" s="323"/>
      <c r="I14" s="323"/>
      <c r="J14" s="324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25">
        <f>Admin!B4</f>
        <v>45388</v>
      </c>
      <c r="T16" s="326"/>
      <c r="U16" s="326"/>
      <c r="V16" s="326"/>
      <c r="W16" s="187"/>
    </row>
    <row r="17" spans="1:23" ht="15" customHeight="1" x14ac:dyDescent="0.15">
      <c r="A17" s="185"/>
      <c r="B17" s="181"/>
      <c r="C17" s="322"/>
      <c r="D17" s="323"/>
      <c r="E17" s="323"/>
      <c r="F17" s="323"/>
      <c r="G17" s="323"/>
      <c r="H17" s="323"/>
      <c r="I17" s="323"/>
      <c r="J17" s="324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22"/>
      <c r="D19" s="323"/>
      <c r="E19" s="323"/>
      <c r="F19" s="323"/>
      <c r="G19" s="323"/>
      <c r="H19" s="323"/>
      <c r="I19" s="323"/>
      <c r="J19" s="324"/>
      <c r="K19" s="181"/>
      <c r="L19" s="181"/>
      <c r="M19" s="181"/>
      <c r="N19" s="313"/>
      <c r="O19" s="314"/>
      <c r="P19" s="314"/>
      <c r="Q19" s="315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22"/>
      <c r="D21" s="323"/>
      <c r="E21" s="323"/>
      <c r="F21" s="323"/>
      <c r="G21" s="323"/>
      <c r="H21" s="323"/>
      <c r="I21" s="323"/>
      <c r="J21" s="324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25">
        <f>Admin!B17</f>
        <v>45752</v>
      </c>
      <c r="T21" s="326"/>
      <c r="U21" s="326"/>
      <c r="V21" s="326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7" t="s">
        <v>157</v>
      </c>
      <c r="O22" s="327"/>
      <c r="P22" s="327"/>
      <c r="Q22" s="327"/>
      <c r="R22" s="327"/>
      <c r="S22" s="327"/>
      <c r="T22" s="327"/>
      <c r="U22" s="327"/>
      <c r="V22" s="327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7"/>
      <c r="O23" s="327"/>
      <c r="P23" s="327"/>
      <c r="Q23" s="327"/>
      <c r="R23" s="327"/>
      <c r="S23" s="327"/>
      <c r="T23" s="327"/>
      <c r="U23" s="327"/>
      <c r="V23" s="327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3"/>
      <c r="O24" s="314"/>
      <c r="P24" s="314"/>
      <c r="Q24" s="315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22"/>
      <c r="D25" s="323"/>
      <c r="E25" s="323"/>
      <c r="F25" s="323"/>
      <c r="G25" s="323"/>
      <c r="H25" s="323"/>
      <c r="I25" s="323"/>
      <c r="J25" s="324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22"/>
      <c r="D27" s="323"/>
      <c r="E27" s="323"/>
      <c r="F27" s="323"/>
      <c r="G27" s="323"/>
      <c r="H27" s="323"/>
      <c r="I27" s="323"/>
      <c r="J27" s="324"/>
      <c r="K27" s="181"/>
      <c r="L27" s="181"/>
      <c r="M27" s="181"/>
      <c r="N27" s="313"/>
      <c r="O27" s="314"/>
      <c r="P27" s="314"/>
      <c r="Q27" s="315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08"/>
      <c r="D30" s="309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3">
        <f>Admin!B17</f>
        <v>45752</v>
      </c>
      <c r="O32" s="314"/>
      <c r="P32" s="314"/>
      <c r="Q32" s="315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16" t="s">
        <v>166</v>
      </c>
      <c r="B34" s="316"/>
      <c r="C34" s="316"/>
      <c r="D34" s="316"/>
      <c r="E34" s="316"/>
      <c r="F34" s="316"/>
      <c r="G34" s="316"/>
      <c r="H34" s="316"/>
      <c r="I34" s="316"/>
      <c r="J34" s="316"/>
      <c r="K34" s="316"/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316"/>
      <c r="W34" s="316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167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168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169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170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171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2024-25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173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174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170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17">
        <v>0</v>
      </c>
      <c r="E50" s="318"/>
      <c r="F50" s="319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17"/>
      <c r="P50" s="320"/>
      <c r="Q50" s="321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10">
        <f>'SE Short'!O94</f>
        <v>0</v>
      </c>
      <c r="E55" s="311"/>
      <c r="F55" s="312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10">
        <f>D50-D55+'SE Short'!O106</f>
        <v>0</v>
      </c>
      <c r="P55" s="311"/>
      <c r="Q55" s="312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A9:W9"/>
    <mergeCell ref="A1:W1"/>
    <mergeCell ref="C5:J5"/>
    <mergeCell ref="O5:P5"/>
    <mergeCell ref="R5:U5"/>
    <mergeCell ref="C7:J7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30:D30"/>
    <mergeCell ref="D55:F55"/>
    <mergeCell ref="O55:Q55"/>
    <mergeCell ref="N32:Q32"/>
    <mergeCell ref="A34:W34"/>
    <mergeCell ref="D50:F50"/>
    <mergeCell ref="O50:Q50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O1" sqref="O1:W1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63" t="s">
        <v>306</v>
      </c>
      <c r="B1" s="364"/>
      <c r="C1" s="364"/>
      <c r="D1" s="364"/>
      <c r="E1" s="364"/>
      <c r="F1" s="364"/>
      <c r="G1" s="365" t="s">
        <v>407</v>
      </c>
      <c r="H1" s="366"/>
      <c r="I1" s="366"/>
      <c r="J1" s="366"/>
      <c r="K1" s="366"/>
      <c r="L1" s="366"/>
      <c r="M1" s="366"/>
      <c r="N1" s="367"/>
      <c r="O1" s="368" t="s">
        <v>307</v>
      </c>
      <c r="P1" s="368"/>
      <c r="Q1" s="368"/>
      <c r="R1" s="368"/>
      <c r="S1" s="368"/>
      <c r="T1" s="368"/>
      <c r="U1" s="368"/>
      <c r="V1" s="368"/>
      <c r="W1" s="368"/>
    </row>
    <row r="2" spans="1:23" ht="30" customHeight="1" x14ac:dyDescent="0.15">
      <c r="A2" s="364"/>
      <c r="B2" s="364"/>
      <c r="C2" s="364"/>
      <c r="D2" s="364"/>
      <c r="E2" s="364"/>
      <c r="F2" s="364"/>
      <c r="G2" s="366"/>
      <c r="H2" s="366"/>
      <c r="I2" s="366"/>
      <c r="J2" s="366"/>
      <c r="K2" s="366"/>
      <c r="L2" s="366"/>
      <c r="M2" s="366"/>
      <c r="N2" s="367"/>
      <c r="O2" s="369" t="s">
        <v>184</v>
      </c>
      <c r="P2" s="369"/>
      <c r="Q2" s="370">
        <f>Admin!B4</f>
        <v>45388</v>
      </c>
      <c r="R2" s="371"/>
      <c r="S2" s="371"/>
      <c r="T2" s="371"/>
      <c r="U2" s="222" t="s">
        <v>185</v>
      </c>
      <c r="V2" s="370">
        <f>Admin!B17</f>
        <v>45752</v>
      </c>
      <c r="W2" s="370"/>
    </row>
    <row r="3" spans="1:23" ht="8.25" customHeight="1" x14ac:dyDescent="0.15">
      <c r="A3" s="353"/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</row>
    <row r="4" spans="1:23" ht="10" customHeight="1" x14ac:dyDescent="0.1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6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57" t="str">
        <f>IF('Business Details'!C5&gt;0,'Business Details'!C5:J5," ")</f>
        <v xml:space="preserve"> </v>
      </c>
      <c r="D8" s="358"/>
      <c r="E8" s="358"/>
      <c r="F8" s="358"/>
      <c r="G8" s="358"/>
      <c r="H8" s="358"/>
      <c r="I8" s="358"/>
      <c r="J8" s="359"/>
      <c r="K8" s="220"/>
      <c r="L8" s="220"/>
      <c r="M8" s="220"/>
      <c r="N8" s="220"/>
      <c r="O8" s="322" t="str">
        <f>IF('Business Details'!O5&gt;0,'Business Details'!O5," ")</f>
        <v xml:space="preserve"> </v>
      </c>
      <c r="P8" s="324"/>
      <c r="Q8" s="181"/>
      <c r="R8" s="322" t="str">
        <f>IF('Business Details'!R5&gt;0,'Business Details'!R5," ")</f>
        <v xml:space="preserve"> </v>
      </c>
      <c r="S8" s="323"/>
      <c r="T8" s="323"/>
      <c r="U8" s="324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60" t="s">
        <v>18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57" t="str">
        <f>IF('Business Details'!C17&gt;0,'Business Details'!C17," ")</f>
        <v xml:space="preserve"> </v>
      </c>
      <c r="D13" s="358"/>
      <c r="E13" s="358"/>
      <c r="F13" s="358"/>
      <c r="G13" s="358"/>
      <c r="H13" s="358"/>
      <c r="I13" s="358"/>
      <c r="J13" s="359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57" t="str">
        <f>IF('Business Details'!C19&gt;0,'Business Details'!C19," ")</f>
        <v xml:space="preserve"> </v>
      </c>
      <c r="D15" s="358"/>
      <c r="E15" s="358"/>
      <c r="F15" s="358"/>
      <c r="G15" s="358"/>
      <c r="H15" s="358"/>
      <c r="I15" s="358"/>
      <c r="J15" s="359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57" t="str">
        <f>IF('Business Details'!C21&gt;0,'Business Details'!C21," ")</f>
        <v xml:space="preserve"> </v>
      </c>
      <c r="D17" s="358"/>
      <c r="E17" s="358"/>
      <c r="F17" s="358"/>
      <c r="G17" s="358"/>
      <c r="H17" s="358"/>
      <c r="I17" s="358"/>
      <c r="J17" s="359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46">
        <f>Q2</f>
        <v>45388</v>
      </c>
      <c r="T17" s="361"/>
      <c r="U17" s="361"/>
      <c r="V17" s="361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62" t="s">
        <v>310</v>
      </c>
      <c r="O18" s="362"/>
      <c r="P18" s="362"/>
      <c r="Q18" s="362"/>
      <c r="R18" s="362"/>
      <c r="S18" s="362"/>
      <c r="T18" s="362"/>
      <c r="U18" s="362"/>
      <c r="V18" s="362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8" t="str">
        <f>IF('Business Details'!N19&gt;0,'Business Details'!N19," ")</f>
        <v xml:space="preserve"> </v>
      </c>
      <c r="O20" s="349"/>
      <c r="P20" s="349"/>
      <c r="Q20" s="352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44" t="str">
        <f>IF('Business Details'!C30&gt;0,'Business Details'!C30," ")</f>
        <v xml:space="preserve"> </v>
      </c>
      <c r="D22" s="345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46">
        <f>V2</f>
        <v>45752</v>
      </c>
      <c r="T23" s="338"/>
      <c r="U23" s="347"/>
      <c r="V23" s="347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8" t="str">
        <f>IF('Business Details'!N24&gt;0,'Business Details'!N24," ")</f>
        <v xml:space="preserve"> </v>
      </c>
      <c r="O26" s="349"/>
      <c r="P26" s="349"/>
      <c r="Q26" s="350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8">
        <f>Admin!B17</f>
        <v>45752</v>
      </c>
      <c r="O31" s="349"/>
      <c r="P31" s="349"/>
      <c r="Q31" s="350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51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33">
        <f>'Profit &amp; Loss Account'!B9</f>
        <v>0</v>
      </c>
      <c r="E38" s="334"/>
      <c r="F38" s="335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33">
        <f>'Profit &amp; Loss Account'!B38</f>
        <v>0</v>
      </c>
      <c r="P38" s="334"/>
      <c r="Q38" s="335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42" t="s">
        <v>319</v>
      </c>
      <c r="B40" s="342"/>
      <c r="C40" s="342"/>
      <c r="D40" s="342"/>
      <c r="E40" s="342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</row>
    <row r="41" spans="1:23" s="254" customFormat="1" ht="14" customHeight="1" x14ac:dyDescent="0.15">
      <c r="A41" s="336" t="s">
        <v>320</v>
      </c>
      <c r="B41" s="336"/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</row>
    <row r="42" spans="1:23" s="254" customFormat="1" ht="14" customHeight="1" x14ac:dyDescent="0.15">
      <c r="A42" s="336" t="s">
        <v>321</v>
      </c>
      <c r="B42" s="336"/>
      <c r="C42" s="336"/>
      <c r="D42" s="336"/>
      <c r="E42" s="336"/>
      <c r="F42" s="336"/>
      <c r="G42" s="336"/>
      <c r="H42" s="336"/>
      <c r="I42" s="336"/>
      <c r="J42" s="336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33" t="str">
        <f>IF('Profit &amp; Loss Account'!B9&gt;30000,'Profit &amp; Loss Account'!B17," ")</f>
        <v xml:space="preserve"> </v>
      </c>
      <c r="E46" s="334"/>
      <c r="F46" s="335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33" t="str">
        <f>IF('Profit &amp; Loss Account'!B9&gt;30000,'Profit &amp; Loss Account'!B28," ")</f>
        <v xml:space="preserve"> </v>
      </c>
      <c r="P46" s="334"/>
      <c r="Q46" s="335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33" t="str">
        <f>IF('Profit &amp; Loss Account'!B9&gt;30000,'Profit &amp; Loss Account'!B25+'Profit &amp; Loss Account'!B26," ")</f>
        <v xml:space="preserve"> </v>
      </c>
      <c r="E51" s="334"/>
      <c r="F51" s="335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33" t="str">
        <f>IF('Profit &amp; Loss Account'!B9&gt;30000,'Profit &amp; Loss Account'!B30+'Profit &amp; Loss Account'!B31," ")</f>
        <v xml:space="preserve"> </v>
      </c>
      <c r="P51" s="334"/>
      <c r="Q51" s="335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33" t="str">
        <f>IF('Profit &amp; Loss Account'!B9&gt;30000,'Profit &amp; Loss Account'!B21," ")</f>
        <v xml:space="preserve"> </v>
      </c>
      <c r="E55" s="334"/>
      <c r="F55" s="335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33" t="str">
        <f>IF('Profit &amp; Loss Account'!B9&gt;30000,'Profit &amp; Loss Account'!B24," ")</f>
        <v xml:space="preserve"> </v>
      </c>
      <c r="P55" s="334"/>
      <c r="Q55" s="335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33" t="str">
        <f>IF('Profit &amp; Loss Account'!B9&gt;30000,'Profit &amp; Loss Account'!B22," ")</f>
        <v xml:space="preserve"> </v>
      </c>
      <c r="E60" s="334"/>
      <c r="F60" s="335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33" t="str">
        <f>IF('Profit &amp; Loss Account'!B9&gt;30000,'Profit &amp; Loss Account'!B27+'Profit &amp; Loss Account'!B29+'Profit &amp; Loss Account'!B32+'Profit &amp; Loss Account'!B33," ")</f>
        <v xml:space="preserve"> </v>
      </c>
      <c r="P60" s="334"/>
      <c r="Q60" s="335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33" t="str">
        <f>IF('Profit &amp; Loss Account'!B9&gt;30000,'Profit &amp; Loss Account'!B23," ")</f>
        <v xml:space="preserve"> </v>
      </c>
      <c r="E64" s="334"/>
      <c r="F64" s="335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33">
        <f>'Profit &amp; Loss Account'!B17+'Profit &amp; Loss Account'!B35-'Profit &amp; Loss Account'!B34</f>
        <v>0</v>
      </c>
      <c r="P64" s="334"/>
      <c r="Q64" s="335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43" t="s">
        <v>213</v>
      </c>
      <c r="B66" s="343"/>
      <c r="C66" s="343"/>
      <c r="D66" s="343"/>
      <c r="E66" s="343"/>
      <c r="F66" s="343"/>
      <c r="G66" s="343"/>
      <c r="H66" s="343"/>
      <c r="I66" s="343"/>
      <c r="J66" s="343"/>
      <c r="K66" s="343"/>
      <c r="L66" s="343"/>
      <c r="M66" s="343"/>
      <c r="N66" s="343"/>
      <c r="O66" s="343"/>
      <c r="P66" s="343"/>
      <c r="Q66" s="343"/>
      <c r="R66" s="343"/>
      <c r="S66" s="343"/>
      <c r="T66" s="343"/>
      <c r="U66" s="343"/>
      <c r="V66" s="343"/>
      <c r="W66" s="343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33">
        <f>IF((D38+O38-O64)&gt;=0,D38+O38-O64,0)</f>
        <v>0</v>
      </c>
      <c r="E71" s="334"/>
      <c r="F71" s="335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33">
        <f>IF((D38+O38-O64)&lt;0,O64-D38-O38,0)</f>
        <v>0</v>
      </c>
      <c r="P71" s="334"/>
      <c r="Q71" s="335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42" t="s">
        <v>218</v>
      </c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Y73" s="257"/>
      <c r="Z73" s="257"/>
    </row>
    <row r="74" spans="1:26" ht="14" customHeight="1" x14ac:dyDescent="0.15">
      <c r="A74" s="336" t="s">
        <v>331</v>
      </c>
      <c r="B74" s="336"/>
      <c r="C74" s="336"/>
      <c r="D74" s="336"/>
      <c r="E74" s="336"/>
      <c r="F74" s="336"/>
      <c r="G74" s="336"/>
      <c r="H74" s="336"/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</row>
    <row r="75" spans="1:26" ht="14" customHeight="1" x14ac:dyDescent="0.15">
      <c r="A75" s="336" t="s">
        <v>332</v>
      </c>
      <c r="B75" s="336"/>
      <c r="C75" s="336"/>
      <c r="D75" s="336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Y75" s="257"/>
      <c r="Z75" s="257"/>
    </row>
    <row r="76" spans="1:26" ht="13.5" customHeight="1" x14ac:dyDescent="0.15">
      <c r="A76" s="336" t="s">
        <v>333</v>
      </c>
      <c r="B76" s="336"/>
      <c r="C76" s="336"/>
      <c r="D76" s="336"/>
      <c r="E76" s="336"/>
      <c r="F76" s="336"/>
      <c r="G76" s="336"/>
      <c r="H76" s="336"/>
      <c r="I76" s="336"/>
      <c r="J76" s="336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33">
        <f>IF(([1]Schedule!$Q$1)&gt;0,[1]Schedule!$Q$1,0)</f>
        <v>0</v>
      </c>
      <c r="E80" s="334"/>
      <c r="F80" s="335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33">
        <f>IF(([1]Schedule!$R$1+[1]Schedule!$Y$1)&gt;0,[1]Schedule!$R$1+[1]Schedule!$Y$1,0)</f>
        <v>0</v>
      </c>
      <c r="P80" s="334"/>
      <c r="Q80" s="335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33">
        <f>IF(([1]Schedule!$R$1+[1]Schedule!$S$1)&lt;1000,[1]Schedule!$S$1,0)</f>
        <v>0</v>
      </c>
      <c r="E85" s="334"/>
      <c r="F85" s="335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33">
        <f>IF([1]Schedule!$Z$1&gt;0,[1]Schedule!$Z$1,0)</f>
        <v>0</v>
      </c>
      <c r="P85" s="334"/>
      <c r="Q85" s="335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41" t="s">
        <v>335</v>
      </c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</row>
    <row r="88" spans="1:23" ht="16" customHeight="1" x14ac:dyDescent="0.15">
      <c r="A88" s="336" t="s">
        <v>336</v>
      </c>
      <c r="B88" s="336"/>
      <c r="C88" s="336"/>
      <c r="D88" s="336"/>
      <c r="E88" s="336"/>
      <c r="F88" s="336"/>
      <c r="G88" s="336"/>
      <c r="H88" s="336"/>
      <c r="I88" s="336"/>
      <c r="J88" s="336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</row>
    <row r="89" spans="1:23" ht="15.75" customHeight="1" x14ac:dyDescent="0.15">
      <c r="A89" s="336" t="s">
        <v>337</v>
      </c>
      <c r="B89" s="336"/>
      <c r="C89" s="336"/>
      <c r="D89" s="336"/>
      <c r="E89" s="336"/>
      <c r="F89" s="336"/>
      <c r="G89" s="336"/>
      <c r="H89" s="336"/>
      <c r="I89" s="336"/>
      <c r="J89" s="336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33">
        <f>'Business Details'!O50</f>
        <v>0</v>
      </c>
      <c r="E94" s="334"/>
      <c r="F94" s="335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33">
        <f>IF(O106&gt;0,0,IF('Business Details'!D50=0,0,IF(D99&gt;'Business Details'!D50,'Business Details'!D50,D99)))</f>
        <v>0</v>
      </c>
      <c r="P94" s="334"/>
      <c r="Q94" s="335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33">
        <f>IF((D71+O85+D94-O71-D80-D85-O80)&gt;0,D71+O85+D94-O71-D80-D85-O80,0)</f>
        <v>0</v>
      </c>
      <c r="E99" s="334"/>
      <c r="F99" s="335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33">
        <f>'Profit &amp; Loss Account'!B11</f>
        <v>0</v>
      </c>
      <c r="P99" s="334"/>
      <c r="Q99" s="335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42" t="s">
        <v>341</v>
      </c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33">
        <f>IF((D99+O99-O94)&gt;0,D99+O99-O94,0)</f>
        <v>0</v>
      </c>
      <c r="E106" s="334"/>
      <c r="F106" s="335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33">
        <f>IF((O71+D80+D85+O80-D71-O85-D94)&gt;=0,O71+D80+D85+O80-D71-O85-D94,0)</f>
        <v>0</v>
      </c>
      <c r="P106" s="334"/>
      <c r="Q106" s="335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41" t="s">
        <v>342</v>
      </c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</row>
    <row r="109" spans="1:26" ht="16" customHeight="1" x14ac:dyDescent="0.15">
      <c r="A109" s="336" t="s">
        <v>343</v>
      </c>
      <c r="B109" s="336"/>
      <c r="C109" s="336"/>
      <c r="D109" s="336"/>
      <c r="E109" s="336"/>
      <c r="F109" s="336"/>
      <c r="G109" s="336"/>
      <c r="H109" s="336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345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37" t="str">
        <f>Admin!G2</f>
        <v>2024-25</v>
      </c>
      <c r="E112" s="338"/>
      <c r="F112" s="338"/>
      <c r="G112" s="227"/>
      <c r="H112" s="227"/>
      <c r="I112" s="227"/>
      <c r="J112" s="227"/>
      <c r="K112" s="227"/>
      <c r="L112" s="227"/>
      <c r="M112" s="220"/>
      <c r="N112" s="227" t="s">
        <v>398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33"/>
      <c r="E114" s="334"/>
      <c r="F114" s="335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301</v>
      </c>
      <c r="O116" s="220"/>
      <c r="P116" s="220"/>
      <c r="Q116" s="220"/>
      <c r="R116" s="339" t="str">
        <f>Admin!G2</f>
        <v>2024-25</v>
      </c>
      <c r="S116" s="340"/>
      <c r="T116" s="340"/>
      <c r="U116" s="227" t="s">
        <v>347</v>
      </c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399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236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33"/>
      <c r="E119" s="334"/>
      <c r="F119" s="335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33">
        <f>'Business Details'!O55</f>
        <v>0</v>
      </c>
      <c r="E124" s="334"/>
      <c r="F124" s="335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33">
        <f>[2]Mar!$X$1</f>
        <v>0</v>
      </c>
      <c r="P124" s="334"/>
      <c r="Q124" s="335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A1:F2"/>
    <mergeCell ref="G1:N2"/>
    <mergeCell ref="O1:W1"/>
    <mergeCell ref="O2:P2"/>
    <mergeCell ref="Q2:T2"/>
    <mergeCell ref="V2:W2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106:F106"/>
    <mergeCell ref="O106:Q106"/>
    <mergeCell ref="A108:W108"/>
    <mergeCell ref="D99:F99"/>
    <mergeCell ref="O99:Q99"/>
    <mergeCell ref="A101:W101"/>
    <mergeCell ref="A87:W87"/>
    <mergeCell ref="A88:W88"/>
    <mergeCell ref="A89:W89"/>
    <mergeCell ref="D94:F94"/>
    <mergeCell ref="O94:Q94"/>
    <mergeCell ref="D119:F119"/>
    <mergeCell ref="D124:F124"/>
    <mergeCell ref="O124:Q124"/>
    <mergeCell ref="A109:W109"/>
    <mergeCell ref="D112:F112"/>
    <mergeCell ref="D114:F114"/>
    <mergeCell ref="R116:T116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N1" sqref="N1:W1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63" t="s">
        <v>182</v>
      </c>
      <c r="B1" s="364"/>
      <c r="C1" s="364"/>
      <c r="D1" s="364"/>
      <c r="E1" s="364"/>
      <c r="F1" s="364"/>
      <c r="G1" s="365" t="s">
        <v>407</v>
      </c>
      <c r="H1" s="366"/>
      <c r="I1" s="366"/>
      <c r="J1" s="366"/>
      <c r="K1" s="366"/>
      <c r="L1" s="366"/>
      <c r="M1" s="366"/>
      <c r="N1" s="398" t="s">
        <v>183</v>
      </c>
      <c r="O1" s="398"/>
      <c r="P1" s="398"/>
      <c r="Q1" s="398"/>
      <c r="R1" s="398"/>
      <c r="S1" s="398"/>
      <c r="T1" s="398"/>
      <c r="U1" s="398"/>
      <c r="V1" s="398"/>
      <c r="W1" s="398"/>
    </row>
    <row r="2" spans="1:23" ht="30" customHeight="1" x14ac:dyDescent="0.15">
      <c r="A2" s="364"/>
      <c r="B2" s="364"/>
      <c r="C2" s="364"/>
      <c r="D2" s="364"/>
      <c r="E2" s="364"/>
      <c r="F2" s="364"/>
      <c r="G2" s="366"/>
      <c r="H2" s="366"/>
      <c r="I2" s="366"/>
      <c r="J2" s="366"/>
      <c r="K2" s="366"/>
      <c r="L2" s="366"/>
      <c r="M2" s="366"/>
      <c r="N2" s="369" t="s">
        <v>184</v>
      </c>
      <c r="O2" s="369"/>
      <c r="P2" s="369"/>
      <c r="Q2" s="370">
        <f>Admin!B4</f>
        <v>45388</v>
      </c>
      <c r="R2" s="371"/>
      <c r="S2" s="371"/>
      <c r="T2" s="371"/>
      <c r="U2" s="222" t="s">
        <v>185</v>
      </c>
      <c r="V2" s="370">
        <f>Admin!B17</f>
        <v>45752</v>
      </c>
      <c r="W2" s="370"/>
    </row>
    <row r="3" spans="1:23" ht="8.25" customHeight="1" x14ac:dyDescent="0.15">
      <c r="A3" s="353"/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</row>
    <row r="4" spans="1:23" ht="10" customHeight="1" x14ac:dyDescent="0.1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6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96" t="str">
        <f>IF('Business Details'!C5&gt;0,'Business Details'!C5," ")</f>
        <v xml:space="preserve"> </v>
      </c>
      <c r="D8" s="388"/>
      <c r="E8" s="388"/>
      <c r="F8" s="388"/>
      <c r="G8" s="388"/>
      <c r="H8" s="388"/>
      <c r="I8" s="388"/>
      <c r="J8" s="397"/>
      <c r="K8" s="220"/>
      <c r="L8" s="220"/>
      <c r="M8" s="220"/>
      <c r="N8" s="220"/>
      <c r="O8" s="396" t="str">
        <f>IF('Business Details'!O5&gt;0,'Business Details'!O5," ")</f>
        <v xml:space="preserve"> </v>
      </c>
      <c r="P8" s="397"/>
      <c r="Q8" s="220"/>
      <c r="R8" s="396" t="str">
        <f>IF('Business Details'!R5&gt;0,'Business Details'!R5," ")</f>
        <v xml:space="preserve"> </v>
      </c>
      <c r="S8" s="388"/>
      <c r="T8" s="388"/>
      <c r="U8" s="397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96" t="str">
        <f>IF('Business Details'!C7&gt;0,'Business Details'!C7," ")</f>
        <v xml:space="preserve"> </v>
      </c>
      <c r="D10" s="388"/>
      <c r="E10" s="388"/>
      <c r="F10" s="388"/>
      <c r="G10" s="388"/>
      <c r="H10" s="388"/>
      <c r="I10" s="388"/>
      <c r="J10" s="397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99" t="s">
        <v>18</v>
      </c>
      <c r="B12" s="399"/>
      <c r="C12" s="399"/>
      <c r="D12" s="399"/>
      <c r="E12" s="399"/>
      <c r="F12" s="399"/>
      <c r="G12" s="399"/>
      <c r="H12" s="399"/>
      <c r="I12" s="399"/>
      <c r="J12" s="399"/>
      <c r="K12" s="399"/>
      <c r="L12" s="399"/>
      <c r="M12" s="399"/>
      <c r="N12" s="399"/>
      <c r="O12" s="399"/>
      <c r="P12" s="399"/>
      <c r="Q12" s="399"/>
      <c r="R12" s="399"/>
      <c r="S12" s="399"/>
      <c r="T12" s="399"/>
      <c r="U12" s="399"/>
      <c r="V12" s="399"/>
      <c r="W12" s="360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150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96" t="str">
        <f>IF('Business Details'!C12&gt;0,'Business Details'!C12," ")</f>
        <v xml:space="preserve"> </v>
      </c>
      <c r="D15" s="388"/>
      <c r="E15" s="388"/>
      <c r="F15" s="388"/>
      <c r="G15" s="388"/>
      <c r="H15" s="388"/>
      <c r="I15" s="388"/>
      <c r="J15" s="397"/>
      <c r="K15" s="220"/>
      <c r="L15" s="220"/>
      <c r="M15" s="220"/>
      <c r="N15" s="241" t="s">
        <v>151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152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96" t="str">
        <f>IF('Business Details'!C14&gt;0,'Business Details'!C14," ")</f>
        <v xml:space="preserve"> </v>
      </c>
      <c r="D17" s="388"/>
      <c r="E17" s="388"/>
      <c r="F17" s="388"/>
      <c r="G17" s="388"/>
      <c r="H17" s="388"/>
      <c r="I17" s="388"/>
      <c r="J17" s="397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46">
        <f>Admin!B4</f>
        <v>45388</v>
      </c>
      <c r="T19" s="347"/>
      <c r="U19" s="347"/>
      <c r="V19" s="347"/>
      <c r="W19" s="239"/>
    </row>
    <row r="20" spans="1:23" ht="15" customHeight="1" x14ac:dyDescent="0.15">
      <c r="A20" s="240"/>
      <c r="B20" s="220"/>
      <c r="C20" s="396" t="str">
        <f>IF('Business Details'!C17&gt;0,'Business Details'!C17," ")</f>
        <v xml:space="preserve"> </v>
      </c>
      <c r="D20" s="388"/>
      <c r="E20" s="388"/>
      <c r="F20" s="388"/>
      <c r="G20" s="388"/>
      <c r="H20" s="388"/>
      <c r="I20" s="388"/>
      <c r="J20" s="397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96" t="str">
        <f>IF('Business Details'!C19&gt;0,'Business Details'!C19," ")</f>
        <v xml:space="preserve"> </v>
      </c>
      <c r="D22" s="388"/>
      <c r="E22" s="388"/>
      <c r="F22" s="388"/>
      <c r="G22" s="388"/>
      <c r="H22" s="388"/>
      <c r="I22" s="388"/>
      <c r="J22" s="397"/>
      <c r="K22" s="220"/>
      <c r="L22" s="220"/>
      <c r="M22" s="220"/>
      <c r="N22" s="348" t="str">
        <f>IF('Business Details'!N10&gt;0,'Business Details'!N19," ")</f>
        <v xml:space="preserve"> </v>
      </c>
      <c r="O22" s="349"/>
      <c r="P22" s="349"/>
      <c r="Q22" s="352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96" t="str">
        <f>IF('Business Details'!C21&gt;0,'Business Details'!C21," ")</f>
        <v xml:space="preserve"> </v>
      </c>
      <c r="D24" s="388"/>
      <c r="E24" s="388"/>
      <c r="F24" s="388"/>
      <c r="G24" s="388"/>
      <c r="H24" s="388"/>
      <c r="I24" s="388"/>
      <c r="J24" s="397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46">
        <f>Admin!B17</f>
        <v>45752</v>
      </c>
      <c r="T24" s="347"/>
      <c r="U24" s="347"/>
      <c r="V24" s="347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62" t="s">
        <v>157</v>
      </c>
      <c r="O25" s="362"/>
      <c r="P25" s="362"/>
      <c r="Q25" s="362"/>
      <c r="R25" s="362"/>
      <c r="S25" s="362"/>
      <c r="T25" s="362"/>
      <c r="U25" s="362"/>
      <c r="V25" s="362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62"/>
      <c r="O26" s="362"/>
      <c r="P26" s="362"/>
      <c r="Q26" s="362"/>
      <c r="R26" s="362"/>
      <c r="S26" s="362"/>
      <c r="T26" s="362"/>
      <c r="U26" s="362"/>
      <c r="V26" s="362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8" t="str">
        <f>IF('Business Details'!N24&gt;0,'Business Details'!N24," ")</f>
        <v xml:space="preserve"> </v>
      </c>
      <c r="O27" s="349"/>
      <c r="P27" s="349"/>
      <c r="Q27" s="352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96" t="str">
        <f>IF('Business Details'!C25&gt;0,'Business Details'!C25," ")</f>
        <v xml:space="preserve"> </v>
      </c>
      <c r="D28" s="388"/>
      <c r="E28" s="388"/>
      <c r="F28" s="388"/>
      <c r="G28" s="388"/>
      <c r="H28" s="388"/>
      <c r="I28" s="388"/>
      <c r="J28" s="397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96" t="str">
        <f>IF('Business Details'!C27&gt;0,'Business Details'!C27," ")</f>
        <v xml:space="preserve"> </v>
      </c>
      <c r="D30" s="388"/>
      <c r="E30" s="388"/>
      <c r="F30" s="388"/>
      <c r="G30" s="388"/>
      <c r="H30" s="388"/>
      <c r="I30" s="388"/>
      <c r="J30" s="397"/>
      <c r="K30" s="220"/>
      <c r="L30" s="220"/>
      <c r="M30" s="220"/>
      <c r="N30" s="348" t="str">
        <f>IF('Business Details'!N27&gt;0,'Business Details'!N27," ")</f>
        <v xml:space="preserve"> </v>
      </c>
      <c r="O30" s="349"/>
      <c r="P30" s="349"/>
      <c r="Q30" s="352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162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94" t="str">
        <f>IF('Business Details'!C30&gt;0,'Business Details'!C30," ")</f>
        <v xml:space="preserve"> </v>
      </c>
      <c r="D33" s="395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164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165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8">
        <f>Admin!B17</f>
        <v>45752</v>
      </c>
      <c r="O35" s="349"/>
      <c r="P35" s="349"/>
      <c r="Q35" s="352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41" t="s">
        <v>166</v>
      </c>
      <c r="B37" s="341"/>
      <c r="C37" s="341"/>
      <c r="D37" s="341"/>
      <c r="E37" s="341"/>
      <c r="F37" s="341"/>
      <c r="G37" s="341"/>
      <c r="H37" s="341"/>
      <c r="I37" s="341"/>
      <c r="J37" s="341"/>
      <c r="K37" s="341"/>
      <c r="L37" s="341"/>
      <c r="M37" s="341"/>
      <c r="N37" s="341"/>
      <c r="O37" s="341"/>
      <c r="P37" s="341"/>
      <c r="Q37" s="341"/>
      <c r="R37" s="341"/>
      <c r="S37" s="341"/>
      <c r="T37" s="341"/>
      <c r="U37" s="341"/>
      <c r="V37" s="341"/>
      <c r="W37" s="341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167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168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169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170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171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172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173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174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170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42" t="s">
        <v>186</v>
      </c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188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190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33">
        <f>'Profit &amp; Loss Account'!B9</f>
        <v>0</v>
      </c>
      <c r="E55" s="334"/>
      <c r="F55" s="335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33">
        <f>'Profit &amp; Loss Account'!B38</f>
        <v>0</v>
      </c>
      <c r="P55" s="334"/>
      <c r="Q55" s="335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42" t="s">
        <v>191</v>
      </c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</row>
    <row r="58" spans="1:23" s="254" customFormat="1" ht="16" customHeight="1" x14ac:dyDescent="0.15">
      <c r="A58" s="336" t="s">
        <v>192</v>
      </c>
      <c r="B58" s="336"/>
      <c r="C58" s="336"/>
      <c r="D58" s="336"/>
      <c r="E58" s="336"/>
      <c r="F58" s="336"/>
      <c r="G58" s="336"/>
      <c r="H58" s="336"/>
      <c r="I58" s="336"/>
      <c r="J58" s="336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193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194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195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197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33">
        <f>'Profit &amp; Loss Account'!B14+'Profit &amp; Loss Account'!B16</f>
        <v>0</v>
      </c>
      <c r="E66" s="334"/>
      <c r="F66" s="335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33"/>
      <c r="P66" s="334"/>
      <c r="Q66" s="335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33">
        <f>'Profit &amp; Loss Account'!B15</f>
        <v>0</v>
      </c>
      <c r="E70" s="334"/>
      <c r="F70" s="335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33"/>
      <c r="P70" s="334"/>
      <c r="Q70" s="335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33">
        <f>'Profit &amp; Loss Account'!B21</f>
        <v>0</v>
      </c>
      <c r="E74" s="334"/>
      <c r="F74" s="335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33"/>
      <c r="P74" s="334"/>
      <c r="Q74" s="335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200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33">
        <f>'Profit &amp; Loss Account'!B25+'Profit &amp; Loss Account'!B26</f>
        <v>0</v>
      </c>
      <c r="E78" s="334"/>
      <c r="F78" s="335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33"/>
      <c r="P78" s="334"/>
      <c r="Q78" s="335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33">
        <f>'Profit &amp; Loss Account'!B22</f>
        <v>0</v>
      </c>
      <c r="E82" s="334"/>
      <c r="F82" s="335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33"/>
      <c r="P82" s="334"/>
      <c r="Q82" s="335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202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33">
        <f>'Profit &amp; Loss Account'!B23</f>
        <v>0</v>
      </c>
      <c r="E86" s="334"/>
      <c r="F86" s="335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33"/>
      <c r="P86" s="334"/>
      <c r="Q86" s="335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203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33">
        <f>'Profit &amp; Loss Account'!B24</f>
        <v>0</v>
      </c>
      <c r="E90" s="334"/>
      <c r="F90" s="335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33"/>
      <c r="P90" s="334"/>
      <c r="Q90" s="335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33">
        <f>'Profit &amp; Loss Account'!B27</f>
        <v>0</v>
      </c>
      <c r="E94" s="334"/>
      <c r="F94" s="335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33"/>
      <c r="P94" s="334"/>
      <c r="Q94" s="335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33">
        <f>'Profit &amp; Loss Account'!B30</f>
        <v>0</v>
      </c>
      <c r="E98" s="334"/>
      <c r="F98" s="335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33"/>
      <c r="P98" s="334"/>
      <c r="Q98" s="335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33">
        <f>'Profit &amp; Loss Account'!B31</f>
        <v>0</v>
      </c>
      <c r="E102" s="334"/>
      <c r="F102" s="335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33"/>
      <c r="P102" s="334"/>
      <c r="Q102" s="335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33">
        <f>'Profit &amp; Loss Account'!B29</f>
        <v>0</v>
      </c>
      <c r="E106" s="334"/>
      <c r="F106" s="335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33"/>
      <c r="P106" s="334"/>
      <c r="Q106" s="335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33">
        <f>'Profit &amp; Loss Account'!B28</f>
        <v>0</v>
      </c>
      <c r="E110" s="334"/>
      <c r="F110" s="335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33"/>
      <c r="P110" s="334"/>
      <c r="Q110" s="335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209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33">
        <f>'Profit &amp; Loss Account'!B33+'Profit &amp; Loss Account'!B34</f>
        <v>0</v>
      </c>
      <c r="E114" s="334"/>
      <c r="F114" s="335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33">
        <f>'Profit &amp; Loss Account'!B34</f>
        <v>0</v>
      </c>
      <c r="P114" s="334"/>
      <c r="Q114" s="335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33">
        <f>'Profit &amp; Loss Account'!B32</f>
        <v>0</v>
      </c>
      <c r="E118" s="334"/>
      <c r="F118" s="335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33"/>
      <c r="P118" s="334"/>
      <c r="Q118" s="335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211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212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33">
        <f>'Profit &amp; Loss Account'!B17+'Profit &amp; Loss Account'!B35</f>
        <v>0</v>
      </c>
      <c r="E122" s="334"/>
      <c r="F122" s="335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33">
        <f>'Profit &amp; Loss Account'!B34</f>
        <v>0</v>
      </c>
      <c r="P122" s="334"/>
      <c r="Q122" s="335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43" t="s">
        <v>213</v>
      </c>
      <c r="B124" s="343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3"/>
      <c r="W124" s="343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214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215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216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217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33">
        <f>IF((D55+O55-D122)&gt;=0,D55+O55-D122,0)</f>
        <v>0</v>
      </c>
      <c r="E129" s="334"/>
      <c r="F129" s="335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33">
        <f>IF((D55+O55-D122)&lt;0,D122-D55-O55,0)</f>
        <v>0</v>
      </c>
      <c r="P129" s="334"/>
      <c r="Q129" s="335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42" t="s">
        <v>218</v>
      </c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</row>
    <row r="132" spans="1:23" ht="16" customHeight="1" x14ac:dyDescent="0.15">
      <c r="A132" s="336" t="s">
        <v>219</v>
      </c>
      <c r="B132" s="336"/>
      <c r="C132" s="336"/>
      <c r="D132" s="336"/>
      <c r="E132" s="336"/>
      <c r="F132" s="336"/>
      <c r="G132" s="336"/>
      <c r="H132" s="336"/>
      <c r="I132" s="336"/>
      <c r="J132" s="336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</row>
    <row r="133" spans="1:23" ht="16" customHeight="1" x14ac:dyDescent="0.15">
      <c r="A133" s="336" t="s">
        <v>352</v>
      </c>
      <c r="B133" s="336"/>
      <c r="C133" s="336"/>
      <c r="D133" s="336"/>
      <c r="E133" s="336"/>
      <c r="F133" s="336"/>
      <c r="G133" s="336"/>
      <c r="H133" s="336"/>
      <c r="I133" s="336"/>
      <c r="J133" s="336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</row>
    <row r="134" spans="1:23" ht="16" customHeight="1" x14ac:dyDescent="0.15">
      <c r="A134" s="336" t="s">
        <v>220</v>
      </c>
      <c r="B134" s="336"/>
      <c r="C134" s="336"/>
      <c r="D134" s="336"/>
      <c r="E134" s="336"/>
      <c r="F134" s="336"/>
      <c r="G134" s="336"/>
      <c r="H134" s="336"/>
      <c r="I134" s="336"/>
      <c r="J134" s="336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349</v>
      </c>
      <c r="D136" s="227"/>
      <c r="E136" s="227"/>
      <c r="F136" s="227"/>
      <c r="G136" s="227"/>
      <c r="H136" s="391">
        <f>Admin!G4</f>
        <v>1</v>
      </c>
      <c r="I136" s="393"/>
      <c r="J136" s="227"/>
      <c r="K136" s="227"/>
      <c r="L136" s="236">
        <v>54</v>
      </c>
      <c r="M136" s="220"/>
      <c r="N136" s="227" t="s">
        <v>223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353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33">
        <f>IF([1]Schedule!$Q$1&gt;0,[1]Schedule!$Q$1,0)</f>
        <v>0</v>
      </c>
      <c r="E139" s="334"/>
      <c r="F139" s="335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33">
        <f>IF(([1]Schedule!$R$1+[1]Schedule!$S$1)&lt;1000,[1]Schedule!$S$1,0)</f>
        <v>0</v>
      </c>
      <c r="P139" s="334"/>
      <c r="Q139" s="335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221</v>
      </c>
      <c r="D141" s="227"/>
      <c r="E141" s="227"/>
      <c r="F141" s="227"/>
      <c r="G141" s="391">
        <f>Admin!G5</f>
        <v>0.18</v>
      </c>
      <c r="H141" s="392"/>
      <c r="I141" s="227" t="s">
        <v>222</v>
      </c>
      <c r="J141" s="227"/>
      <c r="K141" s="227"/>
      <c r="L141" s="236">
        <v>55</v>
      </c>
      <c r="M141" s="220"/>
      <c r="N141" s="227" t="s">
        <v>225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224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226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33">
        <f>[1]Schedule!$R$1-D152</f>
        <v>0</v>
      </c>
      <c r="E144" s="334"/>
      <c r="F144" s="335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33">
        <f>[1]Schedule!$Y$1</f>
        <v>0</v>
      </c>
      <c r="P144" s="334"/>
      <c r="Q144" s="335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354</v>
      </c>
      <c r="D146" s="227"/>
      <c r="E146" s="227"/>
      <c r="F146" s="227"/>
      <c r="G146" s="227"/>
      <c r="H146" s="391">
        <v>0.1</v>
      </c>
      <c r="I146" s="393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33"/>
      <c r="E147" s="334"/>
      <c r="F147" s="335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355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227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33">
        <f>D139+D144+D147+D152+D156+D160+O139+O144</f>
        <v>0</v>
      </c>
      <c r="P149" s="334"/>
      <c r="Q149" s="335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228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230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33">
        <f>SUM([1]Schedule!$R$38:$R$42)+SUM([1]Schedule!$R$91:$R$95)</f>
        <v>0</v>
      </c>
      <c r="E152" s="320"/>
      <c r="F152" s="321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231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229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33"/>
      <c r="P154" s="334"/>
      <c r="Q154" s="335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33"/>
      <c r="E156" s="320"/>
      <c r="F156" s="321"/>
      <c r="G156" s="218" t="s">
        <v>178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356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232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357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358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359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33"/>
      <c r="E160" s="334"/>
      <c r="F160" s="335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33">
        <f>[1]Schedule!$Z$1</f>
        <v>0</v>
      </c>
      <c r="P160" s="334"/>
      <c r="Q160" s="335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42" t="s">
        <v>233</v>
      </c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</row>
    <row r="163" spans="1:23" ht="16" customHeight="1" x14ac:dyDescent="0.15">
      <c r="A163" s="336" t="s">
        <v>234</v>
      </c>
      <c r="B163" s="336"/>
      <c r="C163" s="336"/>
      <c r="D163" s="336"/>
      <c r="E163" s="336"/>
      <c r="F163" s="336"/>
      <c r="G163" s="336"/>
      <c r="H163" s="336"/>
      <c r="I163" s="336"/>
      <c r="J163" s="336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</row>
    <row r="164" spans="1:23" ht="16" customHeight="1" x14ac:dyDescent="0.15">
      <c r="A164" s="336" t="s">
        <v>360</v>
      </c>
      <c r="B164" s="336"/>
      <c r="C164" s="336"/>
      <c r="D164" s="336"/>
      <c r="E164" s="336"/>
      <c r="F164" s="336"/>
      <c r="G164" s="336"/>
      <c r="H164" s="336"/>
      <c r="I164" s="336"/>
      <c r="J164" s="336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361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236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362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33">
        <f>'Business Details'!O50</f>
        <v>0</v>
      </c>
      <c r="E169" s="334"/>
      <c r="F169" s="335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33">
        <f>O149+D179</f>
        <v>0</v>
      </c>
      <c r="P169" s="334"/>
      <c r="Q169" s="335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363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364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365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33">
        <f>O122+O154+O160+D169</f>
        <v>0</v>
      </c>
      <c r="E174" s="334"/>
      <c r="F174" s="335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33">
        <f>IF((D129+D174-O169)&gt;0,(D129+D174-O169),IF((-O129+D174-O169)&gt;0,(-O129+D174-O169),0))</f>
        <v>0</v>
      </c>
      <c r="P174" s="334"/>
      <c r="Q174" s="335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366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367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33"/>
      <c r="E179" s="334"/>
      <c r="F179" s="335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33">
        <f>IF(O174&gt;0,0,IF((D129+D174-O169)&lt;0,-(D129+D174-O169),IF((-O129+D174-O169)&lt;0,-(-O129+D174-O169),0)))</f>
        <v>0</v>
      </c>
      <c r="P179" s="334"/>
      <c r="Q179" s="335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42" t="s">
        <v>240</v>
      </c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P181" s="342"/>
      <c r="Q181" s="342"/>
      <c r="R181" s="342"/>
      <c r="S181" s="342"/>
      <c r="T181" s="342"/>
      <c r="U181" s="342"/>
      <c r="V181" s="342"/>
      <c r="W181" s="342"/>
    </row>
    <row r="182" spans="1:23" ht="16" customHeight="1" x14ac:dyDescent="0.15">
      <c r="A182" s="336" t="s">
        <v>241</v>
      </c>
      <c r="B182" s="336"/>
      <c r="C182" s="336"/>
      <c r="D182" s="336"/>
      <c r="E182" s="336"/>
      <c r="F182" s="336"/>
      <c r="G182" s="336"/>
      <c r="H182" s="336"/>
      <c r="I182" s="336"/>
      <c r="J182" s="336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</row>
    <row r="183" spans="1:23" ht="16" customHeight="1" x14ac:dyDescent="0.15">
      <c r="A183" s="336" t="s">
        <v>242</v>
      </c>
      <c r="B183" s="336"/>
      <c r="C183" s="336"/>
      <c r="D183" s="336"/>
      <c r="E183" s="336"/>
      <c r="F183" s="336"/>
      <c r="G183" s="336"/>
      <c r="H183" s="336"/>
      <c r="I183" s="336"/>
      <c r="J183" s="336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</row>
    <row r="184" spans="1:23" ht="15.75" customHeight="1" x14ac:dyDescent="0.15">
      <c r="A184" s="390" t="s">
        <v>243</v>
      </c>
      <c r="B184" s="390"/>
      <c r="C184" s="390"/>
      <c r="D184" s="390"/>
      <c r="E184" s="390"/>
      <c r="F184" s="390"/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  <c r="W184" s="390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244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84"/>
      <c r="D187" s="385"/>
      <c r="E187" s="385"/>
      <c r="F187" s="386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87"/>
      <c r="E188" s="387"/>
      <c r="F188" s="387"/>
      <c r="G188" s="218"/>
      <c r="H188" s="253"/>
      <c r="I188" s="253"/>
      <c r="J188" s="220"/>
      <c r="K188" s="220"/>
      <c r="L188" s="227"/>
      <c r="M188" s="220"/>
      <c r="N188" s="248" t="s">
        <v>247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248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84"/>
      <c r="D190" s="385"/>
      <c r="E190" s="385"/>
      <c r="F190" s="386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88"/>
      <c r="Q190" s="389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251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252</v>
      </c>
      <c r="O192" s="220"/>
      <c r="P192" s="220"/>
      <c r="Q192" s="290" t="str">
        <f>Admin!G2</f>
        <v>2024-25</v>
      </c>
      <c r="R192" s="227" t="s">
        <v>368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253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369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254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33">
        <f>O174</f>
        <v>0</v>
      </c>
      <c r="P194" s="334"/>
      <c r="Q194" s="335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255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256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257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88"/>
      <c r="F197" s="389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370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371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372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33">
        <f>IF(D179&gt;0,0,IF((O194+O204)&gt;'Business Details'!D50,'Business Details'!D50,(O194+O204)))</f>
        <v>0</v>
      </c>
      <c r="P199" s="334"/>
      <c r="Q199" s="335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33"/>
      <c r="E201" s="334"/>
      <c r="F201" s="335"/>
      <c r="G201" s="218" t="s">
        <v>178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258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373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374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33">
        <f>'Profit &amp; Loss Account'!B11</f>
        <v>0</v>
      </c>
      <c r="P204" s="334"/>
      <c r="Q204" s="335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33"/>
      <c r="E206" s="334"/>
      <c r="F206" s="335"/>
      <c r="G206" s="218" t="s">
        <v>178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375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376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259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377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378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33"/>
      <c r="E210" s="334"/>
      <c r="F210" s="335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33">
        <f>O194-O199+O204</f>
        <v>0</v>
      </c>
      <c r="P210" s="334"/>
      <c r="Q210" s="335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41" t="s">
        <v>260</v>
      </c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</row>
    <row r="213" spans="1:23" ht="16" customHeight="1" x14ac:dyDescent="0.15">
      <c r="A213" s="336" t="s">
        <v>261</v>
      </c>
      <c r="B213" s="336"/>
      <c r="C213" s="336"/>
      <c r="D213" s="336"/>
      <c r="E213" s="336"/>
      <c r="F213" s="336"/>
      <c r="G213" s="336"/>
      <c r="H213" s="336"/>
      <c r="I213" s="336"/>
      <c r="J213" s="336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</row>
    <row r="214" spans="1:23" ht="16" customHeight="1" x14ac:dyDescent="0.15">
      <c r="A214" s="336" t="s">
        <v>262</v>
      </c>
      <c r="B214" s="336"/>
      <c r="C214" s="336"/>
      <c r="D214" s="336"/>
      <c r="E214" s="336"/>
      <c r="F214" s="336"/>
      <c r="G214" s="336"/>
      <c r="H214" s="336"/>
      <c r="I214" s="336"/>
      <c r="J214" s="336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263</v>
      </c>
      <c r="D216" s="227"/>
      <c r="E216" s="227"/>
      <c r="F216" s="289" t="str">
        <f>Admin!G2</f>
        <v>2024-25</v>
      </c>
      <c r="G216" s="227" t="s">
        <v>379</v>
      </c>
      <c r="H216" s="227"/>
      <c r="I216" s="227"/>
      <c r="J216" s="220"/>
      <c r="K216" s="227"/>
      <c r="L216" s="236">
        <v>78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380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33">
        <f>O179+E197-D201+D210+P190</f>
        <v>0</v>
      </c>
      <c r="E219" s="334"/>
      <c r="F219" s="335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33"/>
      <c r="P219" s="334"/>
      <c r="Q219" s="335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37" t="str">
        <f>Admin!G2</f>
        <v>2024-25</v>
      </c>
      <c r="E222" s="338"/>
      <c r="F222" s="347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33"/>
      <c r="E224" s="334"/>
      <c r="F224" s="335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33">
        <f>D219</f>
        <v>0</v>
      </c>
      <c r="P224" s="334"/>
      <c r="Q224" s="335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3" t="s">
        <v>270</v>
      </c>
      <c r="B226" s="383"/>
      <c r="C226" s="383"/>
      <c r="D226" s="383"/>
      <c r="E226" s="383"/>
      <c r="F226" s="383"/>
      <c r="G226" s="383"/>
      <c r="H226" s="383"/>
      <c r="I226" s="383"/>
      <c r="J226" s="383"/>
      <c r="K226" s="383"/>
      <c r="L226" s="383"/>
      <c r="M226" s="383"/>
      <c r="N226" s="383"/>
      <c r="O226" s="383"/>
      <c r="P226" s="383"/>
      <c r="Q226" s="383"/>
      <c r="R226" s="383"/>
      <c r="S226" s="383"/>
      <c r="T226" s="383"/>
      <c r="U226" s="383"/>
      <c r="V226" s="383"/>
      <c r="W226" s="383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271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273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33">
        <f>[2]Mar!$X$1</f>
        <v>0</v>
      </c>
      <c r="E231" s="334"/>
      <c r="F231" s="335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33"/>
      <c r="P231" s="334"/>
      <c r="Q231" s="335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42" t="s">
        <v>381</v>
      </c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42"/>
      <c r="V233" s="342"/>
      <c r="W233" s="342"/>
    </row>
    <row r="234" spans="1:23" ht="16" customHeight="1" x14ac:dyDescent="0.15">
      <c r="A234" s="336" t="s">
        <v>274</v>
      </c>
      <c r="B234" s="336"/>
      <c r="C234" s="336"/>
      <c r="D234" s="336"/>
      <c r="E234" s="336"/>
      <c r="F234" s="336"/>
      <c r="G234" s="336"/>
      <c r="H234" s="336"/>
      <c r="I234" s="336"/>
      <c r="J234" s="336"/>
      <c r="K234" s="336"/>
      <c r="L234" s="336"/>
      <c r="M234" s="336"/>
      <c r="N234" s="336"/>
      <c r="O234" s="336"/>
      <c r="P234" s="336"/>
      <c r="Q234" s="336"/>
      <c r="R234" s="336"/>
      <c r="S234" s="336"/>
      <c r="T234" s="336"/>
      <c r="U234" s="336"/>
      <c r="V234" s="336"/>
      <c r="W234" s="336"/>
    </row>
    <row r="235" spans="1:23" ht="16" customHeight="1" x14ac:dyDescent="0.15">
      <c r="A235" s="336" t="s">
        <v>382</v>
      </c>
      <c r="B235" s="336"/>
      <c r="C235" s="336"/>
      <c r="D235" s="336"/>
      <c r="E235" s="336"/>
      <c r="F235" s="336"/>
      <c r="G235" s="336"/>
      <c r="H235" s="336"/>
      <c r="I235" s="336"/>
      <c r="J235" s="336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  <c r="W235" s="33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33"/>
      <c r="E241" s="334"/>
      <c r="F241" s="335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33"/>
      <c r="P241" s="334"/>
      <c r="Q241" s="335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33"/>
      <c r="E245" s="334"/>
      <c r="F245" s="335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33"/>
      <c r="P245" s="334"/>
      <c r="Q245" s="335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33"/>
      <c r="E249" s="334"/>
      <c r="F249" s="335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33"/>
      <c r="P249" s="334"/>
      <c r="Q249" s="335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33"/>
      <c r="E253" s="334"/>
      <c r="F253" s="335"/>
      <c r="G253" s="218" t="s">
        <v>178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285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286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33"/>
      <c r="Q255" s="334"/>
      <c r="R255" s="335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33"/>
      <c r="E257" s="334"/>
      <c r="F257" s="335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33"/>
      <c r="E261" s="334"/>
      <c r="F261" s="335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33"/>
      <c r="Q261" s="334"/>
      <c r="R261" s="335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291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33"/>
      <c r="E265" s="334"/>
      <c r="F265" s="335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33"/>
      <c r="Q265" s="334"/>
      <c r="R265" s="335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292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33"/>
      <c r="E269" s="334"/>
      <c r="F269" s="335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33"/>
      <c r="P269" s="334"/>
      <c r="Q269" s="335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33"/>
      <c r="P273" s="334"/>
      <c r="Q273" s="335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33"/>
      <c r="Q277" s="334"/>
      <c r="R277" s="335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41" t="s">
        <v>295</v>
      </c>
      <c r="B279" s="341"/>
      <c r="C279" s="341"/>
      <c r="D279" s="341"/>
      <c r="E279" s="341"/>
      <c r="F279" s="341"/>
      <c r="G279" s="341"/>
      <c r="H279" s="341"/>
      <c r="I279" s="341"/>
      <c r="J279" s="341"/>
      <c r="K279" s="341"/>
      <c r="L279" s="341"/>
      <c r="M279" s="341"/>
      <c r="N279" s="341"/>
      <c r="O279" s="341"/>
      <c r="P279" s="341"/>
      <c r="Q279" s="341"/>
      <c r="R279" s="341"/>
      <c r="S279" s="341"/>
      <c r="T279" s="341"/>
      <c r="U279" s="341"/>
      <c r="V279" s="341"/>
      <c r="W279" s="341"/>
    </row>
    <row r="280" spans="1:23" ht="16" customHeight="1" x14ac:dyDescent="0.15">
      <c r="A280" s="336" t="s">
        <v>296</v>
      </c>
      <c r="B280" s="382"/>
      <c r="C280" s="382"/>
      <c r="D280" s="382"/>
      <c r="E280" s="382"/>
      <c r="F280" s="382"/>
      <c r="G280" s="382"/>
      <c r="H280" s="382"/>
      <c r="I280" s="382"/>
      <c r="J280" s="285">
        <f>Admin!N4</f>
        <v>12570</v>
      </c>
      <c r="K280" s="336" t="s">
        <v>297</v>
      </c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</row>
    <row r="281" spans="1:23" ht="16" customHeight="1" x14ac:dyDescent="0.15">
      <c r="A281" s="381" t="s">
        <v>383</v>
      </c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298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384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33"/>
      <c r="P286" s="334"/>
      <c r="Q286" s="335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301</v>
      </c>
      <c r="D288" s="220"/>
      <c r="E288" s="220"/>
      <c r="F288" s="220"/>
      <c r="G288" s="339" t="str">
        <f>Admin!G2</f>
        <v>2024-25</v>
      </c>
      <c r="H288" s="340"/>
      <c r="I288" s="340"/>
      <c r="J288" s="220" t="s">
        <v>302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385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303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42" t="s">
        <v>304</v>
      </c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305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72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4"/>
      <c r="W298" s="243"/>
    </row>
    <row r="299" spans="1:23" x14ac:dyDescent="0.15">
      <c r="A299" s="240"/>
      <c r="B299" s="220"/>
      <c r="C299" s="375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7"/>
      <c r="W299" s="243"/>
    </row>
    <row r="300" spans="1:23" x14ac:dyDescent="0.15">
      <c r="A300" s="240"/>
      <c r="B300" s="220"/>
      <c r="C300" s="375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7"/>
      <c r="W300" s="243"/>
    </row>
    <row r="301" spans="1:23" x14ac:dyDescent="0.15">
      <c r="A301" s="240"/>
      <c r="B301" s="220"/>
      <c r="C301" s="375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7"/>
      <c r="W301" s="243"/>
    </row>
    <row r="302" spans="1:23" x14ac:dyDescent="0.15">
      <c r="A302" s="240"/>
      <c r="B302" s="220"/>
      <c r="C302" s="375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7"/>
      <c r="W302" s="243"/>
    </row>
    <row r="303" spans="1:23" x14ac:dyDescent="0.15">
      <c r="A303" s="240"/>
      <c r="B303" s="220"/>
      <c r="C303" s="375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7"/>
      <c r="W303" s="243"/>
    </row>
    <row r="304" spans="1:23" x14ac:dyDescent="0.15">
      <c r="A304" s="240"/>
      <c r="B304" s="220"/>
      <c r="C304" s="375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7"/>
      <c r="W304" s="243"/>
    </row>
    <row r="305" spans="1:23" x14ac:dyDescent="0.15">
      <c r="A305" s="240"/>
      <c r="B305" s="220"/>
      <c r="C305" s="375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7"/>
      <c r="W305" s="243"/>
    </row>
    <row r="306" spans="1:23" x14ac:dyDescent="0.15">
      <c r="A306" s="240"/>
      <c r="B306" s="220"/>
      <c r="C306" s="375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7"/>
      <c r="W306" s="243"/>
    </row>
    <row r="307" spans="1:23" x14ac:dyDescent="0.15">
      <c r="A307" s="240"/>
      <c r="B307" s="220"/>
      <c r="C307" s="375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7"/>
      <c r="W307" s="243"/>
    </row>
    <row r="308" spans="1:23" x14ac:dyDescent="0.15">
      <c r="A308" s="240"/>
      <c r="B308" s="220"/>
      <c r="C308" s="375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7"/>
      <c r="W308" s="243"/>
    </row>
    <row r="309" spans="1:23" x14ac:dyDescent="0.15">
      <c r="A309" s="240"/>
      <c r="B309" s="220"/>
      <c r="C309" s="375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7"/>
      <c r="W309" s="243"/>
    </row>
    <row r="310" spans="1:23" x14ac:dyDescent="0.15">
      <c r="A310" s="240"/>
      <c r="B310" s="220"/>
      <c r="C310" s="375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7"/>
      <c r="W310" s="243"/>
    </row>
    <row r="311" spans="1:23" x14ac:dyDescent="0.15">
      <c r="A311" s="240"/>
      <c r="B311" s="220"/>
      <c r="C311" s="375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7"/>
      <c r="W311" s="243"/>
    </row>
    <row r="312" spans="1:23" x14ac:dyDescent="0.15">
      <c r="A312" s="240"/>
      <c r="B312" s="220"/>
      <c r="C312" s="375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7"/>
      <c r="W312" s="243"/>
    </row>
    <row r="313" spans="1:23" x14ac:dyDescent="0.15">
      <c r="A313" s="240"/>
      <c r="B313" s="220"/>
      <c r="C313" s="375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7"/>
      <c r="W313" s="243"/>
    </row>
    <row r="314" spans="1:23" x14ac:dyDescent="0.15">
      <c r="A314" s="240"/>
      <c r="B314" s="220"/>
      <c r="C314" s="375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7"/>
      <c r="W314" s="243"/>
    </row>
    <row r="315" spans="1:23" x14ac:dyDescent="0.15">
      <c r="A315" s="240"/>
      <c r="B315" s="220"/>
      <c r="C315" s="375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7"/>
      <c r="W315" s="243"/>
    </row>
    <row r="316" spans="1:23" x14ac:dyDescent="0.15">
      <c r="A316" s="240"/>
      <c r="B316" s="220"/>
      <c r="C316" s="375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7"/>
      <c r="W316" s="243"/>
    </row>
    <row r="317" spans="1:23" x14ac:dyDescent="0.15">
      <c r="A317" s="240"/>
      <c r="B317" s="220"/>
      <c r="C317" s="375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7"/>
      <c r="W317" s="243"/>
    </row>
    <row r="318" spans="1:23" x14ac:dyDescent="0.15">
      <c r="A318" s="240"/>
      <c r="B318" s="220"/>
      <c r="C318" s="375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7"/>
      <c r="W318" s="243"/>
    </row>
    <row r="319" spans="1:23" x14ac:dyDescent="0.15">
      <c r="A319" s="240"/>
      <c r="B319" s="220"/>
      <c r="C319" s="375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7"/>
      <c r="W319" s="243"/>
    </row>
    <row r="320" spans="1:23" x14ac:dyDescent="0.15">
      <c r="A320" s="240"/>
      <c r="B320" s="220"/>
      <c r="C320" s="375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7"/>
      <c r="W320" s="243"/>
    </row>
    <row r="321" spans="1:23" x14ac:dyDescent="0.15">
      <c r="A321" s="240"/>
      <c r="B321" s="220"/>
      <c r="C321" s="375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7"/>
      <c r="W321" s="243"/>
    </row>
    <row r="322" spans="1:23" x14ac:dyDescent="0.15">
      <c r="A322" s="240"/>
      <c r="B322" s="220"/>
      <c r="C322" s="375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7"/>
      <c r="W322" s="243"/>
    </row>
    <row r="323" spans="1:23" x14ac:dyDescent="0.15">
      <c r="A323" s="240"/>
      <c r="B323" s="220"/>
      <c r="C323" s="378"/>
      <c r="D323" s="379"/>
      <c r="E323" s="379"/>
      <c r="F323" s="379"/>
      <c r="G323" s="379"/>
      <c r="H323" s="379"/>
      <c r="I323" s="379"/>
      <c r="J323" s="379"/>
      <c r="K323" s="379"/>
      <c r="L323" s="379"/>
      <c r="M323" s="379"/>
      <c r="N323" s="379"/>
      <c r="O323" s="379"/>
      <c r="P323" s="379"/>
      <c r="Q323" s="379"/>
      <c r="R323" s="379"/>
      <c r="S323" s="379"/>
      <c r="T323" s="379"/>
      <c r="U323" s="379"/>
      <c r="V323" s="380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A1:F2"/>
    <mergeCell ref="G1:M2"/>
    <mergeCell ref="N1:W1"/>
    <mergeCell ref="N2:P2"/>
    <mergeCell ref="Q2:T2"/>
    <mergeCell ref="V2:W2"/>
    <mergeCell ref="A12:W12"/>
    <mergeCell ref="C15:J15"/>
    <mergeCell ref="C17:J17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7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45412</v>
      </c>
      <c r="D2" s="400">
        <f>Admin!B6</f>
        <v>45443</v>
      </c>
      <c r="E2" s="400">
        <f>Admin!B7</f>
        <v>45473</v>
      </c>
      <c r="F2" s="401">
        <f>Admin!B8</f>
        <v>45504</v>
      </c>
      <c r="G2" s="400">
        <f>Admin!B9</f>
        <v>45535</v>
      </c>
      <c r="H2" s="400">
        <f>Admin!B10</f>
        <v>45565</v>
      </c>
      <c r="I2" s="401">
        <f>Admin!B11</f>
        <v>45596</v>
      </c>
      <c r="J2" s="400">
        <f>Admin!B12</f>
        <v>45626</v>
      </c>
      <c r="K2" s="400">
        <f>Admin!B13</f>
        <v>45657</v>
      </c>
      <c r="L2" s="401">
        <f>Admin!B14</f>
        <v>45688</v>
      </c>
      <c r="M2" s="400">
        <f>Admin!B15</f>
        <v>45716</v>
      </c>
      <c r="N2" s="400">
        <f>Admin!B16</f>
        <v>45747</v>
      </c>
      <c r="O2" s="24"/>
    </row>
    <row r="3" spans="1:15" ht="12" customHeight="1" x14ac:dyDescent="0.15">
      <c r="A3" s="404"/>
      <c r="B3" s="158">
        <f>Admin!B$17</f>
        <v>45752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</f>
        <v>0</v>
      </c>
      <c r="D27" s="75">
        <f>[3]May!$Y$1</f>
        <v>0</v>
      </c>
      <c r="E27" s="78">
        <f>[3]Jun!$Y$1</f>
        <v>0</v>
      </c>
      <c r="F27" s="75">
        <f>[3]Jul!$Y$1</f>
        <v>0</v>
      </c>
      <c r="G27" s="75">
        <f>[3]Aug!$Y$1</f>
        <v>0</v>
      </c>
      <c r="H27" s="78">
        <f>[3]Sep!$Y$1</f>
        <v>0</v>
      </c>
      <c r="I27" s="75">
        <f>[3]Oct!$Y$1</f>
        <v>0</v>
      </c>
      <c r="J27" s="75">
        <f>[3]Nov!$Y$1</f>
        <v>0</v>
      </c>
      <c r="K27" s="78">
        <f>[3]Dec!$Y$1</f>
        <v>0</v>
      </c>
      <c r="L27" s="75">
        <f>[3]Jan!$Y$1</f>
        <v>0</v>
      </c>
      <c r="M27" s="75">
        <f>[3]Feb!$Y$1</f>
        <v>0</v>
      </c>
      <c r="N27" s="75">
        <f>[3]Mar!$Y$1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436</v>
      </c>
      <c r="C2" s="405" t="s">
        <v>435</v>
      </c>
      <c r="D2" s="405" t="s">
        <v>434</v>
      </c>
      <c r="E2" s="405" t="s">
        <v>433</v>
      </c>
      <c r="F2" s="405" t="s">
        <v>432</v>
      </c>
      <c r="G2" s="405" t="s">
        <v>431</v>
      </c>
      <c r="H2" s="405" t="s">
        <v>430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429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428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422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427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420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418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417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416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426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425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415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410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424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413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409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421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414</v>
      </c>
      <c r="C25" s="299">
        <v>0</v>
      </c>
      <c r="D25" s="299">
        <v>0</v>
      </c>
      <c r="E25" s="299">
        <v>0</v>
      </c>
      <c r="F25" s="299">
        <v>0</v>
      </c>
      <c r="G25" s="299">
        <f>SUM(C25:F25)</f>
        <v>0</v>
      </c>
      <c r="H25" s="298" t="s">
        <v>408</v>
      </c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423</v>
      </c>
      <c r="C29" s="302">
        <f>SUM(C7,C12,C13,C14,C15,C16,C17,C18,C19,C20,C21,C22,C24,C25,C26)</f>
        <v>0</v>
      </c>
      <c r="D29" s="302">
        <f>SUM(D7,D12,D13,D14,D15,D16,D17,D18,D19,D20,D21,D22,D24,D25,D26)</f>
        <v>0</v>
      </c>
      <c r="E29" s="302">
        <f>SUM(E7,E12,E13,E14,E15,E16,E17,E18,E19,E20,E21,E22,E24,E25,E26)</f>
        <v>0</v>
      </c>
      <c r="F29" s="302">
        <f>SUM(F7,F12,F13,F14,F15,F16,F17,F18,F19,F20,F21,F22,F24,F25,F26)</f>
        <v>0</v>
      </c>
      <c r="G29" s="302">
        <f>SUM(G7,G12,G13,G14,G15,G16,G17,G18,G19,G20,G21,G22,G24,G25,G26)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422</v>
      </c>
      <c r="C36" s="299">
        <v>0</v>
      </c>
      <c r="D36" s="299">
        <v>0</v>
      </c>
      <c r="E36" s="299">
        <v>0</v>
      </c>
      <c r="F36" s="299">
        <v>0</v>
      </c>
      <c r="G36" s="299">
        <f t="shared" ref="G36:G50" si="1">SUM(C36:F36)</f>
        <v>0</v>
      </c>
      <c r="H36" s="298" t="s">
        <v>408</v>
      </c>
      <c r="I36" s="298"/>
    </row>
    <row r="37" spans="1:9" ht="14" customHeight="1" x14ac:dyDescent="0.15">
      <c r="A37" s="298"/>
      <c r="B37" s="298" t="s">
        <v>421</v>
      </c>
      <c r="C37" s="299">
        <v>0</v>
      </c>
      <c r="D37" s="299">
        <v>0</v>
      </c>
      <c r="E37" s="299">
        <v>0</v>
      </c>
      <c r="F37" s="299">
        <v>0</v>
      </c>
      <c r="G37" s="299">
        <f t="shared" si="1"/>
        <v>0</v>
      </c>
      <c r="H37" s="298" t="s">
        <v>408</v>
      </c>
      <c r="I37" s="298"/>
    </row>
    <row r="38" spans="1:9" x14ac:dyDescent="0.15">
      <c r="A38" s="298"/>
      <c r="B38" s="298" t="s">
        <v>420</v>
      </c>
      <c r="C38" s="299">
        <v>0</v>
      </c>
      <c r="D38" s="299">
        <v>0</v>
      </c>
      <c r="E38" s="299">
        <v>0</v>
      </c>
      <c r="F38" s="299">
        <v>0</v>
      </c>
      <c r="G38" s="299">
        <f t="shared" si="1"/>
        <v>0</v>
      </c>
      <c r="H38" s="298" t="s">
        <v>408</v>
      </c>
      <c r="I38" s="298"/>
    </row>
    <row r="39" spans="1:9" ht="14" customHeight="1" x14ac:dyDescent="0.15">
      <c r="A39" s="298"/>
      <c r="B39" s="298" t="s">
        <v>419</v>
      </c>
      <c r="C39" s="299">
        <v>0</v>
      </c>
      <c r="D39" s="299">
        <v>0</v>
      </c>
      <c r="E39" s="299">
        <v>0</v>
      </c>
      <c r="F39" s="299">
        <v>0</v>
      </c>
      <c r="G39" s="299">
        <f t="shared" si="1"/>
        <v>0</v>
      </c>
      <c r="H39" s="298" t="s">
        <v>408</v>
      </c>
      <c r="I39" s="298"/>
    </row>
    <row r="40" spans="1:9" x14ac:dyDescent="0.15">
      <c r="A40" s="298"/>
      <c r="B40" s="298" t="s">
        <v>418</v>
      </c>
      <c r="C40" s="299">
        <v>0</v>
      </c>
      <c r="D40" s="299">
        <v>0</v>
      </c>
      <c r="E40" s="299">
        <v>0</v>
      </c>
      <c r="F40" s="299">
        <v>0</v>
      </c>
      <c r="G40" s="299">
        <f t="shared" si="1"/>
        <v>0</v>
      </c>
      <c r="H40" s="298" t="s">
        <v>408</v>
      </c>
      <c r="I40" s="298"/>
    </row>
    <row r="41" spans="1:9" x14ac:dyDescent="0.15">
      <c r="A41" s="298"/>
      <c r="B41" s="298" t="s">
        <v>417</v>
      </c>
      <c r="C41" s="299">
        <v>0</v>
      </c>
      <c r="D41" s="299">
        <v>0</v>
      </c>
      <c r="E41" s="299">
        <v>0</v>
      </c>
      <c r="F41" s="299">
        <v>0</v>
      </c>
      <c r="G41" s="299">
        <f t="shared" si="1"/>
        <v>0</v>
      </c>
      <c r="H41" s="298" t="s">
        <v>408</v>
      </c>
      <c r="I41" s="298"/>
    </row>
    <row r="42" spans="1:9" x14ac:dyDescent="0.15">
      <c r="A42" s="298"/>
      <c r="B42" s="298" t="s">
        <v>416</v>
      </c>
      <c r="C42" s="299">
        <v>0</v>
      </c>
      <c r="D42" s="299">
        <v>0</v>
      </c>
      <c r="E42" s="299">
        <v>0</v>
      </c>
      <c r="F42" s="299">
        <v>0</v>
      </c>
      <c r="G42" s="299">
        <f t="shared" si="1"/>
        <v>0</v>
      </c>
      <c r="H42" s="298" t="s">
        <v>408</v>
      </c>
      <c r="I42" s="298"/>
    </row>
    <row r="43" spans="1:9" x14ac:dyDescent="0.15">
      <c r="A43" s="298"/>
      <c r="B43" s="298" t="s">
        <v>415</v>
      </c>
      <c r="C43" s="299">
        <v>0</v>
      </c>
      <c r="D43" s="299">
        <v>0</v>
      </c>
      <c r="E43" s="299">
        <v>0</v>
      </c>
      <c r="F43" s="299">
        <v>0</v>
      </c>
      <c r="G43" s="299">
        <f t="shared" si="1"/>
        <v>0</v>
      </c>
      <c r="H43" s="298" t="s">
        <v>408</v>
      </c>
      <c r="I43" s="298"/>
    </row>
    <row r="44" spans="1:9" x14ac:dyDescent="0.15">
      <c r="A44" s="298"/>
      <c r="B44" s="298" t="s">
        <v>414</v>
      </c>
      <c r="C44" s="299">
        <v>0</v>
      </c>
      <c r="D44" s="299">
        <v>0</v>
      </c>
      <c r="E44" s="299">
        <v>0</v>
      </c>
      <c r="F44" s="299">
        <v>0</v>
      </c>
      <c r="G44" s="299">
        <f t="shared" si="1"/>
        <v>0</v>
      </c>
      <c r="H44" s="298" t="s">
        <v>408</v>
      </c>
      <c r="I44" s="298"/>
    </row>
    <row r="45" spans="1:9" x14ac:dyDescent="0.15">
      <c r="A45" s="298"/>
      <c r="B45" s="298" t="s">
        <v>413</v>
      </c>
      <c r="C45" s="299">
        <v>0</v>
      </c>
      <c r="D45" s="299">
        <v>0</v>
      </c>
      <c r="E45" s="299">
        <v>0</v>
      </c>
      <c r="F45" s="299">
        <v>0</v>
      </c>
      <c r="G45" s="299">
        <f t="shared" si="1"/>
        <v>0</v>
      </c>
      <c r="H45" s="298" t="s">
        <v>408</v>
      </c>
      <c r="I45" s="298"/>
    </row>
    <row r="46" spans="1:9" x14ac:dyDescent="0.15">
      <c r="A46" s="298"/>
      <c r="B46" s="298" t="s">
        <v>412</v>
      </c>
      <c r="C46" s="299">
        <v>0</v>
      </c>
      <c r="D46" s="299">
        <v>0</v>
      </c>
      <c r="E46" s="299">
        <v>0</v>
      </c>
      <c r="F46" s="299">
        <v>0</v>
      </c>
      <c r="G46" s="299">
        <f t="shared" si="1"/>
        <v>0</v>
      </c>
      <c r="H46" s="298" t="s">
        <v>408</v>
      </c>
      <c r="I46" s="298"/>
    </row>
    <row r="47" spans="1:9" x14ac:dyDescent="0.15">
      <c r="A47" s="298"/>
      <c r="B47" s="298" t="s">
        <v>411</v>
      </c>
      <c r="C47" s="299">
        <v>0</v>
      </c>
      <c r="D47" s="299">
        <v>0</v>
      </c>
      <c r="E47" s="299">
        <v>0</v>
      </c>
      <c r="F47" s="299">
        <v>0</v>
      </c>
      <c r="G47" s="299">
        <f t="shared" si="1"/>
        <v>0</v>
      </c>
      <c r="H47" s="298" t="s">
        <v>408</v>
      </c>
      <c r="I47" s="298"/>
    </row>
    <row r="48" spans="1:9" x14ac:dyDescent="0.15">
      <c r="A48" s="298"/>
      <c r="B48" s="298" t="s">
        <v>410</v>
      </c>
      <c r="C48" s="299">
        <v>0</v>
      </c>
      <c r="D48" s="299">
        <v>0</v>
      </c>
      <c r="E48" s="299">
        <v>0</v>
      </c>
      <c r="F48" s="299">
        <v>0</v>
      </c>
      <c r="G48" s="299">
        <f t="shared" si="1"/>
        <v>0</v>
      </c>
      <c r="H48" s="298" t="s">
        <v>408</v>
      </c>
      <c r="I48" s="298"/>
    </row>
    <row r="49" spans="1:9" x14ac:dyDescent="0.15">
      <c r="A49" s="298"/>
      <c r="B49" s="298" t="s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f t="shared" si="1"/>
        <v>0</v>
      </c>
      <c r="H49" s="298" t="s">
        <v>408</v>
      </c>
      <c r="I49" s="298"/>
    </row>
    <row r="50" spans="1:9" x14ac:dyDescent="0.15">
      <c r="A50" s="298"/>
      <c r="B50" s="298" t="s">
        <v>409</v>
      </c>
      <c r="C50" s="299">
        <v>0</v>
      </c>
      <c r="D50" s="299">
        <v>0</v>
      </c>
      <c r="E50" s="299">
        <v>0</v>
      </c>
      <c r="F50" s="299">
        <v>0</v>
      </c>
      <c r="G50" s="299">
        <f t="shared" si="1"/>
        <v>0</v>
      </c>
      <c r="H50" s="298" t="s">
        <v>408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2024-25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2024-25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128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101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-[2]Mar!$X$1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46053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2025-26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46053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46234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45412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45443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45473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45504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45535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45565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45596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45626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45657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45688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45716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45747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35" t="s">
        <v>31</v>
      </c>
      <c r="I1" s="436"/>
      <c r="J1" s="436"/>
      <c r="K1" s="436"/>
      <c r="L1" s="437"/>
      <c r="M1" s="32"/>
      <c r="N1" s="435" t="s">
        <v>31</v>
      </c>
      <c r="O1" s="436"/>
      <c r="P1" s="436"/>
      <c r="Q1" s="436"/>
      <c r="R1" s="437"/>
      <c r="S1" s="32"/>
      <c r="T1" s="435" t="s">
        <v>31</v>
      </c>
      <c r="U1" s="436"/>
      <c r="V1" s="436"/>
      <c r="W1" s="436"/>
      <c r="X1" s="437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8" t="s">
        <v>44</v>
      </c>
      <c r="AE2" s="439"/>
      <c r="AF2" s="439"/>
      <c r="AG2" s="440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28" t="s">
        <v>404</v>
      </c>
      <c r="AE3" s="431"/>
      <c r="AF3" s="431"/>
      <c r="AG3" s="431"/>
      <c r="AH3" s="24"/>
    </row>
    <row r="4" spans="1:34" ht="13" x14ac:dyDescent="0.15">
      <c r="A4" s="20"/>
      <c r="B4" s="432" t="s">
        <v>45</v>
      </c>
      <c r="C4" s="433"/>
      <c r="D4" s="433"/>
      <c r="E4" s="434"/>
      <c r="F4" s="434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0"/>
      <c r="AE4" s="431"/>
      <c r="AF4" s="431"/>
      <c r="AG4" s="431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0"/>
      <c r="AE5" s="431"/>
      <c r="AF5" s="431"/>
      <c r="AG5" s="431"/>
      <c r="AH5" s="24"/>
    </row>
    <row r="6" spans="1:34" x14ac:dyDescent="0.15">
      <c r="A6" s="20"/>
      <c r="B6" s="58">
        <f>Admin!B4</f>
        <v>45388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0"/>
      <c r="AE6" s="431"/>
      <c r="AF6" s="431"/>
      <c r="AG6" s="431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0"/>
      <c r="AE7" s="431"/>
      <c r="AF7" s="431"/>
      <c r="AG7" s="431"/>
      <c r="AH7" s="24"/>
    </row>
    <row r="8" spans="1:34" x14ac:dyDescent="0.15">
      <c r="A8" s="20"/>
      <c r="B8" s="58">
        <f>Admin!B5</f>
        <v>45412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0"/>
      <c r="AE8" s="431"/>
      <c r="AF8" s="431"/>
      <c r="AG8" s="431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0"/>
      <c r="AE9" s="431"/>
      <c r="AF9" s="431"/>
      <c r="AG9" s="431"/>
      <c r="AH9" s="24"/>
    </row>
    <row r="10" spans="1:34" ht="13" x14ac:dyDescent="0.15">
      <c r="A10" s="20"/>
      <c r="B10" s="58">
        <f>Admin!B6</f>
        <v>45443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28" t="s">
        <v>46</v>
      </c>
      <c r="AE11" s="431"/>
      <c r="AF11" s="431"/>
      <c r="AG11" s="431"/>
      <c r="AH11" s="24"/>
    </row>
    <row r="12" spans="1:34" x14ac:dyDescent="0.15">
      <c r="A12" s="20"/>
      <c r="B12" s="58">
        <f>Admin!B7</f>
        <v>45473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0"/>
      <c r="AE12" s="431"/>
      <c r="AF12" s="431"/>
      <c r="AG12" s="431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0"/>
      <c r="AE13" s="431"/>
      <c r="AF13" s="431"/>
      <c r="AG13" s="431"/>
      <c r="AH13" s="24"/>
    </row>
    <row r="14" spans="1:34" ht="12" customHeight="1" x14ac:dyDescent="0.15">
      <c r="A14" s="20"/>
      <c r="B14" s="58">
        <f>Admin!B8</f>
        <v>45504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28" t="s">
        <v>405</v>
      </c>
      <c r="AE15" s="429"/>
      <c r="AF15" s="429"/>
      <c r="AG15" s="429"/>
      <c r="AH15" s="24"/>
    </row>
    <row r="16" spans="1:34" ht="12" customHeight="1" x14ac:dyDescent="0.15">
      <c r="A16" s="20"/>
      <c r="B16" s="58">
        <f>Admin!B9</f>
        <v>45535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28"/>
      <c r="AE16" s="429"/>
      <c r="AF16" s="429"/>
      <c r="AG16" s="429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28"/>
      <c r="AE17" s="429"/>
      <c r="AF17" s="429"/>
      <c r="AG17" s="429"/>
      <c r="AH17" s="24"/>
    </row>
    <row r="18" spans="1:34" ht="12" customHeight="1" x14ac:dyDescent="0.15">
      <c r="A18" s="20"/>
      <c r="B18" s="58">
        <f>Admin!B10</f>
        <v>45565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28" t="s">
        <v>47</v>
      </c>
      <c r="AE19" s="429"/>
      <c r="AF19" s="429"/>
      <c r="AG19" s="429"/>
      <c r="AH19" s="24"/>
    </row>
    <row r="20" spans="1:34" ht="12" customHeight="1" x14ac:dyDescent="0.15">
      <c r="A20" s="20"/>
      <c r="B20" s="58">
        <f>Admin!B11</f>
        <v>45596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28"/>
      <c r="AE20" s="429"/>
      <c r="AF20" s="429"/>
      <c r="AG20" s="429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28"/>
      <c r="AE21" s="429"/>
      <c r="AF21" s="429"/>
      <c r="AG21" s="429"/>
      <c r="AH21" s="24"/>
    </row>
    <row r="22" spans="1:34" ht="12" customHeight="1" x14ac:dyDescent="0.15">
      <c r="A22" s="20"/>
      <c r="B22" s="58">
        <f>Admin!B12</f>
        <v>45626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28" t="s">
        <v>48</v>
      </c>
      <c r="AE23" s="429"/>
      <c r="AF23" s="429"/>
      <c r="AG23" s="429"/>
      <c r="AH23" s="24"/>
    </row>
    <row r="24" spans="1:34" x14ac:dyDescent="0.15">
      <c r="A24" s="20"/>
      <c r="B24" s="58">
        <f>Admin!B13</f>
        <v>45657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28"/>
      <c r="AE24" s="429"/>
      <c r="AF24" s="429"/>
      <c r="AG24" s="429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28"/>
      <c r="AE25" s="429"/>
      <c r="AF25" s="429"/>
      <c r="AG25" s="429"/>
      <c r="AH25" s="24"/>
    </row>
    <row r="26" spans="1:34" x14ac:dyDescent="0.15">
      <c r="A26" s="20"/>
      <c r="B26" s="58">
        <f>Admin!B14</f>
        <v>45688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0"/>
      <c r="AE26" s="431"/>
      <c r="AF26" s="431"/>
      <c r="AG26" s="431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45716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28" t="s">
        <v>49</v>
      </c>
      <c r="AE28" s="429"/>
      <c r="AF28" s="429"/>
      <c r="AG28" s="429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28"/>
      <c r="AE29" s="429"/>
      <c r="AF29" s="429"/>
      <c r="AG29" s="429"/>
      <c r="AH29" s="24"/>
    </row>
    <row r="30" spans="1:34" x14ac:dyDescent="0.15">
      <c r="A30" s="20"/>
      <c r="B30" s="58">
        <f>Admin!B17</f>
        <v>45752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0"/>
      <c r="AE30" s="431"/>
      <c r="AF30" s="431"/>
      <c r="AG30" s="431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H1:L1"/>
    <mergeCell ref="N1:R1"/>
    <mergeCell ref="T1:X1"/>
    <mergeCell ref="AD2:AG2"/>
    <mergeCell ref="AD19:AG21"/>
    <mergeCell ref="AD28:AG30"/>
    <mergeCell ref="AD3:AG9"/>
    <mergeCell ref="B4:F4"/>
    <mergeCell ref="AD11:AG13"/>
    <mergeCell ref="AD15:AG17"/>
    <mergeCell ref="AD23:AG2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7" t="s">
        <v>143</v>
      </c>
      <c r="C2" s="157" t="s">
        <v>140</v>
      </c>
      <c r="D2" s="401">
        <f>Admin!B5</f>
        <v>45412</v>
      </c>
      <c r="E2" s="400">
        <f>Admin!B6</f>
        <v>45443</v>
      </c>
      <c r="F2" s="400">
        <f>Admin!B7</f>
        <v>45473</v>
      </c>
      <c r="G2" s="400">
        <f>Admin!B8</f>
        <v>45504</v>
      </c>
      <c r="H2" s="400">
        <f>Admin!B9</f>
        <v>45535</v>
      </c>
      <c r="I2" s="400">
        <f>Admin!B10</f>
        <v>45565</v>
      </c>
      <c r="J2" s="400">
        <f>Admin!B11</f>
        <v>45596</v>
      </c>
      <c r="K2" s="400">
        <f>Admin!B12</f>
        <v>45626</v>
      </c>
      <c r="L2" s="400">
        <f>Admin!B13</f>
        <v>45657</v>
      </c>
      <c r="M2" s="400">
        <f>Admin!B14</f>
        <v>45688</v>
      </c>
      <c r="N2" s="400">
        <f>Admin!B15</f>
        <v>45716</v>
      </c>
      <c r="O2" s="400">
        <f>Admin!B16</f>
        <v>45747</v>
      </c>
      <c r="P2" s="23"/>
    </row>
    <row r="3" spans="1:16" ht="12" customHeight="1" x14ac:dyDescent="0.15">
      <c r="A3" s="23"/>
      <c r="B3" s="448"/>
      <c r="C3" s="158">
        <f>Admin!B$17</f>
        <v>45752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6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45412</v>
      </c>
      <c r="E19" s="401">
        <f t="shared" si="3"/>
        <v>45443</v>
      </c>
      <c r="F19" s="401">
        <f t="shared" si="3"/>
        <v>45473</v>
      </c>
      <c r="G19" s="401">
        <f t="shared" si="3"/>
        <v>45504</v>
      </c>
      <c r="H19" s="401">
        <f t="shared" si="3"/>
        <v>45535</v>
      </c>
      <c r="I19" s="401">
        <f t="shared" si="3"/>
        <v>45565</v>
      </c>
      <c r="J19" s="401">
        <f t="shared" si="3"/>
        <v>45596</v>
      </c>
      <c r="K19" s="401">
        <f t="shared" si="3"/>
        <v>45626</v>
      </c>
      <c r="L19" s="401">
        <f t="shared" si="3"/>
        <v>45657</v>
      </c>
      <c r="M19" s="401">
        <f t="shared" si="3"/>
        <v>45688</v>
      </c>
      <c r="N19" s="401">
        <f t="shared" si="3"/>
        <v>45716</v>
      </c>
      <c r="O19" s="401">
        <f t="shared" si="3"/>
        <v>45747</v>
      </c>
      <c r="P19" s="23"/>
    </row>
    <row r="20" spans="1:16" ht="12" customHeight="1" x14ac:dyDescent="0.15">
      <c r="A20" s="23"/>
      <c r="B20" s="445"/>
      <c r="C20" s="158">
        <f>Admin!B$17</f>
        <v>45752</v>
      </c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  <c r="O20" s="441"/>
      <c r="P20" s="23"/>
    </row>
    <row r="21" spans="1:16" ht="13" thickBot="1" x14ac:dyDescent="0.2">
      <c r="A21" s="23"/>
      <c r="B21" s="446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2" t="s">
        <v>95</v>
      </c>
      <c r="C36" s="44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93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H2:H3"/>
    <mergeCell ref="B2:B4"/>
    <mergeCell ref="D2:D3"/>
    <mergeCell ref="E2:E3"/>
    <mergeCell ref="F2:F3"/>
    <mergeCell ref="G2:G3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M19:M20"/>
    <mergeCell ref="B36:C36"/>
    <mergeCell ref="J19:J20"/>
    <mergeCell ref="K19:K20"/>
    <mergeCell ref="L19:L20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F27" sqref="F27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45350</v>
      </c>
      <c r="C2" s="147"/>
      <c r="D2" s="454" t="s">
        <v>103</v>
      </c>
      <c r="E2" s="454"/>
      <c r="F2" s="454"/>
      <c r="G2" s="287" t="str">
        <f>B23</f>
        <v>2024-25</v>
      </c>
      <c r="H2" s="147"/>
      <c r="I2" s="147"/>
      <c r="J2" s="449" t="s">
        <v>120</v>
      </c>
      <c r="K2" s="449"/>
      <c r="L2" s="165" t="str">
        <f>G2</f>
        <v>2024-25</v>
      </c>
      <c r="M2" s="147"/>
      <c r="N2" s="147"/>
      <c r="O2" s="147"/>
    </row>
    <row r="3" spans="1:15" ht="12" customHeight="1" thickBot="1" x14ac:dyDescent="0.2">
      <c r="A3" s="147"/>
      <c r="B3" s="164">
        <v>45382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45388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45412</v>
      </c>
      <c r="C5" s="147"/>
      <c r="D5" s="450" t="s">
        <v>104</v>
      </c>
      <c r="E5" s="450"/>
      <c r="F5" s="450"/>
      <c r="G5" s="148">
        <v>0.18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45443</v>
      </c>
      <c r="C6" s="147"/>
      <c r="D6" s="147"/>
      <c r="E6" s="147"/>
      <c r="F6" s="147"/>
      <c r="G6" s="146"/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45473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45504</v>
      </c>
      <c r="C8" s="147"/>
      <c r="D8" s="147" t="s">
        <v>112</v>
      </c>
      <c r="E8" s="152">
        <v>12000</v>
      </c>
      <c r="F8" s="147" t="s">
        <v>113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45535</v>
      </c>
      <c r="C9" s="147"/>
      <c r="D9" s="147"/>
      <c r="E9" s="146"/>
      <c r="F9" s="147"/>
      <c r="G9" s="146"/>
      <c r="H9" s="147"/>
      <c r="I9" s="450" t="s">
        <v>122</v>
      </c>
      <c r="J9" s="451"/>
      <c r="K9" s="451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45565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45596</v>
      </c>
      <c r="C11" s="147"/>
      <c r="D11" s="454" t="s">
        <v>105</v>
      </c>
      <c r="E11" s="454"/>
      <c r="F11" s="454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45626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45657</v>
      </c>
      <c r="C13" s="147"/>
      <c r="D13" s="450" t="s">
        <v>106</v>
      </c>
      <c r="E13" s="450"/>
      <c r="F13" s="450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45688</v>
      </c>
      <c r="C14" s="147"/>
      <c r="D14" s="450" t="s">
        <v>107</v>
      </c>
      <c r="E14" s="450"/>
      <c r="F14" s="450"/>
      <c r="G14" s="148">
        <v>0.1</v>
      </c>
      <c r="H14" s="147"/>
      <c r="I14" s="452" t="s">
        <v>132</v>
      </c>
      <c r="J14" s="452"/>
      <c r="K14" s="452"/>
      <c r="L14" s="167" t="str">
        <f>G2</f>
        <v>2024-25</v>
      </c>
      <c r="M14" s="147"/>
      <c r="N14" s="147"/>
      <c r="O14" s="147"/>
    </row>
    <row r="15" spans="1:15" ht="12" customHeight="1" x14ac:dyDescent="0.15">
      <c r="A15" s="147"/>
      <c r="B15" s="164">
        <v>45716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45747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0</v>
      </c>
      <c r="M16" s="147" t="s">
        <v>438</v>
      </c>
      <c r="N16" s="147"/>
      <c r="O16" s="147"/>
    </row>
    <row r="17" spans="1:15" ht="12" customHeight="1" thickBot="1" x14ac:dyDescent="0.2">
      <c r="A17" s="147"/>
      <c r="B17" s="175">
        <v>45752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45777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45808</v>
      </c>
      <c r="C19" s="147"/>
      <c r="D19" s="454" t="s">
        <v>114</v>
      </c>
      <c r="E19" s="454"/>
      <c r="F19" s="146" t="s">
        <v>119</v>
      </c>
      <c r="G19" s="146" t="s">
        <v>115</v>
      </c>
      <c r="H19" s="147"/>
      <c r="I19" s="455" t="s">
        <v>134</v>
      </c>
      <c r="J19" s="455"/>
      <c r="K19" s="455"/>
      <c r="L19" s="147"/>
      <c r="M19" s="456" t="s">
        <v>400</v>
      </c>
      <c r="N19" s="147"/>
      <c r="O19" s="147"/>
    </row>
    <row r="20" spans="1:15" ht="12" customHeight="1" x14ac:dyDescent="0.15">
      <c r="A20" s="147"/>
      <c r="B20" s="164">
        <v>45838</v>
      </c>
      <c r="C20" s="147"/>
      <c r="D20" s="162"/>
      <c r="E20" s="162"/>
      <c r="F20" s="146"/>
      <c r="G20" s="146"/>
      <c r="H20" s="147"/>
      <c r="I20" s="455"/>
      <c r="J20" s="455"/>
      <c r="K20" s="455"/>
      <c r="L20" s="295">
        <v>0.06</v>
      </c>
      <c r="M20" s="456"/>
      <c r="N20" s="152">
        <v>12570</v>
      </c>
      <c r="O20" s="146" t="s">
        <v>51</v>
      </c>
    </row>
    <row r="21" spans="1:15" ht="12" customHeight="1" x14ac:dyDescent="0.15">
      <c r="A21" s="147"/>
      <c r="B21" s="164">
        <v>46053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46234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5" t="s">
        <v>135</v>
      </c>
      <c r="J22" s="455"/>
      <c r="K22" s="455"/>
      <c r="L22" s="147"/>
      <c r="M22" s="456" t="s">
        <v>401</v>
      </c>
      <c r="N22" s="147"/>
      <c r="O22" s="147"/>
    </row>
    <row r="23" spans="1:15" ht="12" customHeight="1" thickBot="1" x14ac:dyDescent="0.2">
      <c r="A23" s="147"/>
      <c r="B23" s="175" t="s">
        <v>406</v>
      </c>
      <c r="C23" s="147"/>
      <c r="D23" s="147"/>
      <c r="E23" s="147"/>
      <c r="F23" s="146"/>
      <c r="G23" s="170"/>
      <c r="H23" s="147"/>
      <c r="I23" s="455"/>
      <c r="J23" s="455"/>
      <c r="K23" s="455"/>
      <c r="L23" s="295">
        <v>0.02</v>
      </c>
      <c r="M23" s="456"/>
      <c r="N23" s="152">
        <v>50270</v>
      </c>
      <c r="O23" s="146" t="s">
        <v>51</v>
      </c>
    </row>
    <row r="24" spans="1:15" ht="12" customHeight="1" thickBot="1" x14ac:dyDescent="0.2">
      <c r="A24" s="147"/>
      <c r="B24" s="175" t="s">
        <v>437</v>
      </c>
      <c r="C24" s="147"/>
      <c r="D24" s="454" t="s">
        <v>114</v>
      </c>
      <c r="E24" s="454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D24:E24"/>
    <mergeCell ref="D26:E26"/>
    <mergeCell ref="M19:M20"/>
    <mergeCell ref="M22:M23"/>
    <mergeCell ref="I22:K23"/>
    <mergeCell ref="D21:E21"/>
    <mergeCell ref="I16:K16"/>
    <mergeCell ref="I19:K20"/>
    <mergeCell ref="D19:E19"/>
    <mergeCell ref="D13:F13"/>
    <mergeCell ref="D16:F16"/>
    <mergeCell ref="D17:F17"/>
    <mergeCell ref="D15:F15"/>
    <mergeCell ref="D1:F1"/>
    <mergeCell ref="D2:F2"/>
    <mergeCell ref="D11:F11"/>
    <mergeCell ref="D4:F4"/>
    <mergeCell ref="D5:F5"/>
    <mergeCell ref="D7:F7"/>
    <mergeCell ref="J2:K2"/>
    <mergeCell ref="I4:M4"/>
    <mergeCell ref="I6:M6"/>
    <mergeCell ref="I7:M7"/>
    <mergeCell ref="D14:F14"/>
    <mergeCell ref="I9:K9"/>
    <mergeCell ref="I14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DIY Accounting Customer Service</cp:lastModifiedBy>
  <cp:lastPrinted>2008-06-02T20:53:06Z</cp:lastPrinted>
  <dcterms:created xsi:type="dcterms:W3CDTF">2002-12-30T15:31:19Z</dcterms:created>
  <dcterms:modified xsi:type="dcterms:W3CDTF">2024-04-02T23:02:06Z</dcterms:modified>
</cp:coreProperties>
</file>