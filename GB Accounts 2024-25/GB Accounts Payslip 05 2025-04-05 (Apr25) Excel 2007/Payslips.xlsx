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11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4-25/GB Accounts Company 2025-03-31 (Mar25) Excel 2007/"/>
    </mc:Choice>
  </mc:AlternateContent>
  <xr:revisionPtr revIDLastSave="0" documentId="13_ncr:1_{DA614EEE-A18F-A74D-963B-4D0E02697E6C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Apr" sheetId="12" r:id="rId2"/>
    <sheet name="May" sheetId="11" r:id="rId3"/>
    <sheet name="Jun" sheetId="10" r:id="rId4"/>
    <sheet name="Jul" sheetId="9" r:id="rId5"/>
    <sheet name="Aug" sheetId="8" r:id="rId6"/>
    <sheet name="Sep" sheetId="17" r:id="rId7"/>
    <sheet name="Oct" sheetId="16" r:id="rId8"/>
    <sheet name="Nov" sheetId="15" r:id="rId9"/>
    <sheet name="Dec" sheetId="14" r:id="rId10"/>
    <sheet name="Jan" sheetId="13" r:id="rId11"/>
    <sheet name="Feb" sheetId="19" r:id="rId12"/>
    <sheet name="Mar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66" i="40"/>
  <c r="M8" i="40"/>
  <c r="M37" i="40"/>
  <c r="M22" i="40"/>
  <c r="M51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<sst xmlns="http://schemas.openxmlformats.org/spreadsheetml/2006/main" count="1383" uniqueCount="138">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</sst>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45388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45389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45390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45391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45392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45393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45394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45388</v>
      </c>
      <c r="N9" s="5"/>
      <c r="O9" s="163">
        <f>Admin!I1</f>
        <v>45752</v>
      </c>
      <c r="P9" s="145"/>
      <c r="Q9" s="140"/>
      <c r="R9" s="141"/>
      <c r="S9" s="141"/>
      <c r="T9" s="80"/>
      <c r="U9" s="345"/>
      <c r="W9" s="206">
        <f>Admin!B9</f>
        <v>45395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45396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45397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45398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45399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45400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45401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45402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45403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45404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45405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45406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45407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45408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45409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06/04/24)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45410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45411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45412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45413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45414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45415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45416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45417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45418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45419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45420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45421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45422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45423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45424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45425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45426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45427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45428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45429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45430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45431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45432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45433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45434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45435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06/04/24)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45436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45437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45438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45439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45440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45441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45442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45443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45444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45445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45446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45447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45448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45449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45450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45451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45452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45453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45454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45455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45456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45457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45458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45459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45460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45461</v>
      </c>
    </row>
    <row r="76" spans="1:23" ht="14" thickTop="1" thickBot="1" x14ac:dyDescent="0.2">
      <c r="A76" s="12"/>
      <c r="B76" s="14" t="str">
        <f>B24</f>
        <v>Starting date (existing = 06/04/24)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45462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45463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45464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45465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45466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45467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45468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45469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45470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45471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45472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45473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45474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45475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45476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45477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45478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45479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45480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45481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45482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45483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45484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45485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45486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45487</v>
      </c>
    </row>
    <row r="102" spans="1:23" ht="14" thickTop="1" thickBot="1" x14ac:dyDescent="0.2">
      <c r="A102" s="12"/>
      <c r="B102" s="14" t="str">
        <f>B24</f>
        <v>Starting date (existing = 06/04/24)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45488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45489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45490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45491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45492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45493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45494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45495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45496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45497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45498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45499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45500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45501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45502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45503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45504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45505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45506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45507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45508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45509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45510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45511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45512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45513</v>
      </c>
    </row>
    <row r="128" spans="1:23" ht="14" thickTop="1" thickBot="1" x14ac:dyDescent="0.2">
      <c r="A128" s="12"/>
      <c r="B128" s="14" t="str">
        <f>B24</f>
        <v>Starting date (existing = 06/04/24)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45514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45515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45516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45517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45518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45519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45520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45521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45522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45523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45524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45525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45526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45527</v>
      </c>
    </row>
    <row r="142" spans="1:23" x14ac:dyDescent="0.15">
      <c r="W142" s="206">
        <f>Admin!B142</f>
        <v>45528</v>
      </c>
    </row>
    <row r="143" spans="1:23" x14ac:dyDescent="0.15">
      <c r="W143" s="206">
        <f>Admin!B143</f>
        <v>45529</v>
      </c>
    </row>
    <row r="144" spans="1:23" x14ac:dyDescent="0.15">
      <c r="W144" s="206">
        <f>Admin!B144</f>
        <v>45530</v>
      </c>
    </row>
    <row r="145" spans="23:23" x14ac:dyDescent="0.15">
      <c r="W145" s="206">
        <f>Admin!B145</f>
        <v>45531</v>
      </c>
    </row>
    <row r="146" spans="23:23" x14ac:dyDescent="0.15">
      <c r="W146" s="206">
        <f>Admin!B146</f>
        <v>45532</v>
      </c>
    </row>
    <row r="147" spans="23:23" x14ac:dyDescent="0.15">
      <c r="W147" s="206">
        <f>Admin!B147</f>
        <v>45533</v>
      </c>
    </row>
    <row r="148" spans="23:23" x14ac:dyDescent="0.15">
      <c r="W148" s="206">
        <f>Admin!B148</f>
        <v>45534</v>
      </c>
    </row>
    <row r="149" spans="23:23" x14ac:dyDescent="0.15">
      <c r="W149" s="206">
        <f>Admin!B149</f>
        <v>45535</v>
      </c>
    </row>
    <row r="150" spans="23:23" x14ac:dyDescent="0.15">
      <c r="W150" s="206">
        <f>Admin!B150</f>
        <v>45536</v>
      </c>
    </row>
    <row r="151" spans="23:23" x14ac:dyDescent="0.15">
      <c r="W151" s="206">
        <f>Admin!B151</f>
        <v>45537</v>
      </c>
    </row>
    <row r="152" spans="23:23" x14ac:dyDescent="0.15">
      <c r="W152" s="206">
        <f>Admin!B152</f>
        <v>45538</v>
      </c>
    </row>
    <row r="153" spans="23:23" x14ac:dyDescent="0.15">
      <c r="W153" s="206">
        <f>Admin!B153</f>
        <v>45539</v>
      </c>
    </row>
    <row r="154" spans="23:23" x14ac:dyDescent="0.15">
      <c r="W154" s="206">
        <f>Admin!B154</f>
        <v>45540</v>
      </c>
    </row>
    <row r="155" spans="23:23" x14ac:dyDescent="0.15">
      <c r="W155" s="206">
        <f>Admin!B155</f>
        <v>45541</v>
      </c>
    </row>
    <row r="156" spans="23:23" x14ac:dyDescent="0.15">
      <c r="W156" s="206">
        <f>Admin!B156</f>
        <v>45542</v>
      </c>
    </row>
    <row r="157" spans="23:23" x14ac:dyDescent="0.15">
      <c r="W157" s="206">
        <f>Admin!B157</f>
        <v>45543</v>
      </c>
    </row>
    <row r="158" spans="23:23" x14ac:dyDescent="0.15">
      <c r="W158" s="206">
        <f>Admin!B158</f>
        <v>45544</v>
      </c>
    </row>
    <row r="159" spans="23:23" x14ac:dyDescent="0.15">
      <c r="W159" s="206">
        <f>Admin!B159</f>
        <v>45545</v>
      </c>
    </row>
    <row r="160" spans="23:23" x14ac:dyDescent="0.15">
      <c r="W160" s="206">
        <f>Admin!B160</f>
        <v>45546</v>
      </c>
    </row>
    <row r="161" spans="23:23" x14ac:dyDescent="0.15">
      <c r="W161" s="206">
        <f>Admin!B161</f>
        <v>45547</v>
      </c>
    </row>
    <row r="162" spans="23:23" x14ac:dyDescent="0.15">
      <c r="W162" s="206">
        <f>Admin!B162</f>
        <v>45548</v>
      </c>
    </row>
    <row r="163" spans="23:23" x14ac:dyDescent="0.15">
      <c r="W163" s="206">
        <f>Admin!B163</f>
        <v>45549</v>
      </c>
    </row>
    <row r="164" spans="23:23" x14ac:dyDescent="0.15">
      <c r="W164" s="206">
        <f>Admin!B164</f>
        <v>45550</v>
      </c>
    </row>
    <row r="165" spans="23:23" x14ac:dyDescent="0.15">
      <c r="W165" s="206">
        <f>Admin!B165</f>
        <v>45551</v>
      </c>
    </row>
    <row r="166" spans="23:23" x14ac:dyDescent="0.15">
      <c r="W166" s="206">
        <f>Admin!B166</f>
        <v>45552</v>
      </c>
    </row>
    <row r="167" spans="23:23" x14ac:dyDescent="0.15">
      <c r="W167" s="206">
        <f>Admin!B167</f>
        <v>45553</v>
      </c>
    </row>
    <row r="168" spans="23:23" x14ac:dyDescent="0.15">
      <c r="W168" s="206">
        <f>Admin!B168</f>
        <v>45554</v>
      </c>
    </row>
    <row r="169" spans="23:23" x14ac:dyDescent="0.15">
      <c r="W169" s="206">
        <f>Admin!B169</f>
        <v>45555</v>
      </c>
    </row>
    <row r="170" spans="23:23" x14ac:dyDescent="0.15">
      <c r="W170" s="206">
        <f>Admin!B170</f>
        <v>45556</v>
      </c>
    </row>
    <row r="171" spans="23:23" x14ac:dyDescent="0.15">
      <c r="W171" s="206">
        <f>Admin!B171</f>
        <v>45557</v>
      </c>
    </row>
    <row r="172" spans="23:23" x14ac:dyDescent="0.15">
      <c r="W172" s="206">
        <f>Admin!B172</f>
        <v>45558</v>
      </c>
    </row>
    <row r="173" spans="23:23" x14ac:dyDescent="0.15">
      <c r="W173" s="206">
        <f>Admin!B173</f>
        <v>45559</v>
      </c>
    </row>
    <row r="174" spans="23:23" x14ac:dyDescent="0.15">
      <c r="W174" s="206">
        <f>Admin!B174</f>
        <v>45560</v>
      </c>
    </row>
    <row r="175" spans="23:23" x14ac:dyDescent="0.15">
      <c r="W175" s="206">
        <f>Admin!B175</f>
        <v>45561</v>
      </c>
    </row>
    <row r="176" spans="23:23" x14ac:dyDescent="0.15">
      <c r="W176" s="206">
        <f>Admin!B176</f>
        <v>45562</v>
      </c>
    </row>
    <row r="177" spans="23:23" x14ac:dyDescent="0.15">
      <c r="W177" s="206">
        <f>Admin!B177</f>
        <v>45563</v>
      </c>
    </row>
    <row r="178" spans="23:23" x14ac:dyDescent="0.15">
      <c r="W178" s="206">
        <f>Admin!B178</f>
        <v>45564</v>
      </c>
    </row>
    <row r="179" spans="23:23" x14ac:dyDescent="0.15">
      <c r="W179" s="206">
        <f>Admin!B179</f>
        <v>45565</v>
      </c>
    </row>
    <row r="180" spans="23:23" x14ac:dyDescent="0.15">
      <c r="W180" s="206">
        <f>Admin!B180</f>
        <v>45566</v>
      </c>
    </row>
    <row r="181" spans="23:23" x14ac:dyDescent="0.15">
      <c r="W181" s="206">
        <f>Admin!B181</f>
        <v>45567</v>
      </c>
    </row>
    <row r="182" spans="23:23" x14ac:dyDescent="0.15">
      <c r="W182" s="206">
        <f>Admin!B182</f>
        <v>45568</v>
      </c>
    </row>
    <row r="183" spans="23:23" x14ac:dyDescent="0.15">
      <c r="W183" s="206">
        <f>Admin!B183</f>
        <v>45569</v>
      </c>
    </row>
    <row r="184" spans="23:23" x14ac:dyDescent="0.15">
      <c r="W184" s="206">
        <f>Admin!B184</f>
        <v>45570</v>
      </c>
    </row>
    <row r="185" spans="23:23" x14ac:dyDescent="0.15">
      <c r="W185" s="206">
        <f>Admin!B185</f>
        <v>45571</v>
      </c>
    </row>
    <row r="186" spans="23:23" x14ac:dyDescent="0.15">
      <c r="W186" s="206">
        <f>Admin!B186</f>
        <v>45572</v>
      </c>
    </row>
    <row r="187" spans="23:23" x14ac:dyDescent="0.15">
      <c r="W187" s="206">
        <f>Admin!B187</f>
        <v>45573</v>
      </c>
    </row>
    <row r="188" spans="23:23" x14ac:dyDescent="0.15">
      <c r="W188" s="206">
        <f>Admin!B188</f>
        <v>45574</v>
      </c>
    </row>
    <row r="189" spans="23:23" x14ac:dyDescent="0.15">
      <c r="W189" s="206">
        <f>Admin!B189</f>
        <v>45575</v>
      </c>
    </row>
    <row r="190" spans="23:23" x14ac:dyDescent="0.15">
      <c r="W190" s="206">
        <f>Admin!B190</f>
        <v>45576</v>
      </c>
    </row>
    <row r="191" spans="23:23" x14ac:dyDescent="0.15">
      <c r="W191" s="206">
        <f>Admin!B191</f>
        <v>45577</v>
      </c>
    </row>
    <row r="192" spans="23:23" x14ac:dyDescent="0.15">
      <c r="W192" s="206">
        <f>Admin!B192</f>
        <v>45578</v>
      </c>
    </row>
    <row r="193" spans="23:23" x14ac:dyDescent="0.15">
      <c r="W193" s="206">
        <f>Admin!B193</f>
        <v>45579</v>
      </c>
    </row>
    <row r="194" spans="23:23" x14ac:dyDescent="0.15">
      <c r="W194" s="206">
        <f>Admin!B194</f>
        <v>45580</v>
      </c>
    </row>
    <row r="195" spans="23:23" x14ac:dyDescent="0.15">
      <c r="W195" s="206">
        <f>Admin!B195</f>
        <v>45581</v>
      </c>
    </row>
    <row r="196" spans="23:23" x14ac:dyDescent="0.15">
      <c r="W196" s="206">
        <f>Admin!B196</f>
        <v>45582</v>
      </c>
    </row>
    <row r="197" spans="23:23" x14ac:dyDescent="0.15">
      <c r="W197" s="206">
        <f>Admin!B197</f>
        <v>45583</v>
      </c>
    </row>
    <row r="198" spans="23:23" x14ac:dyDescent="0.15">
      <c r="W198" s="206">
        <f>Admin!B198</f>
        <v>45584</v>
      </c>
    </row>
    <row r="199" spans="23:23" x14ac:dyDescent="0.15">
      <c r="W199" s="206">
        <f>Admin!B199</f>
        <v>45585</v>
      </c>
    </row>
    <row r="200" spans="23:23" x14ac:dyDescent="0.15">
      <c r="W200" s="206">
        <f>Admin!B200</f>
        <v>45586</v>
      </c>
    </row>
    <row r="201" spans="23:23" x14ac:dyDescent="0.15">
      <c r="W201" s="206">
        <f>Admin!B201</f>
        <v>45587</v>
      </c>
    </row>
    <row r="202" spans="23:23" x14ac:dyDescent="0.15">
      <c r="W202" s="206">
        <f>Admin!B202</f>
        <v>45588</v>
      </c>
    </row>
    <row r="203" spans="23:23" x14ac:dyDescent="0.15">
      <c r="W203" s="206">
        <f>Admin!B203</f>
        <v>45589</v>
      </c>
    </row>
    <row r="204" spans="23:23" x14ac:dyDescent="0.15">
      <c r="W204" s="206">
        <f>Admin!B204</f>
        <v>45590</v>
      </c>
    </row>
    <row r="205" spans="23:23" x14ac:dyDescent="0.15">
      <c r="W205" s="206">
        <f>Admin!B205</f>
        <v>45591</v>
      </c>
    </row>
    <row r="206" spans="23:23" x14ac:dyDescent="0.15">
      <c r="W206" s="206">
        <f>Admin!B206</f>
        <v>45592</v>
      </c>
    </row>
    <row r="207" spans="23:23" x14ac:dyDescent="0.15">
      <c r="W207" s="206">
        <f>Admin!B207</f>
        <v>45593</v>
      </c>
    </row>
    <row r="208" spans="23:23" x14ac:dyDescent="0.15">
      <c r="W208" s="206">
        <f>Admin!B208</f>
        <v>45594</v>
      </c>
    </row>
    <row r="209" spans="23:23" x14ac:dyDescent="0.15">
      <c r="W209" s="206">
        <f>Admin!B209</f>
        <v>45595</v>
      </c>
    </row>
    <row r="210" spans="23:23" x14ac:dyDescent="0.15">
      <c r="W210" s="206">
        <f>Admin!B210</f>
        <v>45596</v>
      </c>
    </row>
    <row r="211" spans="23:23" x14ac:dyDescent="0.15">
      <c r="W211" s="206">
        <f>Admin!B211</f>
        <v>45597</v>
      </c>
    </row>
    <row r="212" spans="23:23" x14ac:dyDescent="0.15">
      <c r="W212" s="206">
        <f>Admin!B212</f>
        <v>45598</v>
      </c>
    </row>
    <row r="213" spans="23:23" x14ac:dyDescent="0.15">
      <c r="W213" s="206">
        <f>Admin!B213</f>
        <v>45599</v>
      </c>
    </row>
    <row r="214" spans="23:23" x14ac:dyDescent="0.15">
      <c r="W214" s="206">
        <f>Admin!B214</f>
        <v>45600</v>
      </c>
    </row>
    <row r="215" spans="23:23" x14ac:dyDescent="0.15">
      <c r="W215" s="206">
        <f>Admin!B215</f>
        <v>45601</v>
      </c>
    </row>
    <row r="216" spans="23:23" x14ac:dyDescent="0.15">
      <c r="W216" s="206">
        <f>Admin!B216</f>
        <v>45602</v>
      </c>
    </row>
    <row r="217" spans="23:23" x14ac:dyDescent="0.15">
      <c r="W217" s="206">
        <f>Admin!B217</f>
        <v>45603</v>
      </c>
    </row>
    <row r="218" spans="23:23" x14ac:dyDescent="0.15">
      <c r="W218" s="206">
        <f>Admin!B218</f>
        <v>45604</v>
      </c>
    </row>
    <row r="219" spans="23:23" x14ac:dyDescent="0.15">
      <c r="W219" s="206">
        <f>Admin!B219</f>
        <v>45605</v>
      </c>
    </row>
    <row r="220" spans="23:23" x14ac:dyDescent="0.15">
      <c r="W220" s="206">
        <f>Admin!B220</f>
        <v>45606</v>
      </c>
    </row>
    <row r="221" spans="23:23" x14ac:dyDescent="0.15">
      <c r="W221" s="206">
        <f>Admin!B221</f>
        <v>45607</v>
      </c>
    </row>
    <row r="222" spans="23:23" x14ac:dyDescent="0.15">
      <c r="W222" s="206">
        <f>Admin!B222</f>
        <v>45608</v>
      </c>
    </row>
    <row r="223" spans="23:23" x14ac:dyDescent="0.15">
      <c r="W223" s="206">
        <f>Admin!B223</f>
        <v>45609</v>
      </c>
    </row>
    <row r="224" spans="23:23" x14ac:dyDescent="0.15">
      <c r="W224" s="206">
        <f>Admin!B224</f>
        <v>45610</v>
      </c>
    </row>
    <row r="225" spans="23:23" x14ac:dyDescent="0.15">
      <c r="W225" s="206">
        <f>Admin!B225</f>
        <v>45611</v>
      </c>
    </row>
    <row r="226" spans="23:23" x14ac:dyDescent="0.15">
      <c r="W226" s="206">
        <f>Admin!B226</f>
        <v>45612</v>
      </c>
    </row>
    <row r="227" spans="23:23" x14ac:dyDescent="0.15">
      <c r="W227" s="206">
        <f>Admin!B227</f>
        <v>45613</v>
      </c>
    </row>
    <row r="228" spans="23:23" x14ac:dyDescent="0.15">
      <c r="W228" s="206">
        <f>Admin!B228</f>
        <v>45614</v>
      </c>
    </row>
    <row r="229" spans="23:23" x14ac:dyDescent="0.15">
      <c r="W229" s="206">
        <f>Admin!B229</f>
        <v>45615</v>
      </c>
    </row>
    <row r="230" spans="23:23" x14ac:dyDescent="0.15">
      <c r="W230" s="206">
        <f>Admin!B230</f>
        <v>45616</v>
      </c>
    </row>
    <row r="231" spans="23:23" x14ac:dyDescent="0.15">
      <c r="W231" s="206">
        <f>Admin!B231</f>
        <v>45617</v>
      </c>
    </row>
    <row r="232" spans="23:23" x14ac:dyDescent="0.15">
      <c r="W232" s="206">
        <f>Admin!B232</f>
        <v>45618</v>
      </c>
    </row>
    <row r="233" spans="23:23" x14ac:dyDescent="0.15">
      <c r="W233" s="206">
        <f>Admin!B233</f>
        <v>45619</v>
      </c>
    </row>
    <row r="234" spans="23:23" x14ac:dyDescent="0.15">
      <c r="W234" s="206">
        <f>Admin!B234</f>
        <v>45620</v>
      </c>
    </row>
    <row r="235" spans="23:23" x14ac:dyDescent="0.15">
      <c r="W235" s="206">
        <f>Admin!B235</f>
        <v>45621</v>
      </c>
    </row>
    <row r="236" spans="23:23" x14ac:dyDescent="0.15">
      <c r="W236" s="206">
        <f>Admin!B236</f>
        <v>45622</v>
      </c>
    </row>
    <row r="237" spans="23:23" x14ac:dyDescent="0.15">
      <c r="W237" s="206">
        <f>Admin!B237</f>
        <v>45623</v>
      </c>
    </row>
    <row r="238" spans="23:23" x14ac:dyDescent="0.15">
      <c r="W238" s="206">
        <f>Admin!B238</f>
        <v>45624</v>
      </c>
    </row>
    <row r="239" spans="23:23" x14ac:dyDescent="0.15">
      <c r="W239" s="206">
        <f>Admin!B239</f>
        <v>45625</v>
      </c>
    </row>
    <row r="240" spans="23:23" x14ac:dyDescent="0.15">
      <c r="W240" s="206">
        <f>Admin!B240</f>
        <v>45626</v>
      </c>
    </row>
    <row r="241" spans="23:23" x14ac:dyDescent="0.15">
      <c r="W241" s="206">
        <f>Admin!B241</f>
        <v>45627</v>
      </c>
    </row>
    <row r="242" spans="23:23" x14ac:dyDescent="0.15">
      <c r="W242" s="206">
        <f>Admin!B242</f>
        <v>45628</v>
      </c>
    </row>
    <row r="243" spans="23:23" x14ac:dyDescent="0.15">
      <c r="W243" s="206">
        <f>Admin!B243</f>
        <v>45629</v>
      </c>
    </row>
    <row r="244" spans="23:23" x14ac:dyDescent="0.15">
      <c r="W244" s="206">
        <f>Admin!B244</f>
        <v>45630</v>
      </c>
    </row>
    <row r="245" spans="23:23" x14ac:dyDescent="0.15">
      <c r="W245" s="206">
        <f>Admin!B245</f>
        <v>45631</v>
      </c>
    </row>
    <row r="246" spans="23:23" x14ac:dyDescent="0.15">
      <c r="W246" s="206">
        <f>Admin!B246</f>
        <v>45632</v>
      </c>
    </row>
    <row r="247" spans="23:23" x14ac:dyDescent="0.15">
      <c r="W247" s="206">
        <f>Admin!B247</f>
        <v>45633</v>
      </c>
    </row>
    <row r="248" spans="23:23" x14ac:dyDescent="0.15">
      <c r="W248" s="206">
        <f>Admin!B248</f>
        <v>45634</v>
      </c>
    </row>
    <row r="249" spans="23:23" x14ac:dyDescent="0.15">
      <c r="W249" s="206">
        <f>Admin!B249</f>
        <v>45635</v>
      </c>
    </row>
    <row r="250" spans="23:23" x14ac:dyDescent="0.15">
      <c r="W250" s="206">
        <f>Admin!B250</f>
        <v>45636</v>
      </c>
    </row>
    <row r="251" spans="23:23" x14ac:dyDescent="0.15">
      <c r="W251" s="206">
        <f>Admin!B251</f>
        <v>45637</v>
      </c>
    </row>
    <row r="252" spans="23:23" x14ac:dyDescent="0.15">
      <c r="W252" s="206">
        <f>Admin!B252</f>
        <v>45638</v>
      </c>
    </row>
    <row r="253" spans="23:23" x14ac:dyDescent="0.15">
      <c r="W253" s="206">
        <f>Admin!B253</f>
        <v>45639</v>
      </c>
    </row>
    <row r="254" spans="23:23" x14ac:dyDescent="0.15">
      <c r="W254" s="206">
        <f>Admin!B254</f>
        <v>45640</v>
      </c>
    </row>
    <row r="255" spans="23:23" x14ac:dyDescent="0.15">
      <c r="W255" s="206">
        <f>Admin!B255</f>
        <v>45641</v>
      </c>
    </row>
    <row r="256" spans="23:23" x14ac:dyDescent="0.15">
      <c r="W256" s="206">
        <f>Admin!B256</f>
        <v>45642</v>
      </c>
    </row>
    <row r="257" spans="23:23" x14ac:dyDescent="0.15">
      <c r="W257" s="206">
        <f>Admin!B257</f>
        <v>45643</v>
      </c>
    </row>
    <row r="258" spans="23:23" x14ac:dyDescent="0.15">
      <c r="W258" s="206">
        <f>Admin!B258</f>
        <v>45644</v>
      </c>
    </row>
    <row r="259" spans="23:23" x14ac:dyDescent="0.15">
      <c r="W259" s="206">
        <f>Admin!B259</f>
        <v>45645</v>
      </c>
    </row>
    <row r="260" spans="23:23" x14ac:dyDescent="0.15">
      <c r="W260" s="206">
        <f>Admin!B260</f>
        <v>45646</v>
      </c>
    </row>
    <row r="261" spans="23:23" x14ac:dyDescent="0.15">
      <c r="W261" s="206">
        <f>Admin!B261</f>
        <v>45647</v>
      </c>
    </row>
    <row r="262" spans="23:23" x14ac:dyDescent="0.15">
      <c r="W262" s="206">
        <f>Admin!B262</f>
        <v>45648</v>
      </c>
    </row>
    <row r="263" spans="23:23" x14ac:dyDescent="0.15">
      <c r="W263" s="206">
        <f>Admin!B263</f>
        <v>45649</v>
      </c>
    </row>
    <row r="264" spans="23:23" x14ac:dyDescent="0.15">
      <c r="W264" s="206">
        <f>Admin!B264</f>
        <v>45650</v>
      </c>
    </row>
    <row r="265" spans="23:23" x14ac:dyDescent="0.15">
      <c r="W265" s="206">
        <f>Admin!B265</f>
        <v>45651</v>
      </c>
    </row>
    <row r="266" spans="23:23" x14ac:dyDescent="0.15">
      <c r="W266" s="206">
        <f>Admin!B266</f>
        <v>45652</v>
      </c>
    </row>
    <row r="267" spans="23:23" x14ac:dyDescent="0.15">
      <c r="W267" s="206">
        <f>Admin!B267</f>
        <v>45653</v>
      </c>
    </row>
    <row r="268" spans="23:23" x14ac:dyDescent="0.15">
      <c r="W268" s="206">
        <f>Admin!B268</f>
        <v>45654</v>
      </c>
    </row>
    <row r="269" spans="23:23" x14ac:dyDescent="0.15">
      <c r="W269" s="206">
        <f>Admin!B269</f>
        <v>45655</v>
      </c>
    </row>
    <row r="270" spans="23:23" x14ac:dyDescent="0.15">
      <c r="W270" s="206">
        <f>Admin!B270</f>
        <v>45656</v>
      </c>
    </row>
    <row r="271" spans="23:23" x14ac:dyDescent="0.15">
      <c r="W271" s="206">
        <f>Admin!B271</f>
        <v>45657</v>
      </c>
    </row>
    <row r="272" spans="23:23" x14ac:dyDescent="0.15">
      <c r="W272" s="206">
        <f>Admin!B272</f>
        <v>45658</v>
      </c>
    </row>
    <row r="273" spans="23:23" x14ac:dyDescent="0.15">
      <c r="W273" s="206">
        <f>Admin!B273</f>
        <v>45659</v>
      </c>
    </row>
    <row r="274" spans="23:23" x14ac:dyDescent="0.15">
      <c r="W274" s="206">
        <f>Admin!B274</f>
        <v>45660</v>
      </c>
    </row>
    <row r="275" spans="23:23" x14ac:dyDescent="0.15">
      <c r="W275" s="206">
        <f>Admin!B275</f>
        <v>45661</v>
      </c>
    </row>
    <row r="276" spans="23:23" x14ac:dyDescent="0.15">
      <c r="W276" s="206">
        <f>Admin!B276</f>
        <v>45662</v>
      </c>
    </row>
    <row r="277" spans="23:23" x14ac:dyDescent="0.15">
      <c r="W277" s="206">
        <f>Admin!B277</f>
        <v>45663</v>
      </c>
    </row>
    <row r="278" spans="23:23" x14ac:dyDescent="0.15">
      <c r="W278" s="206">
        <f>Admin!B278</f>
        <v>45664</v>
      </c>
    </row>
    <row r="279" spans="23:23" x14ac:dyDescent="0.15">
      <c r="W279" s="206">
        <f>Admin!B279</f>
        <v>45665</v>
      </c>
    </row>
    <row r="280" spans="23:23" x14ac:dyDescent="0.15">
      <c r="W280" s="206">
        <f>Admin!B280</f>
        <v>45666</v>
      </c>
    </row>
    <row r="281" spans="23:23" x14ac:dyDescent="0.15">
      <c r="W281" s="206">
        <f>Admin!B281</f>
        <v>45667</v>
      </c>
    </row>
    <row r="282" spans="23:23" x14ac:dyDescent="0.15">
      <c r="W282" s="206">
        <f>Admin!B282</f>
        <v>45668</v>
      </c>
    </row>
    <row r="283" spans="23:23" x14ac:dyDescent="0.15">
      <c r="W283" s="206">
        <f>Admin!B283</f>
        <v>45669</v>
      </c>
    </row>
    <row r="284" spans="23:23" x14ac:dyDescent="0.15">
      <c r="W284" s="206">
        <f>Admin!B284</f>
        <v>45670</v>
      </c>
    </row>
    <row r="285" spans="23:23" x14ac:dyDescent="0.15">
      <c r="W285" s="206">
        <f>Admin!B285</f>
        <v>45671</v>
      </c>
    </row>
    <row r="286" spans="23:23" x14ac:dyDescent="0.15">
      <c r="W286" s="206">
        <f>Admin!B286</f>
        <v>45672</v>
      </c>
    </row>
    <row r="287" spans="23:23" x14ac:dyDescent="0.15">
      <c r="W287" s="206">
        <f>Admin!B287</f>
        <v>45673</v>
      </c>
    </row>
    <row r="288" spans="23:23" x14ac:dyDescent="0.15">
      <c r="W288" s="206">
        <f>Admin!B288</f>
        <v>45674</v>
      </c>
    </row>
    <row r="289" spans="23:23" x14ac:dyDescent="0.15">
      <c r="W289" s="206">
        <f>Admin!B289</f>
        <v>45675</v>
      </c>
    </row>
    <row r="290" spans="23:23" x14ac:dyDescent="0.15">
      <c r="W290" s="206">
        <f>Admin!B290</f>
        <v>45676</v>
      </c>
    </row>
    <row r="291" spans="23:23" x14ac:dyDescent="0.15">
      <c r="W291" s="206">
        <f>Admin!B291</f>
        <v>45677</v>
      </c>
    </row>
    <row r="292" spans="23:23" x14ac:dyDescent="0.15">
      <c r="W292" s="206">
        <f>Admin!B292</f>
        <v>45678</v>
      </c>
    </row>
    <row r="293" spans="23:23" x14ac:dyDescent="0.15">
      <c r="W293" s="206">
        <f>Admin!B293</f>
        <v>45679</v>
      </c>
    </row>
    <row r="294" spans="23:23" x14ac:dyDescent="0.15">
      <c r="W294" s="206">
        <f>Admin!B294</f>
        <v>45680</v>
      </c>
    </row>
    <row r="295" spans="23:23" x14ac:dyDescent="0.15">
      <c r="W295" s="206">
        <f>Admin!B295</f>
        <v>45681</v>
      </c>
    </row>
    <row r="296" spans="23:23" x14ac:dyDescent="0.15">
      <c r="W296" s="206">
        <f>Admin!B296</f>
        <v>45682</v>
      </c>
    </row>
    <row r="297" spans="23:23" x14ac:dyDescent="0.15">
      <c r="W297" s="206">
        <f>Admin!B297</f>
        <v>45683</v>
      </c>
    </row>
    <row r="298" spans="23:23" x14ac:dyDescent="0.15">
      <c r="W298" s="206">
        <f>Admin!B298</f>
        <v>45684</v>
      </c>
    </row>
    <row r="299" spans="23:23" x14ac:dyDescent="0.15">
      <c r="W299" s="206">
        <f>Admin!B299</f>
        <v>45685</v>
      </c>
    </row>
    <row r="300" spans="23:23" x14ac:dyDescent="0.15">
      <c r="W300" s="206">
        <f>Admin!B300</f>
        <v>45686</v>
      </c>
    </row>
    <row r="301" spans="23:23" x14ac:dyDescent="0.15">
      <c r="W301" s="206">
        <f>Admin!B301</f>
        <v>45687</v>
      </c>
    </row>
    <row r="302" spans="23:23" x14ac:dyDescent="0.15">
      <c r="W302" s="206">
        <f>Admin!B302</f>
        <v>45688</v>
      </c>
    </row>
    <row r="303" spans="23:23" x14ac:dyDescent="0.15">
      <c r="W303" s="206">
        <f>Admin!B303</f>
        <v>45689</v>
      </c>
    </row>
    <row r="304" spans="23:23" x14ac:dyDescent="0.15">
      <c r="W304" s="206">
        <f>Admin!B304</f>
        <v>45690</v>
      </c>
    </row>
    <row r="305" spans="23:23" x14ac:dyDescent="0.15">
      <c r="W305" s="206">
        <f>Admin!B305</f>
        <v>45691</v>
      </c>
    </row>
    <row r="306" spans="23:23" x14ac:dyDescent="0.15">
      <c r="W306" s="206">
        <f>Admin!B306</f>
        <v>45692</v>
      </c>
    </row>
    <row r="307" spans="23:23" x14ac:dyDescent="0.15">
      <c r="W307" s="206">
        <f>Admin!B307</f>
        <v>45693</v>
      </c>
    </row>
    <row r="308" spans="23:23" x14ac:dyDescent="0.15">
      <c r="W308" s="206">
        <f>Admin!B308</f>
        <v>45694</v>
      </c>
    </row>
    <row r="309" spans="23:23" x14ac:dyDescent="0.15">
      <c r="W309" s="206">
        <f>Admin!B309</f>
        <v>45695</v>
      </c>
    </row>
    <row r="310" spans="23:23" x14ac:dyDescent="0.15">
      <c r="W310" s="206">
        <f>Admin!B310</f>
        <v>45696</v>
      </c>
    </row>
    <row r="311" spans="23:23" x14ac:dyDescent="0.15">
      <c r="W311" s="206">
        <f>Admin!B311</f>
        <v>45697</v>
      </c>
    </row>
    <row r="312" spans="23:23" x14ac:dyDescent="0.15">
      <c r="W312" s="206">
        <f>Admin!B312</f>
        <v>45698</v>
      </c>
    </row>
    <row r="313" spans="23:23" x14ac:dyDescent="0.15">
      <c r="W313" s="206">
        <f>Admin!B313</f>
        <v>45699</v>
      </c>
    </row>
    <row r="314" spans="23:23" x14ac:dyDescent="0.15">
      <c r="W314" s="206">
        <f>Admin!B314</f>
        <v>45700</v>
      </c>
    </row>
    <row r="315" spans="23:23" x14ac:dyDescent="0.15">
      <c r="W315" s="206">
        <f>Admin!B315</f>
        <v>45701</v>
      </c>
    </row>
    <row r="316" spans="23:23" x14ac:dyDescent="0.15">
      <c r="W316" s="206">
        <f>Admin!B316</f>
        <v>45702</v>
      </c>
    </row>
    <row r="317" spans="23:23" x14ac:dyDescent="0.15">
      <c r="W317" s="206">
        <f>Admin!B317</f>
        <v>45703</v>
      </c>
    </row>
    <row r="318" spans="23:23" x14ac:dyDescent="0.15">
      <c r="W318" s="206">
        <f>Admin!B318</f>
        <v>45704</v>
      </c>
    </row>
    <row r="319" spans="23:23" x14ac:dyDescent="0.15">
      <c r="W319" s="206">
        <f>Admin!B319</f>
        <v>45705</v>
      </c>
    </row>
    <row r="320" spans="23:23" x14ac:dyDescent="0.15">
      <c r="W320" s="206">
        <f>Admin!B320</f>
        <v>45706</v>
      </c>
    </row>
    <row r="321" spans="23:23" x14ac:dyDescent="0.15">
      <c r="W321" s="206">
        <f>Admin!B321</f>
        <v>45707</v>
      </c>
    </row>
    <row r="322" spans="23:23" x14ac:dyDescent="0.15">
      <c r="W322" s="206">
        <f>Admin!B322</f>
        <v>45708</v>
      </c>
    </row>
    <row r="323" spans="23:23" x14ac:dyDescent="0.15">
      <c r="W323" s="206">
        <f>Admin!B323</f>
        <v>45709</v>
      </c>
    </row>
    <row r="324" spans="23:23" x14ac:dyDescent="0.15">
      <c r="W324" s="206">
        <f>Admin!B324</f>
        <v>45710</v>
      </c>
    </row>
    <row r="325" spans="23:23" x14ac:dyDescent="0.15">
      <c r="W325" s="206">
        <f>Admin!B325</f>
        <v>45711</v>
      </c>
    </row>
    <row r="326" spans="23:23" x14ac:dyDescent="0.15">
      <c r="W326" s="206">
        <f>Admin!B326</f>
        <v>45712</v>
      </c>
    </row>
    <row r="327" spans="23:23" x14ac:dyDescent="0.15">
      <c r="W327" s="206">
        <f>Admin!B327</f>
        <v>45713</v>
      </c>
    </row>
    <row r="328" spans="23:23" x14ac:dyDescent="0.15">
      <c r="W328" s="206">
        <f>Admin!B328</f>
        <v>45714</v>
      </c>
    </row>
    <row r="329" spans="23:23" x14ac:dyDescent="0.15">
      <c r="W329" s="206">
        <f>Admin!B329</f>
        <v>45715</v>
      </c>
    </row>
    <row r="330" spans="23:23" x14ac:dyDescent="0.15">
      <c r="W330" s="206">
        <f>Admin!B330</f>
        <v>45716</v>
      </c>
    </row>
    <row r="331" spans="23:23" x14ac:dyDescent="0.15">
      <c r="W331" s="206">
        <f>Admin!B331</f>
        <v>45717</v>
      </c>
    </row>
    <row r="332" spans="23:23" x14ac:dyDescent="0.15">
      <c r="W332" s="206">
        <f>Admin!B332</f>
        <v>45718</v>
      </c>
    </row>
    <row r="333" spans="23:23" x14ac:dyDescent="0.15">
      <c r="W333" s="206">
        <f>Admin!B333</f>
        <v>45719</v>
      </c>
    </row>
    <row r="334" spans="23:23" x14ac:dyDescent="0.15">
      <c r="W334" s="206">
        <f>Admin!B334</f>
        <v>45720</v>
      </c>
    </row>
    <row r="335" spans="23:23" x14ac:dyDescent="0.15">
      <c r="W335" s="206">
        <f>Admin!B335</f>
        <v>45721</v>
      </c>
    </row>
    <row r="336" spans="23:23" x14ac:dyDescent="0.15">
      <c r="W336" s="206">
        <f>Admin!B336</f>
        <v>45722</v>
      </c>
    </row>
    <row r="337" spans="23:23" x14ac:dyDescent="0.15">
      <c r="W337" s="206">
        <f>Admin!B337</f>
        <v>45723</v>
      </c>
    </row>
    <row r="338" spans="23:23" x14ac:dyDescent="0.15">
      <c r="W338" s="206">
        <f>Admin!B338</f>
        <v>45724</v>
      </c>
    </row>
    <row r="339" spans="23:23" x14ac:dyDescent="0.15">
      <c r="W339" s="206">
        <f>Admin!B339</f>
        <v>45725</v>
      </c>
    </row>
    <row r="340" spans="23:23" x14ac:dyDescent="0.15">
      <c r="W340" s="206">
        <f>Admin!B340</f>
        <v>45726</v>
      </c>
    </row>
    <row r="341" spans="23:23" x14ac:dyDescent="0.15">
      <c r="W341" s="206">
        <f>Admin!B341</f>
        <v>45727</v>
      </c>
    </row>
    <row r="342" spans="23:23" x14ac:dyDescent="0.15">
      <c r="W342" s="206">
        <f>Admin!B342</f>
        <v>45728</v>
      </c>
    </row>
    <row r="343" spans="23:23" x14ac:dyDescent="0.15">
      <c r="W343" s="206">
        <f>Admin!B343</f>
        <v>45729</v>
      </c>
    </row>
    <row r="344" spans="23:23" x14ac:dyDescent="0.15">
      <c r="W344" s="206">
        <f>Admin!B344</f>
        <v>45730</v>
      </c>
    </row>
    <row r="345" spans="23:23" x14ac:dyDescent="0.15">
      <c r="W345" s="206">
        <f>Admin!B345</f>
        <v>45731</v>
      </c>
    </row>
    <row r="346" spans="23:23" x14ac:dyDescent="0.15">
      <c r="W346" s="206">
        <f>Admin!B346</f>
        <v>45732</v>
      </c>
    </row>
    <row r="347" spans="23:23" x14ac:dyDescent="0.15">
      <c r="W347" s="206">
        <f>Admin!B347</f>
        <v>45733</v>
      </c>
    </row>
    <row r="348" spans="23:23" x14ac:dyDescent="0.15">
      <c r="W348" s="206">
        <f>Admin!B348</f>
        <v>45734</v>
      </c>
    </row>
    <row r="349" spans="23:23" x14ac:dyDescent="0.15">
      <c r="W349" s="206">
        <f>Admin!B349</f>
        <v>45735</v>
      </c>
    </row>
    <row r="350" spans="23:23" x14ac:dyDescent="0.15">
      <c r="W350" s="206">
        <f>Admin!B350</f>
        <v>45736</v>
      </c>
    </row>
    <row r="351" spans="23:23" x14ac:dyDescent="0.15">
      <c r="W351" s="206">
        <f>Admin!B351</f>
        <v>45737</v>
      </c>
    </row>
    <row r="352" spans="23:23" x14ac:dyDescent="0.15">
      <c r="W352" s="206">
        <f>Admin!B352</f>
        <v>45738</v>
      </c>
    </row>
    <row r="353" spans="23:23" x14ac:dyDescent="0.15">
      <c r="W353" s="206">
        <f>Admin!B353</f>
        <v>45739</v>
      </c>
    </row>
    <row r="354" spans="23:23" x14ac:dyDescent="0.15">
      <c r="W354" s="206">
        <f>Admin!B354</f>
        <v>45740</v>
      </c>
    </row>
    <row r="355" spans="23:23" x14ac:dyDescent="0.15">
      <c r="W355" s="206">
        <f>Admin!B355</f>
        <v>45741</v>
      </c>
    </row>
    <row r="356" spans="23:23" x14ac:dyDescent="0.15">
      <c r="W356" s="206">
        <f>Admin!B356</f>
        <v>45742</v>
      </c>
    </row>
    <row r="357" spans="23:23" x14ac:dyDescent="0.15">
      <c r="W357" s="206">
        <f>Admin!B357</f>
        <v>45743</v>
      </c>
    </row>
    <row r="358" spans="23:23" x14ac:dyDescent="0.15">
      <c r="W358" s="206">
        <f>Admin!B358</f>
        <v>45744</v>
      </c>
    </row>
    <row r="359" spans="23:23" x14ac:dyDescent="0.15">
      <c r="W359" s="206">
        <f>Admin!B359</f>
        <v>45745</v>
      </c>
    </row>
    <row r="360" spans="23:23" x14ac:dyDescent="0.15">
      <c r="W360" s="206">
        <f>Admin!B360</f>
        <v>45746</v>
      </c>
    </row>
    <row r="361" spans="23:23" x14ac:dyDescent="0.15">
      <c r="W361" s="206">
        <f>Admin!B361</f>
        <v>45747</v>
      </c>
    </row>
    <row r="362" spans="23:23" x14ac:dyDescent="0.15">
      <c r="W362" s="206">
        <f>Admin!B362</f>
        <v>45748</v>
      </c>
    </row>
    <row r="363" spans="23:23" x14ac:dyDescent="0.15">
      <c r="W363" s="206">
        <f>Admin!B363</f>
        <v>45749</v>
      </c>
    </row>
    <row r="364" spans="23:23" x14ac:dyDescent="0.15">
      <c r="W364" s="206">
        <f>Admin!B364</f>
        <v>45750</v>
      </c>
    </row>
    <row r="365" spans="23:23" x14ac:dyDescent="0.15">
      <c r="W365" s="206">
        <f>Admin!B365</f>
        <v>45751</v>
      </c>
    </row>
    <row r="366" spans="23:23" x14ac:dyDescent="0.15">
      <c r="W366" s="206">
        <f>Admin!B366</f>
        <v>45752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45388</v>
      </c>
      <c r="L9" s="200" t="s">
        <v>76</v>
      </c>
      <c r="M9" s="202">
        <f>K9+4</f>
        <v>45392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45393</v>
      </c>
      <c r="L19" s="200" t="s">
        <v>76</v>
      </c>
      <c r="M19" s="202">
        <f>K19+6</f>
        <v>45399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45400</v>
      </c>
      <c r="L29" s="200" t="s">
        <v>76</v>
      </c>
      <c r="M29" s="202">
        <f>K29+6</f>
        <v>45406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45407</v>
      </c>
      <c r="L39" s="200" t="s">
        <v>76</v>
      </c>
      <c r="M39" s="202">
        <f>K39+6</f>
        <v>45413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Admin!B2</f>
        <v>45388</v>
      </c>
      <c r="L49" s="203" t="s">
        <v>76</v>
      </c>
      <c r="M49" s="205">
        <f>Admin!B26</f>
        <v>45412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Apr!M39+1</f>
        <v>45414</v>
      </c>
      <c r="L9" s="203" t="s">
        <v>76</v>
      </c>
      <c r="M9" s="205">
        <f>K9+6</f>
        <v>45420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IF(T$9="Y",Apr!H41,0)</f>
        <v>0</v>
      </c>
      <c r="I11" s="89">
        <f>IF(T$9="Y",Apr!I41,0)</f>
        <v>0</v>
      </c>
      <c r="J11" s="89">
        <f>IF(T$9="Y",Apr!J41,0)</f>
        <v>0</v>
      </c>
      <c r="K11" s="89">
        <f>IF(T$9="Y",Apr!K41,I11*J11)</f>
        <v>0</v>
      </c>
      <c r="L11" s="110">
        <f>IF(T$9="Y",Apr!L41,0)</f>
        <v>0</v>
      </c>
      <c r="M11" s="110" t="str">
        <f>IF(E11=" "," ",IF(T$9="Y",Apr!M41,IF((H11+K11+L11)&gt;0,H11+K11+L11,"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IF(Employee!H$34=E$9,Employee!D$34+SUM(M11)+Apr!V41,SUM(M11)+Apr!V41)</f>
        <v>0</v>
      </c>
      <c r="W11" s="49">
        <f>IF(Employee!H$34=E$9,Employee!D$35+SUM(N11)+Apr!W41,SUM(N11)+Apr!W41)</f>
        <v>0</v>
      </c>
      <c r="X11" s="49">
        <f>IF(O11=" ",Apr!X41,O11+Apr!X41)</f>
        <v>0</v>
      </c>
      <c r="Y11" s="49">
        <f>IF(P11=" ",Apr!Y41,P11+Apr!Y41)</f>
        <v>0</v>
      </c>
      <c r="Z11" s="49">
        <f>IF(Q11=" ",Apr!Z41,Q11+Apr!Z41)</f>
        <v>0</v>
      </c>
      <c r="AA11" s="49">
        <f>IF(R11=" ",Apr!AA41,R11+Apr!AA41)</f>
        <v>0</v>
      </c>
      <c r="AC11" s="49">
        <f>IF(T11=" ",Apr!AC41,T11+Apr!AC41)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IF(T$9="Y",Apr!H42,0)</f>
        <v>0</v>
      </c>
      <c r="I12" s="92">
        <f>IF(T$9="Y",Apr!I42,0)</f>
        <v>0</v>
      </c>
      <c r="J12" s="92">
        <f>IF(T$9="Y",Apr!J42,0)</f>
        <v>0</v>
      </c>
      <c r="K12" s="92">
        <f>IF(T$9="Y",Apr!K42,I12*J12)</f>
        <v>0</v>
      </c>
      <c r="L12" s="111">
        <f>IF(T$9="Y",Apr!L42,0)</f>
        <v>0</v>
      </c>
      <c r="M12" s="111" t="str">
        <f>IF(E12=" "," ",IF(T$9="Y",Apr!M42,IF((H12+K12+L12)&gt;0,H12+K12+L12,"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IF(Employee!H$60=E$9,Employee!D$60+SUM(M12)+Apr!V42,SUM(M12)+Apr!V42)</f>
        <v>0</v>
      </c>
      <c r="W12" s="49">
        <f>IF(Employee!H$60=E$9,Employee!D$61+SUM(N12)+Apr!W42,SUM(N12)+Apr!W42)</f>
        <v>0</v>
      </c>
      <c r="X12" s="49">
        <f>IF(O12=" ",Apr!X42,O12+Apr!X42)</f>
        <v>0</v>
      </c>
      <c r="Y12" s="49">
        <f>IF(P12=" ",Apr!Y42,P12+Apr!Y42)</f>
        <v>0</v>
      </c>
      <c r="Z12" s="49">
        <f>IF(Q12=" ",Apr!Z42,Q12+Apr!Z42)</f>
        <v>0</v>
      </c>
      <c r="AA12" s="49">
        <f>IF(R12=" ",Apr!AA42,R12+Apr!AA42)</f>
        <v>0</v>
      </c>
      <c r="AC12" s="49">
        <f>IF(T12=" ",Apr!AC42,T12+Apr!AC42)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IF(T$9="Y",Apr!H43,0)</f>
        <v>0</v>
      </c>
      <c r="I13" s="92">
        <f>IF(T$9="Y",Apr!I43,0)</f>
        <v>0</v>
      </c>
      <c r="J13" s="92">
        <f>IF(T$9="Y",Apr!J43,0)</f>
        <v>0</v>
      </c>
      <c r="K13" s="92">
        <f>IF(T$9="Y",Apr!K43,I13*J13)</f>
        <v>0</v>
      </c>
      <c r="L13" s="111">
        <f>IF(T$9="Y",Apr!L43,0)</f>
        <v>0</v>
      </c>
      <c r="M13" s="111" t="str">
        <f>IF(E13=" "," ",IF(T$9="Y",Apr!M43,IF((H13+K13+L13)&gt;0,H13+K13+L13,"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IF(Employee!H$86=E$9,Employee!D$86+SUM(M13)+Apr!V43,SUM(M13)+Apr!V43)</f>
        <v>0</v>
      </c>
      <c r="W13" s="49">
        <f>IF(Employee!H$86=E$9,Employee!D$87+SUM(N13)+Apr!W43,SUM(N13)+Apr!W43)</f>
        <v>0</v>
      </c>
      <c r="X13" s="49">
        <f>IF(O13=" ",Apr!X43,O13+Apr!X43)</f>
        <v>0</v>
      </c>
      <c r="Y13" s="49">
        <f>IF(P13=" ",Apr!Y43,P13+Apr!Y43)</f>
        <v>0</v>
      </c>
      <c r="Z13" s="49">
        <f>IF(Q13=" ",Apr!Z43,Q13+Apr!Z43)</f>
        <v>0</v>
      </c>
      <c r="AA13" s="49">
        <f>IF(R13=" ",Apr!AA43,R13+Apr!AA43)</f>
        <v>0</v>
      </c>
      <c r="AC13" s="49">
        <f>IF(T13=" ",Apr!AC43,T13+Apr!AC43)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IF(T$9="Y",Apr!H44,0)</f>
        <v>0</v>
      </c>
      <c r="I14" s="92">
        <f>IF(T$9="Y",Apr!I44,0)</f>
        <v>0</v>
      </c>
      <c r="J14" s="92">
        <f>IF(T$9="Y",Apr!J44,0)</f>
        <v>0</v>
      </c>
      <c r="K14" s="92">
        <f>IF(T$9="Y",Apr!K44,I14*J14)</f>
        <v>0</v>
      </c>
      <c r="L14" s="111">
        <f>IF(T$9="Y",Apr!L44,0)</f>
        <v>0</v>
      </c>
      <c r="M14" s="111" t="str">
        <f>IF(E14=" "," ",IF(T$9="Y",Apr!M44,IF((H14+K14+L14)&gt;0,H14+K14+L14,"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IF(Employee!H$112=E$9,Employee!D$112+SUM(M14)+Apr!V44,SUM(M14)+Apr!V44)</f>
        <v>0</v>
      </c>
      <c r="W14" s="49">
        <f>IF(Employee!H$112=E$9,Employee!D$113+SUM(N14)+Apr!W44,SUM(N14)+Apr!W44)</f>
        <v>0</v>
      </c>
      <c r="X14" s="49">
        <f>IF(O14=" ",Apr!X44,O14+Apr!X44)</f>
        <v>0</v>
      </c>
      <c r="Y14" s="49">
        <f>IF(P14=" ",Apr!Y44,P14+Apr!Y44)</f>
        <v>0</v>
      </c>
      <c r="Z14" s="49">
        <f>IF(Q14=" ",Apr!Z44,Q14+Apr!Z44)</f>
        <v>0</v>
      </c>
      <c r="AA14" s="49">
        <f>IF(R14=" ",Apr!AA44,R14+Apr!AA44)</f>
        <v>0</v>
      </c>
      <c r="AC14" s="49">
        <f>IF(T14=" ",Apr!AC44,T14+Apr!AC44)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IF(T$9="Y",Apr!H45,0)</f>
        <v>0</v>
      </c>
      <c r="I15" s="245">
        <f>IF(T$9="Y",Apr!I45,0)</f>
        <v>0</v>
      </c>
      <c r="J15" s="245">
        <f>IF(T$9="Y",Apr!J45,0)</f>
        <v>0</v>
      </c>
      <c r="K15" s="245">
        <f>IF(T$9="Y",Apr!K45,I15*J15)</f>
        <v>0</v>
      </c>
      <c r="L15" s="246">
        <f>IF(T$9="Y",Apr!L45,0)</f>
        <v>0</v>
      </c>
      <c r="M15" s="111" t="str">
        <f>IF(E15=" "," ",IF(T$9="Y",Apr!M45,IF((H15+K15+L15)&gt;0,H15+K15+L15,"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IF(Employee!H$138=E$9,Employee!D$138+SUM(M15)+Apr!V45,SUM(M15)+Apr!V45)</f>
        <v>0</v>
      </c>
      <c r="W15" s="49">
        <f>IF(Employee!H$138=E$9,Employee!D$139+SUM(N15)+Apr!W45,SUM(N15)+Apr!W45)</f>
        <v>0</v>
      </c>
      <c r="X15" s="49">
        <f>IF(O15=" ",Apr!X45,O15+Apr!X45)</f>
        <v>0</v>
      </c>
      <c r="Y15" s="49">
        <f>IF(P15=" ",Apr!Y45,P15+Apr!Y45)</f>
        <v>0</v>
      </c>
      <c r="Z15" s="49">
        <f>IF(Q15=" ",Apr!Z45,Q15+Apr!Z45)</f>
        <v>0</v>
      </c>
      <c r="AA15" s="49">
        <f>IF(R15=" ",Apr!AA45,R15+Apr!AA45)</f>
        <v>0</v>
      </c>
      <c r="AC15" s="49">
        <f>IF(T15=" ",Apr!AC45,T15+Apr!AC45)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45421</v>
      </c>
      <c r="L19" s="203" t="s">
        <v>76</v>
      </c>
      <c r="M19" s="205">
        <f>K19+6</f>
        <v>45427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45428</v>
      </c>
      <c r="L29" s="203" t="s">
        <v>76</v>
      </c>
      <c r="M29" s="205">
        <f>K29+6</f>
        <v>45434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45435</v>
      </c>
      <c r="L39" s="203" t="s">
        <v>76</v>
      </c>
      <c r="M39" s="205">
        <f>K39+6</f>
        <v>45441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Admin!B27</f>
        <v>45413</v>
      </c>
      <c r="L49" s="203" t="s">
        <v>76</v>
      </c>
      <c r="M49" s="205">
        <f>Admin!B57</f>
        <v>45443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IF(T$49="Y",Apr!H51,0)</f>
        <v>0</v>
      </c>
      <c r="I51" s="89">
        <f>IF(T$49="Y",Apr!I51,0)</f>
        <v>0</v>
      </c>
      <c r="J51" s="89">
        <f>IF(T$49="Y",Apr!J51,0)</f>
        <v>0</v>
      </c>
      <c r="K51" s="89">
        <f>IF(T$49="Y",Apr!K51,I51*J51)</f>
        <v>0</v>
      </c>
      <c r="L51" s="110">
        <f>IF(T$49="Y",Apr!L51,0)</f>
        <v>0</v>
      </c>
      <c r="M51" s="99" t="str">
        <f>IF(E51=" "," ",IF(T$49="Y",Apr!M51,IF((H51+K51+L51)&gt;0,H51+K51+L51,"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IF(Employee!H$35=E$49,Employee!D$34+SUM(M51)+Apr!V51,SUM(M51)+Apr!V51)</f>
        <v>0</v>
      </c>
      <c r="W51" s="49">
        <f>IF(Employee!H$35=E$49,Employee!D$35+SUM(N51)+Apr!W51,SUM(N51)+Apr!W51)</f>
        <v>0</v>
      </c>
      <c r="X51" s="49">
        <f>IF(O51=" ",Apr!X51,O51+Apr!X51)</f>
        <v>0</v>
      </c>
      <c r="Y51" s="49">
        <f>IF(P51=" ",Apr!Y51,P51+Apr!Y51)</f>
        <v>0</v>
      </c>
      <c r="Z51" s="49">
        <f>IF(Q51=" ",Apr!Z51,Q51+Apr!Z51)</f>
        <v>0</v>
      </c>
      <c r="AA51" s="49">
        <f>IF(R51=" ",Apr!AA51,R51+Apr!AA51)</f>
        <v>0</v>
      </c>
      <c r="AC51" s="49">
        <f>IF(T51=" ",Apr!AC51,T51+Apr!AC51)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IF(T$49="Y",Apr!H52,0)</f>
        <v>0</v>
      </c>
      <c r="I52" s="92">
        <f>IF(T$49="Y",Apr!I52,0)</f>
        <v>0</v>
      </c>
      <c r="J52" s="92">
        <f>IF(T$49="Y",Apr!J52,0)</f>
        <v>0</v>
      </c>
      <c r="K52" s="92">
        <f>IF(T$49="Y",Apr!K52,I52*J52)</f>
        <v>0</v>
      </c>
      <c r="L52" s="111">
        <f>IF(T$49="Y",Apr!L52,0)</f>
        <v>0</v>
      </c>
      <c r="M52" s="100" t="str">
        <f>IF(E52=" "," ",IF(T$49="Y",Apr!M52,IF((H52+K52+L52)&gt;0,H52+K52+L52,"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IF(Employee!H$61=E$49,Employee!D$60+SUM(M52)+Apr!V52,SUM(M52)+Apr!V52)</f>
        <v>0</v>
      </c>
      <c r="W52" s="49">
        <f>IF(Employee!H$61=E$49,Employee!D$61+SUM(N52)+Apr!W52,SUM(N52)+Apr!W52)</f>
        <v>0</v>
      </c>
      <c r="X52" s="49">
        <f>IF(O52=" ",Apr!X52,O52+Apr!X52)</f>
        <v>0</v>
      </c>
      <c r="Y52" s="49">
        <f>IF(P52=" ",Apr!Y52,P52+Apr!Y52)</f>
        <v>0</v>
      </c>
      <c r="Z52" s="49">
        <f>IF(Q52=" ",Apr!Z52,Q52+Apr!Z52)</f>
        <v>0</v>
      </c>
      <c r="AA52" s="49">
        <f>IF(R52=" ",Apr!AA52,R52+Apr!AA52)</f>
        <v>0</v>
      </c>
      <c r="AC52" s="49">
        <f>IF(T52=" ",Apr!AC52,T52+Apr!AC52)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IF(T$49="Y",Apr!H53,0)</f>
        <v>0</v>
      </c>
      <c r="I53" s="92">
        <f>IF(T$49="Y",Apr!I53,0)</f>
        <v>0</v>
      </c>
      <c r="J53" s="92">
        <f>IF(T$49="Y",Apr!J53,0)</f>
        <v>0</v>
      </c>
      <c r="K53" s="92">
        <f>IF(T$49="Y",Apr!K53,I53*J53)</f>
        <v>0</v>
      </c>
      <c r="L53" s="111">
        <f>IF(T$49="Y",Apr!L53,0)</f>
        <v>0</v>
      </c>
      <c r="M53" s="100" t="str">
        <f>IF(E53=" "," ",IF(T$49="Y",Apr!M53,IF((H53+K53+L53)&gt;0,H53+K53+L53,"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IF(Employee!H$87=E$49,Employee!D$86+SUM(M53)+Apr!V53,SUM(M53)+Apr!V53)</f>
        <v>0</v>
      </c>
      <c r="W53" s="49">
        <f>IF(Employee!H$87=E$49,Employee!D$7+SUM(N53)+Apr!W53,SUM(N53)+Apr!W53)</f>
        <v>0</v>
      </c>
      <c r="X53" s="49">
        <f>IF(O53=" ",Apr!X53,O53+Apr!X53)</f>
        <v>0</v>
      </c>
      <c r="Y53" s="49">
        <f>IF(P53=" ",Apr!Y53,P53+Apr!Y53)</f>
        <v>0</v>
      </c>
      <c r="Z53" s="49">
        <f>IF(Q53=" ",Apr!Z53,Q53+Apr!Z53)</f>
        <v>0</v>
      </c>
      <c r="AA53" s="49">
        <f>IF(R53=" ",Apr!AA53,R53+Apr!AA53)</f>
        <v>0</v>
      </c>
      <c r="AC53" s="49">
        <f>IF(T53=" ",Apr!AC53,T53+Apr!AC53)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IF(T$49="Y",Apr!H54,0)</f>
        <v>0</v>
      </c>
      <c r="I54" s="92">
        <f>IF(T$49="Y",Apr!I54,0)</f>
        <v>0</v>
      </c>
      <c r="J54" s="92">
        <f>IF(T$49="Y",Apr!J54,0)</f>
        <v>0</v>
      </c>
      <c r="K54" s="92">
        <f>IF(T$49="Y",Apr!K54,I54*J54)</f>
        <v>0</v>
      </c>
      <c r="L54" s="111">
        <f>IF(T$49="Y",Apr!L54,0)</f>
        <v>0</v>
      </c>
      <c r="M54" s="100" t="str">
        <f>IF(E54=" "," ",IF(T$49="Y",Apr!M54,IF((H54+K54+L54)&gt;0,H54+K54+L54,"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IF(Employee!H$113=E$49,Employee!D$112+SUM(M54)+Apr!V54,SUM(M54)+Apr!V54)</f>
        <v>0</v>
      </c>
      <c r="W54" s="49">
        <f>IF(Employee!H$113=E$49,Employee!D$113+SUM(N54)+Apr!W54,SUM(N54)+Apr!W54)</f>
        <v>0</v>
      </c>
      <c r="X54" s="49">
        <f>IF(O54=" ",Apr!X54,O54+Apr!X54)</f>
        <v>0</v>
      </c>
      <c r="Y54" s="49">
        <f>IF(P54=" ",Apr!Y54,P54+Apr!Y54)</f>
        <v>0</v>
      </c>
      <c r="Z54" s="49">
        <f>IF(Q54=" ",Apr!Z54,Q54+Apr!Z54)</f>
        <v>0</v>
      </c>
      <c r="AA54" s="49">
        <f>IF(R54=" ",Apr!AA54,R54+Apr!AA54)</f>
        <v>0</v>
      </c>
      <c r="AC54" s="49">
        <f>IF(T54=" ",Apr!AC54,T54+Apr!AC54)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IF(T$49="Y",Apr!H55,0)</f>
        <v>0</v>
      </c>
      <c r="I55" s="245">
        <f>IF(T$49="Y",Apr!I55,0)</f>
        <v>0</v>
      </c>
      <c r="J55" s="245">
        <f>IF(T$49="Y",Apr!J55,0)</f>
        <v>0</v>
      </c>
      <c r="K55" s="245">
        <f>IF(T$49="Y",Apr!K55,I55*J55)</f>
        <v>0</v>
      </c>
      <c r="L55" s="246">
        <f>IF(T$49="Y",Apr!L55,0)</f>
        <v>0</v>
      </c>
      <c r="M55" s="100" t="str">
        <f>IF(E55=" "," ",IF(T$49="Y",Apr!M55,IF((H55+K55+L55)&gt;0,H55+K55+L55,"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IF(Employee!H$139=E$49,Employee!D$138+SUM(M55)+Apr!V55,SUM(M55)+Apr!V55)</f>
        <v>0</v>
      </c>
      <c r="W55" s="49">
        <f>IF(Employee!H$139=E$49,Employee!D$139+SUM(N55)+Apr!W55,SUM(N55)+Apr!W55)</f>
        <v>0</v>
      </c>
      <c r="X55" s="49">
        <f>IF(O55=" ",Apr!X55,O55+Apr!X55)</f>
        <v>0</v>
      </c>
      <c r="Y55" s="49">
        <f>IF(P55=" ",Apr!Y55,P55+Apr!Y55)</f>
        <v>0</v>
      </c>
      <c r="Z55" s="49">
        <f>IF(Q55=" ",Apr!Z55,Q55+Apr!Z55)</f>
        <v>0</v>
      </c>
      <c r="AA55" s="49">
        <f>IF(R55=" ",Apr!AA55,R55+Apr!AA55)</f>
        <v>0</v>
      </c>
      <c r="AC55" s="49">
        <f>IF(T55=" ",Apr!AC55,T55+Apr!AC55)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AD60+Apr!AD65</f>
        <v>0</v>
      </c>
      <c r="AE65" s="158">
        <f>AE60+Apr!AE65</f>
        <v>0</v>
      </c>
      <c r="AF65" s="158">
        <f>AF60+Apr!AF65</f>
        <v>0</v>
      </c>
      <c r="AG65" s="158">
        <f>AG60+Apr!AG65</f>
        <v>0</v>
      </c>
    </row>
    <row r="66" spans="6:33" ht="14" thickTop="1" x14ac:dyDescent="0.15"/>
    <row r="67" spans="6:33" x14ac:dyDescent="0.15">
      <c r="AD67" s="162"/>
      <c r="AE67" s="158">
        <f>AE62+Apr!AE67</f>
        <v>0</v>
      </c>
      <c r="AF67" s="158">
        <f>AF62+Apr!AF67</f>
        <v>0</v>
      </c>
      <c r="AG67" s="158">
        <f>AG62+Apr!AG67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May!M39+1</f>
        <v>45442</v>
      </c>
      <c r="L9" s="203" t="s">
        <v>76</v>
      </c>
      <c r="M9" s="205">
        <f>K9+6</f>
        <v>45448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IF(T$9="Y",May!H41,0)</f>
        <v>0</v>
      </c>
      <c r="I11" s="89">
        <f>IF(T$9="Y",May!I41,0)</f>
        <v>0</v>
      </c>
      <c r="J11" s="89">
        <f>IF(T$9="Y",May!J41,0)</f>
        <v>0</v>
      </c>
      <c r="K11" s="89">
        <f>IF(T$9="Y",May!K41,I11*J11)</f>
        <v>0</v>
      </c>
      <c r="L11" s="110">
        <f>IF(T$9="Y",May!L41,0)</f>
        <v>0</v>
      </c>
      <c r="M11" s="110" t="str">
        <f>IF(E11=" "," ",IF(T$9="Y",May!M41,IF((H11+K11+L11)&gt;0,H11+K11+L11,"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IF(Employee!H$34=E$9,Employee!D$34+SUM(M11)+May!V41,SUM(M11)+May!V41)</f>
        <v>0</v>
      </c>
      <c r="W11" s="49">
        <f>IF(Employee!H$34=E$9,Employee!D$35+SUM(N11)+May!W41,SUM(N11)+May!W41)</f>
        <v>0</v>
      </c>
      <c r="X11" s="49">
        <f>IF(O11=" ",May!X41,O11+May!X41)</f>
        <v>0</v>
      </c>
      <c r="Y11" s="49">
        <f>IF(P11=" ",May!Y41,P11+May!Y41)</f>
        <v>0</v>
      </c>
      <c r="Z11" s="49">
        <f>IF(Q11=" ",May!Z41,Q11+May!Z41)</f>
        <v>0</v>
      </c>
      <c r="AA11" s="49">
        <f>IF(R11=" ",May!AA41,R11+May!AA41)</f>
        <v>0</v>
      </c>
      <c r="AC11" s="49">
        <f>IF(T11=" ",May!AC41,T11+May!AC41)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IF(T$9="Y",May!H42,0)</f>
        <v>0</v>
      </c>
      <c r="I12" s="92">
        <f>IF(T$9="Y",May!I42,0)</f>
        <v>0</v>
      </c>
      <c r="J12" s="92">
        <f>IF(T$9="Y",May!J42,0)</f>
        <v>0</v>
      </c>
      <c r="K12" s="92">
        <f>IF(T$9="Y",May!K42,I12*J12)</f>
        <v>0</v>
      </c>
      <c r="L12" s="111">
        <f>IF(T$9="Y",May!L42,0)</f>
        <v>0</v>
      </c>
      <c r="M12" s="111" t="str">
        <f>IF(E12=" "," ",IF(T$9="Y",May!M42,IF((H12+K12+L12)&gt;0,H12+K12+L12,"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IF(Employee!H$60=E$9,Employee!D$60+SUM(M12)+May!V42,SUM(M12)+May!V42)</f>
        <v>0</v>
      </c>
      <c r="W12" s="49">
        <f>IF(Employee!H$60=E$9,Employee!D$61+SUM(N12)+May!W42,SUM(N12)+May!W42)</f>
        <v>0</v>
      </c>
      <c r="X12" s="49">
        <f>IF(O12=" ",May!X42,O12+May!X42)</f>
        <v>0</v>
      </c>
      <c r="Y12" s="49">
        <f>IF(P12=" ",May!Y42,P12+May!Y42)</f>
        <v>0</v>
      </c>
      <c r="Z12" s="49">
        <f>IF(Q12=" ",May!Z42,Q12+May!Z42)</f>
        <v>0</v>
      </c>
      <c r="AA12" s="49">
        <f>IF(R12=" ",May!AA42,R12+May!AA42)</f>
        <v>0</v>
      </c>
      <c r="AC12" s="49">
        <f>IF(T12=" ",May!AC42,T12+May!AC42)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IF(T$9="Y",May!H43,0)</f>
        <v>0</v>
      </c>
      <c r="I13" s="92">
        <f>IF(T$9="Y",May!I43,0)</f>
        <v>0</v>
      </c>
      <c r="J13" s="92">
        <f>IF(T$9="Y",May!J43,0)</f>
        <v>0</v>
      </c>
      <c r="K13" s="92">
        <f>IF(T$9="Y",May!K43,I13*J13)</f>
        <v>0</v>
      </c>
      <c r="L13" s="111">
        <f>IF(T$9="Y",May!L43,0)</f>
        <v>0</v>
      </c>
      <c r="M13" s="111" t="str">
        <f>IF(E13=" "," ",IF(T$9="Y",May!M43,IF((H13+K13+L13)&gt;0,H13+K13+L13,"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IF(Employee!H$86=E$9,Employee!D$86+SUM(M13)+May!V43,SUM(M13)+May!V43)</f>
        <v>0</v>
      </c>
      <c r="W13" s="49">
        <f>IF(Employee!H$86=E$9,Employee!D$87+SUM(N13)+May!W43,SUM(N13)+May!W43)</f>
        <v>0</v>
      </c>
      <c r="X13" s="49">
        <f>IF(O13=" ",May!X43,O13+May!X43)</f>
        <v>0</v>
      </c>
      <c r="Y13" s="49">
        <f>IF(P13=" ",May!Y43,P13+May!Y43)</f>
        <v>0</v>
      </c>
      <c r="Z13" s="49">
        <f>IF(Q13=" ",May!Z43,Q13+May!Z43)</f>
        <v>0</v>
      </c>
      <c r="AA13" s="49">
        <f>IF(R13=" ",May!AA43,R13+May!AA43)</f>
        <v>0</v>
      </c>
      <c r="AC13" s="49">
        <f>IF(T13=" ",May!AC43,T13+May!AC43)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IF(T$9="Y",May!H44,0)</f>
        <v>0</v>
      </c>
      <c r="I14" s="92">
        <f>IF(T$9="Y",May!I44,0)</f>
        <v>0</v>
      </c>
      <c r="J14" s="92">
        <f>IF(T$9="Y",May!J44,0)</f>
        <v>0</v>
      </c>
      <c r="K14" s="92">
        <f>IF(T$9="Y",May!K44,I14*J14)</f>
        <v>0</v>
      </c>
      <c r="L14" s="111">
        <f>IF(T$9="Y",May!L44,0)</f>
        <v>0</v>
      </c>
      <c r="M14" s="111" t="str">
        <f>IF(E14=" "," ",IF(T$9="Y",May!M44,IF((H14+K14+L14)&gt;0,H14+K14+L14,"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IF(Employee!H$112=E$9,Employee!D$112+SUM(M14)+May!V44,SUM(M14)+May!V44)</f>
        <v>0</v>
      </c>
      <c r="W14" s="49">
        <f>IF(Employee!H$112=E$9,Employee!D$113+SUM(N14)+May!W44,SUM(N14)+May!W44)</f>
        <v>0</v>
      </c>
      <c r="X14" s="49">
        <f>IF(O14=" ",May!X44,O14+May!X44)</f>
        <v>0</v>
      </c>
      <c r="Y14" s="49">
        <f>IF(P14=" ",May!Y44,P14+May!Y44)</f>
        <v>0</v>
      </c>
      <c r="Z14" s="49">
        <f>IF(Q14=" ",May!Z44,Q14+May!Z44)</f>
        <v>0</v>
      </c>
      <c r="AA14" s="49">
        <f>IF(R14=" ",May!AA44,R14+May!AA44)</f>
        <v>0</v>
      </c>
      <c r="AC14" s="49">
        <f>IF(T14=" ",May!AC44,T14+May!AC44)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IF(T$9="Y",May!H45,0)</f>
        <v>0</v>
      </c>
      <c r="I15" s="245">
        <f>IF(T$9="Y",May!I45,0)</f>
        <v>0</v>
      </c>
      <c r="J15" s="245">
        <f>IF(T$9="Y",May!J45,0)</f>
        <v>0</v>
      </c>
      <c r="K15" s="245">
        <f>IF(T$9="Y",May!K45,I15*J15)</f>
        <v>0</v>
      </c>
      <c r="L15" s="246">
        <f>IF(T$9="Y",May!L45,0)</f>
        <v>0</v>
      </c>
      <c r="M15" s="111" t="str">
        <f>IF(E15=" "," ",IF(T$9="Y",May!M45,IF((H15+K15+L15)&gt;0,H15+K15+L15,"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IF(Employee!H$138=E$9,Employee!D$138+SUM(M15)+May!V45,SUM(M15)+May!V45)</f>
        <v>0</v>
      </c>
      <c r="W15" s="49">
        <f>IF(Employee!H$138=E$9,Employee!D$139+SUM(N15)+May!W45,SUM(N15)+May!W45)</f>
        <v>0</v>
      </c>
      <c r="X15" s="49">
        <f>IF(O15=" ",May!X45,O15+May!X45)</f>
        <v>0</v>
      </c>
      <c r="Y15" s="49">
        <f>IF(P15=" ",May!Y45,P15+May!Y45)</f>
        <v>0</v>
      </c>
      <c r="Z15" s="49">
        <f>IF(Q15=" ",May!Z45,Q15+May!Z45)</f>
        <v>0</v>
      </c>
      <c r="AA15" s="49">
        <f>IF(R15=" ",May!AA45,R15+May!AA45)</f>
        <v>0</v>
      </c>
      <c r="AC15" s="49">
        <f>IF(T15=" ",May!AC45,T15+May!AC45)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45449</v>
      </c>
      <c r="L19" s="203" t="s">
        <v>76</v>
      </c>
      <c r="M19" s="205">
        <f>K19+6</f>
        <v>45455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45456</v>
      </c>
      <c r="L29" s="203" t="s">
        <v>76</v>
      </c>
      <c r="M29" s="205">
        <f>K29+6</f>
        <v>45462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45463</v>
      </c>
      <c r="L39" s="203" t="s">
        <v>76</v>
      </c>
      <c r="M39" s="205">
        <f>K39+6</f>
        <v>45469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45470</v>
      </c>
      <c r="L49" s="203" t="s">
        <v>76</v>
      </c>
      <c r="M49" s="205">
        <f>K49+6</f>
        <v>45476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Admin!B58</f>
        <v>45444</v>
      </c>
      <c r="L59" s="203" t="s">
        <v>76</v>
      </c>
      <c r="M59" s="205">
        <f>Admin!B87</f>
        <v>45473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IF(T$59="Y",May!H51,0)</f>
        <v>0</v>
      </c>
      <c r="I61" s="89">
        <f>IF(T$59="Y",May!I51,0)</f>
        <v>0</v>
      </c>
      <c r="J61" s="89">
        <f>IF(T$59="Y",May!J51,0)</f>
        <v>0</v>
      </c>
      <c r="K61" s="89">
        <f>IF(T$59="Y",May!K51,I61*J61)</f>
        <v>0</v>
      </c>
      <c r="L61" s="110">
        <f>IF(T$59="Y",May!L51,0)</f>
        <v>0</v>
      </c>
      <c r="M61" s="99" t="str">
        <f>IF(E61=" "," ",IF(T$59="Y",May!M51,IF((H61+K61+L61)&gt;0,H61+K61+L61,"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IF(Employee!H$35=E$59,Employee!D$34+SUM(M61)+May!V51,SUM(M61)+May!V51)</f>
        <v>0</v>
      </c>
      <c r="W61" s="49">
        <f>IF(Employee!H$35=E$59,Employee!D$35+SUM(N61)+May!W51,SUM(N61)+May!W51)</f>
        <v>0</v>
      </c>
      <c r="X61" s="49">
        <f>IF(O61=" ",May!X51,O61+May!X51)</f>
        <v>0</v>
      </c>
      <c r="Y61" s="49">
        <f>IF(P61=" ",May!Y51,P61+May!Y51)</f>
        <v>0</v>
      </c>
      <c r="Z61" s="49">
        <f>IF(Q61=" ",May!Z51,Q61+May!Z51)</f>
        <v>0</v>
      </c>
      <c r="AA61" s="49">
        <f>IF(R61=" ",May!AA51,R61+May!AA51)</f>
        <v>0</v>
      </c>
      <c r="AC61" s="49">
        <f>IF(T61=" ",May!AC51,T61+May!AC51)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IF(T$59="Y",May!H52,0)</f>
        <v>0</v>
      </c>
      <c r="I62" s="92">
        <f>IF(T$59="Y",May!I52,0)</f>
        <v>0</v>
      </c>
      <c r="J62" s="92">
        <f>IF(T$59="Y",May!J52,0)</f>
        <v>0</v>
      </c>
      <c r="K62" s="92">
        <f>IF(T$59="Y",May!K52,I62*J62)</f>
        <v>0</v>
      </c>
      <c r="L62" s="111">
        <f>IF(T$59="Y",May!L52,0)</f>
        <v>0</v>
      </c>
      <c r="M62" s="100" t="str">
        <f>IF(E62=" "," ",IF(T$59="Y",May!M52,IF((H62+K62+L62)&gt;0,H62+K62+L62,"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IF(Employee!H$61=E$59,Employee!D$60+SUM(M62)+May!V52,SUM(M62)+May!V52)</f>
        <v>0</v>
      </c>
      <c r="W62" s="49">
        <f>IF(Employee!H$61=E$59,Employee!D$61+SUM(N62)+May!W52,SUM(N62)+May!W52)</f>
        <v>0</v>
      </c>
      <c r="X62" s="49">
        <f>IF(O62=" ",May!X52,O62+May!X52)</f>
        <v>0</v>
      </c>
      <c r="Y62" s="49">
        <f>IF(P62=" ",May!Y52,P62+May!Y52)</f>
        <v>0</v>
      </c>
      <c r="Z62" s="49">
        <f>IF(Q62=" ",May!Z52,Q62+May!Z52)</f>
        <v>0</v>
      </c>
      <c r="AA62" s="49">
        <f>IF(R62=" ",May!AA52,R62+May!AA52)</f>
        <v>0</v>
      </c>
      <c r="AC62" s="49">
        <f>IF(T62=" ",May!AC52,T62+May!AC52)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IF(T$59="Y",May!H53,0)</f>
        <v>0</v>
      </c>
      <c r="I63" s="92">
        <f>IF(T$59="Y",May!I53,0)</f>
        <v>0</v>
      </c>
      <c r="J63" s="92">
        <f>IF(T$59="Y",May!J53,0)</f>
        <v>0</v>
      </c>
      <c r="K63" s="92">
        <f>IF(T$59="Y",May!K53,I63*J63)</f>
        <v>0</v>
      </c>
      <c r="L63" s="111">
        <f>IF(T$59="Y",May!L53,0)</f>
        <v>0</v>
      </c>
      <c r="M63" s="100" t="str">
        <f>IF(E63=" "," ",IF(T$59="Y",May!M53,IF((H63+K63+L63)&gt;0,H63+K63+L63,"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IF(Employee!H$87=E$59,Employee!D$86+SUM(M63)+May!V53,SUM(M63)+May!V53)</f>
        <v>0</v>
      </c>
      <c r="W63" s="49">
        <f>IF(Employee!H$87=E$59,Employee!D$87+SUM(N63)+May!W53,SUM(N63)+May!W53)</f>
        <v>0</v>
      </c>
      <c r="X63" s="49">
        <f>IF(O63=" ",May!X53,O63+May!X53)</f>
        <v>0</v>
      </c>
      <c r="Y63" s="49">
        <f>IF(P63=" ",May!Y53,P63+May!Y53)</f>
        <v>0</v>
      </c>
      <c r="Z63" s="49">
        <f>IF(Q63=" ",May!Z53,Q63+May!Z53)</f>
        <v>0</v>
      </c>
      <c r="AA63" s="49">
        <f>IF(R63=" ",May!AA53,R63+May!AA53)</f>
        <v>0</v>
      </c>
      <c r="AC63" s="49">
        <f>IF(T63=" ",May!AC53,T63+May!AC53)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IF(T$59="Y",May!H54,0)</f>
        <v>0</v>
      </c>
      <c r="I64" s="92">
        <f>IF(T$59="Y",May!I54,0)</f>
        <v>0</v>
      </c>
      <c r="J64" s="92">
        <f>IF(T$59="Y",May!J54,0)</f>
        <v>0</v>
      </c>
      <c r="K64" s="92">
        <f>IF(T$59="Y",May!K54,I64*J64)</f>
        <v>0</v>
      </c>
      <c r="L64" s="111">
        <f>IF(T$59="Y",May!L54,0)</f>
        <v>0</v>
      </c>
      <c r="M64" s="100" t="str">
        <f>IF(E64=" "," ",IF(T$59="Y",May!M54,IF((H64+K64+L64)&gt;0,H64+K64+L64,"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IF(Employee!H$113=E$59,Employee!D$112+SUM(M64)+May!V54,SUM(M64)+May!V54)</f>
        <v>0</v>
      </c>
      <c r="W64" s="49">
        <f>IF(Employee!H$113=E$59,Employee!D$113+SUM(N64)+May!W54,SUM(N64)+May!W54)</f>
        <v>0</v>
      </c>
      <c r="X64" s="49">
        <f>IF(O64=" ",May!X54,O64+May!X54)</f>
        <v>0</v>
      </c>
      <c r="Y64" s="49">
        <f>IF(P64=" ",May!Y54,P64+May!Y54)</f>
        <v>0</v>
      </c>
      <c r="Z64" s="49">
        <f>IF(Q64=" ",May!Z54,Q64+May!Z54)</f>
        <v>0</v>
      </c>
      <c r="AA64" s="49">
        <f>IF(R64=" ",May!AA54,R64+May!AA54)</f>
        <v>0</v>
      </c>
      <c r="AC64" s="49">
        <f>IF(T64=" ",May!AC54,T64+May!AC54)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IF(T$59="Y",May!H55,0)</f>
        <v>0</v>
      </c>
      <c r="I65" s="245">
        <f>IF(T$59="Y",May!I55,0)</f>
        <v>0</v>
      </c>
      <c r="J65" s="245">
        <f>IF(T$59="Y",May!J55,0)</f>
        <v>0</v>
      </c>
      <c r="K65" s="245">
        <f>IF(T$59="Y",May!K55,I65*J65)</f>
        <v>0</v>
      </c>
      <c r="L65" s="246">
        <f>IF(T$59="Y",May!L55,0)</f>
        <v>0</v>
      </c>
      <c r="M65" s="100" t="str">
        <f>IF(E65=" "," ",IF(T$59="Y",May!M55,IF((H65+K65+L65)&gt;0,H65+K65+L65,"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IF(Employee!H$139=E$59,Employee!D$138+SUM(M65)+May!V55,SUM(M65)+May!V55)</f>
        <v>0</v>
      </c>
      <c r="W65" s="49">
        <f>IF(Employee!H$139=E$59,Employee!D$139+SUM(N65)+May!W55,SUM(N65)+May!W55)</f>
        <v>0</v>
      </c>
      <c r="X65" s="49">
        <f>IF(O65=" ",May!X55,O65+May!X55)</f>
        <v>0</v>
      </c>
      <c r="Y65" s="49">
        <f>IF(P65=" ",May!Y55,P65+May!Y55)</f>
        <v>0</v>
      </c>
      <c r="Z65" s="49">
        <f>IF(Q65=" ",May!Z55,Q65+May!Z55)</f>
        <v>0</v>
      </c>
      <c r="AA65" s="49">
        <f>IF(R65=" ",May!AA55,R65+May!AA55)</f>
        <v>0</v>
      </c>
      <c r="AC65" s="49">
        <f>IF(T65=" ",May!AC55,T65+May!AC55)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AD70+May!AD65</f>
        <v>0</v>
      </c>
      <c r="AE75" s="158">
        <f>AE70+May!AE65</f>
        <v>0</v>
      </c>
      <c r="AF75" s="158">
        <f>AF70+May!AF65</f>
        <v>0</v>
      </c>
      <c r="AG75" s="158">
        <f>AG70+May!AG65</f>
        <v>0</v>
      </c>
    </row>
    <row r="76" spans="1:34" ht="14" thickTop="1" x14ac:dyDescent="0.15"/>
    <row r="77" spans="1:34" x14ac:dyDescent="0.15">
      <c r="AD77" s="162"/>
      <c r="AE77" s="158">
        <f>AE72+May!AE67</f>
        <v>0</v>
      </c>
      <c r="AF77" s="158">
        <f>AF72+May!AF67</f>
        <v>0</v>
      </c>
      <c r="AG77" s="158">
        <f>AG72+May!AG67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45477</v>
      </c>
      <c r="L9" s="203" t="s">
        <v>76</v>
      </c>
      <c r="M9" s="205">
        <f>K9+6</f>
        <v>45483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",IF(Employee!F$24&gt;#REF!," ",IF(Employee!F$26&lt;#REF!," ",Employee!D$15)))</f>
        <v xml:space="preserve"> </v>
      </c>
      <c r="G11" s="130"/>
      <c r="H11" s="95">
        <f>IF(T$9="Y",Jun!H41,0)</f>
        <v>0</v>
      </c>
      <c r="I11" s="89">
        <f>IF(T$9="Y",Jun!I41,0)</f>
        <v>0</v>
      </c>
      <c r="J11" s="89">
        <f>IF(T$9="Y",Jun!J41,0)</f>
        <v>0</v>
      </c>
      <c r="K11" s="89">
        <f>IF(T$9="Y",Jun!K41,I11*J11)</f>
        <v>0</v>
      </c>
      <c r="L11" s="89">
        <f>IF(T$9="Y",Jun!L41,0)</f>
        <v>0</v>
      </c>
      <c r="M11" s="99" t="str">
        <f>IF(E11=" "," ",IF(T$9="Y",Jun!M41,IF((H11+K11+L11)&gt;0,H11+K11+L11,"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IF(Employee!H$34=E$9,Employee!D$34+SUM(M11)+Jun!V51,SUM(M11)+Jun!V51)</f>
        <v>0</v>
      </c>
      <c r="W11" s="49">
        <f>IF(Employee!H$34=E$9,Employee!D$35+SUM(N11)+Jun!W51,SUM(N11)+Jun!W51)</f>
        <v>0</v>
      </c>
      <c r="X11" s="49">
        <f>IF(O11=" ",Jun!X51,O11+Jun!X51)</f>
        <v>0</v>
      </c>
      <c r="Y11" s="49">
        <f>IF(P11=" ",Jun!Y51,P11+Jun!Y51)</f>
        <v>0</v>
      </c>
      <c r="Z11" s="49">
        <f>IF(Q11=" ",Jun!Z51,Q11+Jun!Z51)</f>
        <v>0</v>
      </c>
      <c r="AA11" s="49">
        <f>IF(R11=" ",Jun!AA51,R11+Jun!AA51)</f>
        <v>0</v>
      </c>
      <c r="AC11" s="49">
        <f>IF(T11=" ",Jun!AC51,T11+Jun!AC51)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",IF(Employee!F$50&gt;#REF!," ",IF(Employee!F$52&lt;#REF!," ",Employee!D$41)))</f>
        <v xml:space="preserve"> </v>
      </c>
      <c r="G12" s="130"/>
      <c r="H12" s="96">
        <f>IF(T$9="Y",Jun!H42,0)</f>
        <v>0</v>
      </c>
      <c r="I12" s="92">
        <f>IF(T$9="Y",Jun!I42,0)</f>
        <v>0</v>
      </c>
      <c r="J12" s="92">
        <f>IF(T$9="Y",Jun!J42,0)</f>
        <v>0</v>
      </c>
      <c r="K12" s="92">
        <f>IF(T$9="Y",Jun!K42,I12*J12)</f>
        <v>0</v>
      </c>
      <c r="L12" s="92">
        <f>IF(T$9="Y",Jun!L42,0)</f>
        <v>0</v>
      </c>
      <c r="M12" s="100" t="str">
        <f>IF(E12=" "," ",IF(T$9="Y",Jun!M42,IF((H12+K12+L12)&gt;0,H12+K12+L12,"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IF(Employee!H$60=E$9,Employee!D$60+SUM(M12)+Jun!V52,SUM(M12)+Jun!V52)</f>
        <v>0</v>
      </c>
      <c r="W12" s="49">
        <f>IF(Employee!H$60=E$9,Employee!D$61+SUM(N12)+Jun!W52,SUM(N12)+Jun!W52)</f>
        <v>0</v>
      </c>
      <c r="X12" s="49">
        <f>IF(O12=" ",Jun!X52,O12+Jun!X52)</f>
        <v>0</v>
      </c>
      <c r="Y12" s="49">
        <f>IF(P12=" ",Jun!Y52,P12+Jun!Y52)</f>
        <v>0</v>
      </c>
      <c r="Z12" s="49">
        <f>IF(Q12=" ",Jun!Z52,Q12+Jun!Z52)</f>
        <v>0</v>
      </c>
      <c r="AA12" s="49">
        <f>IF(R12=" ",Jun!AA52,R12+Jun!AA52)</f>
        <v>0</v>
      </c>
      <c r="AC12" s="49">
        <f>IF(T12=" ",Jun!AC52,T12+Jun!AC52)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",IF(Employee!F$76&gt;#REF!," ",IF(Employee!F$78&lt;#REF!," ",Employee!D$67)))</f>
        <v xml:space="preserve"> </v>
      </c>
      <c r="G13" s="130"/>
      <c r="H13" s="96">
        <f>IF(T$9="Y",Jun!H43,0)</f>
        <v>0</v>
      </c>
      <c r="I13" s="92">
        <f>IF(T$9="Y",Jun!I43,0)</f>
        <v>0</v>
      </c>
      <c r="J13" s="92">
        <f>IF(T$9="Y",Jun!J43,0)</f>
        <v>0</v>
      </c>
      <c r="K13" s="92">
        <f>IF(T$9="Y",Jun!K43,I13*J13)</f>
        <v>0</v>
      </c>
      <c r="L13" s="92">
        <f>IF(T$9="Y",Jun!L43,0)</f>
        <v>0</v>
      </c>
      <c r="M13" s="100" t="str">
        <f>IF(E13=" "," ",IF(T$9="Y",Jun!M43,IF((H13+K13+L13)&gt;0,H13+K13+L13,"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IF(Employee!H$86=E$9,Employee!D$86+SUM(M13)+Jun!V53,SUM(M13)+Jun!V53)</f>
        <v>0</v>
      </c>
      <c r="W13" s="49">
        <f>IF(Employee!H$86=E$9,Employee!D$87+SUM(N13)+Jun!W53,SUM(N13)+Jun!W53)</f>
        <v>0</v>
      </c>
      <c r="X13" s="49">
        <f>IF(O13=" ",Jun!X53,O13+Jun!X53)</f>
        <v>0</v>
      </c>
      <c r="Y13" s="49">
        <f>IF(P13=" ",Jun!Y53,P13+Jun!Y53)</f>
        <v>0</v>
      </c>
      <c r="Z13" s="49">
        <f>IF(Q13=" ",Jun!Z53,Q13+Jun!Z53)</f>
        <v>0</v>
      </c>
      <c r="AA13" s="49">
        <f>IF(R13=" ",Jun!AA53,R13+Jun!AA53)</f>
        <v>0</v>
      </c>
      <c r="AC13" s="49">
        <f>IF(T13=" ",Jun!AC53,T13+Jun!AC53)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",IF(Employee!F$102&gt;#REF!," ",IF(Employee!F$104&lt;#REF!," ",Employee!D$93)))</f>
        <v xml:space="preserve"> </v>
      </c>
      <c r="G14" s="130"/>
      <c r="H14" s="96">
        <f>IF(T$9="Y",Jun!H44,0)</f>
        <v>0</v>
      </c>
      <c r="I14" s="92">
        <f>IF(T$9="Y",Jun!I44,0)</f>
        <v>0</v>
      </c>
      <c r="J14" s="92">
        <f>IF(T$9="Y",Jun!J44,0)</f>
        <v>0</v>
      </c>
      <c r="K14" s="92">
        <f>IF(T$9="Y",Jun!K44,I14*J14)</f>
        <v>0</v>
      </c>
      <c r="L14" s="92">
        <f>IF(T$9="Y",Jun!L44,0)</f>
        <v>0</v>
      </c>
      <c r="M14" s="100" t="str">
        <f>IF(E14=" "," ",IF(T$9="Y",Jun!M44,IF((H14+K14+L14)&gt;0,H14+K14+L14,"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IF(Employee!H$112=E$9,Employee!D$112+SUM(M14)+Jun!V54,SUM(M14)+Jun!V54)</f>
        <v>0</v>
      </c>
      <c r="W14" s="49">
        <f>IF(Employee!H$112=E$9,Employee!D$113+SUM(N14)+Jun!W54,SUM(N14)+Jun!W54)</f>
        <v>0</v>
      </c>
      <c r="X14" s="49">
        <f>IF(O14=" ",Jun!X54,O14+Jun!X54)</f>
        <v>0</v>
      </c>
      <c r="Y14" s="49">
        <f>IF(P14=" ",Jun!Y54,P14+Jun!Y54)</f>
        <v>0</v>
      </c>
      <c r="Z14" s="49">
        <f>IF(Q14=" ",Jun!Z54,Q14+Jun!Z54)</f>
        <v>0</v>
      </c>
      <c r="AA14" s="49">
        <f>IF(R14=" ",Jun!AA54,R14+Jun!AA54)</f>
        <v>0</v>
      </c>
      <c r="AC14" s="49">
        <f>IF(T14=" ",Jun!AC54,T14+Jun!AC54)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",IF(Employee!F$128&gt;#REF!," ",IF(Employee!F$130&lt;#REF!," ",Employee!D$119)))</f>
        <v xml:space="preserve"> </v>
      </c>
      <c r="G15" s="130"/>
      <c r="H15" s="244">
        <f>IF(T$9="Y",Jun!H45,0)</f>
        <v>0</v>
      </c>
      <c r="I15" s="245">
        <f>IF(T$9="Y",Jun!I45,0)</f>
        <v>0</v>
      </c>
      <c r="J15" s="245">
        <f>IF(T$9="Y",Jun!J45,0)</f>
        <v>0</v>
      </c>
      <c r="K15" s="245">
        <f>IF(T$9="Y",Jun!K45,I15*J15)</f>
        <v>0</v>
      </c>
      <c r="L15" s="245">
        <f>IF(T$9="Y",Jun!L45,0)</f>
        <v>0</v>
      </c>
      <c r="M15" s="247" t="str">
        <f>IF(E15=" "," ",IF(T$9="Y",Jun!M45,IF((H15+K15+L15)&gt;0,H15+K15+L15,"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IF(Employee!H$138=E$9,Employee!D$138+SUM(M15)+Jun!V55,SUM(M15)+Jun!V55)</f>
        <v>0</v>
      </c>
      <c r="W15" s="49">
        <f>IF(Employee!H$138=E$9,Employee!D$139+SUM(N15)+Jun!W55,SUM(N15)+Jun!W55)</f>
        <v>0</v>
      </c>
      <c r="X15" s="49">
        <f>IF(O15=" ",Jun!X55,O15+Jun!X55)</f>
        <v>0</v>
      </c>
      <c r="Y15" s="49">
        <f>IF(P15=" ",Jun!Y55,P15+Jun!Y55)</f>
        <v>0</v>
      </c>
      <c r="Z15" s="49">
        <f>IF(Q15=" ",Jun!Z55,Q15+Jun!Z55)</f>
        <v>0</v>
      </c>
      <c r="AA15" s="49">
        <f>IF(R15=" ",Jun!AA55,R15+Jun!AA55)</f>
        <v>0</v>
      </c>
      <c r="AC15" s="49">
        <f>IF(T15=" ",Jun!AC55,T15+Jun!AC55)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45484</v>
      </c>
      <c r="L19" s="203" t="s">
        <v>76</v>
      </c>
      <c r="M19" s="205">
        <f>K19+6</f>
        <v>45490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45491</v>
      </c>
      <c r="L29" s="203" t="s">
        <v>76</v>
      </c>
      <c r="M29" s="205">
        <f>K29+6</f>
        <v>45497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45498</v>
      </c>
      <c r="L39" s="203" t="s">
        <v>76</v>
      </c>
      <c r="M39" s="205">
        <f>K39+6</f>
        <v>45504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1" t="str">
        <f>IF(M41=" "," ",IF(M41=0," ",#REF!))</f>
        <v xml:space="preserve"> 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Admin!B88</f>
        <v>45474</v>
      </c>
      <c r="L49" s="203" t="s">
        <v>76</v>
      </c>
      <c r="M49" s="205">
        <f>Admin!B118</f>
        <v>45504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IF(T$49="Y",Jun!H61,0)</f>
        <v>0</v>
      </c>
      <c r="I51" s="89">
        <f>IF(T$49="Y",Jun!I61,0)</f>
        <v>0</v>
      </c>
      <c r="J51" s="89">
        <f>IF(T$49="Y",Jun!J61,0)</f>
        <v>0</v>
      </c>
      <c r="K51" s="89">
        <f>IF(T$49="Y",Jun!K61,I51*J51)</f>
        <v>0</v>
      </c>
      <c r="L51" s="110">
        <f>IF(T$49="Y",Jun!L61,0)</f>
        <v>0</v>
      </c>
      <c r="M51" s="99" t="str">
        <f>IF(E51=" "," ",IF(T$49="Y",Jun!M61,IF((H51+K51+L51)&gt;0,H51+K51+L51,"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IF(Employee!H$35=E$49,Employee!D$34+SUM(M51)+Jun!V61,SUM(M51)+Jun!V61)</f>
        <v>0</v>
      </c>
      <c r="W51" s="49">
        <f>IF(Employee!H$35=E$49,Employee!D$35+SUM(N51)+Jun!W61,SUM(N51)+Jun!W61)</f>
        <v>0</v>
      </c>
      <c r="X51" s="49">
        <f>IF(O51=" ",Jun!X61,O51+Jun!X61)</f>
        <v>0</v>
      </c>
      <c r="Y51" s="49">
        <f>IF(P51=" ",Jun!Y61,P51+Jun!Y61)</f>
        <v>0</v>
      </c>
      <c r="Z51" s="49">
        <f>IF(Q51=" ",Jun!Z61,Q51+Jun!Z61)</f>
        <v>0</v>
      </c>
      <c r="AA51" s="49">
        <f>IF(R51=" ",Jun!AA61,R51+Jun!AA61)</f>
        <v>0</v>
      </c>
      <c r="AC51" s="49">
        <f>IF(T51=" ",Jun!AC61,T51+Jun!AC61)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IF(T$49="Y",Jun!H62,0)</f>
        <v>0</v>
      </c>
      <c r="I52" s="92">
        <f>IF(T$49="Y",Jun!I62,0)</f>
        <v>0</v>
      </c>
      <c r="J52" s="92">
        <f>IF(T$49="Y",Jun!J62,0)</f>
        <v>0</v>
      </c>
      <c r="K52" s="92">
        <f>IF(T$49="Y",Jun!K62,I52*J52)</f>
        <v>0</v>
      </c>
      <c r="L52" s="111">
        <f>IF(T$49="Y",Jun!L62,0)</f>
        <v>0</v>
      </c>
      <c r="M52" s="100" t="str">
        <f>IF(E52=" "," ",IF(T$49="Y",Jun!M62,IF((H52+K52+L52)&gt;0,H52+K52+L52,"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IF(Employee!H$61=E$49,Employee!D$60+SUM(M52)+Jun!V62,SUM(M52)+Jun!V62)</f>
        <v>0</v>
      </c>
      <c r="W52" s="49">
        <f>IF(Employee!H$61=E$49,Employee!D$61+SUM(N52)+Jun!W62,SUM(N52)+Jun!W62)</f>
        <v>0</v>
      </c>
      <c r="X52" s="49">
        <f>IF(O52=" ",Jun!X62,O52+Jun!X62)</f>
        <v>0</v>
      </c>
      <c r="Y52" s="49">
        <f>IF(P52=" ",Jun!Y62,P52+Jun!Y62)</f>
        <v>0</v>
      </c>
      <c r="Z52" s="49">
        <f>IF(Q52=" ",Jun!Z62,Q52+Jun!Z62)</f>
        <v>0</v>
      </c>
      <c r="AA52" s="49">
        <f>IF(R52=" ",Jun!AA62,R52+Jun!AA62)</f>
        <v>0</v>
      </c>
      <c r="AC52" s="49">
        <f>IF(T52=" ",Jun!AC62,T52+Jun!AC62)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IF(T$49="Y",Jun!H63,0)</f>
        <v>0</v>
      </c>
      <c r="I53" s="92">
        <f>IF(T$49="Y",Jun!I63,0)</f>
        <v>0</v>
      </c>
      <c r="J53" s="92">
        <f>IF(T$49="Y",Jun!J63,0)</f>
        <v>0</v>
      </c>
      <c r="K53" s="92">
        <f>IF(T$49="Y",Jun!K63,I53*J53)</f>
        <v>0</v>
      </c>
      <c r="L53" s="111">
        <f>IF(T$49="Y",Jun!L63,0)</f>
        <v>0</v>
      </c>
      <c r="M53" s="100" t="str">
        <f>IF(E53=" "," ",IF(T$49="Y",Jun!M63,IF((H53+K53+L53)&gt;0,H53+K53+L53,"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IF(Employee!H$87=E$49,Employee!D$86+SUM(M53)+Jun!V63,SUM(M53)+Jun!V63)</f>
        <v>0</v>
      </c>
      <c r="W53" s="49">
        <f>IF(Employee!H$87=E$49,Employee!D$87+SUM(N53)+Jun!W63,SUM(N53)+Jun!W63)</f>
        <v>0</v>
      </c>
      <c r="X53" s="49">
        <f>IF(O53=" ",Jun!X63,O53+Jun!X63)</f>
        <v>0</v>
      </c>
      <c r="Y53" s="49">
        <f>IF(P53=" ",Jun!Y63,P53+Jun!Y63)</f>
        <v>0</v>
      </c>
      <c r="Z53" s="49">
        <f>IF(Q53=" ",Jun!Z63,Q53+Jun!Z63)</f>
        <v>0</v>
      </c>
      <c r="AA53" s="49">
        <f>IF(R53=" ",Jun!AA63,R53+Jun!AA63)</f>
        <v>0</v>
      </c>
      <c r="AC53" s="49">
        <f>IF(T53=" ",Jun!AC63,T53+Jun!AC63)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IF(T$49="Y",Jun!H64,0)</f>
        <v>0</v>
      </c>
      <c r="I54" s="92">
        <f>IF(T$49="Y",Jun!I64,0)</f>
        <v>0</v>
      </c>
      <c r="J54" s="92">
        <f>IF(T$49="Y",Jun!J64,0)</f>
        <v>0</v>
      </c>
      <c r="K54" s="92">
        <f>IF(T$49="Y",Jun!K64,I54*J54)</f>
        <v>0</v>
      </c>
      <c r="L54" s="111">
        <f>IF(T$49="Y",Jun!L64,0)</f>
        <v>0</v>
      </c>
      <c r="M54" s="100" t="str">
        <f>IF(E54=" "," ",IF(T$49="Y",Jun!M64,IF((H54+K54+L54)&gt;0,H54+K54+L54,"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IF(Employee!H$113=E$49,Employee!D$112+SUM(M54)+Jun!V64,SUM(M54)+Jun!V64)</f>
        <v>0</v>
      </c>
      <c r="W54" s="49">
        <f>IF(Employee!H$113=E$49,Employee!D$113+SUM(N54)+Jun!W64,SUM(N54)+Jun!W64)</f>
        <v>0</v>
      </c>
      <c r="X54" s="49">
        <f>IF(O54=" ",Jun!X64,O54+Jun!X64)</f>
        <v>0</v>
      </c>
      <c r="Y54" s="49">
        <f>IF(P54=" ",Jun!Y64,P54+Jun!Y64)</f>
        <v>0</v>
      </c>
      <c r="Z54" s="49">
        <f>IF(Q54=" ",Jun!Z64,Q54+Jun!Z64)</f>
        <v>0</v>
      </c>
      <c r="AA54" s="49">
        <f>IF(R54=" ",Jun!AA64,R54+Jun!AA64)</f>
        <v>0</v>
      </c>
      <c r="AC54" s="49">
        <f>IF(T54=" ",Jun!AC64,T54+Jun!AC64)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IF(T$49="Y",Jun!H65,0)</f>
        <v>0</v>
      </c>
      <c r="I55" s="245">
        <f>IF(T$49="Y",Jun!I65,0)</f>
        <v>0</v>
      </c>
      <c r="J55" s="245">
        <f>IF(T$49="Y",Jun!J65,0)</f>
        <v>0</v>
      </c>
      <c r="K55" s="245">
        <f>IF(T$49="Y",Jun!K65,I55*J55)</f>
        <v>0</v>
      </c>
      <c r="L55" s="246">
        <f>IF(T$49="Y",Jun!L65,0)</f>
        <v>0</v>
      </c>
      <c r="M55" s="100" t="str">
        <f>IF(E55=" "," ",IF(T$49="Y",Jun!M65,IF((H55+K55+L55)&gt;0,H55+K55+L55,"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IF(Employee!H$139=E$49,Employee!D$138+SUM(M55)+Jun!V65,SUM(M55)+Jun!V65)</f>
        <v>0</v>
      </c>
      <c r="W55" s="49">
        <f>IF(Employee!H$139=E$49,Employee!D$139+SUM(N55)+Jun!W65,SUM(N55)+Jun!W65)</f>
        <v>0</v>
      </c>
      <c r="X55" s="49">
        <f>IF(O55=" ",Jun!X65,O55+Jun!X65)</f>
        <v>0</v>
      </c>
      <c r="Y55" s="49">
        <f>IF(P55=" ",Jun!Y65,P55+Jun!Y65)</f>
        <v>0</v>
      </c>
      <c r="Z55" s="49">
        <f>IF(Q55=" ",Jun!Z65,Q55+Jun!Z65)</f>
        <v>0</v>
      </c>
      <c r="AA55" s="49">
        <f>IF(R55=" ",Jun!AA65,R55+Jun!AA65)</f>
        <v>0</v>
      </c>
      <c r="AC55" s="49">
        <f>IF(T55=" ",Jun!AC65,T55+Jun!AC65)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AD60+Jun!AD75</f>
        <v>0</v>
      </c>
      <c r="AE65" s="158">
        <f>AE60+Jun!AE75</f>
        <v>0</v>
      </c>
      <c r="AF65" s="158">
        <f>AF60+Jun!AF75</f>
        <v>0</v>
      </c>
      <c r="AG65" s="158">
        <f>AG60+Jun!AG75</f>
        <v>0</v>
      </c>
    </row>
    <row r="66" spans="6:33" ht="14" thickTop="1" x14ac:dyDescent="0.15"/>
    <row r="67" spans="6:33" x14ac:dyDescent="0.15">
      <c r="AD67" s="162"/>
      <c r="AE67" s="158">
        <f>AE62+Jun!AE77</f>
        <v>0</v>
      </c>
      <c r="AF67" s="158">
        <f>AF62+Jun!AF77</f>
        <v>0</v>
      </c>
      <c r="AG67" s="158">
        <f>AG62+Jun!AG77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45505</v>
      </c>
      <c r="L9" s="203" t="s">
        <v>76</v>
      </c>
      <c r="M9" s="205">
        <f>K9+6</f>
        <v>45511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IF(T$9="Y",Jul!#REF!,0)</f>
        <v>0</v>
      </c>
      <c r="I11" s="89">
        <f>IF(T$9="Y",Jul!#REF!,0)</f>
        <v>0</v>
      </c>
      <c r="J11" s="89">
        <f>IF(T$9="Y",Jul!#REF!,0)</f>
        <v>0</v>
      </c>
      <c r="K11" s="89">
        <v>0</v>
      </c>
      <c r="L11" s="110">
        <f>IF(T$9="Y",Jul!#REF!,0)</f>
        <v>0</v>
      </c>
      <c r="M11" s="110" t="str">
        <f>IF(E11=" "," ",IF(T$9="Y",Jul!#REF!,IF((H11+K11+L11)&gt;0,H11+K11+L11,"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IF(Employee!H$34=E$9,Employee!D$34+SUM(M11)+Jul!V41,SUM(M11)+Jul!V41)</f>
        <v>0</v>
      </c>
      <c r="W11" s="49">
        <f>IF(Employee!H$34=E$9,Employee!D$35+SUM(N11)+Jul!W41,SUM(N11)+Jul!W41)</f>
        <v>0</v>
      </c>
      <c r="X11" s="49">
        <f>IF(O11=" ",Jul!X41,O11+Jul!X41)</f>
        <v>0</v>
      </c>
      <c r="Y11" s="49">
        <f>IF(P11=" ",Jul!Y41,P11+Jul!Y41)</f>
        <v>0</v>
      </c>
      <c r="Z11" s="49">
        <f>IF(Q11=" ",Jul!Z41,Q11+Jul!Z41)</f>
        <v>0</v>
      </c>
      <c r="AA11" s="49">
        <f>IF(R11=" ",Jul!AA41,R11+Jul!AA41)</f>
        <v>0</v>
      </c>
      <c r="AC11" s="49">
        <f>IF(T11=" ",Jul!AC41,T11+Jul!AC41)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IF(T$9="Y",Jul!#REF!,0)</f>
        <v>0</v>
      </c>
      <c r="I12" s="92">
        <f>IF(T$9="Y",Jul!#REF!,0)</f>
        <v>0</v>
      </c>
      <c r="J12" s="92">
        <f>IF(T$9="Y",Jul!#REF!,0)</f>
        <v>0</v>
      </c>
      <c r="K12" s="92">
        <f>IF(T$9="Y",Jul!#REF!,I12*J12)</f>
        <v>0</v>
      </c>
      <c r="L12" s="111">
        <f>IF(T$9="Y",Jul!#REF!,0)</f>
        <v>0</v>
      </c>
      <c r="M12" s="111" t="str">
        <f>IF(E12=" "," ",IF(T$9="Y",Jul!#REF!,IF((H12+K12+L12)&gt;0,H12+K12+L12,"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IF(Employee!H$60=E$9,Employee!D$60+SUM(M12)+Jul!V42,SUM(M12)+Jul!V42)</f>
        <v>0</v>
      </c>
      <c r="W12" s="49">
        <f>IF(Employee!H$60=E$9,Employee!D$61+SUM(N12)+Jul!W42,SUM(N12)+Jul!W42)</f>
        <v>0</v>
      </c>
      <c r="X12" s="49">
        <f>IF(O12=" ",Jul!X42,O12+Jul!X42)</f>
        <v>0</v>
      </c>
      <c r="Y12" s="49">
        <f>IF(P12=" ",Jul!Y42,P12+Jul!Y42)</f>
        <v>0</v>
      </c>
      <c r="Z12" s="49">
        <f>IF(Q12=" ",Jul!Z42,Q12+Jul!Z42)</f>
        <v>0</v>
      </c>
      <c r="AA12" s="49">
        <f>IF(R12=" ",Jul!AA42,R12+Jul!AA42)</f>
        <v>0</v>
      </c>
      <c r="AC12" s="49">
        <f>IF(T12=" ",Jul!AC42,T12+Jul!AC42)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IF(T$9="Y",Jul!#REF!,0)</f>
        <v>0</v>
      </c>
      <c r="I13" s="92">
        <f>IF(T$9="Y",Jul!#REF!,0)</f>
        <v>0</v>
      </c>
      <c r="J13" s="92">
        <f>IF(T$9="Y",Jul!#REF!,0)</f>
        <v>0</v>
      </c>
      <c r="K13" s="92">
        <f>IF(T$9="Y",Jul!#REF!,I13*J13)</f>
        <v>0</v>
      </c>
      <c r="L13" s="111">
        <f>IF(T$9="Y",Jul!#REF!,0)</f>
        <v>0</v>
      </c>
      <c r="M13" s="111" t="str">
        <f>IF(E13=" "," ",IF(T$9="Y",Jul!#REF!,IF((H13+K13+L13)&gt;0,H13+K13+L13,"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IF(Employee!H$86=E$9,Employee!D$86+SUM(M13)+Jul!V43,SUM(M13)+Jul!V43)</f>
        <v>0</v>
      </c>
      <c r="W13" s="49">
        <f>IF(Employee!H$86=E$9,Employee!D$87+SUM(N13)+Jul!W43,SUM(N13)+Jul!W43)</f>
        <v>0</v>
      </c>
      <c r="X13" s="49">
        <f>IF(O13=" ",Jul!X43,O13+Jul!X43)</f>
        <v>0</v>
      </c>
      <c r="Y13" s="49">
        <f>IF(P13=" ",Jul!Y43,P13+Jul!Y43)</f>
        <v>0</v>
      </c>
      <c r="Z13" s="49">
        <f>IF(Q13=" ",Jul!Z43,Q13+Jul!Z43)</f>
        <v>0</v>
      </c>
      <c r="AA13" s="49">
        <f>IF(R13=" ",Jul!AA43,R13+Jul!AA43)</f>
        <v>0</v>
      </c>
      <c r="AC13" s="49">
        <f>IF(T13=" ",Jul!AC43,T13+Jul!AC43)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IF(T$9="Y",Jul!#REF!,0)</f>
        <v>0</v>
      </c>
      <c r="I14" s="92">
        <f>IF(T$9="Y",Jul!#REF!,0)</f>
        <v>0</v>
      </c>
      <c r="J14" s="92">
        <f>IF(T$9="Y",Jul!#REF!,0)</f>
        <v>0</v>
      </c>
      <c r="K14" s="92">
        <f>IF(T$9="Y",Jul!#REF!,I14*J14)</f>
        <v>0</v>
      </c>
      <c r="L14" s="111">
        <f>IF(T$9="Y",Jul!#REF!,0)</f>
        <v>0</v>
      </c>
      <c r="M14" s="111" t="str">
        <f>IF(E14=" "," ",IF(T$9="Y",Jul!#REF!,IF((H14+K14+L14)&gt;0,H14+K14+L14,"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IF(Employee!H$112=E$9,Employee!D$112+SUM(M14)+Jul!V44,SUM(M14)+Jul!V44)</f>
        <v>0</v>
      </c>
      <c r="W14" s="49">
        <f>IF(Employee!H$112=E$9,Employee!D$113+SUM(N14)+Jul!W44,SUM(N14)+Jul!W44)</f>
        <v>0</v>
      </c>
      <c r="X14" s="49">
        <f>IF(O14=" ",Jul!X44,O14+Jul!X44)</f>
        <v>0</v>
      </c>
      <c r="Y14" s="49">
        <f>IF(P14=" ",Jul!Y44,P14+Jul!Y44)</f>
        <v>0</v>
      </c>
      <c r="Z14" s="49">
        <f>IF(Q14=" ",Jul!Z44,Q14+Jul!Z44)</f>
        <v>0</v>
      </c>
      <c r="AA14" s="49">
        <f>IF(R14=" ",Jul!AA44,R14+Jul!AA44)</f>
        <v>0</v>
      </c>
      <c r="AC14" s="49">
        <f>IF(T14=" ",Jul!AC44,T14+Jul!AC44)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IF(T$9="Y",Jul!#REF!,0)</f>
        <v>0</v>
      </c>
      <c r="I15" s="245">
        <f>IF(T$9="Y",Jul!#REF!,0)</f>
        <v>0</v>
      </c>
      <c r="J15" s="245">
        <f>IF(T$9="Y",Jul!#REF!,0)</f>
        <v>0</v>
      </c>
      <c r="K15" s="245">
        <f>IF(T$9="Y",Jul!#REF!,I15*J15)</f>
        <v>0</v>
      </c>
      <c r="L15" s="246">
        <f>IF(T$9="Y",Jul!#REF!,0)</f>
        <v>0</v>
      </c>
      <c r="M15" s="246" t="str">
        <f>IF(E15=" "," ",IF(T$9="Y",Jul!#REF!,IF((H15+K15+L15)&gt;0,H15+K15+L15,"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IF(Employee!H$138=E$9,Employee!D$138+SUM(M15)+Jul!V45,SUM(M15)+Jul!V45)</f>
        <v>0</v>
      </c>
      <c r="W15" s="49">
        <f>IF(Employee!H$138=E$9,Employee!D$139+SUM(N15)+Jul!W45,SUM(N15)+Jul!W45)</f>
        <v>0</v>
      </c>
      <c r="X15" s="49">
        <f>IF(O15=" ",Jul!X45,O15+Jul!X45)</f>
        <v>0</v>
      </c>
      <c r="Y15" s="49">
        <f>IF(P15=" ",Jul!Y45,P15+Jul!Y45)</f>
        <v>0</v>
      </c>
      <c r="Z15" s="49">
        <f>IF(Q15=" ",Jul!Z45,Q15+Jul!Z45)</f>
        <v>0</v>
      </c>
      <c r="AA15" s="49">
        <f>IF(R15=" ",Jul!AA45,R15+Jul!AA45)</f>
        <v>0</v>
      </c>
      <c r="AC15" s="49">
        <f>IF(T15=" ",Jul!AC45,T15+Jul!AC45)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45512</v>
      </c>
      <c r="L19" s="203" t="s">
        <v>76</v>
      </c>
      <c r="M19" s="205">
        <f>K19+6</f>
        <v>45518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45519</v>
      </c>
      <c r="L29" s="203" t="s">
        <v>76</v>
      </c>
      <c r="M29" s="205">
        <f>K29+6</f>
        <v>45525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45526</v>
      </c>
      <c r="L39" s="203" t="s">
        <v>76</v>
      </c>
      <c r="M39" s="205">
        <f>K39+6</f>
        <v>45532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Admin!B119</f>
        <v>45505</v>
      </c>
      <c r="L49" s="203" t="s">
        <v>76</v>
      </c>
      <c r="M49" s="205">
        <f>Admin!B149</f>
        <v>45535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IF(T$49="Y",Jul!H51,0)</f>
        <v>0</v>
      </c>
      <c r="I51" s="89">
        <f>IF(T$49="Y",Jul!I51,0)</f>
        <v>0</v>
      </c>
      <c r="J51" s="89">
        <f>IF(T$49="Y",Jul!J51,0)</f>
        <v>0</v>
      </c>
      <c r="K51" s="89">
        <f>IF(T$49="Y",Jul!K51,I51*J51)</f>
        <v>0</v>
      </c>
      <c r="L51" s="89">
        <f>IF(T$49="Y",Jul!L51,0)</f>
        <v>0</v>
      </c>
      <c r="M51" s="99" t="str">
        <f>IF(E51=" "," ",IF(T$49="Y",Jul!M51,IF((H51+K51+L51)&gt;0,H51+K51+L51,"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IF(Employee!H$35=E$49,Employee!D$34+SUM(M51)+Jul!V51,SUM(M51)+Jul!V51)</f>
        <v>0</v>
      </c>
      <c r="W51" s="49">
        <f>IF(Employee!H$35=E$49,Employee!D$35+SUM(N51)+Jul!W51,SUM(N51)+Jul!W51)</f>
        <v>0</v>
      </c>
      <c r="X51" s="49">
        <f>IF(O51=" ",Jul!X51,O51+Jul!X51)</f>
        <v>0</v>
      </c>
      <c r="Y51" s="49">
        <f>IF(P51=" ",Jul!Y51,P51+Jul!Y51)</f>
        <v>0</v>
      </c>
      <c r="Z51" s="49">
        <f>IF(Q51=" ",Jul!Z51,Q51+Jul!Z51)</f>
        <v>0</v>
      </c>
      <c r="AA51" s="49">
        <f>IF(R51=" ",Jul!AA51,R51+Jul!AA51)</f>
        <v>0</v>
      </c>
      <c r="AC51" s="49">
        <f>IF(T51=" ",Jul!AC51,T51+Jul!AC51)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IF(T$49="Y",Jul!H52,0)</f>
        <v>0</v>
      </c>
      <c r="I52" s="92">
        <f>IF(T$49="Y",Jul!I52,0)</f>
        <v>0</v>
      </c>
      <c r="J52" s="92">
        <f>IF(T$49="Y",Jul!J52,0)</f>
        <v>0</v>
      </c>
      <c r="K52" s="92">
        <f>IF(T$49="Y",Jul!K52,I52*J52)</f>
        <v>0</v>
      </c>
      <c r="L52" s="92">
        <f>IF(T$49="Y",Jul!L52,0)</f>
        <v>0</v>
      </c>
      <c r="M52" s="100" t="str">
        <f>IF(E52=" "," ",IF(T$49="Y",Jul!M52,IF((H52+K52+L52)&gt;0,H52+K52+L52,"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IF(Employee!H$61=E$49,Employee!D$60+SUM(M52)+Jul!V52,SUM(M52)+Jul!V52)</f>
        <v>0</v>
      </c>
      <c r="W52" s="49">
        <f>IF(Employee!H$61=E$49,Employee!D$61+SUM(N52)+Jul!W52,SUM(N52)+Jul!W52)</f>
        <v>0</v>
      </c>
      <c r="X52" s="49">
        <f>IF(O52=" ",Jul!X52,O52+Jul!X52)</f>
        <v>0</v>
      </c>
      <c r="Y52" s="49">
        <f>IF(P52=" ",Jul!Y52,P52+Jul!Y52)</f>
        <v>0</v>
      </c>
      <c r="Z52" s="49">
        <f>IF(Q52=" ",Jul!Z52,Q52+Jul!Z52)</f>
        <v>0</v>
      </c>
      <c r="AA52" s="49">
        <f>IF(R52=" ",Jul!AA52,R52+Jul!AA52)</f>
        <v>0</v>
      </c>
      <c r="AC52" s="49">
        <f>IF(T52=" ",Jul!AC52,T52+Jul!AC52)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IF(T$49="Y",Jul!H53,0)</f>
        <v>0</v>
      </c>
      <c r="I53" s="92">
        <f>IF(T$49="Y",Jul!I53,0)</f>
        <v>0</v>
      </c>
      <c r="J53" s="92">
        <f>IF(T$49="Y",Jul!J53,0)</f>
        <v>0</v>
      </c>
      <c r="K53" s="92">
        <f>IF(T$49="Y",Jul!K53,I53*J53)</f>
        <v>0</v>
      </c>
      <c r="L53" s="92">
        <f>IF(T$49="Y",Jul!L53,0)</f>
        <v>0</v>
      </c>
      <c r="M53" s="100" t="str">
        <f>IF(E53=" "," ",IF(T$49="Y",Jul!M53,IF((H53+K53+L53)&gt;0,H53+K53+L53,"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IF(Employee!H$87=E$49,Employee!D$86+SUM(M53)+Jul!V53,SUM(M53)+Jul!V53)</f>
        <v>0</v>
      </c>
      <c r="W53" s="49">
        <f>IF(Employee!H$87=E$49,Employee!D$87+SUM(N53)+Jul!W53,SUM(N53)+Jul!W53)</f>
        <v>0</v>
      </c>
      <c r="X53" s="49">
        <f>IF(O53=" ",Jul!X53,O53+Jul!X53)</f>
        <v>0</v>
      </c>
      <c r="Y53" s="49">
        <f>IF(P53=" ",Jul!Y53,P53+Jul!Y53)</f>
        <v>0</v>
      </c>
      <c r="Z53" s="49">
        <f>IF(Q53=" ",Jul!Z53,Q53+Jul!Z53)</f>
        <v>0</v>
      </c>
      <c r="AA53" s="49">
        <f>IF(R53=" ",Jul!AA53,R53+Jul!AA53)</f>
        <v>0</v>
      </c>
      <c r="AC53" s="49">
        <f>IF(T53=" ",Jul!AC53,T53+Jul!AC53)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IF(T$49="Y",Jul!H54,0)</f>
        <v>0</v>
      </c>
      <c r="I54" s="92">
        <f>IF(T$49="Y",Jul!I54,0)</f>
        <v>0</v>
      </c>
      <c r="J54" s="92">
        <f>IF(T$49="Y",Jul!J54,0)</f>
        <v>0</v>
      </c>
      <c r="K54" s="92">
        <f>IF(T$49="Y",Jul!K54,I54*J54)</f>
        <v>0</v>
      </c>
      <c r="L54" s="92">
        <f>IF(T$49="Y",Jul!L54,0)</f>
        <v>0</v>
      </c>
      <c r="M54" s="100" t="str">
        <f>IF(E54=" "," ",IF(T$49="Y",Jul!M54,IF((H54+K54+L54)&gt;0,H54+K54+L54,"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IF(Employee!H$113=E$49,Employee!D$112+SUM(M54)+Jul!V54,SUM(M54)+Jul!V54)</f>
        <v>0</v>
      </c>
      <c r="W54" s="49">
        <f>IF(Employee!H$113=E$49,Employee!D$113+SUM(N54)+Jul!W54,SUM(N54)+Jul!W54)</f>
        <v>0</v>
      </c>
      <c r="X54" s="49">
        <f>IF(O54=" ",Jul!X54,O54+Jul!X54)</f>
        <v>0</v>
      </c>
      <c r="Y54" s="49">
        <f>IF(P54=" ",Jul!Y54,P54+Jul!Y54)</f>
        <v>0</v>
      </c>
      <c r="Z54" s="49">
        <f>IF(Q54=" ",Jul!Z54,Q54+Jul!Z54)</f>
        <v>0</v>
      </c>
      <c r="AA54" s="49">
        <f>IF(R54=" ",Jul!AA54,R54+Jul!AA54)</f>
        <v>0</v>
      </c>
      <c r="AC54" s="49">
        <f>IF(T54=" ",Jul!AC54,T54+Jul!AC54)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IF(T$49="Y",Jul!H55,0)</f>
        <v>0</v>
      </c>
      <c r="I55" s="92">
        <f>IF(T$49="Y",Jul!I55,0)</f>
        <v>0</v>
      </c>
      <c r="J55" s="92">
        <f>IF(T$49="Y",Jul!J55,0)</f>
        <v>0</v>
      </c>
      <c r="K55" s="92">
        <f>IF(T$49="Y",Jul!K55,I55*J55)</f>
        <v>0</v>
      </c>
      <c r="L55" s="92">
        <f>IF(T$49="Y",Jul!L55,0)</f>
        <v>0</v>
      </c>
      <c r="M55" s="100" t="str">
        <f>IF(E55=" "," ",IF(T$49="Y",Jul!M55,IF((H55+K55+L55)&gt;0,H55+K55+L55,"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IF(Employee!H$139=E$49,Employee!D$138+SUM(M55)+Jul!V55,SUM(M55)+Jul!V55)</f>
        <v>0</v>
      </c>
      <c r="W55" s="49">
        <f>IF(Employee!H$139=E$49,Employee!D$139+SUM(N55)+Jul!W55,SUM(N55)+Jul!W55)</f>
        <v>0</v>
      </c>
      <c r="X55" s="49">
        <f>IF(O55=" ",Jul!X55,O55+Jul!X55)</f>
        <v>0</v>
      </c>
      <c r="Y55" s="49">
        <f>IF(P55=" ",Jul!Y55,P55+Jul!Y55)</f>
        <v>0</v>
      </c>
      <c r="Z55" s="49">
        <f>IF(Q55=" ",Jul!Z55,Q55+Jul!Z55)</f>
        <v>0</v>
      </c>
      <c r="AA55" s="49">
        <f>IF(R55=" ",Jul!AA55,R55+Jul!AA55)</f>
        <v>0</v>
      </c>
      <c r="AC55" s="49">
        <f>IF(T55=" ",Jul!AC55,T55+Jul!AC55)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AD60+Jul!AD65</f>
        <v>0</v>
      </c>
      <c r="AE65" s="158">
        <f>AE60+Jul!AE65</f>
        <v>0</v>
      </c>
      <c r="AF65" s="158">
        <f>AF60+Jul!AF65</f>
        <v>0</v>
      </c>
      <c r="AG65" s="158">
        <f>AG60+Jul!AG65</f>
        <v>0</v>
      </c>
    </row>
    <row r="66" spans="6:33" ht="14" thickTop="1" x14ac:dyDescent="0.15"/>
    <row r="67" spans="6:33" x14ac:dyDescent="0.15">
      <c r="AD67" s="162"/>
      <c r="AE67" s="158">
        <f>AE62+Jul!AE67</f>
        <v>0</v>
      </c>
      <c r="AF67" s="158">
        <f>AF62+Jul!AF67</f>
        <v>0</v>
      </c>
      <c r="AG67" s="158">
        <f>AG62+Jul!AG67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Aug!M39+1</f>
        <v>45533</v>
      </c>
      <c r="L9" s="203" t="s">
        <v>76</v>
      </c>
      <c r="M9" s="205">
        <f>K9+6</f>
        <v>45539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IF(T$9="Y",Aug!H41,0)</f>
        <v>0</v>
      </c>
      <c r="I11" s="89">
        <f>IF(T$9="Y",Aug!I41,0)</f>
        <v>0</v>
      </c>
      <c r="J11" s="89">
        <f>IF(T$9="Y",Aug!J41,0)</f>
        <v>0</v>
      </c>
      <c r="K11" s="89">
        <f>IF(T$9="Y",Aug!K41,I11*J11)</f>
        <v>0</v>
      </c>
      <c r="L11" s="110">
        <f>IF(T$9="Y",Aug!L41,0)</f>
        <v>0</v>
      </c>
      <c r="M11" s="110" t="str">
        <f>IF(E11=" "," ",IF(T$9="Y",Aug!M41,IF((H11+K11+L11)&gt;0,H11+K11+L11,"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IF(Employee!H$34=E$9,Employee!D$34+SUM(M11)+Aug!V41,SUM(M11)+Aug!V41)</f>
        <v>0</v>
      </c>
      <c r="W11" s="49">
        <f>IF(Employee!H$34=E$9,Employee!D$35+SUM(N11)+Aug!W41,SUM(N11)+Aug!W41)</f>
        <v>0</v>
      </c>
      <c r="X11" s="49">
        <f>IF(O11=" ",Aug!X41,O11+Aug!X41)</f>
        <v>0</v>
      </c>
      <c r="Y11" s="49">
        <f>IF(P11=" ",Aug!Y41,P11+Aug!Y41)</f>
        <v>0</v>
      </c>
      <c r="Z11" s="49">
        <f>IF(Q11=" ",Aug!Z41,Q11+Aug!Z41)</f>
        <v>0</v>
      </c>
      <c r="AA11" s="49">
        <f>IF(R11=" ",Aug!AA41,R11+Aug!AA41)</f>
        <v>0</v>
      </c>
      <c r="AC11" s="49">
        <f>IF(T11=" ",Aug!AC41,T11+Aug!AC41)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IF(T$9="Y",Aug!H42,0)</f>
        <v>0</v>
      </c>
      <c r="I12" s="92">
        <f>IF(T$9="Y",Aug!I42,0)</f>
        <v>0</v>
      </c>
      <c r="J12" s="92">
        <f>IF(T$9="Y",Aug!J42,0)</f>
        <v>0</v>
      </c>
      <c r="K12" s="92">
        <f>IF(T$9="Y",Aug!K42,I12*J12)</f>
        <v>0</v>
      </c>
      <c r="L12" s="111">
        <f>IF(T$9="Y",Aug!L42,0)</f>
        <v>0</v>
      </c>
      <c r="M12" s="111" t="str">
        <f>IF(E12=" "," ",IF(T$9="Y",Aug!M42,IF((H12+K12+L12)&gt;0,H12+K12+L12,"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IF(Employee!H$60=E$9,Employee!D$60+SUM(M12)+Aug!V42,SUM(M12)+Aug!V42)</f>
        <v>0</v>
      </c>
      <c r="W12" s="49">
        <f>IF(Employee!H$60=E$9,Employee!D$61+SUM(N12)+Aug!W42,SUM(N12)+Aug!W42)</f>
        <v>0</v>
      </c>
      <c r="X12" s="49">
        <f>IF(O12=" ",Aug!X42,O12+Aug!X42)</f>
        <v>0</v>
      </c>
      <c r="Y12" s="49">
        <f>IF(P12=" ",Aug!Y42,P12+Aug!Y42)</f>
        <v>0</v>
      </c>
      <c r="Z12" s="49">
        <f>IF(Q12=" ",Aug!Z42,Q12+Aug!Z42)</f>
        <v>0</v>
      </c>
      <c r="AA12" s="49">
        <f>IF(R12=" ",Aug!AA42,R12+Aug!AA42)</f>
        <v>0</v>
      </c>
      <c r="AC12" s="49">
        <f>IF(T12=" ",Aug!AC42,T12+Aug!AC42)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IF(T$9="Y",Aug!H43,0)</f>
        <v>0</v>
      </c>
      <c r="I13" s="92">
        <f>IF(T$9="Y",Aug!I43,0)</f>
        <v>0</v>
      </c>
      <c r="J13" s="92">
        <f>IF(T$9="Y",Aug!J43,0)</f>
        <v>0</v>
      </c>
      <c r="K13" s="92">
        <f>IF(T$9="Y",Aug!K43,I13*J13)</f>
        <v>0</v>
      </c>
      <c r="L13" s="111">
        <f>IF(T$9="Y",Aug!L43,0)</f>
        <v>0</v>
      </c>
      <c r="M13" s="111" t="str">
        <f>IF(E13=" "," ",IF(T$9="Y",Aug!M43,IF((H13+K13+L13)&gt;0,H13+K13+L13,"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IF(Employee!H$86=E$9,Employee!D$86+SUM(M13)+Aug!V43,SUM(M13)+Aug!V43)</f>
        <v>0</v>
      </c>
      <c r="W13" s="49">
        <f>IF(Employee!H$86=E$9,Employee!D$87+SUM(N13)+Aug!W43,SUM(N13)+Aug!W43)</f>
        <v>0</v>
      </c>
      <c r="X13" s="49">
        <f>IF(O13=" ",Aug!X43,O13+Aug!X43)</f>
        <v>0</v>
      </c>
      <c r="Y13" s="49">
        <f>IF(P13=" ",Aug!Y43,P13+Aug!Y43)</f>
        <v>0</v>
      </c>
      <c r="Z13" s="49">
        <f>IF(Q13=" ",Aug!Z43,Q13+Aug!Z43)</f>
        <v>0</v>
      </c>
      <c r="AA13" s="49">
        <f>IF(R13=" ",Aug!AA43,R13+Aug!AA43)</f>
        <v>0</v>
      </c>
      <c r="AC13" s="49">
        <f>IF(T13=" ",Aug!AC43,T13+Aug!AC43)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IF(T$9="Y",Aug!H44,0)</f>
        <v>0</v>
      </c>
      <c r="I14" s="92">
        <f>IF(T$9="Y",Aug!I44,0)</f>
        <v>0</v>
      </c>
      <c r="J14" s="92">
        <f>IF(T$9="Y",Aug!J44,0)</f>
        <v>0</v>
      </c>
      <c r="K14" s="92">
        <f>IF(T$9="Y",Aug!K44,I14*J14)</f>
        <v>0</v>
      </c>
      <c r="L14" s="111">
        <f>IF(T$9="Y",Aug!L44,0)</f>
        <v>0</v>
      </c>
      <c r="M14" s="111" t="str">
        <f>IF(E14=" "," ",IF(T$9="Y",Aug!M44,IF((H14+K14+L14)&gt;0,H14+K14+L14,"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IF(Employee!H$112=E$9,Employee!D$112+SUM(M14)+Aug!V44,SUM(M14)+Aug!V44)</f>
        <v>0</v>
      </c>
      <c r="W14" s="49">
        <f>IF(Employee!H$112=E$9,Employee!D$113+SUM(N14)+Aug!W44,SUM(N14)+Aug!W44)</f>
        <v>0</v>
      </c>
      <c r="X14" s="49">
        <f>IF(O14=" ",Aug!X44,O14+Aug!X44)</f>
        <v>0</v>
      </c>
      <c r="Y14" s="49">
        <f>IF(P14=" ",Aug!Y44,P14+Aug!Y44)</f>
        <v>0</v>
      </c>
      <c r="Z14" s="49">
        <f>IF(Q14=" ",Aug!Z44,Q14+Aug!Z44)</f>
        <v>0</v>
      </c>
      <c r="AA14" s="49">
        <f>IF(R14=" ",Aug!AA44,R14+Aug!AA44)</f>
        <v>0</v>
      </c>
      <c r="AC14" s="49">
        <f>IF(T14=" ",Aug!AC44,T14+Aug!AC44)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IF(T$9="Y",Aug!H45,0)</f>
        <v>0</v>
      </c>
      <c r="I15" s="245">
        <f>IF(T$9="Y",Aug!I45,0)</f>
        <v>0</v>
      </c>
      <c r="J15" s="245">
        <f>IF(T$9="Y",Aug!J45,0)</f>
        <v>0</v>
      </c>
      <c r="K15" s="245">
        <f>IF(T$9="Y",Aug!K45,I15*J15)</f>
        <v>0</v>
      </c>
      <c r="L15" s="246">
        <f>IF(T$9="Y",Aug!L45,0)</f>
        <v>0</v>
      </c>
      <c r="M15" s="111" t="str">
        <f>IF(E15=" "," ",IF(T$9="Y",Aug!M45,IF((H15+K15+L15)&gt;0,H15+K15+L15,"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IF(Employee!H$138=E$9,Employee!D$138+SUM(M15)+Aug!V45,SUM(M15)+Aug!V45)</f>
        <v>0</v>
      </c>
      <c r="W15" s="49">
        <f>IF(Employee!H$138=E$9,Employee!D$139+SUM(N15)+Aug!W45,SUM(N15)+Aug!W45)</f>
        <v>0</v>
      </c>
      <c r="X15" s="49">
        <f>IF(O15=" ",Aug!X45,O15+Aug!X45)</f>
        <v>0</v>
      </c>
      <c r="Y15" s="49">
        <f>IF(P15=" ",Aug!Y45,P15+Aug!Y45)</f>
        <v>0</v>
      </c>
      <c r="Z15" s="49">
        <f>IF(Q15=" ",Aug!Z45,Q15+Aug!Z45)</f>
        <v>0</v>
      </c>
      <c r="AA15" s="49">
        <f>IF(R15=" ",Aug!AA45,R15+Aug!AA45)</f>
        <v>0</v>
      </c>
      <c r="AC15" s="49">
        <f>IF(T15=" ",Aug!AC45,T15+Aug!AC45)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45540</v>
      </c>
      <c r="L19" s="203" t="s">
        <v>76</v>
      </c>
      <c r="M19" s="205">
        <f>K19+6</f>
        <v>45546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45547</v>
      </c>
      <c r="L29" s="203" t="s">
        <v>76</v>
      </c>
      <c r="M29" s="205">
        <f>K29+6</f>
        <v>45553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45554</v>
      </c>
      <c r="L39" s="203" t="s">
        <v>76</v>
      </c>
      <c r="M39" s="205">
        <f>K39+6</f>
        <v>45560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45561</v>
      </c>
      <c r="L49" s="203" t="s">
        <v>76</v>
      </c>
      <c r="M49" s="205">
        <f>K49+6</f>
        <v>45567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Admin!B150</f>
        <v>45536</v>
      </c>
      <c r="L59" s="203" t="s">
        <v>76</v>
      </c>
      <c r="M59" s="205">
        <f>Admin!B179</f>
        <v>45565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IF(T$59="Y",Aug!H51,0)</f>
        <v>0</v>
      </c>
      <c r="I61" s="89">
        <f>IF(T$59="Y",Aug!I51,0)</f>
        <v>0</v>
      </c>
      <c r="J61" s="89">
        <f>IF(T$59="Y",Aug!J51,0)</f>
        <v>0</v>
      </c>
      <c r="K61" s="89">
        <f>IF(T$59="Y",Aug!K51,I61*J61)</f>
        <v>0</v>
      </c>
      <c r="L61" s="110">
        <f>IF(T$59="Y",Aug!L51,0)</f>
        <v>0</v>
      </c>
      <c r="M61" s="99" t="str">
        <f>IF(E61=" "," ",IF(T$59="Y",Aug!M51,IF((H61+K61+L61)&gt;0,H61+K61+L61,"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IF(Employee!H$35=E$59,Employee!D$34+SUM(M61)+Aug!V51,SUM(M61)+Aug!V51)</f>
        <v>0</v>
      </c>
      <c r="W61" s="49">
        <f>IF(Employee!H$35=E$59,Employee!D$35+SUM(N61)+Aug!W51,SUM(N61)+Aug!W51)</f>
        <v>0</v>
      </c>
      <c r="X61" s="49">
        <f>IF(O61=" ",Aug!X51,O61+Aug!X51)</f>
        <v>0</v>
      </c>
      <c r="Y61" s="49">
        <f>IF(P61=" ",Aug!Y51,P61+Aug!Y51)</f>
        <v>0</v>
      </c>
      <c r="Z61" s="49">
        <f>IF(Q61=" ",Aug!Z51,Q61+Aug!Z51)</f>
        <v>0</v>
      </c>
      <c r="AA61" s="49">
        <f>IF(R61=" ",Aug!AA51,R61+Aug!AA51)</f>
        <v>0</v>
      </c>
      <c r="AC61" s="49">
        <f>IF(T61=" ",Aug!AC51,T61+Aug!AC51)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IF(T$59="Y",Aug!H52,0)</f>
        <v>0</v>
      </c>
      <c r="I62" s="92">
        <f>IF(T$59="Y",Aug!I52,0)</f>
        <v>0</v>
      </c>
      <c r="J62" s="92">
        <f>IF(T$59="Y",Aug!J52,0)</f>
        <v>0</v>
      </c>
      <c r="K62" s="92">
        <f>IF(T$59="Y",Aug!K52,I62*J62)</f>
        <v>0</v>
      </c>
      <c r="L62" s="111">
        <f>IF(T$59="Y",Aug!L52,0)</f>
        <v>0</v>
      </c>
      <c r="M62" s="100" t="str">
        <f>IF(E62=" "," ",IF(T$59="Y",Aug!M52,IF((H62+K62+L62)&gt;0,H62+K62+L62,"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IF(Employee!H$61=E$59,Employee!D$60+SUM(M62)+Aug!V52,SUM(M62)+Aug!V52)</f>
        <v>0</v>
      </c>
      <c r="W62" s="49">
        <f>IF(Employee!H$61=E$59,Employee!D$61+SUM(N62)+Aug!W52,SUM(N62)+Aug!W52)</f>
        <v>0</v>
      </c>
      <c r="X62" s="49">
        <f>IF(O62=" ",Aug!X52,O62+Aug!X52)</f>
        <v>0</v>
      </c>
      <c r="Y62" s="49">
        <f>IF(P62=" ",Aug!Y52,P62+Aug!Y52)</f>
        <v>0</v>
      </c>
      <c r="Z62" s="49">
        <f>IF(Q62=" ",Aug!Z52,Q62+Aug!Z52)</f>
        <v>0</v>
      </c>
      <c r="AA62" s="49">
        <f>IF(R62=" ",Aug!AA52,R62+Aug!AA52)</f>
        <v>0</v>
      </c>
      <c r="AC62" s="49">
        <f>IF(T62=" ",Aug!AC52,T62+Aug!AC52)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IF(T$59="Y",Aug!H53,0)</f>
        <v>0</v>
      </c>
      <c r="I63" s="92">
        <f>IF(T$59="Y",Aug!I53,0)</f>
        <v>0</v>
      </c>
      <c r="J63" s="92">
        <f>IF(T$59="Y",Aug!J53,0)</f>
        <v>0</v>
      </c>
      <c r="K63" s="92">
        <f>IF(T$59="Y",Aug!K53,I63*J63)</f>
        <v>0</v>
      </c>
      <c r="L63" s="111">
        <f>IF(T$59="Y",Aug!L53,0)</f>
        <v>0</v>
      </c>
      <c r="M63" s="100" t="str">
        <f>IF(E63=" "," ",IF(T$59="Y",Aug!M53,IF((H63+K63+L63)&gt;0,H63+K63+L63,"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IF(Employee!H$87=E$59,Employee!D$86+SUM(M63)+Aug!V53,SUM(M63)+Aug!V53)</f>
        <v>0</v>
      </c>
      <c r="W63" s="49">
        <f>IF(Employee!H$87=E$59,Employee!D$87+SUM(N63)+Aug!W53,SUM(N63)+Aug!W53)</f>
        <v>0</v>
      </c>
      <c r="X63" s="49">
        <f>IF(O63=" ",Aug!X53,O63+Aug!X53)</f>
        <v>0</v>
      </c>
      <c r="Y63" s="49">
        <f>IF(P63=" ",Aug!Y53,P63+Aug!Y53)</f>
        <v>0</v>
      </c>
      <c r="Z63" s="49">
        <f>IF(Q63=" ",Aug!Z53,Q63+Aug!Z53)</f>
        <v>0</v>
      </c>
      <c r="AA63" s="49">
        <f>IF(R63=" ",Aug!AA53,R63+Aug!AA53)</f>
        <v>0</v>
      </c>
      <c r="AC63" s="49">
        <f>IF(T63=" ",Aug!AC53,T63+Aug!AC53)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IF(T$59="Y",Aug!H54,0)</f>
        <v>0</v>
      </c>
      <c r="I64" s="92">
        <f>IF(T$59="Y",Aug!I54,0)</f>
        <v>0</v>
      </c>
      <c r="J64" s="92">
        <f>IF(T$59="Y",Aug!J54,0)</f>
        <v>0</v>
      </c>
      <c r="K64" s="92">
        <f>IF(T$59="Y",Aug!K54,I64*J64)</f>
        <v>0</v>
      </c>
      <c r="L64" s="111">
        <f>IF(T$59="Y",Aug!L54,0)</f>
        <v>0</v>
      </c>
      <c r="M64" s="100" t="str">
        <f>IF(E64=" "," ",IF(T$59="Y",Aug!M54,IF((H64+K64+L64)&gt;0,H64+K64+L64,"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IF(Employee!H$113=E$59,Employee!D$112+SUM(M64)+Aug!V54,SUM(M64)+Aug!V54)</f>
        <v>0</v>
      </c>
      <c r="W64" s="49">
        <f>IF(Employee!H$113=E$59,Employee!D$113+SUM(N64)+Aug!W54,SUM(N64)+Aug!W54)</f>
        <v>0</v>
      </c>
      <c r="X64" s="49">
        <f>IF(O64=" ",Aug!X54,O64+Aug!X54)</f>
        <v>0</v>
      </c>
      <c r="Y64" s="49">
        <f>IF(P64=" ",Aug!Y54,P64+Aug!Y54)</f>
        <v>0</v>
      </c>
      <c r="Z64" s="49">
        <f>IF(Q64=" ",Aug!Z54,Q64+Aug!Z54)</f>
        <v>0</v>
      </c>
      <c r="AA64" s="49">
        <f>IF(R64=" ",Aug!AA54,R64+Aug!AA54)</f>
        <v>0</v>
      </c>
      <c r="AC64" s="49">
        <f>IF(T64=" ",Aug!AC54,T64+Aug!AC54)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IF(T$59="Y",Aug!H55,0)</f>
        <v>0</v>
      </c>
      <c r="I65" s="245">
        <f>IF(T$59="Y",Aug!I55,0)</f>
        <v>0</v>
      </c>
      <c r="J65" s="245">
        <f>IF(T$59="Y",Aug!J55,0)</f>
        <v>0</v>
      </c>
      <c r="K65" s="245">
        <f>IF(T$59="Y",Aug!K55,I65*J65)</f>
        <v>0</v>
      </c>
      <c r="L65" s="246">
        <f>IF(T$59="Y",Aug!L55,0)</f>
        <v>0</v>
      </c>
      <c r="M65" s="100" t="str">
        <f>IF(E65=" "," ",IF(T$59="Y",Aug!M55,IF((H65+K65+L65)&gt;0,H65+K65+L65,"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IF(Employee!H$139=E$59,Employee!D$138+SUM(M65)+Aug!V55,SUM(M65)+Aug!V55)</f>
        <v>0</v>
      </c>
      <c r="W65" s="49">
        <f>IF(Employee!H$139=E$59,Employee!D$139+SUM(N65)+Aug!W55,SUM(N65)+Aug!W55)</f>
        <v>0</v>
      </c>
      <c r="X65" s="49">
        <f>IF(O65=" ",Aug!X55,O65+Aug!X55)</f>
        <v>0</v>
      </c>
      <c r="Y65" s="49">
        <f>IF(P65=" ",Aug!Y55,P65+Aug!Y55)</f>
        <v>0</v>
      </c>
      <c r="Z65" s="49">
        <f>IF(Q65=" ",Aug!Z55,Q65+Aug!Z55)</f>
        <v>0</v>
      </c>
      <c r="AA65" s="49">
        <f>IF(R65=" ",Aug!AA55,R65+Aug!AA55)</f>
        <v>0</v>
      </c>
      <c r="AC65" s="49">
        <f>IF(T65=" ",Aug!AC55,T65+Aug!AC55)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AD70+Aug!AD65</f>
        <v>0</v>
      </c>
      <c r="AE75" s="158">
        <f>AE70+Aug!AE65</f>
        <v>0</v>
      </c>
      <c r="AF75" s="158">
        <f>AF70+Aug!AF65</f>
        <v>0</v>
      </c>
      <c r="AG75" s="158">
        <f>AG70+Aug!AG65</f>
        <v>0</v>
      </c>
    </row>
    <row r="76" spans="1:34" ht="14" thickTop="1" x14ac:dyDescent="0.15"/>
    <row r="77" spans="1:34" x14ac:dyDescent="0.15">
      <c r="AD77" s="162"/>
      <c r="AE77" s="158">
        <f>AE72+Aug!AE67</f>
        <v>0</v>
      </c>
      <c r="AF77" s="158">
        <f>AF72+Aug!AF67</f>
        <v>0</v>
      </c>
      <c r="AG77" s="158">
        <f>AG72+Aug!AG67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45568</v>
      </c>
      <c r="L9" s="203" t="s">
        <v>76</v>
      </c>
      <c r="M9" s="205">
        <f>Admin!B188</f>
        <v>45574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IF(T$9="Y",Sep!H51,0)</f>
        <v>0</v>
      </c>
      <c r="I11" s="89">
        <f>IF(T$9="Y",Sep!I51,0)</f>
        <v>0</v>
      </c>
      <c r="J11" s="89">
        <f>IF(T$9="Y",Sep!J51,0)</f>
        <v>0</v>
      </c>
      <c r="K11" s="89">
        <f>IF(T$9="Y",Sep!K51,I11*J11)</f>
        <v>0</v>
      </c>
      <c r="L11" s="110">
        <f>IF(T$9="Y",Sep!L51,0)</f>
        <v>0</v>
      </c>
      <c r="M11" s="99" t="str">
        <f>IF(E11=" "," ",IF(T$9="Y",Sep!M51,IF((H11+K11+L11)&gt;0,H11+K11+L11,"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IF(Employee!H$34=E$9,Employee!D$34+SUM(M11)+Sep!V51,SUM(M11)+Sep!V51)</f>
        <v>0</v>
      </c>
      <c r="W11" s="49">
        <f>IF(Employee!H$34=E$9,Employee!D$35+SUM(N11)+Sep!W51,SUM(N11)+Sep!W51)</f>
        <v>0</v>
      </c>
      <c r="X11" s="49">
        <f>IF(O11=" ",Sep!X51,O11+Sep!X51)</f>
        <v>0</v>
      </c>
      <c r="Y11" s="49">
        <f>IF(P11=" ",Sep!Y51,P11+Sep!Y51)</f>
        <v>0</v>
      </c>
      <c r="Z11" s="49">
        <f>IF(Q11=" ",Sep!Z51,Q11+Sep!Z51)</f>
        <v>0</v>
      </c>
      <c r="AA11" s="49">
        <f>IF(R11=" ",Sep!AA51,R11+Sep!AA51)</f>
        <v>0</v>
      </c>
      <c r="AC11" s="49">
        <f>IF(T11=" ",Sep!AC51,T11+Sep!AC51)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IF(T$9="Y",Sep!H52,0)</f>
        <v>0</v>
      </c>
      <c r="I12" s="92">
        <f>IF(T$9="Y",Sep!I52,0)</f>
        <v>0</v>
      </c>
      <c r="J12" s="92">
        <f>IF(T$9="Y",Sep!J52,0)</f>
        <v>0</v>
      </c>
      <c r="K12" s="92">
        <f>IF(T$9="Y",Sep!K52,I12*J12)</f>
        <v>0</v>
      </c>
      <c r="L12" s="111">
        <f>IF(T$9="Y",Sep!L52,0)</f>
        <v>0</v>
      </c>
      <c r="M12" s="100" t="str">
        <f>IF(E12=" "," ",IF(T$9="Y",Sep!M52,IF((H12+K12+L12)&gt;0,H12+K12+L12,"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IF(Employee!H$60=E$9,Employee!D$60+SUM(M12)+Sep!V52,SUM(M12)+Sep!V52)</f>
        <v>0</v>
      </c>
      <c r="W12" s="49">
        <f>IF(Employee!H$60=E$9,Employee!D$61+SUM(N12)+Sep!W52,SUM(N12)+Sep!W52)</f>
        <v>0</v>
      </c>
      <c r="X12" s="49">
        <f>IF(O12=" ",Sep!X52,O12+Sep!X52)</f>
        <v>0</v>
      </c>
      <c r="Y12" s="49">
        <f>IF(P12=" ",Sep!Y52,P12+Sep!Y52)</f>
        <v>0</v>
      </c>
      <c r="Z12" s="49">
        <f>IF(Q12=" ",Sep!Z52,Q12+Sep!Z52)</f>
        <v>0</v>
      </c>
      <c r="AA12" s="49">
        <f>IF(R12=" ",Sep!AA52,R12+Sep!AA52)</f>
        <v>0</v>
      </c>
      <c r="AC12" s="49">
        <f>IF(T12=" ",Sep!AC52,T12+Sep!AC52)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IF(T$9="Y",Sep!H53,0)</f>
        <v>0</v>
      </c>
      <c r="I13" s="92">
        <f>IF(T$9="Y",Sep!I53,0)</f>
        <v>0</v>
      </c>
      <c r="J13" s="92">
        <f>IF(T$9="Y",Sep!J53,0)</f>
        <v>0</v>
      </c>
      <c r="K13" s="92">
        <f>IF(T$9="Y",Sep!K53,I13*J13)</f>
        <v>0</v>
      </c>
      <c r="L13" s="111">
        <f>IF(T$9="Y",Sep!L53,0)</f>
        <v>0</v>
      </c>
      <c r="M13" s="100" t="str">
        <f>IF(E13=" "," ",IF(T$9="Y",Sep!M53,IF((H13+K13+L13)&gt;0,H13+K13+L13,"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IF(Employee!H$86=E$9,Employee!D$86+SUM(M13)+Sep!V53,SUM(M13)+Sep!V53)</f>
        <v>0</v>
      </c>
      <c r="W13" s="49">
        <f>IF(Employee!H$86=E$9,Employee!D$87+SUM(N13)+Sep!W53,SUM(N13)+Sep!W53)</f>
        <v>0</v>
      </c>
      <c r="X13" s="49">
        <f>IF(O13=" ",Sep!X53,O13+Sep!X53)</f>
        <v>0</v>
      </c>
      <c r="Y13" s="49">
        <f>IF(P13=" ",Sep!Y53,P13+Sep!Y53)</f>
        <v>0</v>
      </c>
      <c r="Z13" s="49">
        <f>IF(Q13=" ",Sep!Z53,Q13+Sep!Z53)</f>
        <v>0</v>
      </c>
      <c r="AA13" s="49">
        <f>IF(R13=" ",Sep!AA53,R13+Sep!AA53)</f>
        <v>0</v>
      </c>
      <c r="AC13" s="49">
        <f>IF(T13=" ",Sep!AC53,T13+Sep!AC53)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IF(T$9="Y",Sep!H54,0)</f>
        <v>0</v>
      </c>
      <c r="I14" s="92">
        <f>IF(T$9="Y",Sep!I54,0)</f>
        <v>0</v>
      </c>
      <c r="J14" s="92">
        <f>IF(T$9="Y",Sep!J54,0)</f>
        <v>0</v>
      </c>
      <c r="K14" s="92">
        <f>IF(T$9="Y",Sep!K54,I14*J14)</f>
        <v>0</v>
      </c>
      <c r="L14" s="111">
        <f>IF(T$9="Y",Sep!L54,0)</f>
        <v>0</v>
      </c>
      <c r="M14" s="100" t="str">
        <f>IF(E14=" "," ",IF(T$9="Y",Sep!M54,IF((H14+K14+L14)&gt;0,H14+K14+L14,"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IF(Employee!H$112=E$9,Employee!D$112+SUM(M14)+Sep!V54,SUM(M14)+Sep!V54)</f>
        <v>0</v>
      </c>
      <c r="W14" s="49">
        <f>IF(Employee!H$112=E$9,Employee!D$113+SUM(N14)+Sep!W54,SUM(N14)+Sep!W54)</f>
        <v>0</v>
      </c>
      <c r="X14" s="49">
        <f>IF(O14=" ",Sep!X54,O14+Sep!X54)</f>
        <v>0</v>
      </c>
      <c r="Y14" s="49">
        <f>IF(P14=" ",Sep!Y54,P14+Sep!Y54)</f>
        <v>0</v>
      </c>
      <c r="Z14" s="49">
        <f>IF(Q14=" ",Sep!Z54,Q14+Sep!Z54)</f>
        <v>0</v>
      </c>
      <c r="AA14" s="49">
        <f>IF(R14=" ",Sep!AA54,R14+Sep!AA54)</f>
        <v>0</v>
      </c>
      <c r="AC14" s="49">
        <f>IF(T14=" ",Sep!AC54,T14+Sep!AC54)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IF(T$9="Y",Sep!H55,0)</f>
        <v>0</v>
      </c>
      <c r="I15" s="245">
        <f>IF(T$9="Y",Sep!I55,0)</f>
        <v>0</v>
      </c>
      <c r="J15" s="245">
        <f>IF(T$9="Y",Sep!J55,0)</f>
        <v>0</v>
      </c>
      <c r="K15" s="245">
        <f>IF(T$9="Y",Sep!K55,I15*J15)</f>
        <v>0</v>
      </c>
      <c r="L15" s="246">
        <f>IF(T$9="Y",Sep!L55,0)</f>
        <v>0</v>
      </c>
      <c r="M15" s="247" t="str">
        <f>IF(E15=" "," ",IF(T$9="Y",Sep!M55,IF((H15+K15+L15)&gt;0,H15+K15+L15,"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IF(Employee!H$138=E$9,Employee!D$138+SUM(M15)+Sep!V55,SUM(M15)+Sep!V55)</f>
        <v>0</v>
      </c>
      <c r="W15" s="49">
        <f>IF(Employee!H$138=E$9,Employee!D$139+SUM(N15)+Sep!W55,SUM(N15)+Sep!W55)</f>
        <v>0</v>
      </c>
      <c r="X15" s="49">
        <f>IF(O15=" ",Sep!X55,O15+Sep!X55)</f>
        <v>0</v>
      </c>
      <c r="Y15" s="49">
        <f>IF(P15=" ",Sep!Y55,P15+Sep!Y55)</f>
        <v>0</v>
      </c>
      <c r="Z15" s="49">
        <f>IF(Q15=" ",Sep!Z55,Q15+Sep!Z55)</f>
        <v>0</v>
      </c>
      <c r="AA15" s="49">
        <f>IF(R15=" ",Sep!AA55,R15+Sep!AA55)</f>
        <v>0</v>
      </c>
      <c r="AC15" s="49">
        <f>IF(T15=" ",Sep!AC55,T15+Sep!AC55)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45575</v>
      </c>
      <c r="L19" s="203" t="s">
        <v>76</v>
      </c>
      <c r="M19" s="205">
        <f>K19+6</f>
        <v>45581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45582</v>
      </c>
      <c r="L29" s="203" t="s">
        <v>76</v>
      </c>
      <c r="M29" s="205">
        <f>K29+6</f>
        <v>45588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45589</v>
      </c>
      <c r="L39" s="203" t="s">
        <v>76</v>
      </c>
      <c r="M39" s="205">
        <f>K39+6</f>
        <v>45595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Admin!B180</f>
        <v>45566</v>
      </c>
      <c r="L49" s="203" t="s">
        <v>76</v>
      </c>
      <c r="M49" s="205">
        <f>Admin!B210</f>
        <v>45596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IF(T$49="Y",Sep!H61,0)</f>
        <v>0</v>
      </c>
      <c r="I51" s="89">
        <f>IF(T$49="Y",Sep!I61,0)</f>
        <v>0</v>
      </c>
      <c r="J51" s="89">
        <f>IF(T$49="Y",Sep!J61,0)</f>
        <v>0</v>
      </c>
      <c r="K51" s="89">
        <f>IF(T$49="Y",Sep!K61,I51*J51)</f>
        <v>0</v>
      </c>
      <c r="L51" s="110">
        <f>IF(T$49="Y",Sep!L61,0)</f>
        <v>0</v>
      </c>
      <c r="M51" s="99" t="str">
        <f>IF(E51=" "," ",IF(T$49="Y",Sep!M61,IF((H51+K51+L51)&gt;0,H51+K51+L51,"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IF(Employee!H$35=E$49,Employee!D$34+SUM(M51)+Sep!V61,SUM(M51)+Sep!V61)</f>
        <v>0</v>
      </c>
      <c r="W51" s="49">
        <f>IF(Employee!H$35=E$49,Employee!D$35+SUM(N51)+Sep!W61,SUM(N51)+Sep!W61)</f>
        <v>0</v>
      </c>
      <c r="X51" s="49">
        <f>IF(O51=" ",Sep!X61,O51+Sep!X61)</f>
        <v>0</v>
      </c>
      <c r="Y51" s="49">
        <f>IF(P51=" ",Sep!Y61,P51+Sep!Y61)</f>
        <v>0</v>
      </c>
      <c r="Z51" s="49">
        <f>IF(Q51=" ",Sep!Z61,Q51+Sep!Z61)</f>
        <v>0</v>
      </c>
      <c r="AA51" s="49">
        <f>IF(R51=" ",Sep!AA61,R51+Sep!AA61)</f>
        <v>0</v>
      </c>
      <c r="AC51" s="49">
        <f>IF(T51=" ",Sep!AC61,T51+Sep!AC61)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IF(T$49="Y",Sep!H62,0)</f>
        <v>0</v>
      </c>
      <c r="I52" s="92">
        <f>IF(T$49="Y",Sep!I62,0)</f>
        <v>0</v>
      </c>
      <c r="J52" s="92">
        <f>IF(T$49="Y",Sep!J62,0)</f>
        <v>0</v>
      </c>
      <c r="K52" s="92">
        <f>IF(T$49="Y",Sep!K62,I52*J52)</f>
        <v>0</v>
      </c>
      <c r="L52" s="111">
        <f>IF(T$49="Y",Sep!L62,0)</f>
        <v>0</v>
      </c>
      <c r="M52" s="100" t="str">
        <f>IF(E52=" "," ",IF(T$49="Y",Sep!M62,IF((H52+K52+L52)&gt;0,H52+K52+L52,"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IF(Employee!H$61=E$49,Employee!D$60+SUM(M52)+Sep!V62,SUM(M52)+Sep!V62)</f>
        <v>0</v>
      </c>
      <c r="W52" s="49">
        <f>IF(Employee!H$61=E$49,Employee!D$61+SUM(N52)+Sep!W62,SUM(N52)+Sep!W62)</f>
        <v>0</v>
      </c>
      <c r="X52" s="49">
        <f>IF(O52=" ",Sep!X62,O52+Sep!X62)</f>
        <v>0</v>
      </c>
      <c r="Y52" s="49">
        <f>IF(P52=" ",Sep!Y62,P52+Sep!Y62)</f>
        <v>0</v>
      </c>
      <c r="Z52" s="49">
        <f>IF(Q52=" ",Sep!Z62,Q52+Sep!Z62)</f>
        <v>0</v>
      </c>
      <c r="AA52" s="49">
        <f>IF(R52=" ",Sep!AA62,R52+Sep!AA62)</f>
        <v>0</v>
      </c>
      <c r="AC52" s="49">
        <f>IF(T52=" ",Sep!AC62,T52+Sep!AC62)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IF(T$49="Y",Sep!H63,0)</f>
        <v>0</v>
      </c>
      <c r="I53" s="92">
        <f>IF(T$49="Y",Sep!I63,0)</f>
        <v>0</v>
      </c>
      <c r="J53" s="92">
        <f>IF(T$49="Y",Sep!J63,0)</f>
        <v>0</v>
      </c>
      <c r="K53" s="92">
        <f>IF(T$49="Y",Sep!K63,I53*J53)</f>
        <v>0</v>
      </c>
      <c r="L53" s="111">
        <f>IF(T$49="Y",Sep!L63,0)</f>
        <v>0</v>
      </c>
      <c r="M53" s="100" t="str">
        <f>IF(E53=" "," ",IF(T$49="Y",Sep!M63,IF((H53+K53+L53)&gt;0,H53+K53+L53,"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IF(Employee!H$87=E$49,Employee!D$86+SUM(M53)+Sep!V63,SUM(M53)+Sep!V63)</f>
        <v>0</v>
      </c>
      <c r="W53" s="49">
        <f>IF(Employee!H$87=E$49,Employee!D$87+SUM(N53)+Sep!W63,SUM(N53)+Sep!W63)</f>
        <v>0</v>
      </c>
      <c r="X53" s="49">
        <f>IF(O53=" ",Sep!X63,O53+Sep!X63)</f>
        <v>0</v>
      </c>
      <c r="Y53" s="49">
        <f>IF(P53=" ",Sep!Y63,P53+Sep!Y63)</f>
        <v>0</v>
      </c>
      <c r="Z53" s="49">
        <f>IF(Q53=" ",Sep!Z63,Q53+Sep!Z63)</f>
        <v>0</v>
      </c>
      <c r="AA53" s="49">
        <f>IF(R53=" ",Sep!AA63,R53+Sep!AA63)</f>
        <v>0</v>
      </c>
      <c r="AC53" s="49">
        <f>IF(T53=" ",Sep!AC63,T53+Sep!AC63)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IF(T$49="Y",Sep!H64,0)</f>
        <v>0</v>
      </c>
      <c r="I54" s="92">
        <f>IF(T$49="Y",Sep!I64,0)</f>
        <v>0</v>
      </c>
      <c r="J54" s="92">
        <f>IF(T$49="Y",Sep!J64,0)</f>
        <v>0</v>
      </c>
      <c r="K54" s="92">
        <f>IF(T$49="Y",Sep!K64,I54*J54)</f>
        <v>0</v>
      </c>
      <c r="L54" s="111">
        <f>IF(T$49="Y",Sep!L64,0)</f>
        <v>0</v>
      </c>
      <c r="M54" s="100" t="str">
        <f>IF(E54=" "," ",IF(T$49="Y",Sep!M64,IF((H54+K54+L54)&gt;0,H54+K54+L54,"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IF(Employee!H$113=E$49,Employee!D$112+SUM(M54)+Sep!V64,SUM(M54)+Sep!V64)</f>
        <v>0</v>
      </c>
      <c r="W54" s="49">
        <f>IF(Employee!H$113=E$49,Employee!D$113+SUM(N54)+Sep!W64,SUM(N54)+Sep!W64)</f>
        <v>0</v>
      </c>
      <c r="X54" s="49">
        <f>IF(O54=" ",Sep!X64,O54+Sep!X64)</f>
        <v>0</v>
      </c>
      <c r="Y54" s="49">
        <f>IF(P54=" ",Sep!Y64,P54+Sep!Y64)</f>
        <v>0</v>
      </c>
      <c r="Z54" s="49">
        <f>IF(Q54=" ",Sep!Z64,Q54+Sep!Z64)</f>
        <v>0</v>
      </c>
      <c r="AA54" s="49">
        <f>IF(R54=" ",Sep!AA64,R54+Sep!AA64)</f>
        <v>0</v>
      </c>
      <c r="AC54" s="49">
        <f>IF(T54=" ",Sep!AC64,T54+Sep!AC64)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IF(T$49="Y",Sep!H65,0)</f>
        <v>0</v>
      </c>
      <c r="I55" s="245">
        <f>IF(T$49="Y",Sep!I65,0)</f>
        <v>0</v>
      </c>
      <c r="J55" s="245">
        <f>IF(T$49="Y",Sep!J65,0)</f>
        <v>0</v>
      </c>
      <c r="K55" s="245">
        <f>IF(T$49="Y",Sep!K65,I55*J55)</f>
        <v>0</v>
      </c>
      <c r="L55" s="246">
        <f>IF(T$49="Y",Sep!L65,0)</f>
        <v>0</v>
      </c>
      <c r="M55" s="100" t="str">
        <f>IF(E55=" "," ",IF(T$49="Y",Sep!M65,IF((H55+K55+L55)&gt;0,H55+K55+L55,"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IF(Employee!H$139=E$49,Employee!D$138+SUM(M55)+Sep!V65,SUM(M55)+Sep!V65)</f>
        <v>0</v>
      </c>
      <c r="W55" s="49">
        <f>IF(Employee!H$139=E$49,Employee!D$139+SUM(N55)+Sep!W65,SUM(N55)+Sep!W65)</f>
        <v>0</v>
      </c>
      <c r="X55" s="49">
        <f>IF(O55=" ",Sep!X65,O55+Sep!X65)</f>
        <v>0</v>
      </c>
      <c r="Y55" s="49">
        <f>IF(P55=" ",Sep!Y65,P55+Sep!Y65)</f>
        <v>0</v>
      </c>
      <c r="Z55" s="49">
        <f>IF(Q55=" ",Sep!Z65,Q55+Sep!Z65)</f>
        <v>0</v>
      </c>
      <c r="AA55" s="49">
        <f>IF(R55=" ",Sep!AA65,R55+Sep!AA65)</f>
        <v>0</v>
      </c>
      <c r="AC55" s="49">
        <f>IF(T55=" ",Sep!AC65,T55+Sep!AC65)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AD60+Sep!AD75</f>
        <v>0</v>
      </c>
      <c r="AE65" s="158">
        <f>AE60+Sep!AE75</f>
        <v>0</v>
      </c>
      <c r="AF65" s="158">
        <f>AF60+Sep!AF75</f>
        <v>0</v>
      </c>
      <c r="AG65" s="158">
        <f>AG60+Sep!AG75</f>
        <v>0</v>
      </c>
    </row>
    <row r="66" spans="6:33" ht="14" thickTop="1" x14ac:dyDescent="0.15"/>
    <row r="67" spans="6:33" x14ac:dyDescent="0.15">
      <c r="AD67" s="162"/>
      <c r="AE67" s="158">
        <f>AE62+Sep!AE77</f>
        <v>0</v>
      </c>
      <c r="AF67" s="158">
        <f>AF62+Sep!AF77</f>
        <v>0</v>
      </c>
      <c r="AG67" s="158">
        <f>AG62+Sep!AG77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45596</v>
      </c>
      <c r="L9" s="203" t="s">
        <v>76</v>
      </c>
      <c r="M9" s="205">
        <f>K9+6</f>
        <v>45602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IF(T$9="Y",Oct!H41,0)</f>
        <v>0</v>
      </c>
      <c r="I11" s="89">
        <f>IF(T$9="Y",Oct!I41,0)</f>
        <v>0</v>
      </c>
      <c r="J11" s="89">
        <f>IF(T$9="Y",Oct!J41,0)</f>
        <v>0</v>
      </c>
      <c r="K11" s="89">
        <f>IF(T$9="Y",Oct!K41,I11*J11)</f>
        <v>0</v>
      </c>
      <c r="L11" s="110">
        <f>IF(T$9="Y",Oct!L41,0)</f>
        <v>0</v>
      </c>
      <c r="M11" s="99" t="str">
        <f>IF(E11=" "," ",IF(T$9="Y",Oct!M41,IF((H11+K11+L11)&gt;0,H11+K11+L11,"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IF(Employee!H$34=E$9,Employee!D$34+SUM(M11)+Oct!V41,SUM(M11)+Oct!V41)</f>
        <v>0</v>
      </c>
      <c r="W11" s="49">
        <f>IF(Employee!H$34=E$9,Employee!D$35+SUM(N11)+Oct!W41,SUM(N11)+Oct!W41)</f>
        <v>0</v>
      </c>
      <c r="X11" s="49">
        <f>IF(O11=" ",Oct!X41,O11+Oct!X41)</f>
        <v>0</v>
      </c>
      <c r="Y11" s="49">
        <f>IF(P11=" ",Oct!Y41,P11+Oct!Y41)</f>
        <v>0</v>
      </c>
      <c r="Z11" s="49">
        <f>IF(Q11=" ",Oct!Z41,Q11+Oct!Z41)</f>
        <v>0</v>
      </c>
      <c r="AA11" s="49">
        <f>IF(R11=" ",Oct!AA41,R11+Oct!AA41)</f>
        <v>0</v>
      </c>
      <c r="AC11" s="49">
        <f>IF(T11=" ",Oct!AC41,T11+Oct!AC41)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IF(T$9="Y",Oct!H42,0)</f>
        <v>0</v>
      </c>
      <c r="I12" s="92">
        <f>IF(T$9="Y",Oct!I42,0)</f>
        <v>0</v>
      </c>
      <c r="J12" s="92">
        <f>IF(T$9="Y",Oct!J42,0)</f>
        <v>0</v>
      </c>
      <c r="K12" s="92">
        <f>IF(T$9="Y",Oct!K42,I12*J12)</f>
        <v>0</v>
      </c>
      <c r="L12" s="111">
        <f>IF(T$9="Y",Oct!L42,0)</f>
        <v>0</v>
      </c>
      <c r="M12" s="100" t="str">
        <f>IF(E12=" "," ",IF(T$9="Y",Oct!M42,IF((H12+K12+L12)&gt;0,H12+K12+L12,"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IF(Employee!H$60=E$9,Employee!D$60+SUM(M12)+Oct!V42,SUM(M12)+Oct!V42)</f>
        <v>0</v>
      </c>
      <c r="W12" s="49">
        <f>IF(Employee!H$60=E$9,Employee!D$61+SUM(N12)+Oct!W42,SUM(N12)+Oct!W42)</f>
        <v>0</v>
      </c>
      <c r="X12" s="49">
        <f>IF(O12=" ",Oct!X42,O12+Oct!X42)</f>
        <v>0</v>
      </c>
      <c r="Y12" s="49">
        <f>IF(P12=" ",Oct!Y42,P12+Oct!Y42)</f>
        <v>0</v>
      </c>
      <c r="Z12" s="49">
        <f>IF(Q12=" ",Oct!Z42,Q12+Oct!Z42)</f>
        <v>0</v>
      </c>
      <c r="AA12" s="49">
        <f>IF(R12=" ",Oct!AA42,R12+Oct!AA42)</f>
        <v>0</v>
      </c>
      <c r="AC12" s="49">
        <f>IF(T12=" ",Oct!AC42,T12+Oct!AC42)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IF(T$9="Y",Oct!H43,0)</f>
        <v>0</v>
      </c>
      <c r="I13" s="92">
        <f>IF(T$9="Y",Oct!I43,0)</f>
        <v>0</v>
      </c>
      <c r="J13" s="92">
        <f>IF(T$9="Y",Oct!J43,0)</f>
        <v>0</v>
      </c>
      <c r="K13" s="92">
        <f>IF(T$9="Y",Oct!K43,I13*J13)</f>
        <v>0</v>
      </c>
      <c r="L13" s="111">
        <f>IF(T$9="Y",Oct!L43,0)</f>
        <v>0</v>
      </c>
      <c r="M13" s="100" t="str">
        <f>IF(E13=" "," ",IF(T$9="Y",Oct!M43,IF((H13+K13+L13)&gt;0,H13+K13+L13,"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IF(Employee!H$86=E$9,Employee!D$86+SUM(M13)+Oct!V43,SUM(M13)+Oct!V43)</f>
        <v>0</v>
      </c>
      <c r="W13" s="49">
        <f>IF(Employee!H$86=E$9,Employee!D$87+SUM(N13)+Oct!W43,SUM(N13)+Oct!W43)</f>
        <v>0</v>
      </c>
      <c r="X13" s="49">
        <f>IF(O13=" ",Oct!X43,O13+Oct!X43)</f>
        <v>0</v>
      </c>
      <c r="Y13" s="49">
        <f>IF(P13=" ",Oct!Y43,P13+Oct!Y43)</f>
        <v>0</v>
      </c>
      <c r="Z13" s="49">
        <f>IF(Q13=" ",Oct!Z43,Q13+Oct!Z43)</f>
        <v>0</v>
      </c>
      <c r="AA13" s="49">
        <f>IF(R13=" ",Oct!AA43,R13+Oct!AA43)</f>
        <v>0</v>
      </c>
      <c r="AC13" s="49">
        <f>IF(T13=" ",Oct!AC43,T13+Oct!AC43)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IF(T$9="Y",Oct!H44,0)</f>
        <v>0</v>
      </c>
      <c r="I14" s="92">
        <f>IF(T$9="Y",Oct!I44,0)</f>
        <v>0</v>
      </c>
      <c r="J14" s="92">
        <f>IF(T$9="Y",Oct!J44,0)</f>
        <v>0</v>
      </c>
      <c r="K14" s="92">
        <f>IF(T$9="Y",Oct!K44,I14*J14)</f>
        <v>0</v>
      </c>
      <c r="L14" s="111">
        <f>IF(T$9="Y",Oct!L44,0)</f>
        <v>0</v>
      </c>
      <c r="M14" s="100" t="str">
        <f>IF(E14=" "," ",IF(T$9="Y",Oct!M44,IF((H14+K14+L14)&gt;0,H14+K14+L14,"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IF(Employee!H$112=E$9,Employee!D$112+SUM(M14)+Oct!V44,SUM(M14)+Oct!V44)</f>
        <v>0</v>
      </c>
      <c r="W14" s="49">
        <f>IF(Employee!H$112=E$9,Employee!D$113+SUM(N14)+Oct!W44,SUM(N14)+Oct!W44)</f>
        <v>0</v>
      </c>
      <c r="X14" s="49">
        <f>IF(O14=" ",Oct!X44,O14+Oct!X44)</f>
        <v>0</v>
      </c>
      <c r="Y14" s="49">
        <f>IF(P14=" ",Oct!Y44,P14+Oct!Y44)</f>
        <v>0</v>
      </c>
      <c r="Z14" s="49">
        <f>IF(Q14=" ",Oct!Z44,Q14+Oct!Z44)</f>
        <v>0</v>
      </c>
      <c r="AA14" s="49">
        <f>IF(R14=" ",Oct!AA44,R14+Oct!AA44)</f>
        <v>0</v>
      </c>
      <c r="AC14" s="49">
        <f>IF(T14=" ",Oct!AC44,T14+Oct!AC44)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IF(T$9="Y",Oct!H45,0)</f>
        <v>0</v>
      </c>
      <c r="I15" s="245">
        <f>IF(T$9="Y",Oct!I45,0)</f>
        <v>0</v>
      </c>
      <c r="J15" s="245">
        <f>IF(T$9="Y",Oct!J45,0)</f>
        <v>0</v>
      </c>
      <c r="K15" s="245">
        <f>IF(T$9="Y",Oct!K45,I15*J15)</f>
        <v>0</v>
      </c>
      <c r="L15" s="246">
        <f>IF(T$9="Y",Oct!L45,0)</f>
        <v>0</v>
      </c>
      <c r="M15" s="247" t="str">
        <f>IF(E15=" "," ",IF(T$9="Y",Oct!M45,IF((H15+K15+L15)&gt;0,H15+K15+L15,"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IF(Employee!H$138=E$9,Employee!D$138+SUM(M15)+Oct!V45,SUM(M15)+Oct!V45)</f>
        <v>0</v>
      </c>
      <c r="W15" s="49">
        <f>IF(Employee!H$138=E$9,Employee!D$139+SUM(N15)+Oct!W45,SUM(N15)+Oct!W45)</f>
        <v>0</v>
      </c>
      <c r="X15" s="49">
        <f>IF(O15=" ",Oct!X45,O15+Oct!X45)</f>
        <v>0</v>
      </c>
      <c r="Y15" s="49">
        <f>IF(P15=" ",Oct!Y45,P15+Oct!Y45)</f>
        <v>0</v>
      </c>
      <c r="Z15" s="49">
        <f>IF(Q15=" ",Oct!Z45,Q15+Oct!Z45)</f>
        <v>0</v>
      </c>
      <c r="AA15" s="49">
        <f>IF(R15=" ",Oct!AA45,R15+Oct!AA45)</f>
        <v>0</v>
      </c>
      <c r="AC15" s="49">
        <f>IF(T15=" ",Oct!AC45,T15+Oct!AC45)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45603</v>
      </c>
      <c r="L19" s="203" t="s">
        <v>76</v>
      </c>
      <c r="M19" s="205">
        <f>K19+6</f>
        <v>45609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45610</v>
      </c>
      <c r="L29" s="203" t="s">
        <v>76</v>
      </c>
      <c r="M29" s="205">
        <f>K29+6</f>
        <v>45616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45617</v>
      </c>
      <c r="L39" s="203" t="s">
        <v>76</v>
      </c>
      <c r="M39" s="205">
        <f>K39+6</f>
        <v>45623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Admin!B211</f>
        <v>45597</v>
      </c>
      <c r="L49" s="203" t="s">
        <v>76</v>
      </c>
      <c r="M49" s="205">
        <f>Admin!B240</f>
        <v>45626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IF(T$49="Y",Oct!H51,0)</f>
        <v>0</v>
      </c>
      <c r="I51" s="89">
        <f>IF(T$49="Y",Oct!I51,0)</f>
        <v>0</v>
      </c>
      <c r="J51" s="89">
        <f>IF(T$49="Y",Oct!J51,0)</f>
        <v>0</v>
      </c>
      <c r="K51" s="89">
        <f>IF(T$49="Y",Oct!K51,I51*J51)</f>
        <v>0</v>
      </c>
      <c r="L51" s="110">
        <f>IF(T$49="Y",Oct!L51,0)</f>
        <v>0</v>
      </c>
      <c r="M51" s="99" t="str">
        <f>IF(E51=" "," ",IF(T$49="Y",Oct!M51,IF((H51+K51+L51)&gt;0,H51+K51+L51,"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IF(Employee!H$35=E$49,Employee!D$34+SUM(M51)+Oct!V51,SUM(M51)+Oct!V51)</f>
        <v>0</v>
      </c>
      <c r="W51" s="49">
        <f>IF(Employee!H$35=E$49,Employee!D$35+SUM(N51)+Oct!W51,SUM(N51)+Oct!W51)</f>
        <v>0</v>
      </c>
      <c r="X51" s="49">
        <f>IF(O51=" ",Oct!X51,O51+Oct!X51)</f>
        <v>0</v>
      </c>
      <c r="Y51" s="49">
        <f>IF(P51=" ",Oct!Y51,P51+Oct!Y51)</f>
        <v>0</v>
      </c>
      <c r="Z51" s="49">
        <f>IF(Q51=" ",Oct!Z51,Q51+Oct!Z51)</f>
        <v>0</v>
      </c>
      <c r="AA51" s="49">
        <f>IF(R51=" ",Oct!AA51,R51+Oct!AA51)</f>
        <v>0</v>
      </c>
      <c r="AC51" s="49">
        <f>IF(T51=" ",Oct!AC51,T51+Oct!AC51)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IF(T$49="Y",Oct!H52,0)</f>
        <v>0</v>
      </c>
      <c r="I52" s="92">
        <f>IF(T$49="Y",Oct!I52,0)</f>
        <v>0</v>
      </c>
      <c r="J52" s="92">
        <f>IF(T$49="Y",Oct!J52,0)</f>
        <v>0</v>
      </c>
      <c r="K52" s="92">
        <f>IF(T$49="Y",Oct!K52,I52*J52)</f>
        <v>0</v>
      </c>
      <c r="L52" s="111">
        <f>IF(T$49="Y",Oct!L52,0)</f>
        <v>0</v>
      </c>
      <c r="M52" s="100" t="str">
        <f>IF(E52=" "," ",IF(T$49="Y",Oct!M52,IF((H52+K52+L52)&gt;0,H52+K52+L52,"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IF(Employee!H$61=E$49,Employee!D$60+SUM(M52)+Oct!V52,SUM(M52)+Oct!V52)</f>
        <v>0</v>
      </c>
      <c r="W52" s="49">
        <f>IF(Employee!H$61=E$49,Employee!D$61+SUM(N52)+Oct!W52,SUM(N52)+Oct!W52)</f>
        <v>0</v>
      </c>
      <c r="X52" s="49">
        <f>IF(O52=" ",Oct!X52,O52+Oct!X52)</f>
        <v>0</v>
      </c>
      <c r="Y52" s="49">
        <f>IF(P52=" ",Oct!Y52,P52+Oct!Y52)</f>
        <v>0</v>
      </c>
      <c r="Z52" s="49">
        <f>IF(Q52=" ",Oct!Z52,Q52+Oct!Z52)</f>
        <v>0</v>
      </c>
      <c r="AA52" s="49">
        <f>IF(R52=" ",Oct!AA52,R52+Oct!AA52)</f>
        <v>0</v>
      </c>
      <c r="AC52" s="49">
        <f>IF(T52=" ",Oct!AC52,T52+Oct!AC52)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IF(T$49="Y",Oct!H53,0)</f>
        <v>0</v>
      </c>
      <c r="I53" s="92">
        <f>IF(T$49="Y",Oct!I53,0)</f>
        <v>0</v>
      </c>
      <c r="J53" s="92">
        <f>IF(T$49="Y",Oct!J53,0)</f>
        <v>0</v>
      </c>
      <c r="K53" s="92">
        <f>IF(T$49="Y",Oct!K53,I53*J53)</f>
        <v>0</v>
      </c>
      <c r="L53" s="111">
        <f>IF(T$49="Y",Oct!L53,0)</f>
        <v>0</v>
      </c>
      <c r="M53" s="100" t="str">
        <f>IF(E53=" "," ",IF(T$49="Y",Oct!M53,IF((H53+K53+L53)&gt;0,H53+K53+L53,"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IF(Employee!H$87=E$49,Employee!D$86+SUM(M53)+Oct!V53,SUM(M53)+Oct!V53)</f>
        <v>0</v>
      </c>
      <c r="W53" s="49">
        <f>IF(Employee!H$87=E$49,Employee!D$87+SUM(N53)+Oct!W53,SUM(N53)+Oct!W53)</f>
        <v>0</v>
      </c>
      <c r="X53" s="49">
        <f>IF(O53=" ",Oct!X53,O53+Oct!X53)</f>
        <v>0</v>
      </c>
      <c r="Y53" s="49">
        <f>IF(P53=" ",Oct!Y53,P53+Oct!Y53)</f>
        <v>0</v>
      </c>
      <c r="Z53" s="49">
        <f>IF(Q53=" ",Oct!Z53,Q53+Oct!Z53)</f>
        <v>0</v>
      </c>
      <c r="AA53" s="49">
        <f>IF(R53=" ",Oct!AA53,R53+Oct!AA53)</f>
        <v>0</v>
      </c>
      <c r="AC53" s="49">
        <f>IF(T53=" ",Oct!AC53,T53+Oct!AC53)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IF(T$49="Y",Oct!H54,0)</f>
        <v>0</v>
      </c>
      <c r="I54" s="92">
        <f>IF(T$49="Y",Oct!I54,0)</f>
        <v>0</v>
      </c>
      <c r="J54" s="92">
        <f>IF(T$49="Y",Oct!J54,0)</f>
        <v>0</v>
      </c>
      <c r="K54" s="92">
        <f>IF(T$49="Y",Oct!K54,I54*J54)</f>
        <v>0</v>
      </c>
      <c r="L54" s="111">
        <f>IF(T$49="Y",Oct!L54,0)</f>
        <v>0</v>
      </c>
      <c r="M54" s="100" t="str">
        <f>IF(E54=" "," ",IF(T$49="Y",Oct!M54,IF((H54+K54+L54)&gt;0,H54+K54+L54,"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IF(Employee!H$113=E$49,Employee!D$112+SUM(M54)+Oct!V54,SUM(M54)+Oct!V54)</f>
        <v>0</v>
      </c>
      <c r="W54" s="49">
        <f>IF(Employee!H$113=E$49,Employee!D$113+SUM(N54)+Oct!W54,SUM(N54)+Oct!W54)</f>
        <v>0</v>
      </c>
      <c r="X54" s="49">
        <f>IF(O54=" ",Oct!X54,O54+Oct!X54)</f>
        <v>0</v>
      </c>
      <c r="Y54" s="49">
        <f>IF(P54=" ",Oct!Y54,P54+Oct!Y54)</f>
        <v>0</v>
      </c>
      <c r="Z54" s="49">
        <f>IF(Q54=" ",Oct!Z54,Q54+Oct!Z54)</f>
        <v>0</v>
      </c>
      <c r="AA54" s="49">
        <f>IF(R54=" ",Oct!AA54,R54+Oct!AA54)</f>
        <v>0</v>
      </c>
      <c r="AC54" s="49">
        <f>IF(T54=" ",Oct!AC54,T54+Oct!AC54)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IF(T$49="Y",Oct!H55,0)</f>
        <v>0</v>
      </c>
      <c r="I55" s="245">
        <f>IF(T$49="Y",Oct!I55,0)</f>
        <v>0</v>
      </c>
      <c r="J55" s="245">
        <f>IF(T$49="Y",Oct!J55,0)</f>
        <v>0</v>
      </c>
      <c r="K55" s="245">
        <f>IF(T$49="Y",Oct!K55,I55*J55)</f>
        <v>0</v>
      </c>
      <c r="L55" s="246">
        <f>IF(T$49="Y",Oct!L55,0)</f>
        <v>0</v>
      </c>
      <c r="M55" s="100" t="str">
        <f>IF(E55=" "," ",IF(T$49="Y",Oct!M55,IF((H55+K55+L55)&gt;0,H55+K55+L55,"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IF(Employee!H$139=E$49,Employee!D$138+SUM(M55)+Oct!V55,SUM(M55)+Oct!V55)</f>
        <v>0</v>
      </c>
      <c r="W55" s="49">
        <f>IF(Employee!H$139=E$49,Employee!D$139+SUM(N55)+Oct!W55,SUM(N55)+Oct!W55)</f>
        <v>0</v>
      </c>
      <c r="X55" s="49">
        <f>IF(O55=" ",Oct!X55,O55+Oct!X55)</f>
        <v>0</v>
      </c>
      <c r="Y55" s="49">
        <f>IF(P55=" ",Oct!Y55,P55+Oct!Y55)</f>
        <v>0</v>
      </c>
      <c r="Z55" s="49">
        <f>IF(Q55=" ",Oct!Z55,Q55+Oct!Z55)</f>
        <v>0</v>
      </c>
      <c r="AA55" s="49">
        <f>IF(R55=" ",Oct!AA55,R55+Oct!AA55)</f>
        <v>0</v>
      </c>
      <c r="AC55" s="49">
        <f>IF(T55=" ",Oct!AC55,T55+Oct!AC55)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AD60+Oct!AD65</f>
        <v>0</v>
      </c>
      <c r="AE65" s="158">
        <f>AE60+Oct!AE65</f>
        <v>0</v>
      </c>
      <c r="AF65" s="158">
        <f>AF60+Oct!AF65</f>
        <v>0</v>
      </c>
      <c r="AG65" s="158">
        <f>AG60+Oct!AG65</f>
        <v>0</v>
      </c>
    </row>
    <row r="66" spans="6:33" ht="14" thickTop="1" x14ac:dyDescent="0.15"/>
    <row r="67" spans="6:33" x14ac:dyDescent="0.15">
      <c r="AD67" s="162"/>
      <c r="AE67" s="158">
        <f>AE62+Oct!AE67</f>
        <v>0</v>
      </c>
      <c r="AF67" s="158">
        <f>AF62+Oct!AF67</f>
        <v>0</v>
      </c>
      <c r="AG67" s="158">
        <f>AG62+Oct!AG67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Nov!M39+1</f>
        <v>45624</v>
      </c>
      <c r="L9" s="203" t="s">
        <v>76</v>
      </c>
      <c r="M9" s="205">
        <f>K9+6</f>
        <v>45630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IF(T$9="Y",Nov!H41,0)</f>
        <v>0</v>
      </c>
      <c r="I11" s="89">
        <f>IF(T$9="Y",Nov!I41,0)</f>
        <v>0</v>
      </c>
      <c r="J11" s="89">
        <f>IF(T$9="Y",Nov!J41,0)</f>
        <v>0</v>
      </c>
      <c r="K11" s="89">
        <f>IF(T$9="Y",Nov!K41,I11*J11)</f>
        <v>0</v>
      </c>
      <c r="L11" s="110">
        <f>IF(T$9="Y",Nov!L41,0)</f>
        <v>0</v>
      </c>
      <c r="M11" s="110" t="str">
        <f>IF(E11=" "," ",IF(T$9="Y",Nov!M41,IF((H11+K11+L11)&gt;0,H11+K11+L11,"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IF(Employee!H$34=E$9,Employee!D$34+SUM(M11)+Nov!V41,SUM(M11)+Nov!V41)</f>
        <v>0</v>
      </c>
      <c r="W11" s="49">
        <f>IF(Employee!H$34=E$9,Employee!D$35+SUM(N11)+Nov!W41,SUM(N11)+Nov!W41)</f>
        <v>0</v>
      </c>
      <c r="X11" s="49">
        <f>IF(O11=" ",Nov!X41,O11+Nov!X41)</f>
        <v>0</v>
      </c>
      <c r="Y11" s="49">
        <f>IF(P11=" ",Nov!Y41,P11+Nov!Y41)</f>
        <v>0</v>
      </c>
      <c r="Z11" s="49">
        <f>IF(Q11=" ",Nov!Z41,Q11+Nov!Z41)</f>
        <v>0</v>
      </c>
      <c r="AA11" s="49">
        <f>IF(R11=" ",Nov!AA41,R11+Nov!AA41)</f>
        <v>0</v>
      </c>
      <c r="AC11" s="49">
        <f>IF(T11=" ",Nov!AC41,T11+Nov!AC41)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IF(T$9="Y",Nov!H42,0)</f>
        <v>0</v>
      </c>
      <c r="I12" s="92">
        <f>IF(T$9="Y",Nov!I42,0)</f>
        <v>0</v>
      </c>
      <c r="J12" s="92">
        <f>IF(T$9="Y",Nov!J42,0)</f>
        <v>0</v>
      </c>
      <c r="K12" s="92">
        <f>IF(T$9="Y",Nov!K42,I12*J12)</f>
        <v>0</v>
      </c>
      <c r="L12" s="111">
        <f>IF(T$9="Y",Nov!L42,0)</f>
        <v>0</v>
      </c>
      <c r="M12" s="111" t="str">
        <f>IF(E12=" "," ",IF(T$9="Y",Nov!M42,IF((H12+K12+L12)&gt;0,H12+K12+L12,"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IF(Employee!H$60=E$9,Employee!D$60+SUM(M12)+Nov!V42,SUM(M12)+Nov!V42)</f>
        <v>0</v>
      </c>
      <c r="W12" s="49">
        <f>IF(Employee!H$60=E$9,Employee!D$61+SUM(N12)+Nov!W42,SUM(N12)+Nov!W42)</f>
        <v>0</v>
      </c>
      <c r="X12" s="49">
        <f>IF(O12=" ",Nov!X42,O12+Nov!X42)</f>
        <v>0</v>
      </c>
      <c r="Y12" s="49">
        <f>IF(P12=" ",Nov!Y42,P12+Nov!Y42)</f>
        <v>0</v>
      </c>
      <c r="Z12" s="49">
        <f>IF(Q12=" ",Nov!Z42,Q12+Nov!Z42)</f>
        <v>0</v>
      </c>
      <c r="AA12" s="49">
        <f>IF(R12=" ",Nov!AA42,R12+Nov!AA42)</f>
        <v>0</v>
      </c>
      <c r="AC12" s="49">
        <f>IF(T12=" ",Nov!AC42,T12+Nov!AC42)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IF(T$9="Y",Nov!H43,0)</f>
        <v>0</v>
      </c>
      <c r="I13" s="92">
        <f>IF(T$9="Y",Nov!I43,0)</f>
        <v>0</v>
      </c>
      <c r="J13" s="92">
        <f>IF(T$9="Y",Nov!J43,0)</f>
        <v>0</v>
      </c>
      <c r="K13" s="92">
        <f>IF(T$9="Y",Nov!K43,I13*J13)</f>
        <v>0</v>
      </c>
      <c r="L13" s="111">
        <f>IF(T$9="Y",Nov!L43,0)</f>
        <v>0</v>
      </c>
      <c r="M13" s="111" t="str">
        <f>IF(E13=" "," ",IF(T$9="Y",Nov!M43,IF((H13+K13+L13)&gt;0,H13+K13+L13,"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IF(Employee!H$86=E$9,Employee!D$86+SUM(M13)+Nov!V43,SUM(M13)+Nov!V43)</f>
        <v>0</v>
      </c>
      <c r="W13" s="49">
        <f>IF(Employee!H$86=E$9,Employee!D$87+SUM(N13)+Nov!W43,SUM(N13)+Nov!W43)</f>
        <v>0</v>
      </c>
      <c r="X13" s="49">
        <f>IF(O13=" ",Nov!X43,O13+Nov!X43)</f>
        <v>0</v>
      </c>
      <c r="Y13" s="49">
        <f>IF(P13=" ",Nov!Y43,P13+Nov!Y43)</f>
        <v>0</v>
      </c>
      <c r="Z13" s="49">
        <f>IF(Q13=" ",Nov!Z43,Q13+Nov!Z43)</f>
        <v>0</v>
      </c>
      <c r="AA13" s="49">
        <f>IF(R13=" ",Nov!AA43,R13+Nov!AA43)</f>
        <v>0</v>
      </c>
      <c r="AC13" s="49">
        <f>IF(T13=" ",Nov!AC43,T13+Nov!AC43)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IF(T$9="Y",Nov!H44,0)</f>
        <v>0</v>
      </c>
      <c r="I14" s="92">
        <f>IF(T$9="Y",Nov!I44,0)</f>
        <v>0</v>
      </c>
      <c r="J14" s="92">
        <f>IF(T$9="Y",Nov!J44,0)</f>
        <v>0</v>
      </c>
      <c r="K14" s="92">
        <f>IF(T$9="Y",Nov!K44,I14*J14)</f>
        <v>0</v>
      </c>
      <c r="L14" s="111">
        <f>IF(T$9="Y",Nov!L44,0)</f>
        <v>0</v>
      </c>
      <c r="M14" s="111" t="str">
        <f>IF(E14=" "," ",IF(T$9="Y",Nov!M44,IF((H14+K14+L14)&gt;0,H14+K14+L14,"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IF(Employee!H$112=E$9,Employee!D$112+SUM(M14)+Nov!V44,SUM(M14)+Nov!V44)</f>
        <v>0</v>
      </c>
      <c r="W14" s="49">
        <f>IF(Employee!H$112=E$9,Employee!D$113+SUM(N14)+Nov!W44,SUM(N14)+Nov!W44)</f>
        <v>0</v>
      </c>
      <c r="X14" s="49">
        <f>IF(O14=" ",Nov!X44,O14+Nov!X44)</f>
        <v>0</v>
      </c>
      <c r="Y14" s="49">
        <f>IF(P14=" ",Nov!Y44,P14+Nov!Y44)</f>
        <v>0</v>
      </c>
      <c r="Z14" s="49">
        <f>IF(Q14=" ",Nov!Z44,Q14+Nov!Z44)</f>
        <v>0</v>
      </c>
      <c r="AA14" s="49">
        <f>IF(R14=" ",Nov!AA44,R14+Nov!AA44)</f>
        <v>0</v>
      </c>
      <c r="AC14" s="49">
        <f>IF(T14=" ",Nov!AC44,T14+Nov!AC44)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IF(T$9="Y",Nov!H45,0)</f>
        <v>0</v>
      </c>
      <c r="I15" s="245">
        <f>IF(T$9="Y",Nov!I45,0)</f>
        <v>0</v>
      </c>
      <c r="J15" s="245">
        <f>IF(T$9="Y",Nov!J45,0)</f>
        <v>0</v>
      </c>
      <c r="K15" s="245">
        <f>IF(T$9="Y",Nov!K45,I15*J15)</f>
        <v>0</v>
      </c>
      <c r="L15" s="246">
        <f>IF(T$9="Y",Nov!L45,0)</f>
        <v>0</v>
      </c>
      <c r="M15" s="111" t="str">
        <f>IF(E15=" "," ",IF(T$9="Y",Nov!M45,IF((H15+K15+L15)&gt;0,H15+K15+L15,"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IF(Employee!H$138=E$9,Employee!D$138+SUM(M15)+Nov!V45,SUM(M15)+Nov!V45)</f>
        <v>0</v>
      </c>
      <c r="W15" s="49">
        <f>IF(Employee!H$138=E$9,Employee!D$139+SUM(N15)+Nov!W45,SUM(N15)+Nov!W45)</f>
        <v>0</v>
      </c>
      <c r="X15" s="49">
        <f>IF(O15=" ",Nov!X45,O15+Nov!X45)</f>
        <v>0</v>
      </c>
      <c r="Y15" s="49">
        <f>IF(P15=" ",Nov!Y45,P15+Nov!Y45)</f>
        <v>0</v>
      </c>
      <c r="Z15" s="49">
        <f>IF(Q15=" ",Nov!Z45,Q15+Nov!Z45)</f>
        <v>0</v>
      </c>
      <c r="AA15" s="49">
        <f>IF(R15=" ",Nov!AA45,R15+Nov!AA45)</f>
        <v>0</v>
      </c>
      <c r="AC15" s="49">
        <f>IF(T15=" ",Nov!AC45,T15+Nov!AC45)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45631</v>
      </c>
      <c r="L19" s="203" t="s">
        <v>76</v>
      </c>
      <c r="M19" s="205">
        <f>K19+6</f>
        <v>45637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45638</v>
      </c>
      <c r="L29" s="203" t="s">
        <v>76</v>
      </c>
      <c r="M29" s="205">
        <f>K29+6</f>
        <v>45644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45645</v>
      </c>
      <c r="L39" s="203" t="s">
        <v>76</v>
      </c>
      <c r="M39" s="205">
        <f>K39+6</f>
        <v>45651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45652</v>
      </c>
      <c r="L49" s="203" t="s">
        <v>76</v>
      </c>
      <c r="M49" s="205">
        <f>K49+6</f>
        <v>45658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Admin!B241</f>
        <v>45627</v>
      </c>
      <c r="L59" s="203" t="s">
        <v>76</v>
      </c>
      <c r="M59" s="205">
        <f>Admin!B271</f>
        <v>45657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IF(T$59="Y",Nov!H51,0)</f>
        <v>0</v>
      </c>
      <c r="I61" s="89">
        <f>IF(T$59="Y",Nov!I51,0)</f>
        <v>0</v>
      </c>
      <c r="J61" s="89">
        <f>IF(T$59="Y",Nov!J51,0)</f>
        <v>0</v>
      </c>
      <c r="K61" s="89">
        <f>IF(T$59="Y",Nov!K51,I61*J61)</f>
        <v>0</v>
      </c>
      <c r="L61" s="110">
        <f>IF(T$59="Y",Nov!L51,0)</f>
        <v>0</v>
      </c>
      <c r="M61" s="99" t="str">
        <f>IF(E61=" "," ",IF(T$59="Y",Nov!M51,IF((H61+K61+L61)&gt;0,H61+K61+L61,"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IF(Employee!H$35=E$59,Employee!D$34+SUM(M61)+Nov!V51,SUM(M61)+Nov!V51)</f>
        <v>0</v>
      </c>
      <c r="W61" s="49">
        <f>IF(Employee!H$35=E$59,Employee!D$35+SUM(N61)+Nov!W51,SUM(N61)+Nov!W51)</f>
        <v>0</v>
      </c>
      <c r="X61" s="49">
        <f>IF(O61=" ",Nov!X51,O61+Nov!X51)</f>
        <v>0</v>
      </c>
      <c r="Y61" s="49">
        <f>IF(P61=" ",Nov!Y51,P61+Nov!Y51)</f>
        <v>0</v>
      </c>
      <c r="Z61" s="49">
        <f>IF(Q61=" ",Nov!Z51,Q61+Nov!Z51)</f>
        <v>0</v>
      </c>
      <c r="AA61" s="49">
        <f>IF(R61=" ",Nov!AA51,R61+Nov!AA51)</f>
        <v>0</v>
      </c>
      <c r="AC61" s="49">
        <f>IF(T61=" ",Nov!AC51,T61+Nov!AC51)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IF(T$59="Y",Nov!H52,0)</f>
        <v>0</v>
      </c>
      <c r="I62" s="92">
        <f>IF(T$59="Y",Nov!I52,0)</f>
        <v>0</v>
      </c>
      <c r="J62" s="92">
        <f>IF(T$59="Y",Nov!J52,0)</f>
        <v>0</v>
      </c>
      <c r="K62" s="92">
        <f>IF(T$59="Y",Nov!K52,I62*J62)</f>
        <v>0</v>
      </c>
      <c r="L62" s="111">
        <f>IF(T$59="Y",Nov!L52,0)</f>
        <v>0</v>
      </c>
      <c r="M62" s="100" t="str">
        <f>IF(E62=" "," ",IF(T$59="Y",Nov!M52,IF((H62+K62+L62)&gt;0,H62+K62+L62,"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IF(Employee!H$61=E$59,Employee!D$60+SUM(M62)+Nov!V52,SUM(M62)+Nov!V52)</f>
        <v>0</v>
      </c>
      <c r="W62" s="49">
        <f>IF(Employee!H$61=E$59,Employee!D$61+SUM(N62)+Nov!W52,SUM(N62)+Nov!W52)</f>
        <v>0</v>
      </c>
      <c r="X62" s="49">
        <f>IF(O62=" ",Nov!X52,O62+Nov!X52)</f>
        <v>0</v>
      </c>
      <c r="Y62" s="49">
        <f>IF(P62=" ",Nov!Y52,P62+Nov!Y52)</f>
        <v>0</v>
      </c>
      <c r="Z62" s="49">
        <f>IF(Q62=" ",Nov!Z52,Q62+Nov!Z52)</f>
        <v>0</v>
      </c>
      <c r="AA62" s="49">
        <f>IF(R62=" ",Nov!AA52,R62+Nov!AA52)</f>
        <v>0</v>
      </c>
      <c r="AC62" s="49">
        <f>IF(T62=" ",Nov!AC52,T62+Nov!AC52)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IF(T$59="Y",Nov!H53,0)</f>
        <v>0</v>
      </c>
      <c r="I63" s="92">
        <f>IF(T$59="Y",Nov!I53,0)</f>
        <v>0</v>
      </c>
      <c r="J63" s="92">
        <f>IF(T$59="Y",Nov!J53,0)</f>
        <v>0</v>
      </c>
      <c r="K63" s="92">
        <f>IF(T$59="Y",Nov!K53,I63*J63)</f>
        <v>0</v>
      </c>
      <c r="L63" s="111">
        <f>IF(T$59="Y",Nov!L53,0)</f>
        <v>0</v>
      </c>
      <c r="M63" s="100" t="str">
        <f>IF(E63=" "," ",IF(T$59="Y",Nov!M53,IF((H63+K63+L63)&gt;0,H63+K63+L63,"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IF(Employee!H$87=E$59,Employee!D$86+SUM(M63)+Nov!V53,SUM(M63)+Nov!V53)</f>
        <v>0</v>
      </c>
      <c r="W63" s="49">
        <f>IF(Employee!H$87=E$59,Employee!D$87+SUM(N63)+Nov!W53,SUM(N63)+Nov!W53)</f>
        <v>0</v>
      </c>
      <c r="X63" s="49">
        <f>IF(O63=" ",Nov!X53,O63+Nov!X53)</f>
        <v>0</v>
      </c>
      <c r="Y63" s="49">
        <f>IF(P63=" ",Nov!Y53,P63+Nov!Y53)</f>
        <v>0</v>
      </c>
      <c r="Z63" s="49">
        <f>IF(Q63=" ",Nov!Z53,Q63+Nov!Z53)</f>
        <v>0</v>
      </c>
      <c r="AA63" s="49">
        <f>IF(R63=" ",Nov!AA53,R63+Nov!AA53)</f>
        <v>0</v>
      </c>
      <c r="AC63" s="49">
        <f>IF(T63=" ",Nov!AC53,T63+Nov!AC53)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IF(T$59="Y",Nov!H54,0)</f>
        <v>0</v>
      </c>
      <c r="I64" s="92">
        <f>IF(T$59="Y",Nov!I54,0)</f>
        <v>0</v>
      </c>
      <c r="J64" s="92">
        <f>IF(T$59="Y",Nov!J54,0)</f>
        <v>0</v>
      </c>
      <c r="K64" s="92">
        <f>IF(T$59="Y",Nov!K54,I64*J64)</f>
        <v>0</v>
      </c>
      <c r="L64" s="111">
        <f>IF(T$59="Y",Nov!L54,0)</f>
        <v>0</v>
      </c>
      <c r="M64" s="100" t="str">
        <f>IF(E64=" "," ",IF(T$59="Y",Nov!M54,IF((H64+K64+L64)&gt;0,H64+K64+L64,"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IF(Employee!H$113=E$59,Employee!D$112+SUM(M64)+Nov!V54,SUM(M64)+Nov!V54)</f>
        <v>0</v>
      </c>
      <c r="W64" s="49">
        <f>IF(Employee!H$113=E$59,Employee!D$113+SUM(N64)+Nov!W54,SUM(N64)+Nov!W54)</f>
        <v>0</v>
      </c>
      <c r="X64" s="49">
        <f>IF(O64=" ",Nov!X54,O64+Nov!X54)</f>
        <v>0</v>
      </c>
      <c r="Y64" s="49">
        <f>IF(P64=" ",Nov!Y54,P64+Nov!Y54)</f>
        <v>0</v>
      </c>
      <c r="Z64" s="49">
        <f>IF(Q64=" ",Nov!Z54,Q64+Nov!Z54)</f>
        <v>0</v>
      </c>
      <c r="AA64" s="49">
        <f>IF(R64=" ",Nov!AA54,R64+Nov!AA54)</f>
        <v>0</v>
      </c>
      <c r="AC64" s="49">
        <f>IF(T64=" ",Nov!AC54,T64+Nov!AC54)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IF(T$59="Y",Nov!H55,0)</f>
        <v>0</v>
      </c>
      <c r="I65" s="245">
        <f>IF(T$59="Y",Nov!I55,0)</f>
        <v>0</v>
      </c>
      <c r="J65" s="245">
        <f>IF(T$59="Y",Nov!J55,0)</f>
        <v>0</v>
      </c>
      <c r="K65" s="245">
        <f>IF(T$59="Y",Nov!K55,I65*J65)</f>
        <v>0</v>
      </c>
      <c r="L65" s="246">
        <f>IF(T$59="Y",Nov!L55,0)</f>
        <v>0</v>
      </c>
      <c r="M65" s="100" t="str">
        <f>IF(E65=" "," ",IF(T$59="Y",Nov!M55,IF((H65+K65+L65)&gt;0,H65+K65+L65,"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IF(Employee!H$139=E$59,Employee!D$138+SUM(M65)+Nov!V55,SUM(M65)+Nov!V55)</f>
        <v>0</v>
      </c>
      <c r="W65" s="49">
        <f>IF(Employee!H$139=E$59,Employee!D$139+SUM(N65)+Nov!W55,SUM(N65)+Nov!W55)</f>
        <v>0</v>
      </c>
      <c r="X65" s="49">
        <f>IF(O65=" ",Nov!X55,O65+Nov!X55)</f>
        <v>0</v>
      </c>
      <c r="Y65" s="49">
        <f>IF(P65=" ",Nov!Y55,P65+Nov!Y55)</f>
        <v>0</v>
      </c>
      <c r="Z65" s="49">
        <f>IF(Q65=" ",Nov!Z55,Q65+Nov!Z55)</f>
        <v>0</v>
      </c>
      <c r="AA65" s="49">
        <f>IF(R65=" ",Nov!AA55,R65+Nov!AA55)</f>
        <v>0</v>
      </c>
      <c r="AC65" s="49">
        <f>IF(T65=" ",Nov!AC55,T65+Nov!AC55)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AD70+Nov!AD65</f>
        <v>0</v>
      </c>
      <c r="AE75" s="158">
        <f>AE70+Nov!AE65</f>
        <v>0</v>
      </c>
      <c r="AF75" s="158">
        <f>AF70+Nov!AF65</f>
        <v>0</v>
      </c>
      <c r="AG75" s="158">
        <f>AG70+Nov!AG65</f>
        <v>0</v>
      </c>
    </row>
    <row r="76" spans="1:34" ht="14" thickTop="1" x14ac:dyDescent="0.15"/>
    <row r="77" spans="1:34" x14ac:dyDescent="0.15">
      <c r="AD77" s="162"/>
      <c r="AE77" s="158">
        <f>AE72+Nov!AE67</f>
        <v>0</v>
      </c>
      <c r="AF77" s="158">
        <f>AF72+Nov!AF67</f>
        <v>0</v>
      </c>
      <c r="AG77" s="158">
        <f>AG72+Nov!AG67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Dec!M49+1</f>
        <v>45659</v>
      </c>
      <c r="L9" s="203" t="s">
        <v>76</v>
      </c>
      <c r="M9" s="205">
        <f>K9+6</f>
        <v>45665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IF(T$9="Y",Dec!H51,0)</f>
        <v>0</v>
      </c>
      <c r="I11" s="89">
        <f>IF(T$9="Y",Dec!I51,0)</f>
        <v>0</v>
      </c>
      <c r="J11" s="89">
        <f>IF(T$9="Y",Dec!J51,0)</f>
        <v>0</v>
      </c>
      <c r="K11" s="89">
        <f>IF(T$9="Y",Dec!K51,I11*J11)</f>
        <v>0</v>
      </c>
      <c r="L11" s="110">
        <f>IF(T$9="Y",Dec!L51,0)</f>
        <v>0</v>
      </c>
      <c r="M11" s="110" t="str">
        <f>IF(E11=" "," ",IF(T$9="Y",Dec!M51,IF((H11+K11+L11)&gt;0,H11+K11+L11,"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IF(Employee!H$34=E$9,Employee!D$34+SUM(M11)+Dec!V51,SUM(M11)+Dec!V51)</f>
        <v>0</v>
      </c>
      <c r="W11" s="49">
        <f>IF(Employee!H$34=E$9,Employee!D$35+SUM(N11)+Dec!W51,SUM(N11)+Dec!W51)</f>
        <v>0</v>
      </c>
      <c r="X11" s="49">
        <f>IF(O11=" ",Dec!X51,O11+Dec!X51)</f>
        <v>0</v>
      </c>
      <c r="Y11" s="49">
        <f>IF(P11=" ",Dec!Y51,P11+Dec!Y51)</f>
        <v>0</v>
      </c>
      <c r="Z11" s="49">
        <f>IF(Q11=" ",Dec!Z51,Q11+Dec!Z51)</f>
        <v>0</v>
      </c>
      <c r="AA11" s="49">
        <f>IF(R11=" ",Dec!AA51,R11+Dec!AA51)</f>
        <v>0</v>
      </c>
      <c r="AC11" s="49">
        <f>IF(T11=" ",Dec!AC51,T11+Dec!AC51)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IF(T$9="Y",Dec!H52,0)</f>
        <v>0</v>
      </c>
      <c r="I12" s="92">
        <f>IF(T$9="Y",Dec!I52,0)</f>
        <v>0</v>
      </c>
      <c r="J12" s="92">
        <f>IF(T$9="Y",Dec!J52,0)</f>
        <v>0</v>
      </c>
      <c r="K12" s="92">
        <f>IF(T$9="Y",Dec!K52,I12*J12)</f>
        <v>0</v>
      </c>
      <c r="L12" s="111">
        <f>IF(T$9="Y",Dec!L52,0)</f>
        <v>0</v>
      </c>
      <c r="M12" s="111" t="str">
        <f>IF(E12=" "," ",IF(T$9="Y",Dec!M52,IF((H12+K12+L12)&gt;0,H12+K12+L12,"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IF(Employee!H$60=E$9,Employee!D$60+SUM(M12)+Dec!V52,SUM(M12)+Dec!V52)</f>
        <v>0</v>
      </c>
      <c r="W12" s="49">
        <f>IF(Employee!H$60=E$9,Employee!D$61+SUM(N12)+Dec!W52,SUM(N12)+Dec!W52)</f>
        <v>0</v>
      </c>
      <c r="X12" s="49">
        <f>IF(O12=" ",Dec!X52,O12+Dec!X52)</f>
        <v>0</v>
      </c>
      <c r="Y12" s="49">
        <f>IF(P12=" ",Dec!Y52,P12+Dec!Y52)</f>
        <v>0</v>
      </c>
      <c r="Z12" s="49">
        <f>IF(Q12=" ",Dec!Z52,Q12+Dec!Z52)</f>
        <v>0</v>
      </c>
      <c r="AA12" s="49">
        <f>IF(R12=" ",Dec!AA52,R12+Dec!AA52)</f>
        <v>0</v>
      </c>
      <c r="AC12" s="49">
        <f>IF(T12=" ",Dec!AC52,T12+Dec!AC52)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IF(T$9="Y",Dec!H53,0)</f>
        <v>0</v>
      </c>
      <c r="I13" s="92">
        <f>IF(T$9="Y",Dec!I53,0)</f>
        <v>0</v>
      </c>
      <c r="J13" s="92">
        <f>IF(T$9="Y",Dec!J53,0)</f>
        <v>0</v>
      </c>
      <c r="K13" s="92">
        <f>IF(T$9="Y",Dec!K53,I13*J13)</f>
        <v>0</v>
      </c>
      <c r="L13" s="111">
        <f>IF(T$9="Y",Dec!L53,0)</f>
        <v>0</v>
      </c>
      <c r="M13" s="111" t="str">
        <f>IF(E13=" "," ",IF(T$9="Y",Dec!M53,IF((H13+K13+L13)&gt;0,H13+K13+L13,"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IF(Employee!H$86=E$9,Employee!D$86+SUM(M13)+Dec!V53,SUM(M13)+Dec!V53)</f>
        <v>0</v>
      </c>
      <c r="W13" s="49">
        <f>IF(Employee!H$86=E$9,Employee!D$87+SUM(N13)+Dec!W53,SUM(N13)+Dec!W53)</f>
        <v>0</v>
      </c>
      <c r="X13" s="49">
        <f>IF(O13=" ",Dec!X53,O13+Dec!X53)</f>
        <v>0</v>
      </c>
      <c r="Y13" s="49">
        <f>IF(P13=" ",Dec!Y53,P13+Dec!Y53)</f>
        <v>0</v>
      </c>
      <c r="Z13" s="49">
        <f>IF(Q13=" ",Dec!Z53,Q13+Dec!Z53)</f>
        <v>0</v>
      </c>
      <c r="AA13" s="49">
        <f>IF(R13=" ",Dec!AA53,R13+Dec!AA53)</f>
        <v>0</v>
      </c>
      <c r="AC13" s="49">
        <f>IF(T13=" ",Dec!AC53,T13+Dec!AC53)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IF(T$9="Y",Dec!H54,0)</f>
        <v>0</v>
      </c>
      <c r="I14" s="92">
        <f>IF(T$9="Y",Dec!I54,0)</f>
        <v>0</v>
      </c>
      <c r="J14" s="92">
        <f>IF(T$9="Y",Dec!J54,0)</f>
        <v>0</v>
      </c>
      <c r="K14" s="92">
        <f>IF(T$9="Y",Dec!K54,I14*J14)</f>
        <v>0</v>
      </c>
      <c r="L14" s="111">
        <f>IF(T$9="Y",Dec!L54,0)</f>
        <v>0</v>
      </c>
      <c r="M14" s="111" t="str">
        <f>IF(E14=" "," ",IF(T$9="Y",Dec!M54,IF((H14+K14+L14)&gt;0,H14+K14+L14,"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IF(Employee!H$112=E$9,Employee!D$112+SUM(M14)+Dec!V54,SUM(M14)+Dec!V54)</f>
        <v>0</v>
      </c>
      <c r="W14" s="49">
        <f>IF(Employee!H$112=E$9,Employee!D$113+SUM(N14)+Dec!W54,SUM(N14)+Dec!W54)</f>
        <v>0</v>
      </c>
      <c r="X14" s="49">
        <f>IF(O14=" ",Dec!X54,O14+Dec!X54)</f>
        <v>0</v>
      </c>
      <c r="Y14" s="49">
        <f>IF(P14=" ",Dec!Y54,P14+Dec!Y54)</f>
        <v>0</v>
      </c>
      <c r="Z14" s="49">
        <f>IF(Q14=" ",Dec!Z54,Q14+Dec!Z54)</f>
        <v>0</v>
      </c>
      <c r="AA14" s="49">
        <f>IF(R14=" ",Dec!AA54,R14+Dec!AA54)</f>
        <v>0</v>
      </c>
      <c r="AC14" s="49">
        <f>IF(T14=" ",Dec!AC54,T14+Dec!AC54)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IF(T$9="Y",Dec!H55,0)</f>
        <v>0</v>
      </c>
      <c r="I15" s="245">
        <f>IF(T$9="Y",Dec!I55,0)</f>
        <v>0</v>
      </c>
      <c r="J15" s="245">
        <f>IF(T$9="Y",Dec!J55,0)</f>
        <v>0</v>
      </c>
      <c r="K15" s="245">
        <f>IF(T$9="Y",Dec!K55,I15*J15)</f>
        <v>0</v>
      </c>
      <c r="L15" s="246">
        <f>IF(T$9="Y",Dec!L55,0)</f>
        <v>0</v>
      </c>
      <c r="M15" s="111" t="str">
        <f>IF(E15=" "," ",IF(T$9="Y",Dec!M55,IF((H15+K15+L15)&gt;0,H15+K15+L15,"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IF(Employee!H$138=E$9,Employee!D$138+SUM(M15)+Dec!V55,SUM(M15)+Dec!V55)</f>
        <v>0</v>
      </c>
      <c r="W15" s="49">
        <f>IF(Employee!H$138=E$9,Employee!D$139+SUM(N15)+Dec!W55,SUM(N15)+Dec!W55)</f>
        <v>0</v>
      </c>
      <c r="X15" s="49">
        <f>IF(O15=" ",Dec!X55,O15+Dec!X55)</f>
        <v>0</v>
      </c>
      <c r="Y15" s="49">
        <f>IF(P15=" ",Dec!Y55,P15+Dec!Y55)</f>
        <v>0</v>
      </c>
      <c r="Z15" s="49">
        <f>IF(Q15=" ",Dec!Z55,Q15+Dec!Z55)</f>
        <v>0</v>
      </c>
      <c r="AA15" s="49">
        <f>IF(R15=" ",Dec!AA55,R15+Dec!AA55)</f>
        <v>0</v>
      </c>
      <c r="AC15" s="49">
        <f>IF(T15=" ",Dec!AC55,T15+Dec!AC55)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45666</v>
      </c>
      <c r="L19" s="203" t="s">
        <v>76</v>
      </c>
      <c r="M19" s="205">
        <f>K19+6</f>
        <v>45672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45673</v>
      </c>
      <c r="L29" s="203" t="s">
        <v>76</v>
      </c>
      <c r="M29" s="205">
        <f>K29+6</f>
        <v>45679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45680</v>
      </c>
      <c r="L39" s="203" t="s">
        <v>76</v>
      </c>
      <c r="M39" s="205">
        <f>K39+6</f>
        <v>45686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Admin!B272</f>
        <v>45658</v>
      </c>
      <c r="L49" s="203" t="s">
        <v>76</v>
      </c>
      <c r="M49" s="205">
        <f>Admin!B302</f>
        <v>45688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IF(T$49="Y",Dec!H61,0)</f>
        <v>0</v>
      </c>
      <c r="I51" s="89">
        <f>IF(T$49="Y",Dec!I61,0)</f>
        <v>0</v>
      </c>
      <c r="J51" s="89">
        <f>IF(T$49="Y",Dec!J61,0)</f>
        <v>0</v>
      </c>
      <c r="K51" s="89">
        <f>IF(T$49="Y",Dec!K61,I51*J51)</f>
        <v>0</v>
      </c>
      <c r="L51" s="110">
        <f>IF(T$49="Y",Dec!L61,0)</f>
        <v>0</v>
      </c>
      <c r="M51" s="99" t="str">
        <f>IF(E51=" "," ",IF(T$49="Y",Dec!M61,IF((H51+K51+L51)&gt;0,H51+K51+L51,"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IF(Employee!H$35=E$49,Employee!D$34+SUM(M51)+Dec!V61,SUM(M51)+Dec!V61)</f>
        <v>0</v>
      </c>
      <c r="W51" s="49">
        <f>IF(Employee!H$35=E$49,Employee!D$35+SUM(N51)+Dec!W61,SUM(N51)+Dec!W61)</f>
        <v>0</v>
      </c>
      <c r="X51" s="49">
        <f>IF(O51=" ",Dec!X61,O51+Dec!X61)</f>
        <v>0</v>
      </c>
      <c r="Y51" s="49">
        <f>IF(P51=" ",Dec!Y61,P51+Dec!Y61)</f>
        <v>0</v>
      </c>
      <c r="Z51" s="49">
        <f>IF(Q51=" ",Dec!Z61,Q51+Dec!Z61)</f>
        <v>0</v>
      </c>
      <c r="AA51" s="49">
        <f>IF(R51=" ",Dec!AA61,R51+Dec!AA61)</f>
        <v>0</v>
      </c>
      <c r="AC51" s="49">
        <f>IF(T51=" ",Dec!AC61,T51+Dec!AC61)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IF(T$49="Y",Dec!H62,0)</f>
        <v>0</v>
      </c>
      <c r="I52" s="92">
        <f>IF(T$49="Y",Dec!I62,0)</f>
        <v>0</v>
      </c>
      <c r="J52" s="92">
        <f>IF(T$49="Y",Dec!J62,0)</f>
        <v>0</v>
      </c>
      <c r="K52" s="92">
        <f>IF(T$49="Y",Dec!K62,I52*J52)</f>
        <v>0</v>
      </c>
      <c r="L52" s="111">
        <f>IF(T$49="Y",Dec!L62,0)</f>
        <v>0</v>
      </c>
      <c r="M52" s="100" t="str">
        <f>IF(E52=" "," ",IF(T$49="Y",Dec!M62,IF((H52+K52+L52)&gt;0,H52+K52+L52,"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IF(Employee!H$61=E$49,Employee!D$60+SUM(M52)+Dec!V62,SUM(M52)+Dec!V62)</f>
        <v>0</v>
      </c>
      <c r="W52" s="49">
        <f>IF(Employee!H$61=E$49,Employee!D$61+SUM(N52)+Dec!W62,SUM(N52)+Dec!W62)</f>
        <v>0</v>
      </c>
      <c r="X52" s="49">
        <f>IF(O52=" ",Dec!X62,O52+Dec!X62)</f>
        <v>0</v>
      </c>
      <c r="Y52" s="49">
        <f>IF(P52=" ",Dec!Y62,P52+Dec!Y62)</f>
        <v>0</v>
      </c>
      <c r="Z52" s="49">
        <f>IF(Q52=" ",Dec!Z62,Q52+Dec!Z62)</f>
        <v>0</v>
      </c>
      <c r="AA52" s="49">
        <f>IF(R52=" ",Dec!AA62,R52+Dec!AA62)</f>
        <v>0</v>
      </c>
      <c r="AC52" s="49">
        <f>IF(T52=" ",Dec!AC62,T52+Dec!AC62)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IF(T$49="Y",Dec!H63,0)</f>
        <v>0</v>
      </c>
      <c r="I53" s="92">
        <f>IF(T$49="Y",Dec!I63,0)</f>
        <v>0</v>
      </c>
      <c r="J53" s="92">
        <f>IF(T$49="Y",Dec!J63,0)</f>
        <v>0</v>
      </c>
      <c r="K53" s="92">
        <f>IF(T$49="Y",Dec!K63,I53*J53)</f>
        <v>0</v>
      </c>
      <c r="L53" s="111">
        <f>IF(T$49="Y",Dec!L63,0)</f>
        <v>0</v>
      </c>
      <c r="M53" s="100" t="str">
        <f>IF(E53=" "," ",IF(T$49="Y",Dec!M63,IF((H53+K53+L53)&gt;0,H53+K53+L53,"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IF(Employee!H$87=E$49,Employee!D$86+SUM(M53)+Dec!V63,SUM(M53)+Dec!V63)</f>
        <v>0</v>
      </c>
      <c r="W53" s="49">
        <f>IF(Employee!H$87=E$49,Employee!D$87+SUM(N53)+Dec!W63,SUM(N53)+Dec!W63)</f>
        <v>0</v>
      </c>
      <c r="X53" s="49">
        <f>IF(O53=" ",Dec!X63,O53+Dec!X63)</f>
        <v>0</v>
      </c>
      <c r="Y53" s="49">
        <f>IF(P53=" ",Dec!Y63,P53+Dec!Y63)</f>
        <v>0</v>
      </c>
      <c r="Z53" s="49">
        <f>IF(Q53=" ",Dec!Z63,Q53+Dec!Z63)</f>
        <v>0</v>
      </c>
      <c r="AA53" s="49">
        <f>IF(R53=" ",Dec!AA63,R53+Dec!AA63)</f>
        <v>0</v>
      </c>
      <c r="AC53" s="49">
        <f>IF(T53=" ",Dec!AC63,T53+Dec!AC63)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IF(T$49="Y",Dec!H64,0)</f>
        <v>0</v>
      </c>
      <c r="I54" s="92">
        <f>IF(T$49="Y",Dec!I64,0)</f>
        <v>0</v>
      </c>
      <c r="J54" s="92">
        <f>IF(T$49="Y",Dec!J64,0)</f>
        <v>0</v>
      </c>
      <c r="K54" s="92">
        <f>IF(T$49="Y",Dec!K64,I54*J54)</f>
        <v>0</v>
      </c>
      <c r="L54" s="111">
        <f>IF(T$49="Y",Dec!L64,0)</f>
        <v>0</v>
      </c>
      <c r="M54" s="100" t="str">
        <f>IF(E54=" "," ",IF(T$49="Y",Dec!M64,IF((H54+K54+L54)&gt;0,H54+K54+L54,"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IF(Employee!H$113=E$49,Employee!D$112+SUM(M54)+Dec!V64,SUM(M54)+Dec!V64)</f>
        <v>0</v>
      </c>
      <c r="W54" s="49">
        <f>IF(Employee!H$113=E$49,Employee!D$113+SUM(N54)+Dec!W64,SUM(N54)+Dec!W64)</f>
        <v>0</v>
      </c>
      <c r="X54" s="49">
        <f>IF(O54=" ",Dec!X64,O54+Dec!X64)</f>
        <v>0</v>
      </c>
      <c r="Y54" s="49">
        <f>IF(P54=" ",Dec!Y64,P54+Dec!Y64)</f>
        <v>0</v>
      </c>
      <c r="Z54" s="49">
        <f>IF(Q54=" ",Dec!Z64,Q54+Dec!Z64)</f>
        <v>0</v>
      </c>
      <c r="AA54" s="49">
        <f>IF(R54=" ",Dec!AA64,R54+Dec!AA64)</f>
        <v>0</v>
      </c>
      <c r="AC54" s="49">
        <f>IF(T54=" ",Dec!AC64,T54+Dec!AC64)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IF(T$49="Y",Dec!H65,0)</f>
        <v>0</v>
      </c>
      <c r="I55" s="245">
        <f>IF(T$49="Y",Dec!I65,0)</f>
        <v>0</v>
      </c>
      <c r="J55" s="245">
        <f>IF(T$49="Y",Dec!J65,0)</f>
        <v>0</v>
      </c>
      <c r="K55" s="245">
        <f>IF(T$49="Y",Dec!K65,I55*J55)</f>
        <v>0</v>
      </c>
      <c r="L55" s="246">
        <f>IF(T$49="Y",Dec!L65,0)</f>
        <v>0</v>
      </c>
      <c r="M55" s="100" t="str">
        <f>IF(E55=" "," ",IF(T$49="Y",Dec!M65,IF((H55+K55+L55)&gt;0,H55+K55+L55,"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IF(Employee!H$139=E$49,Employee!D$138+SUM(M55)+Dec!V65,SUM(M55)+Dec!V65)</f>
        <v>0</v>
      </c>
      <c r="W55" s="49">
        <f>IF(Employee!H$139=E$49,Employee!D$139+SUM(N55)+Dec!W65,SUM(N55)+Dec!W65)</f>
        <v>0</v>
      </c>
      <c r="X55" s="49">
        <f>IF(O55=" ",Dec!X65,O55+Dec!X65)</f>
        <v>0</v>
      </c>
      <c r="Y55" s="49">
        <f>IF(P55=" ",Dec!Y65,P55+Dec!Y65)</f>
        <v>0</v>
      </c>
      <c r="Z55" s="49">
        <f>IF(Q55=" ",Dec!Z65,Q55+Dec!Z65)</f>
        <v>0</v>
      </c>
      <c r="AA55" s="49">
        <f>IF(R55=" ",Dec!AA65,R55+Dec!AA65)</f>
        <v>0</v>
      </c>
      <c r="AC55" s="49">
        <f>IF(T55=" ",Dec!AC65,T55+Dec!AC65)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AD60+Dec!AD75</f>
        <v>0</v>
      </c>
      <c r="AE65" s="158">
        <f>AE60+Dec!AE75</f>
        <v>0</v>
      </c>
      <c r="AF65" s="158">
        <f>AF60+Dec!AF75</f>
        <v>0</v>
      </c>
      <c r="AG65" s="158">
        <f>AG60+Dec!AG75</f>
        <v>0</v>
      </c>
    </row>
    <row r="66" spans="6:33" ht="14" thickTop="1" x14ac:dyDescent="0.15"/>
    <row r="67" spans="6:33" x14ac:dyDescent="0.15">
      <c r="AD67" s="162"/>
      <c r="AE67" s="158">
        <f>AE62+Dec!AE77</f>
        <v>0</v>
      </c>
      <c r="AF67" s="158">
        <f>AF62+Dec!AF77</f>
        <v>0</v>
      </c>
      <c r="AG67" s="158">
        <f>AG62+Dec!AG77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Jan!M39+1</f>
        <v>45687</v>
      </c>
      <c r="L9" s="203" t="s">
        <v>76</v>
      </c>
      <c r="M9" s="205">
        <f>K9+6</f>
        <v>45693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IF(T$9="Y",Jan!H41,0)</f>
        <v>0</v>
      </c>
      <c r="I11" s="89">
        <f>IF(T$9="Y",Jan!I41,0)</f>
        <v>0</v>
      </c>
      <c r="J11" s="89">
        <f>IF(T$9="Y",Jan!J41,0)</f>
        <v>0</v>
      </c>
      <c r="K11" s="89">
        <f>IF(T$9="Y",Jan!K41,I11*J11)</f>
        <v>0</v>
      </c>
      <c r="L11" s="110">
        <f>IF(T$9="Y",Jan!L41,0)</f>
        <v>0</v>
      </c>
      <c r="M11" s="110" t="str">
        <f>IF(E11=" "," ",IF(T$9="Y",Jan!M41,IF((H11+K11+L11)&gt;0,H11+K11+L11,"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IF(Employee!H$34=E$9,Employee!D$34+SUM(M11)+Jan!V41,SUM(M11)+Jan!V41)</f>
        <v>0</v>
      </c>
      <c r="W11" s="49">
        <f>IF(Employee!H$34=E$9,Employee!D$35+SUM(N11)+Jan!W41,SUM(N11)+Jan!W41)</f>
        <v>0</v>
      </c>
      <c r="X11" s="49">
        <f>IF(O11=" ",Jan!X41,O11+Jan!X41)</f>
        <v>0</v>
      </c>
      <c r="Y11" s="49">
        <f>IF(P11=" ",Jan!Y41,P11+Jan!Y41)</f>
        <v>0</v>
      </c>
      <c r="Z11" s="49">
        <f>IF(Q11=" ",Jan!Z41,Q11+Jan!Z41)</f>
        <v>0</v>
      </c>
      <c r="AA11" s="49">
        <f>IF(R11=" ",Jan!AA41,R11+Jan!AA41)</f>
        <v>0</v>
      </c>
      <c r="AC11" s="49">
        <f>IF(T11=" ",Jan!AC41,T11+Jan!AC41)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IF(T$9="Y",Jan!H42,0)</f>
        <v>0</v>
      </c>
      <c r="I12" s="92">
        <f>IF(T$9="Y",Jan!I42,0)</f>
        <v>0</v>
      </c>
      <c r="J12" s="92">
        <f>IF(T$9="Y",Jan!J42,0)</f>
        <v>0</v>
      </c>
      <c r="K12" s="92">
        <f>IF(T$9="Y",Jan!K42,I12*J12)</f>
        <v>0</v>
      </c>
      <c r="L12" s="111">
        <f>IF(T$9="Y",Jan!L42,0)</f>
        <v>0</v>
      </c>
      <c r="M12" s="111" t="str">
        <f>IF(E12=" "," ",IF(T$9="Y",Jan!M42,IF((H12+K12+L12)&gt;0,H12+K12+L12,"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IF(Employee!H$60=E$9,Employee!D$60+SUM(M12)+Jan!V42,SUM(M12)+Jan!V42)</f>
        <v>0</v>
      </c>
      <c r="W12" s="49">
        <f>IF(Employee!H$60=E$9,Employee!D$61+SUM(N12)+Jan!W42,SUM(N12)+Jan!W42)</f>
        <v>0</v>
      </c>
      <c r="X12" s="49">
        <f>IF(O12=" ",Jan!X42,O12+Jan!X42)</f>
        <v>0</v>
      </c>
      <c r="Y12" s="49">
        <f>IF(P12=" ",Jan!Y42,P12+Jan!Y42)</f>
        <v>0</v>
      </c>
      <c r="Z12" s="49">
        <f>IF(Q12=" ",Jan!Z42,Q12+Jan!Z42)</f>
        <v>0</v>
      </c>
      <c r="AA12" s="49">
        <f>IF(R12=" ",Jan!AA42,R12+Jan!AA42)</f>
        <v>0</v>
      </c>
      <c r="AC12" s="49">
        <f>IF(T12=" ",Jan!AC42,T12+Jan!AC42)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IF(T$9="Y",Jan!H43,0)</f>
        <v>0</v>
      </c>
      <c r="I13" s="92">
        <f>IF(T$9="Y",Jan!I43,0)</f>
        <v>0</v>
      </c>
      <c r="J13" s="92">
        <f>IF(T$9="Y",Jan!J43,0)</f>
        <v>0</v>
      </c>
      <c r="K13" s="92">
        <f>IF(T$9="Y",Jan!K43,I13*J13)</f>
        <v>0</v>
      </c>
      <c r="L13" s="111">
        <f>IF(T$9="Y",Jan!L43,0)</f>
        <v>0</v>
      </c>
      <c r="M13" s="111" t="str">
        <f>IF(E13=" "," ",IF(T$9="Y",Jan!M43,IF((H13+K13+L13)&gt;0,H13+K13+L13,"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IF(Employee!H$86=E$9,Employee!D$86+SUM(M13)+Jan!V43,SUM(M13)+Jan!V43)</f>
        <v>0</v>
      </c>
      <c r="W13" s="49">
        <f>IF(Employee!H$86=E$9,Employee!D$87+SUM(N13)+Jan!W43,SUM(N13)+Jan!W43)</f>
        <v>0</v>
      </c>
      <c r="X13" s="49">
        <f>IF(O13=" ",Jan!X43,O13+Jan!X43)</f>
        <v>0</v>
      </c>
      <c r="Y13" s="49">
        <f>IF(P13=" ",Jan!Y43,P13+Jan!Y43)</f>
        <v>0</v>
      </c>
      <c r="Z13" s="49">
        <f>IF(Q13=" ",Jan!Z43,Q13+Jan!Z43)</f>
        <v>0</v>
      </c>
      <c r="AA13" s="49">
        <f>IF(R13=" ",Jan!AA43,R13+Jan!AA43)</f>
        <v>0</v>
      </c>
      <c r="AC13" s="49">
        <f>IF(T13=" ",Jan!AC43,T13+Jan!AC43)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IF(T$9="Y",Jan!H44,0)</f>
        <v>0</v>
      </c>
      <c r="I14" s="92">
        <f>IF(T$9="Y",Jan!I44,0)</f>
        <v>0</v>
      </c>
      <c r="J14" s="92">
        <f>IF(T$9="Y",Jan!J44,0)</f>
        <v>0</v>
      </c>
      <c r="K14" s="92">
        <f>IF(T$9="Y",Jan!K44,I14*J14)</f>
        <v>0</v>
      </c>
      <c r="L14" s="111">
        <f>IF(T$9="Y",Jan!L44,0)</f>
        <v>0</v>
      </c>
      <c r="M14" s="111" t="str">
        <f>IF(E14=" "," ",IF(T$9="Y",Jan!M44,IF((H14+K14+L14)&gt;0,H14+K14+L14,"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IF(Employee!H$112=E$9,Employee!D$112+SUM(M14)+Jan!V44,SUM(M14)+Jan!V44)</f>
        <v>0</v>
      </c>
      <c r="W14" s="49">
        <f>IF(Employee!H$112=E$9,Employee!D$113+SUM(N14)+Jan!W44,SUM(N14)+Jan!W44)</f>
        <v>0</v>
      </c>
      <c r="X14" s="49">
        <f>IF(O14=" ",Jan!X44,O14+Jan!X44)</f>
        <v>0</v>
      </c>
      <c r="Y14" s="49">
        <f>IF(P14=" ",Jan!Y44,P14+Jan!Y44)</f>
        <v>0</v>
      </c>
      <c r="Z14" s="49">
        <f>IF(Q14=" ",Jan!Z44,Q14+Jan!Z44)</f>
        <v>0</v>
      </c>
      <c r="AA14" s="49">
        <f>IF(R14=" ",Jan!AA44,R14+Jan!AA44)</f>
        <v>0</v>
      </c>
      <c r="AC14" s="49">
        <f>IF(T14=" ",Jan!AC44,T14+Jan!AC44)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IF(T$9="Y",Jan!H45,0)</f>
        <v>0</v>
      </c>
      <c r="I15" s="245">
        <f>IF(T$9="Y",Jan!I45,0)</f>
        <v>0</v>
      </c>
      <c r="J15" s="245">
        <f>IF(T$9="Y",Jan!J45,0)</f>
        <v>0</v>
      </c>
      <c r="K15" s="245">
        <f>IF(T$9="Y",Jan!K45,I15*J15)</f>
        <v>0</v>
      </c>
      <c r="L15" s="246">
        <f>IF(T$19="Y",Jan!L45,0)</f>
        <v>0</v>
      </c>
      <c r="M15" s="111" t="str">
        <f>IF(E15=" "," ",IF(T$9="Y",Jan!M45,IF((H15+K15+L15)&gt;0,H15+K15+L15,"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IF(Employee!H$138=E$9,Employee!D$138+SUM(M15)+Jan!V45,SUM(M15)+Jan!V45)</f>
        <v>0</v>
      </c>
      <c r="W15" s="49">
        <f>IF(Employee!H$138=E$9,Employee!D$139+SUM(N15)+Jan!W45,SUM(N15)+Jan!W45)</f>
        <v>0</v>
      </c>
      <c r="X15" s="49">
        <f>IF(O15=" ",Jan!X45,O15+Jan!X45)</f>
        <v>0</v>
      </c>
      <c r="Y15" s="49">
        <f>IF(P15=" ",Jan!Y45,P15+Jan!Y45)</f>
        <v>0</v>
      </c>
      <c r="Z15" s="49">
        <f>IF(Q15=" ",Jan!Z45,Q15+Jan!Z45)</f>
        <v>0</v>
      </c>
      <c r="AA15" s="49">
        <f>IF(R15=" ",Jan!AA45,R15+Jan!AA45)</f>
        <v>0</v>
      </c>
      <c r="AC15" s="49">
        <f>IF(T15=" ",Jan!AC45,T15+Jan!AC45)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45694</v>
      </c>
      <c r="L19" s="203" t="s">
        <v>76</v>
      </c>
      <c r="M19" s="205">
        <f>K19+6</f>
        <v>45700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45701</v>
      </c>
      <c r="L29" s="203" t="s">
        <v>76</v>
      </c>
      <c r="M29" s="205">
        <f>K29+6</f>
        <v>45707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45708</v>
      </c>
      <c r="L39" s="203" t="s">
        <v>76</v>
      </c>
      <c r="M39" s="205">
        <f>K39+6</f>
        <v>45714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Admin!B303</f>
        <v>45689</v>
      </c>
      <c r="L49" s="203" t="s">
        <v>76</v>
      </c>
      <c r="M49" s="205">
        <f>Admin!B330</f>
        <v>45716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IF(T$49="Y",Jan!H51,0)</f>
        <v>0</v>
      </c>
      <c r="I51" s="89">
        <f>IF(T$49="Y",Jan!I51,0)</f>
        <v>0</v>
      </c>
      <c r="J51" s="89">
        <f>IF(T$49="Y",Jan!J51,0)</f>
        <v>0</v>
      </c>
      <c r="K51" s="89">
        <f>IF(T$49="Y",Jan!K51,I51*J51)</f>
        <v>0</v>
      </c>
      <c r="L51" s="110">
        <f>IF(T$49="Y",Jan!L51,0)</f>
        <v>0</v>
      </c>
      <c r="M51" s="99" t="str">
        <f>IF(E51=" "," ",IF(T$49="Y",Jan!M51,IF((H51+K51+L51)&gt;0,H51+K51+L51,"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IF(Employee!H$35=E$49,Employee!D$34+SUM(M51)+Jan!V51,SUM(M51)+Jan!V51)</f>
        <v>0</v>
      </c>
      <c r="W51" s="49">
        <f>IF(Employee!H$35=E$49,Employee!D$35+SUM(N51)+Jan!W51,SUM(N51)+Jan!W51)</f>
        <v>0</v>
      </c>
      <c r="X51" s="49">
        <f>IF(O51=" ",Jan!X51,O51+Jan!X51)</f>
        <v>0</v>
      </c>
      <c r="Y51" s="49">
        <f>IF(P51=" ",Jan!Y51,P51+Jan!Y51)</f>
        <v>0</v>
      </c>
      <c r="Z51" s="49">
        <f>IF(Q51=" ",Jan!Z51,Q51+Jan!Z51)</f>
        <v>0</v>
      </c>
      <c r="AA51" s="49">
        <f>IF(R51=" ",Jan!AA51,R51+Jan!AA51)</f>
        <v>0</v>
      </c>
      <c r="AC51" s="49">
        <f>IF(T51=" ",Jan!AC51,T51+Jan!AC51)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IF(T$49="Y",Jan!H52,0)</f>
        <v>0</v>
      </c>
      <c r="I52" s="92">
        <f>IF(T$49="Y",Jan!I52,0)</f>
        <v>0</v>
      </c>
      <c r="J52" s="92">
        <f>IF(T$49="Y",Jan!J52,0)</f>
        <v>0</v>
      </c>
      <c r="K52" s="92">
        <f>IF(T$49="Y",Jan!K52,I52*J52)</f>
        <v>0</v>
      </c>
      <c r="L52" s="111">
        <f>IF(T$49="Y",Jan!L52,0)</f>
        <v>0</v>
      </c>
      <c r="M52" s="100" t="str">
        <f>IF(E52=" "," ",IF(T$49="Y",Jan!M52,IF((H52+K52+L52)&gt;0,H52+K52+L52,"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IF(Employee!H$61=E$49,Employee!D$60+SUM(M52)+Jan!V52,SUM(M52)+Jan!V52)</f>
        <v>0</v>
      </c>
      <c r="W52" s="49">
        <f>IF(Employee!H$61=E$49,Employee!D$61+SUM(N52)+Jan!W52,SUM(N52)+Jan!W52)</f>
        <v>0</v>
      </c>
      <c r="X52" s="49">
        <f>IF(O52=" ",Jan!X52,O52+Jan!X52)</f>
        <v>0</v>
      </c>
      <c r="Y52" s="49">
        <f>IF(P52=" ",Jan!Y52,P52+Jan!Y52)</f>
        <v>0</v>
      </c>
      <c r="Z52" s="49">
        <f>IF(Q52=" ",Jan!Z52,Q52+Jan!Z52)</f>
        <v>0</v>
      </c>
      <c r="AA52" s="49">
        <f>IF(R52=" ",Jan!AA52,R52+Jan!AA52)</f>
        <v>0</v>
      </c>
      <c r="AC52" s="49">
        <f>IF(T52=" ",Jan!AC52,T52+Jan!AC52)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IF(T$49="Y",Jan!H53,0)</f>
        <v>0</v>
      </c>
      <c r="I53" s="92">
        <f>IF(T$49="Y",Jan!I53,0)</f>
        <v>0</v>
      </c>
      <c r="J53" s="92">
        <f>IF(T$49="Y",Jan!J53,0)</f>
        <v>0</v>
      </c>
      <c r="K53" s="92">
        <f>IF(T$49="Y",Jan!K53,I53*J53)</f>
        <v>0</v>
      </c>
      <c r="L53" s="111">
        <f>IF(T$49="Y",Jan!L53,0)</f>
        <v>0</v>
      </c>
      <c r="M53" s="100" t="str">
        <f>IF(E53=" "," ",IF(T$49="Y",Jan!M53,IF((H53+K53+L53)&gt;0,H53+K53+L53,"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IF(Employee!H$87=E$49,Employee!D$86+SUM(M53)+Jan!V53,SUM(M53)+Jan!V53)</f>
        <v>0</v>
      </c>
      <c r="W53" s="49">
        <f>IF(Employee!H$87=E$49,Employee!D$87+SUM(N53)+Jan!W53,SUM(N53)+Jan!W53)</f>
        <v>0</v>
      </c>
      <c r="X53" s="49">
        <f>IF(O53=" ",Jan!X53,O53+Jan!X53)</f>
        <v>0</v>
      </c>
      <c r="Y53" s="49">
        <f>IF(P53=" ",Jan!Y53,P53+Jan!Y53)</f>
        <v>0</v>
      </c>
      <c r="Z53" s="49">
        <f>IF(Q53=" ",Jan!Z53,Q53+Jan!Z53)</f>
        <v>0</v>
      </c>
      <c r="AA53" s="49">
        <f>IF(R53=" ",Jan!AA53,R53+Jan!AA53)</f>
        <v>0</v>
      </c>
      <c r="AC53" s="49">
        <f>IF(T53=" ",Jan!AC53,T53+Jan!AC53)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IF(T$49="Y",Jan!H54,0)</f>
        <v>0</v>
      </c>
      <c r="I54" s="92">
        <f>IF(T$49="Y",Jan!I54,0)</f>
        <v>0</v>
      </c>
      <c r="J54" s="92">
        <f>IF(T$49="Y",Jan!J54,0)</f>
        <v>0</v>
      </c>
      <c r="K54" s="92">
        <f>IF(T$49="Y",Jan!K54,I54*J54)</f>
        <v>0</v>
      </c>
      <c r="L54" s="111">
        <f>IF(T$49="Y",Jan!L54,0)</f>
        <v>0</v>
      </c>
      <c r="M54" s="100" t="str">
        <f>IF(E54=" "," ",IF(T$49="Y",Jan!M54,IF((H54+K54+L54)&gt;0,H54+K54+L54,"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IF(Employee!H$113=E$49,Employee!D$112+SUM(M54)+Jan!V54,SUM(M54)+Jan!V54)</f>
        <v>0</v>
      </c>
      <c r="W54" s="49">
        <f>IF(Employee!H$113=E$49,Employee!D$113+SUM(N54)+Jan!W54,SUM(N54)+Jan!W54)</f>
        <v>0</v>
      </c>
      <c r="X54" s="49">
        <f>IF(O54=" ",Jan!X54,O54+Jan!X54)</f>
        <v>0</v>
      </c>
      <c r="Y54" s="49">
        <f>IF(P54=" ",Jan!Y54,P54+Jan!Y54)</f>
        <v>0</v>
      </c>
      <c r="Z54" s="49">
        <f>IF(Q54=" ",Jan!Z54,Q54+Jan!Z54)</f>
        <v>0</v>
      </c>
      <c r="AA54" s="49">
        <f>IF(R54=" ",Jan!AA54,R54+Jan!AA54)</f>
        <v>0</v>
      </c>
      <c r="AC54" s="49">
        <f>IF(T54=" ",Jan!AC54,T54+Jan!AC54)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IF(T$49="Y",Jan!H55,0)</f>
        <v>0</v>
      </c>
      <c r="I55" s="245">
        <f>IF(T$49="Y",Jan!I55,0)</f>
        <v>0</v>
      </c>
      <c r="J55" s="245">
        <f>IF(T$49="Y",Jan!J55,0)</f>
        <v>0</v>
      </c>
      <c r="K55" s="245">
        <f>IF(T$49="Y",Jan!K55,I55*J55)</f>
        <v>0</v>
      </c>
      <c r="L55" s="246">
        <f>IF(T$49="Y",Jan!L55,0)</f>
        <v>0</v>
      </c>
      <c r="M55" s="100" t="str">
        <f>IF(E55=" "," ",IF(T$49="Y",Jan!M55,IF((H55+K55+L55)&gt;0,H55+K55+L55,"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IF(Employee!H$139=E$49,Employee!D$138+SUM(M55)+Jan!V55,SUM(M55)+Jan!V55)</f>
        <v>0</v>
      </c>
      <c r="W55" s="49">
        <f>IF(Employee!H$139=E$49,Employee!D$139+SUM(N55)+Jan!W55,SUM(N55)+Jan!W55)</f>
        <v>0</v>
      </c>
      <c r="X55" s="49">
        <f>IF(O55=" ",Jan!X55,O55+Jan!X55)</f>
        <v>0</v>
      </c>
      <c r="Y55" s="49">
        <f>IF(P55=" ",Jan!Y55,P55+Jan!Y55)</f>
        <v>0</v>
      </c>
      <c r="Z55" s="49">
        <f>IF(Q55=" ",Jan!Z55,Q55+Jan!Z55)</f>
        <v>0</v>
      </c>
      <c r="AA55" s="49">
        <f>IF(R55=" ",Jan!AA55,R55+Jan!AA55)</f>
        <v>0</v>
      </c>
      <c r="AC55" s="49">
        <f>IF(T55=" ",Jan!AC55,T55+Jan!AC55)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AD60+Jan!AD65</f>
        <v>0</v>
      </c>
      <c r="AE65" s="158">
        <f>AE60+Jan!AE65</f>
        <v>0</v>
      </c>
      <c r="AF65" s="158">
        <f>AF60+Jan!AF65</f>
        <v>0</v>
      </c>
      <c r="AG65" s="158">
        <f>AG60+Jan!AG65</f>
        <v>0</v>
      </c>
    </row>
    <row r="66" spans="6:33" ht="14" thickTop="1" x14ac:dyDescent="0.15"/>
    <row r="67" spans="6:33" x14ac:dyDescent="0.15">
      <c r="AD67" s="162"/>
      <c r="AE67" s="158">
        <f>AE62+Jan!AE67</f>
        <v>0</v>
      </c>
      <c r="AF67" s="158">
        <f>AF62+Jan!AF67</f>
        <v>0</v>
      </c>
      <c r="AG67" s="158">
        <f>AG62+Jan!AG67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Feb!M39+1</f>
        <v>45715</v>
      </c>
      <c r="L9" s="203" t="s">
        <v>76</v>
      </c>
      <c r="M9" s="205">
        <f>K9+6</f>
        <v>45721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IF(T$9="Y",Feb!H41,0)</f>
        <v>0</v>
      </c>
      <c r="I11" s="89">
        <f>IF(T$9="Y",Feb!I41,0)</f>
        <v>0</v>
      </c>
      <c r="J11" s="89">
        <f>IF(T$9="Y",Feb!J41,0)</f>
        <v>0</v>
      </c>
      <c r="K11" s="89">
        <f>IF(T$9="Y",Feb!K41,I11*J11)</f>
        <v>0</v>
      </c>
      <c r="L11" s="110">
        <f>IF(T$9="Y",Feb!L41,0)</f>
        <v>0</v>
      </c>
      <c r="M11" s="110" t="str">
        <f>IF(E11=" "," ",IF(T$9="Y",Feb!M41,IF((H11+K11+L11)&gt;0,H11+K11+L11,"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IF(Employee!H$34=E$9,Employee!D$34+SUM(M11)+Feb!V41,SUM(M11)+Feb!V41)</f>
        <v>0</v>
      </c>
      <c r="W11" s="49">
        <f>IF(Employee!H$34=E$9,Employee!D$35+SUM(N11)+Feb!W41,SUM(N11)+Feb!W41)</f>
        <v>0</v>
      </c>
      <c r="X11" s="49">
        <f>IF(O11=" ",Feb!X41,O11+Feb!X41)</f>
        <v>0</v>
      </c>
      <c r="Y11" s="49">
        <f>IF(P11=" ",Feb!Y41,P11+Feb!Y41)</f>
        <v>0</v>
      </c>
      <c r="Z11" s="49">
        <f>IF(Q11=" ",Feb!Z41,Q11+Feb!Z41)</f>
        <v>0</v>
      </c>
      <c r="AA11" s="49">
        <f>IF(R11=" ",Feb!AA41,R11+Feb!AA41)</f>
        <v>0</v>
      </c>
      <c r="AC11" s="49">
        <f>IF(T11=" ",Feb!AC41,T11+Feb!AC41)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IF(T$9="Y",Feb!H42,0)</f>
        <v>0</v>
      </c>
      <c r="I12" s="92">
        <f>IF(T$9="Y",Feb!I42,0)</f>
        <v>0</v>
      </c>
      <c r="J12" s="92">
        <f>IF(T$9="Y",Feb!J42,0)</f>
        <v>0</v>
      </c>
      <c r="K12" s="92">
        <f>IF(T$9="Y",Feb!K42,I12*J12)</f>
        <v>0</v>
      </c>
      <c r="L12" s="111">
        <f>IF(T$9="Y",Feb!L42,0)</f>
        <v>0</v>
      </c>
      <c r="M12" s="111" t="str">
        <f>IF(E12=" "," ",IF(T$9="Y",Feb!M42,IF((H12+K12+L12)&gt;0,H12+K12+L12,"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IF(Employee!H$60=E$9,Employee!D$60+SUM(M12)+Feb!V42,SUM(M12)+Feb!V42)</f>
        <v>0</v>
      </c>
      <c r="W12" s="49">
        <f>IF(Employee!H$60=E$9,Employee!D$61+SUM(N12)+Feb!W42,SUM(N12)+Feb!W42)</f>
        <v>0</v>
      </c>
      <c r="X12" s="49">
        <f>IF(O12=" ",Feb!X42,O12+Feb!X42)</f>
        <v>0</v>
      </c>
      <c r="Y12" s="49">
        <f>IF(P12=" ",Feb!Y42,P12+Feb!Y42)</f>
        <v>0</v>
      </c>
      <c r="Z12" s="49">
        <f>IF(Q12=" ",Feb!Z42,Q12+Feb!Z42)</f>
        <v>0</v>
      </c>
      <c r="AA12" s="49">
        <f>IF(R12=" ",Feb!AA42,R12+Feb!AA42)</f>
        <v>0</v>
      </c>
      <c r="AC12" s="49">
        <f>IF(T12=" ",Feb!AC42,T12+Feb!AC42)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IF(T$9="Y",Feb!H43,0)</f>
        <v>0</v>
      </c>
      <c r="I13" s="92">
        <f>IF(T$9="Y",Feb!I43,0)</f>
        <v>0</v>
      </c>
      <c r="J13" s="92">
        <f>IF(T$9="Y",Feb!J43,0)</f>
        <v>0</v>
      </c>
      <c r="K13" s="92">
        <f>IF(T$9="Y",Feb!K43,I13*J13)</f>
        <v>0</v>
      </c>
      <c r="L13" s="111">
        <f>IF(T$9="Y",Feb!L43,0)</f>
        <v>0</v>
      </c>
      <c r="M13" s="111" t="str">
        <f>IF(E13=" "," ",IF(T$9="Y",Feb!M43,IF((H13+K13+L13)&gt;0,H13+K13+L13,"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IF(Employee!H$86=E$9,Employee!D$86+SUM(M13)+Feb!V43,SUM(M13)+Feb!V43)</f>
        <v>0</v>
      </c>
      <c r="W13" s="49">
        <f>IF(Employee!H$86=E$9,Employee!D$87+SUM(N13)+Feb!W43,SUM(N13)+Feb!W43)</f>
        <v>0</v>
      </c>
      <c r="X13" s="49">
        <f>IF(O13=" ",Feb!X43,O13+Feb!X43)</f>
        <v>0</v>
      </c>
      <c r="Y13" s="49">
        <f>IF(P13=" ",Feb!Y43,P13+Feb!Y43)</f>
        <v>0</v>
      </c>
      <c r="Z13" s="49">
        <f>IF(Q13=" ",Feb!Z43,Q13+Feb!Z43)</f>
        <v>0</v>
      </c>
      <c r="AA13" s="49">
        <f>IF(R13=" ",Feb!AA43,R13+Feb!AA43)</f>
        <v>0</v>
      </c>
      <c r="AC13" s="49">
        <f>IF(T13=" ",Feb!AC43,T13+Feb!AC43)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IF(T$9="Y",Feb!H44,0)</f>
        <v>0</v>
      </c>
      <c r="I14" s="92">
        <f>IF(T$9="Y",Feb!I44,0)</f>
        <v>0</v>
      </c>
      <c r="J14" s="92">
        <f>IF(T$9="Y",Feb!J44,0)</f>
        <v>0</v>
      </c>
      <c r="K14" s="92">
        <f>IF(T$9="Y",Feb!K44,I14*J14)</f>
        <v>0</v>
      </c>
      <c r="L14" s="111">
        <f>IF(T$9="Y",Feb!L44,0)</f>
        <v>0</v>
      </c>
      <c r="M14" s="111" t="str">
        <f>IF(E14=" "," ",IF(T$9="Y",Feb!M44,IF((H14+K14+L14)&gt;0,H14+K14+L14,"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IF(Employee!H$112=E$9,Employee!D$112+SUM(M14)+Feb!V44,SUM(M14)+Feb!V44)</f>
        <v>0</v>
      </c>
      <c r="W14" s="49">
        <f>IF(Employee!H$112=E$9,Employee!D$113+SUM(N14)+Feb!W44,SUM(N14)+Feb!W44)</f>
        <v>0</v>
      </c>
      <c r="X14" s="49">
        <f>IF(O14=" ",Feb!X44,O14+Feb!X44)</f>
        <v>0</v>
      </c>
      <c r="Y14" s="49">
        <f>IF(P14=" ",Feb!Y44,P14+Feb!Y44)</f>
        <v>0</v>
      </c>
      <c r="Z14" s="49">
        <f>IF(Q14=" ",Feb!Z44,Q14+Feb!Z44)</f>
        <v>0</v>
      </c>
      <c r="AA14" s="49">
        <f>IF(R14=" ",Feb!AA44,R14+Feb!AA44)</f>
        <v>0</v>
      </c>
      <c r="AC14" s="49">
        <f>IF(T14=" ",Feb!AC44,T14+Feb!AC44)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IF(T$9="Y",Feb!H45,0)</f>
        <v>0</v>
      </c>
      <c r="I15" s="245">
        <f>IF(T$9="Y",Feb!I45,0)</f>
        <v>0</v>
      </c>
      <c r="J15" s="245">
        <f>IF(T$9="Y",Feb!J45,0)</f>
        <v>0</v>
      </c>
      <c r="K15" s="245">
        <f>IF(T$9="Y",Feb!K45,I15*J15)</f>
        <v>0</v>
      </c>
      <c r="L15" s="246">
        <f>IF(T$9="Y",Feb!L45,0)</f>
        <v>0</v>
      </c>
      <c r="M15" s="111" t="str">
        <f>IF(E15=" "," ",IF(T$9="Y",Feb!M45,IF((H15+K15+L15)&gt;0,H15+K15+L15,"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IF(Employee!H$138=E$9,Employee!D$138+SUM(M15)+Feb!V45,SUM(M15)+Feb!V45)</f>
        <v>0</v>
      </c>
      <c r="W15" s="49">
        <f>IF(Employee!H$138=E$9,Employee!D$139+SUM(N15)+Feb!W45,SUM(N15)+Feb!W45)</f>
        <v>0</v>
      </c>
      <c r="X15" s="49">
        <f>IF(O15=" ",Feb!X45,O15+Feb!X45)</f>
        <v>0</v>
      </c>
      <c r="Y15" s="49">
        <f>IF(P15=" ",Feb!Y45,P15+Feb!Y45)</f>
        <v>0</v>
      </c>
      <c r="Z15" s="49">
        <f>IF(Q15=" ",Feb!Z45,Q15+Feb!Z45)</f>
        <v>0</v>
      </c>
      <c r="AA15" s="49">
        <f>IF(R15=" ",Feb!AA45,R15+Feb!AA45)</f>
        <v>0</v>
      </c>
      <c r="AC15" s="49">
        <f>IF(T15=" ",Feb!AC45,T15+Feb!AC45)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45722</v>
      </c>
      <c r="L19" s="203" t="s">
        <v>76</v>
      </c>
      <c r="M19" s="205">
        <f>K19+6</f>
        <v>45728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45729</v>
      </c>
      <c r="L29" s="203" t="s">
        <v>76</v>
      </c>
      <c r="M29" s="205">
        <f>K29+6</f>
        <v>45735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45736</v>
      </c>
      <c r="L39" s="203" t="s">
        <v>76</v>
      </c>
      <c r="M39" s="205">
        <f>K39+6</f>
        <v>45742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45743</v>
      </c>
      <c r="L49" s="203" t="s">
        <v>76</v>
      </c>
      <c r="M49" s="205">
        <f>K49+6</f>
        <v>45749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45750</v>
      </c>
      <c r="L59" s="203" t="s">
        <v>76</v>
      </c>
      <c r="M59" s="205">
        <f>K59+4</f>
        <v>45754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Admin!B331</f>
        <v>45717</v>
      </c>
      <c r="L69" s="203" t="s">
        <v>76</v>
      </c>
      <c r="M69" s="205">
        <f>Admin!B361</f>
        <v>45747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IF(T$69="Y",Feb!H51,0)</f>
        <v>0</v>
      </c>
      <c r="I71" s="89">
        <f>IF(T$69="Y",Feb!I51,0)</f>
        <v>0</v>
      </c>
      <c r="J71" s="89">
        <f>IF(T$69="Y",Feb!J51,0)</f>
        <v>0</v>
      </c>
      <c r="K71" s="89">
        <f>IF(T$69="Y",Feb!K51,I71*J71)</f>
        <v>0</v>
      </c>
      <c r="L71" s="110">
        <f>IF(T$69="Y",Feb!L51,0)</f>
        <v>0</v>
      </c>
      <c r="M71" s="99" t="str">
        <f>IF(E71=" "," ",IF(T$69="Y",Feb!M51,IF((H71+K71+L71)&gt;0,H71+K71+L71,"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IF(Employee!H$35=E$69,Employee!D$34+SUM(M71)+Feb!V51,SUM(M71)+Feb!V51)</f>
        <v>0</v>
      </c>
      <c r="W71" s="49">
        <f>IF(Employee!H$35=E$69,Employee!D$35+SUM(N71)+Feb!W51,SUM(N71)+Feb!W51)</f>
        <v>0</v>
      </c>
      <c r="X71" s="49">
        <f>IF(O71=" ",Feb!X51,O71+Feb!X51)</f>
        <v>0</v>
      </c>
      <c r="Y71" s="49">
        <f>IF(P71=" ",Feb!Y51,P71+Feb!Y51)</f>
        <v>0</v>
      </c>
      <c r="Z71" s="49">
        <f>IF(Q71=" ",Feb!Z51,Q71+Feb!Z51)</f>
        <v>0</v>
      </c>
      <c r="AA71" s="49">
        <f>IF(R71=" ",Feb!AA51,R71+Feb!AA51)</f>
        <v>0</v>
      </c>
      <c r="AC71" s="49">
        <f>IF(T71=" ",Feb!AC51,T71+Feb!AC51)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IF(T$69="Y",Feb!H52,0)</f>
        <v>0</v>
      </c>
      <c r="I72" s="92">
        <f>IF(T$69="Y",Feb!I52,0)</f>
        <v>0</v>
      </c>
      <c r="J72" s="92">
        <f>IF(T$69="Y",Feb!J52,0)</f>
        <v>0</v>
      </c>
      <c r="K72" s="92">
        <f>IF(T$69="Y",Feb!K52,I72*J72)</f>
        <v>0</v>
      </c>
      <c r="L72" s="111">
        <f>IF(T$69="Y",Feb!L52,0)</f>
        <v>0</v>
      </c>
      <c r="M72" s="100" t="str">
        <f>IF(E72=" "," ",IF(T$69="Y",Feb!M52,IF((H72+K72+L72)&gt;0,H72+K72+L72,"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IF(Employee!H$61=E$69,Employee!D$60+SUM(M72)+Feb!V52,SUM(M72)+Feb!V52)</f>
        <v>0</v>
      </c>
      <c r="W72" s="49">
        <f>IF(Employee!H$61=E$69,Employee!D$61+SUM(N72)+Feb!W52,SUM(N72)+Feb!W52)</f>
        <v>0</v>
      </c>
      <c r="X72" s="49">
        <f>IF(O72=" ",Feb!X52,O72+Feb!X52)</f>
        <v>0</v>
      </c>
      <c r="Y72" s="49">
        <f>IF(P72=" ",Feb!Y52,P72+Feb!Y52)</f>
        <v>0</v>
      </c>
      <c r="Z72" s="49">
        <f>IF(Q72=" ",Feb!Z52,Q72+Feb!Z52)</f>
        <v>0</v>
      </c>
      <c r="AA72" s="49">
        <f>IF(R72=" ",Feb!AA52,R72+Feb!AA52)</f>
        <v>0</v>
      </c>
      <c r="AC72" s="49">
        <f>IF(T72=" ",Feb!AC52,T72+Feb!AC52)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IF(T$69="Y",Feb!H53,0)</f>
        <v>0</v>
      </c>
      <c r="I73" s="92">
        <f>IF(T$69="Y",Feb!I53,0)</f>
        <v>0</v>
      </c>
      <c r="J73" s="92">
        <f>IF(T$69="Y",Feb!J53,0)</f>
        <v>0</v>
      </c>
      <c r="K73" s="92">
        <f>IF(T$69="Y",Feb!K53,I73*J73)</f>
        <v>0</v>
      </c>
      <c r="L73" s="111">
        <f>IF(T$69="Y",Feb!L53,0)</f>
        <v>0</v>
      </c>
      <c r="M73" s="100" t="str">
        <f>IF(E73=" "," ",IF(T$69="Y",Feb!M53,IF((H73+K73+L73)&gt;0,H73+K73+L73,"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IF(Employee!H$87=E$69,Employee!D$86+SUM(M73)+Feb!V53,SUM(M73)+Feb!V53)</f>
        <v>0</v>
      </c>
      <c r="W73" s="49">
        <f>IF(Employee!H$87=E$69,Employee!D$87+SUM(N73)+Feb!W53,SUM(N73)+Feb!W53)</f>
        <v>0</v>
      </c>
      <c r="X73" s="49">
        <f>IF(O73=" ",Feb!X53,O73+Feb!X53)</f>
        <v>0</v>
      </c>
      <c r="Y73" s="49">
        <f>IF(P73=" ",Feb!Y53,P73+Feb!Y53)</f>
        <v>0</v>
      </c>
      <c r="Z73" s="49">
        <f>IF(Q73=" ",Feb!Z53,Q73+Feb!Z53)</f>
        <v>0</v>
      </c>
      <c r="AA73" s="49">
        <f>IF(R73=" ",Feb!AA53,R73+Feb!AA53)</f>
        <v>0</v>
      </c>
      <c r="AC73" s="49">
        <f>IF(T73=" ",Feb!AC53,T73+Feb!AC53)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IF(T$69="Y",Feb!H54,0)</f>
        <v>0</v>
      </c>
      <c r="I74" s="92">
        <f>IF(T$69="Y",Feb!I54,0)</f>
        <v>0</v>
      </c>
      <c r="J74" s="92">
        <f>IF(T$69="Y",Feb!J54,0)</f>
        <v>0</v>
      </c>
      <c r="K74" s="92">
        <f>IF(T$69="Y",Feb!K54,I74*J74)</f>
        <v>0</v>
      </c>
      <c r="L74" s="111">
        <f>IF(T$69="Y",Feb!L54,0)</f>
        <v>0</v>
      </c>
      <c r="M74" s="100" t="str">
        <f>IF(E74=" "," ",IF(T$69="Y",Feb!M54,IF((H74+K74+L74)&gt;0,H74+K74+L74,"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IF(Employee!H$113=E$69,Employee!D$112+SUM(M74)+Feb!V54,SUM(M74)+Feb!V54)</f>
        <v>0</v>
      </c>
      <c r="W74" s="49">
        <f>IF(Employee!H$113=E$69,Employee!D$113+SUM(N74)+Feb!W54,SUM(N74)+Feb!W54)</f>
        <v>0</v>
      </c>
      <c r="X74" s="49">
        <f>IF(O74=" ",Feb!X54,O74+Feb!X54)</f>
        <v>0</v>
      </c>
      <c r="Y74" s="49">
        <f>IF(P74=" ",Feb!Y54,P74+Feb!Y54)</f>
        <v>0</v>
      </c>
      <c r="Z74" s="49">
        <f>IF(Q74=" ",Feb!Z54,Q74+Feb!Z54)</f>
        <v>0</v>
      </c>
      <c r="AA74" s="49">
        <f>IF(R74=" ",Feb!AA54,R74+Feb!AA54)</f>
        <v>0</v>
      </c>
      <c r="AC74" s="49">
        <f>IF(T74=" ",Feb!AC54,T74+Feb!AC54)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IF(T$69="Y",Feb!H55,0)</f>
        <v>0</v>
      </c>
      <c r="I75" s="245">
        <f>IF(T$69="Y",Feb!I55,0)</f>
        <v>0</v>
      </c>
      <c r="J75" s="245">
        <f>IF(T$69="Y",Feb!J55,0)</f>
        <v>0</v>
      </c>
      <c r="K75" s="245">
        <f>IF(T$69="Y",Feb!K55,I75*J75)</f>
        <v>0</v>
      </c>
      <c r="L75" s="246">
        <f>IF(T$69="Y",Feb!L55,0)</f>
        <v>0</v>
      </c>
      <c r="M75" s="100" t="str">
        <f>IF(E75=" "," ",IF(T$69="Y",Feb!M55,IF((H75+K75+L75)&gt;0,H75+K75+L75,"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IF(Employee!H$139=E$69,Employee!D$138+SUM(M75)+Feb!V55,SUM(M75)+Feb!V55)</f>
        <v>0</v>
      </c>
      <c r="W75" s="49">
        <f>IF(Employee!H$139=E$69,Employee!D$139+SUM(N75)+Feb!W55,SUM(N75)+Feb!W55)</f>
        <v>0</v>
      </c>
      <c r="X75" s="49">
        <f>IF(O75=" ",Feb!X55,O75+Feb!X55)</f>
        <v>0</v>
      </c>
      <c r="Y75" s="49">
        <f>IF(P75=" ",Feb!Y55,P75+Feb!Y55)</f>
        <v>0</v>
      </c>
      <c r="Z75" s="49">
        <f>IF(Q75=" ",Feb!Z55,Q75+Feb!Z55)</f>
        <v>0</v>
      </c>
      <c r="AA75" s="49">
        <f>IF(R75=" ",Feb!AA55,R75+Feb!AA55)</f>
        <v>0</v>
      </c>
      <c r="AC75" s="49">
        <f>IF(T75=" ",Feb!AC55,T75+Feb!AC55)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AD80+Feb!AD65</f>
        <v>0</v>
      </c>
      <c r="AE85" s="158">
        <f>AE80+Feb!AE65</f>
        <v>0</v>
      </c>
      <c r="AF85" s="158">
        <f>AF80+Feb!AF65</f>
        <v>0</v>
      </c>
      <c r="AG85" s="158">
        <f>AG80+Feb!AG65</f>
        <v>0</v>
      </c>
    </row>
    <row r="86" spans="6:33" ht="14" thickTop="1" x14ac:dyDescent="0.15"/>
    <row r="87" spans="6:33" x14ac:dyDescent="0.15">
      <c r="AD87" s="162"/>
      <c r="AE87" s="158">
        <f>AE82+Feb!AE67</f>
        <v>0</v>
      </c>
      <c r="AF87" s="158">
        <f>AF82+Feb!AF67</f>
        <v>0</v>
      </c>
      <c r="AG87" s="158">
        <f>AG82+Feb!AG67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Apr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INDIRECT($H$3 &amp; "!B" &amp; $H$4)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INDIRECT($H$3 &amp; "!E" &amp; $H$4+2+C10)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INDIRECT($H$3 &amp; "!M" &amp; $H$4+1)</f>
        <v>45392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INDIRECT($H$3 &amp; "!E" &amp; $H$4+1)</f>
        <v>1</v>
      </c>
      <c r="J10" s="477" t="str">
        <f ca="1">IF(M8=" "," ",INDIRECT($H$3 &amp; "!D" &amp; $H$4+2+C10))</f>
        <v xml:space="preserve"> </v>
      </c>
      <c r="K10" s="477"/>
      <c r="L10" s="249" t="s">
        <v>123</v>
      </c>
      <c r="M10" s="261" t="str">
        <f ca="1">IF(M8=" "," ",INDIRECT($H$3 &amp; "!C" &amp; $H$4+2+C10))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",INDIRECT($H$3 &amp; "!H" &amp; $H$4+2+C10))</f>
        <v xml:space="preserve"> </v>
      </c>
      <c r="C14" s="271" t="str">
        <f ca="1">IF(M8=" "," ",INDIRECT($H$3 &amp; "!I" &amp; $H$4+2+C10))</f>
        <v xml:space="preserve"> </v>
      </c>
      <c r="D14" s="271" t="str">
        <f ca="1">IF(M8=" "," ",INDIRECT($H$3 &amp; "!J" &amp; $H$4+2+C10))</f>
        <v xml:space="preserve"> </v>
      </c>
      <c r="E14" s="271" t="str">
        <f ca="1">IF(M8=" "," ",INDIRECT($H$3 &amp; "!K" &amp; $H$4+2+C10))</f>
        <v xml:space="preserve"> </v>
      </c>
      <c r="F14" s="272" t="str">
        <f ca="1">IF(M8=" "," ",INDIRECT($H$3 &amp; "!L" &amp; $H$4+2+C10))</f>
        <v xml:space="preserve"> </v>
      </c>
      <c r="G14" s="273" t="str">
        <f ca="1">IF(M8=" "," ",INDIRECT($H$3 &amp; "!M" &amp; $H$4+2+C10))</f>
        <v xml:space="preserve"> </v>
      </c>
      <c r="H14" s="274" t="str">
        <f ca="1">IF(M8=" "," ",INDIRECT($H$3 &amp; "!N" &amp; $H$4+2+C10))</f>
        <v xml:space="preserve"> </v>
      </c>
      <c r="I14" s="271" t="str">
        <f ca="1">IF(M8=" "," ",INDIRECT($H$3 &amp; "!O" &amp; $H$4+2+C10))</f>
        <v xml:space="preserve"> </v>
      </c>
      <c r="J14" s="457" t="str">
        <f ca="1">IF(M8=" "," ",INDIRECT($H$3 &amp; "!P" &amp; $H$4+2+C10))</f>
        <v xml:space="preserve"> </v>
      </c>
      <c r="K14" s="457"/>
      <c r="L14" s="272" t="str">
        <f ca="1">IF(M8=" "," ",INDIRECT($H$3 &amp; "!Q" &amp; $H$4+2+C10))</f>
        <v xml:space="preserve"> </v>
      </c>
      <c r="M14" s="275" t="str">
        <f ca="1">IF(M8=" "," ",INDIRECT($H$3 &amp; "!R" &amp; $H$4+2+C10))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",INDIRECT($H$3 &amp; "!V" &amp; $H$4+2+C10))</f>
        <v xml:space="preserve"> </v>
      </c>
      <c r="H16" s="271" t="str">
        <f ca="1">IF(M8=" "," ",INDIRECT($H$3 &amp; "!W" &amp; $H$4+2+C10))</f>
        <v xml:space="preserve"> </v>
      </c>
      <c r="I16" s="271" t="str">
        <f ca="1">IF(M8=" "," ",INDIRECT($H$3 &amp; "!X" &amp; $H$4+2+C10))</f>
        <v xml:space="preserve"> </v>
      </c>
      <c r="J16" s="457" t="str">
        <f ca="1">IF(M8=" "," ",INDIRECT($H$3 &amp; "!Y" &amp; $H$4+2+C10))</f>
        <v xml:space="preserve"> </v>
      </c>
      <c r="K16" s="457"/>
      <c r="L16" s="271" t="str">
        <f ca="1">IF(M8=" "," ",INDIRECT($H$3 &amp; "!Z" &amp; $H$4+2+C10))</f>
        <v xml:space="preserve"> </v>
      </c>
      <c r="M16" s="271" t="str">
        <f ca="1">IF(M8=" "," ",INDIRECT($H$3 &amp; "!AA" &amp; $H$4+2+C10))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",INDIRECT($H$3 &amp; "!R" &amp; $H$4))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INDIRECT($H$3 &amp; "!E" &amp; $H$4+2+C24)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45392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",INDIRECT($H$3 &amp; "!D" &amp; $H$4+2+C24))</f>
        <v xml:space="preserve"> </v>
      </c>
      <c r="K24" s="477"/>
      <c r="L24" s="249" t="s">
        <v>123</v>
      </c>
      <c r="M24" s="261" t="str">
        <f ca="1">IF(M22=" "," ",INDIRECT($H$3 &amp; "!C" &amp; $H$4+2+C24))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",INDIRECT($H$3 &amp; "!H" &amp; $H$4+2+C24))</f>
        <v xml:space="preserve"> </v>
      </c>
      <c r="C28" s="271" t="str">
        <f ca="1">IF(M22=" "," ",INDIRECT($H$3 &amp; "!I" &amp; $H$4+2+C24))</f>
        <v xml:space="preserve"> </v>
      </c>
      <c r="D28" s="271" t="str">
        <f ca="1">IF(M22=" "," ",INDIRECT($H$3 &amp; "!J" &amp; $H$4+2+C24))</f>
        <v xml:space="preserve"> </v>
      </c>
      <c r="E28" s="271" t="str">
        <f ca="1">IF(M22=" "," ",INDIRECT($H$3 &amp; "!K" &amp; $H$4+2+C24))</f>
        <v xml:space="preserve"> </v>
      </c>
      <c r="F28" s="272" t="str">
        <f ca="1">IF(M22=" "," ",INDIRECT($H$3 &amp; "!L" &amp; $H$4+2+C24))</f>
        <v xml:space="preserve"> </v>
      </c>
      <c r="G28" s="273" t="str">
        <f ca="1">IF(M22=" "," ",INDIRECT($H$3 &amp; "!M" &amp; $H$4+2+C24))</f>
        <v xml:space="preserve"> </v>
      </c>
      <c r="H28" s="274" t="str">
        <f ca="1">IF(M22=" "," ",INDIRECT($H$3 &amp; "!N" &amp; $H$4+2+C24))</f>
        <v xml:space="preserve"> </v>
      </c>
      <c r="I28" s="271" t="str">
        <f ca="1">IF(M22=" "," ",INDIRECT($H$3 &amp; "!O" &amp; $H$4+2+C24))</f>
        <v xml:space="preserve"> </v>
      </c>
      <c r="J28" s="457" t="str">
        <f ca="1">IF(M22=" "," ",INDIRECT($H$3 &amp; "!P" &amp; $H$4+2+C24))</f>
        <v xml:space="preserve"> </v>
      </c>
      <c r="K28" s="457"/>
      <c r="L28" s="272" t="str">
        <f ca="1">IF(M22=" "," ",INDIRECT($H$3 &amp; "!Q" &amp; $H$4+2+C24))</f>
        <v xml:space="preserve"> </v>
      </c>
      <c r="M28" s="275" t="str">
        <f ca="1">IF(M22=" "," ",INDIRECT($H$3 &amp; "!R" &amp; $H$4+2+C24))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",INDIRECT($H$3 &amp; "!V" &amp; $H$4+2+C24))</f>
        <v xml:space="preserve"> </v>
      </c>
      <c r="H30" s="271" t="str">
        <f ca="1">IF(M22=" "," ",INDIRECT($H$3 &amp; "!W" &amp; $H$4+2+C24))</f>
        <v xml:space="preserve"> </v>
      </c>
      <c r="I30" s="271" t="str">
        <f ca="1">IF(M22=" "," ",INDIRECT($H$3 &amp; "!X" &amp; $H$4+2+C24))</f>
        <v xml:space="preserve"> </v>
      </c>
      <c r="J30" s="457" t="str">
        <f ca="1">IF(M22=" "," ",INDIRECT($H$3 &amp; "!Y" &amp; $H$4+2+C24))</f>
        <v xml:space="preserve"> </v>
      </c>
      <c r="K30" s="457"/>
      <c r="L30" s="271" t="str">
        <f ca="1">IF(M22=" "," ",INDIRECT($H$3 &amp; "!Z" &amp; $H$4+2+C24))</f>
        <v xml:space="preserve"> </v>
      </c>
      <c r="M30" s="271" t="str">
        <f ca="1">IF(M22=" "," ",INDIRECT($H$3 &amp; "!AA" &amp; $H$4+2+C24))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INDIRECT($H$3 &amp; "!E" &amp; $H$4+2+C39)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45392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",INDIRECT($H$3 &amp; "!D" &amp; $H$4+2+C39))</f>
        <v xml:space="preserve"> </v>
      </c>
      <c r="K39" s="477"/>
      <c r="L39" s="249" t="s">
        <v>123</v>
      </c>
      <c r="M39" s="261" t="str">
        <f ca="1">IF(M37=" "," ",INDIRECT($H$3 &amp; "!C" &amp; $H$4+2+C39))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",INDIRECT($H$3 &amp; "!H" &amp; $H$4+2+C39))</f>
        <v xml:space="preserve"> </v>
      </c>
      <c r="C43" s="271" t="str">
        <f ca="1">IF(M37=" "," ",INDIRECT($H$3 &amp; "!I" &amp; $H$4+2+C39))</f>
        <v xml:space="preserve"> </v>
      </c>
      <c r="D43" s="271" t="str">
        <f ca="1">IF(M37=" "," ",INDIRECT($H$3 &amp; "!J" &amp; $H$4+2+C39))</f>
        <v xml:space="preserve"> </v>
      </c>
      <c r="E43" s="271" t="str">
        <f ca="1">IF(M37=" "," ",INDIRECT($H$3 &amp; "!K" &amp; $H$4+2+C39))</f>
        <v xml:space="preserve"> </v>
      </c>
      <c r="F43" s="272" t="str">
        <f ca="1">IF(M37=" "," ",INDIRECT($H$3 &amp; "!L" &amp; $H$4+2+C39))</f>
        <v xml:space="preserve"> </v>
      </c>
      <c r="G43" s="273" t="str">
        <f ca="1">IF(M37=" "," ",INDIRECT($H$3 &amp; "!M" &amp; $H$4+2+C39))</f>
        <v xml:space="preserve"> </v>
      </c>
      <c r="H43" s="274" t="str">
        <f ca="1">IF(M37=" "," ",INDIRECT($H$3 &amp; "!N" &amp; $H$4+2+C39))</f>
        <v xml:space="preserve"> </v>
      </c>
      <c r="I43" s="271" t="str">
        <f ca="1">IF(M37=" "," ",INDIRECT($H$3 &amp; "!O" &amp; $H$4+2+C39))</f>
        <v xml:space="preserve"> </v>
      </c>
      <c r="J43" s="457" t="str">
        <f ca="1">IF(M37=" "," ",INDIRECT($H$3 &amp; "!P" &amp; $H$4+2+C39))</f>
        <v xml:space="preserve"> </v>
      </c>
      <c r="K43" s="457"/>
      <c r="L43" s="272" t="str">
        <f ca="1">IF(M37=" "," ",INDIRECT($H$3 &amp; "!Q" &amp; $H$4+2+C39))</f>
        <v xml:space="preserve"> </v>
      </c>
      <c r="M43" s="275" t="str">
        <f ca="1">IF(M37=" "," ",INDIRECT($H$3 &amp; "!R" &amp; $H$4+2+C39))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",INDIRECT($H$3 &amp; "!V" &amp; $H$4+2+C39))</f>
        <v xml:space="preserve"> </v>
      </c>
      <c r="H45" s="271" t="str">
        <f ca="1">IF(M37=" "," ",INDIRECT($H$3 &amp; "!W" &amp; $H$4+2+C39))</f>
        <v xml:space="preserve"> </v>
      </c>
      <c r="I45" s="271" t="str">
        <f ca="1">IF(M37=" "," ",INDIRECT($H$3 &amp; "!X" &amp; $H$4+2+C39))</f>
        <v xml:space="preserve"> </v>
      </c>
      <c r="J45" s="457" t="str">
        <f ca="1">IF(M37=" "," ",INDIRECT($H$3 &amp; "!Y" &amp; $H$4+2+C39))</f>
        <v xml:space="preserve"> </v>
      </c>
      <c r="K45" s="457"/>
      <c r="L45" s="271" t="str">
        <f ca="1">IF(M37=" "," ",INDIRECT($H$3 &amp; "!Z" &amp; $H$4+2+C39))</f>
        <v xml:space="preserve"> </v>
      </c>
      <c r="M45" s="271" t="str">
        <f ca="1">IF(M37=" "," ",INDIRECT($H$3 &amp; "!AA" &amp; $H$4+2+C39))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INDIRECT($H$3 &amp; "!E" &amp; $H$4+2+C53)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45392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",INDIRECT($H$3 &amp; "!D" &amp; $H$4+2+C53))</f>
        <v xml:space="preserve"> </v>
      </c>
      <c r="K53" s="477"/>
      <c r="L53" s="249" t="s">
        <v>123</v>
      </c>
      <c r="M53" s="261" t="str">
        <f ca="1">IF(M51=" "," ",INDIRECT($H$3 &amp; "!C" &amp; $H$4+2+C53))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",INDIRECT($H$3 &amp; "!H" &amp; $H$4+2+C53))</f>
        <v xml:space="preserve"> </v>
      </c>
      <c r="C57" s="271" t="str">
        <f ca="1">IF(M51=" "," ",INDIRECT($H$3 &amp; "!I" &amp; $H$4+2+C53))</f>
        <v xml:space="preserve"> </v>
      </c>
      <c r="D57" s="271" t="str">
        <f ca="1">IF(M51=" "," ",INDIRECT($H$3 &amp; "!J" &amp; $H$4+2+C53))</f>
        <v xml:space="preserve"> </v>
      </c>
      <c r="E57" s="271" t="str">
        <f ca="1">IF(M51=" "," ",INDIRECT($H$3 &amp; "!K" &amp; $H$4+2+C53))</f>
        <v xml:space="preserve"> </v>
      </c>
      <c r="F57" s="272" t="str">
        <f ca="1">IF(M51=" "," ",INDIRECT($H$3 &amp; "!L" &amp; $H$4+2+C53))</f>
        <v xml:space="preserve"> </v>
      </c>
      <c r="G57" s="273" t="str">
        <f ca="1">IF(M51=" "," ",INDIRECT($H$3 &amp; "!M" &amp; $H$4+2+C53))</f>
        <v xml:space="preserve"> </v>
      </c>
      <c r="H57" s="274" t="str">
        <f ca="1">IF(M51=" "," ",INDIRECT($H$3 &amp; "!N" &amp; $H$4+2+C53))</f>
        <v xml:space="preserve"> </v>
      </c>
      <c r="I57" s="271" t="str">
        <f ca="1">IF(M51=" "," ",INDIRECT($H$3 &amp; "!O" &amp; $H$4+2+C53))</f>
        <v xml:space="preserve"> </v>
      </c>
      <c r="J57" s="457" t="str">
        <f ca="1">IF(M51=" "," ",INDIRECT($H$3 &amp; "!P" &amp; $H$4+2+C53))</f>
        <v xml:space="preserve"> </v>
      </c>
      <c r="K57" s="457"/>
      <c r="L57" s="272" t="str">
        <f ca="1">IF(M51=" "," ",INDIRECT($H$3 &amp; "!Q" &amp; $H$4+2+C53))</f>
        <v xml:space="preserve"> </v>
      </c>
      <c r="M57" s="275" t="str">
        <f ca="1">IF(M51=" "," ",INDIRECT($H$3 &amp; "!R" &amp; $H$4+2+C53))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",INDIRECT($H$3 &amp; "!V" &amp; $H$4+2+C53))</f>
        <v xml:space="preserve"> </v>
      </c>
      <c r="H59" s="271" t="str">
        <f ca="1">IF(M51=" "," ",INDIRECT($H$3 &amp; "!W" &amp; $H$4+2+C53))</f>
        <v xml:space="preserve"> </v>
      </c>
      <c r="I59" s="271" t="str">
        <f ca="1">IF(M51=" "," ",INDIRECT($H$3 &amp; "!X" &amp; $H$4+2+C53))</f>
        <v xml:space="preserve"> </v>
      </c>
      <c r="J59" s="457" t="str">
        <f ca="1">IF(M51=" "," ",INDIRECT($H$3 &amp; "!Y" &amp; $H$4+2+C53))</f>
        <v xml:space="preserve"> </v>
      </c>
      <c r="K59" s="457"/>
      <c r="L59" s="271" t="str">
        <f ca="1">IF(M51=" "," ",INDIRECT($H$3 &amp; "!Z" &amp; $H$4+2+C53))</f>
        <v xml:space="preserve"> </v>
      </c>
      <c r="M59" s="271" t="str">
        <f ca="1">IF(M51=" "," ",INDIRECT($H$3 &amp; "!AA" &amp; $H$4+2+C53))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INDIRECT($H$3 &amp; "!E" &amp; $H$4+2+C68)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45392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",INDIRECT($H$3 &amp; "!D" &amp; $H$4+2+C68))</f>
        <v xml:space="preserve"> </v>
      </c>
      <c r="K68" s="477"/>
      <c r="L68" s="249" t="s">
        <v>123</v>
      </c>
      <c r="M68" s="261" t="str">
        <f ca="1">IF(M66=" "," ",INDIRECT($H$3 &amp; "!C" &amp; $H$4+2+C68))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",INDIRECT($H$3 &amp; "!H" &amp; $H$4+2+C68))</f>
        <v xml:space="preserve"> </v>
      </c>
      <c r="C72" s="271" t="str">
        <f ca="1">IF(M66=" "," ",INDIRECT($H$3 &amp; "!I" &amp; $H$4+2+C68))</f>
        <v xml:space="preserve"> </v>
      </c>
      <c r="D72" s="271" t="str">
        <f ca="1">IF(M66=" "," ",INDIRECT($H$3 &amp; "!J" &amp; $H$4+2+C68))</f>
        <v xml:space="preserve"> </v>
      </c>
      <c r="E72" s="271" t="str">
        <f ca="1">IF(M66=" "," ",INDIRECT($H$3 &amp; "!K" &amp; $H$4+2+C68))</f>
        <v xml:space="preserve"> </v>
      </c>
      <c r="F72" s="272" t="str">
        <f ca="1">IF(M66=" "," ",INDIRECT($H$3 &amp; "!L" &amp; $H$4+2+C68))</f>
        <v xml:space="preserve"> </v>
      </c>
      <c r="G72" s="273" t="str">
        <f ca="1">IF(M66=" "," ",INDIRECT($H$3 &amp; "!M" &amp; $H$4+2+C68))</f>
        <v xml:space="preserve"> </v>
      </c>
      <c r="H72" s="274" t="str">
        <f ca="1">IF(M66=" "," ",INDIRECT($H$3 &amp; "!N" &amp; $H$4+2+C68))</f>
        <v xml:space="preserve"> </v>
      </c>
      <c r="I72" s="271" t="str">
        <f ca="1">IF(M66=" "," ",INDIRECT($H$3 &amp; "!O" &amp; $H$4+2+C68))</f>
        <v xml:space="preserve"> </v>
      </c>
      <c r="J72" s="457" t="str">
        <f ca="1">IF(M66=" "," ",INDIRECT($H$3 &amp; "!P" &amp; $H$4+2+C68))</f>
        <v xml:space="preserve"> </v>
      </c>
      <c r="K72" s="457"/>
      <c r="L72" s="272" t="str">
        <f ca="1">IF(M66=" "," ",INDIRECT($H$3 &amp; "!Q" &amp; $H$4+2+C68))</f>
        <v xml:space="preserve"> </v>
      </c>
      <c r="M72" s="275" t="str">
        <f ca="1">IF(M66=" "," ",INDIRECT($H$3 &amp; "!R" &amp; $H$4+2+C68))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",INDIRECT($H$3 &amp; "!V" &amp; $H$4+2+C68))</f>
        <v xml:space="preserve"> </v>
      </c>
      <c r="H74" s="271" t="str">
        <f ca="1">IF(M66=" "," ",INDIRECT($H$3 &amp; "!W" &amp; $H$4+2+C68))</f>
        <v xml:space="preserve"> </v>
      </c>
      <c r="I74" s="271" t="str">
        <f ca="1">IF(M66=" "," ",INDIRECT($H$3 &amp; "!X" &amp; $H$4+2+C68))</f>
        <v xml:space="preserve"> </v>
      </c>
      <c r="J74" s="457" t="str">
        <f ca="1">IF(M66=" "," ",INDIRECT($H$3 &amp; "!Y" &amp; $H$4+2+C68))</f>
        <v xml:space="preserve"> </v>
      </c>
      <c r="K74" s="457"/>
      <c r="L74" s="271" t="str">
        <f ca="1">IF(M66=" "," ",INDIRECT($H$3 &amp; "!Z" &amp; $H$4+2+C68))</f>
        <v xml:space="preserve"> </v>
      </c>
      <c r="M74" s="271" t="str">
        <f ca="1">IF(M66=" "," ",INDIRECT($H$3 &amp; "!AA" &amp; $H$4+2+C68))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Admin!$B$26</f>
        <v>45412</v>
      </c>
      <c r="C4" s="229">
        <f>Admin!$B$45</f>
        <v>45431</v>
      </c>
      <c r="D4" s="227">
        <f>Apr!T1+Apr!O1</f>
        <v>0</v>
      </c>
      <c r="E4" s="228">
        <f>Apr!N1</f>
        <v>0</v>
      </c>
      <c r="F4" s="228">
        <f>Apr!AD60+Apr!AE60+Apr!AF60+Apr!AG60</f>
        <v>0</v>
      </c>
      <c r="G4" s="228">
        <f>Apr!AE62+Apr!AF62+Apr!AG62</f>
        <v>0</v>
      </c>
      <c r="H4" s="228">
        <f>Apr!P1</f>
        <v>0</v>
      </c>
      <c r="I4" s="227">
        <f t="shared" ref="I4:I15" si="0">D4+E4-F4-G4+H4</f>
        <v>0</v>
      </c>
      <c r="M4" s="212">
        <f>(YEAR(Admin!B2)-1999)*100+1</f>
        <v>2501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Admin!$B$57</f>
        <v>45443</v>
      </c>
      <c r="C5" s="229">
        <f>Admin!$B$76</f>
        <v>45462</v>
      </c>
      <c r="D5" s="227">
        <f>May!T1+May!O1</f>
        <v>0</v>
      </c>
      <c r="E5" s="228">
        <f>May!N1</f>
        <v>0</v>
      </c>
      <c r="F5" s="228">
        <f>May!AD60+May!AE60+May!AF60+May!AG60</f>
        <v>0</v>
      </c>
      <c r="G5" s="228">
        <f>May!AE62+May!AF62+May!AG62</f>
        <v>0</v>
      </c>
      <c r="H5" s="228">
        <f>May!P1</f>
        <v>0</v>
      </c>
      <c r="I5" s="227">
        <f t="shared" si="0"/>
        <v>0</v>
      </c>
      <c r="M5" s="212">
        <f>M4+1</f>
        <v>2502</v>
      </c>
      <c r="N5" s="226">
        <f t="shared" si="1"/>
        <v>0</v>
      </c>
      <c r="O5" s="225"/>
    </row>
    <row r="6" spans="1:15" ht="15" customHeight="1" x14ac:dyDescent="0.15">
      <c r="A6" s="231"/>
      <c r="B6" s="230">
        <f>Admin!$B$87</f>
        <v>45473</v>
      </c>
      <c r="C6" s="229">
        <f>Admin!$B$106</f>
        <v>45492</v>
      </c>
      <c r="D6" s="227">
        <f>Jun!T1+Jun!O1</f>
        <v>0</v>
      </c>
      <c r="E6" s="228">
        <f>Jun!N1</f>
        <v>0</v>
      </c>
      <c r="F6" s="228">
        <f>Jun!AD70+Jun!AE70+Jun!AF70+Jun!AG70</f>
        <v>0</v>
      </c>
      <c r="G6" s="228">
        <f>Jun!AE72+Jun!AF72+Jun!AG72</f>
        <v>0</v>
      </c>
      <c r="H6" s="228">
        <f>Jun!P1</f>
        <v>0</v>
      </c>
      <c r="I6" s="227">
        <f t="shared" si="0"/>
        <v>0</v>
      </c>
      <c r="M6" s="212">
        <f t="shared" ref="M6:M15" si="2">M5+1</f>
        <v>2503</v>
      </c>
      <c r="N6" s="226">
        <f t="shared" si="1"/>
        <v>0</v>
      </c>
      <c r="O6" s="225"/>
    </row>
    <row r="7" spans="1:15" ht="15" customHeight="1" x14ac:dyDescent="0.15">
      <c r="A7" s="231"/>
      <c r="B7" s="230">
        <f>Admin!$B$118</f>
        <v>45504</v>
      </c>
      <c r="C7" s="229">
        <f>Admin!$B$137</f>
        <v>45523</v>
      </c>
      <c r="D7" s="227">
        <f>Jul!T1+Jul!O1</f>
        <v>0</v>
      </c>
      <c r="E7" s="228">
        <f>Jul!N1</f>
        <v>0</v>
      </c>
      <c r="F7" s="228">
        <f>Jul!AD60+Jul!AE60+Jul!AF60+Jul!AG60</f>
        <v>0</v>
      </c>
      <c r="G7" s="228">
        <f>Jul!AE62+Jul!AF62+Jul!AG62</f>
        <v>0</v>
      </c>
      <c r="H7" s="228">
        <f>Jul!P1</f>
        <v>0</v>
      </c>
      <c r="I7" s="227">
        <f t="shared" si="0"/>
        <v>0</v>
      </c>
      <c r="M7" s="212">
        <f t="shared" si="2"/>
        <v>2504</v>
      </c>
      <c r="N7" s="226">
        <f t="shared" si="1"/>
        <v>0</v>
      </c>
      <c r="O7" s="225"/>
    </row>
    <row r="8" spans="1:15" ht="15" customHeight="1" x14ac:dyDescent="0.15">
      <c r="A8" s="231"/>
      <c r="B8" s="230">
        <f>Admin!$B$149</f>
        <v>45535</v>
      </c>
      <c r="C8" s="229">
        <f>Admin!$B$168</f>
        <v>45554</v>
      </c>
      <c r="D8" s="227">
        <f>Aug!T1+Aug!O1</f>
        <v>0</v>
      </c>
      <c r="E8" s="228">
        <f>Aug!N1</f>
        <v>0</v>
      </c>
      <c r="F8" s="228">
        <f>Aug!AD60+Aug!AE60+Aug!AF60+Aug!AG60</f>
        <v>0</v>
      </c>
      <c r="G8" s="228">
        <f>Aug!AE62+Aug!AF62+Aug!AG62</f>
        <v>0</v>
      </c>
      <c r="H8" s="228">
        <f>Aug!P1</f>
        <v>0</v>
      </c>
      <c r="I8" s="227">
        <f t="shared" si="0"/>
        <v>0</v>
      </c>
      <c r="M8" s="212">
        <f t="shared" si="2"/>
        <v>2505</v>
      </c>
      <c r="N8" s="226">
        <f t="shared" si="1"/>
        <v>0</v>
      </c>
      <c r="O8" s="225"/>
    </row>
    <row r="9" spans="1:15" ht="15" customHeight="1" x14ac:dyDescent="0.15">
      <c r="A9" s="231"/>
      <c r="B9" s="230">
        <f>Admin!$B$179</f>
        <v>45565</v>
      </c>
      <c r="C9" s="229">
        <f>Admin!$B$198</f>
        <v>45584</v>
      </c>
      <c r="D9" s="227">
        <f>Sep!T1+Sep!O1</f>
        <v>0</v>
      </c>
      <c r="E9" s="228">
        <f>Sep!N1</f>
        <v>0</v>
      </c>
      <c r="F9" s="228">
        <f>Sep!AD70+Sep!AE70+Sep!AF70+Sep!AG70</f>
        <v>0</v>
      </c>
      <c r="G9" s="228">
        <f>Sep!AE72+Sep!AF72+Sep!AG72</f>
        <v>0</v>
      </c>
      <c r="H9" s="228">
        <f>Sep!P1</f>
        <v>0</v>
      </c>
      <c r="I9" s="227">
        <f t="shared" si="0"/>
        <v>0</v>
      </c>
      <c r="M9" s="212">
        <f t="shared" si="2"/>
        <v>2506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Admin!$B$210</f>
        <v>45596</v>
      </c>
      <c r="C10" s="229">
        <f>Admin!$B$229</f>
        <v>45615</v>
      </c>
      <c r="D10" s="227">
        <f>Oct!T1+Oct!O1</f>
        <v>0</v>
      </c>
      <c r="E10" s="228">
        <f>Oct!N1</f>
        <v>0</v>
      </c>
      <c r="F10" s="228">
        <f>Oct!AD60+Oct!AE60+Oct!AF60+Oct!AG60</f>
        <v>0</v>
      </c>
      <c r="G10" s="228">
        <f>Oct!AE62+Oct!AF62+Oct!AG62</f>
        <v>0</v>
      </c>
      <c r="H10" s="228">
        <f>Oct!P1</f>
        <v>0</v>
      </c>
      <c r="I10" s="227">
        <f t="shared" si="0"/>
        <v>0</v>
      </c>
      <c r="M10" s="212">
        <f t="shared" si="2"/>
        <v>2507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Admin!$B$240</f>
        <v>45626</v>
      </c>
      <c r="C11" s="229">
        <f>Admin!$B$259</f>
        <v>45645</v>
      </c>
      <c r="D11" s="227">
        <f>Nov!T1+Nov!O1</f>
        <v>0</v>
      </c>
      <c r="E11" s="228">
        <f>Nov!N1</f>
        <v>0</v>
      </c>
      <c r="F11" s="228">
        <f>Nov!AD60+Nov!AE60+Nov!AF60+Nov!AG60</f>
        <v>0</v>
      </c>
      <c r="G11" s="228">
        <f>Nov!AE62+Nov!AF62+Nov!AG62</f>
        <v>0</v>
      </c>
      <c r="H11" s="228">
        <f>Nov!P1</f>
        <v>0</v>
      </c>
      <c r="I11" s="227">
        <f t="shared" si="0"/>
        <v>0</v>
      </c>
      <c r="M11" s="212">
        <f t="shared" si="2"/>
        <v>2508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Admin!$B$271</f>
        <v>45657</v>
      </c>
      <c r="C12" s="229">
        <f>Admin!$B$290</f>
        <v>45676</v>
      </c>
      <c r="D12" s="227">
        <f>Dec!T1+Dec!O1</f>
        <v>0</v>
      </c>
      <c r="E12" s="228">
        <f>Dec!N1</f>
        <v>0</v>
      </c>
      <c r="F12" s="228">
        <f>Dec!AD70+Dec!AE70+Dec!AF70+Dec!AG70</f>
        <v>0</v>
      </c>
      <c r="G12" s="228">
        <f>Dec!AE72+Dec!AF72+Dec!AG72</f>
        <v>0</v>
      </c>
      <c r="H12" s="228">
        <f>Dec!P1</f>
        <v>0</v>
      </c>
      <c r="I12" s="227">
        <f t="shared" si="0"/>
        <v>0</v>
      </c>
      <c r="M12" s="212">
        <f t="shared" si="2"/>
        <v>2509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Admin!$B$302</f>
        <v>45688</v>
      </c>
      <c r="C13" s="229">
        <f>Admin!$B$321</f>
        <v>45707</v>
      </c>
      <c r="D13" s="227">
        <f>Jan!T1+Jan!O1</f>
        <v>0</v>
      </c>
      <c r="E13" s="228">
        <f>Jan!N1</f>
        <v>0</v>
      </c>
      <c r="F13" s="228">
        <f>Jan!AD60+Jan!AE60+Jan!AF60+Jan!AG60</f>
        <v>0</v>
      </c>
      <c r="G13" s="228">
        <f>Jan!AE62+Jan!AF62+Jan!AG62</f>
        <v>0</v>
      </c>
      <c r="H13" s="228">
        <f>Jan!P1</f>
        <v>0</v>
      </c>
      <c r="I13" s="227">
        <f t="shared" si="0"/>
        <v>0</v>
      </c>
      <c r="M13" s="212">
        <f t="shared" si="2"/>
        <v>2510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Admin!$B$330</f>
        <v>45716</v>
      </c>
      <c r="C14" s="229">
        <f>Admin!$B$350</f>
        <v>45736</v>
      </c>
      <c r="D14" s="227">
        <f>Feb!T1+Feb!O1</f>
        <v>0</v>
      </c>
      <c r="E14" s="228">
        <f>Feb!N1</f>
        <v>0</v>
      </c>
      <c r="F14" s="228">
        <f>Feb!AD60+Feb!AE60+Feb!AF60+Feb!AG60</f>
        <v>0</v>
      </c>
      <c r="G14" s="228">
        <f>Feb!AE62+Feb!AF62+Feb!AG62</f>
        <v>0</v>
      </c>
      <c r="H14" s="228">
        <f>Feb!P1</f>
        <v>0</v>
      </c>
      <c r="I14" s="227">
        <f t="shared" si="0"/>
        <v>0</v>
      </c>
      <c r="M14" s="212">
        <f t="shared" si="2"/>
        <v>2511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Admin!$B$361</f>
        <v>45747</v>
      </c>
      <c r="C15" s="229">
        <f>Admin!$B$381</f>
        <v>45767</v>
      </c>
      <c r="D15" s="227">
        <f>Mar!T1+Mar!O1</f>
        <v>0</v>
      </c>
      <c r="E15" s="228">
        <f>Mar!N1</f>
        <v>0</v>
      </c>
      <c r="F15" s="228">
        <f>Mar!AD80+Mar!AE80+Mar!AF80+Mar!AG80</f>
        <v>0</v>
      </c>
      <c r="G15" s="228">
        <f>Mar!AE82+Mar!AF82+Mar!AG82</f>
        <v>0</v>
      </c>
      <c r="H15" s="228">
        <f>Mar!P1</f>
        <v>0</v>
      </c>
      <c r="I15" s="227">
        <f t="shared" si="0"/>
        <v>0</v>
      </c>
      <c r="M15" s="212">
        <f t="shared" si="2"/>
        <v>2512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B366</f>
        <v>45752</v>
      </c>
      <c r="J1" s="493"/>
      <c r="K1" s="303"/>
      <c r="L1" s="303"/>
      <c r="M1" s="304"/>
      <c r="N1" s="305" t="str">
        <f>TEXT(YEAR(I1)-1,"0") &amp; "-" &amp; TEXT(YEAR(I1)-2000,"0")</f>
        <v>2024-25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TEXT(DATE(YEAR(B$2),MONTH(B$2)+(D2-1),1),"Mmm")</f>
        <v>Apr</v>
      </c>
      <c r="B2" s="308">
        <v>45388</v>
      </c>
      <c r="C2" s="309">
        <v>1</v>
      </c>
      <c r="D2" s="309">
        <v>1</v>
      </c>
      <c r="E2" s="310">
        <f>B2</f>
        <v>45388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TEXT(DATE(YEAR(B$2),MONTH(B$2)+(D3-1),1),"Mmm")</f>
        <v>Apr</v>
      </c>
      <c r="B3" s="308">
        <f>B2+1</f>
        <v>45389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Apr</v>
      </c>
      <c r="B4" s="308">
        <f t="shared" ref="B4:B67" si="1">B3+1</f>
        <v>45390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Apr</v>
      </c>
      <c r="B5" s="308">
        <f t="shared" si="1"/>
        <v>45391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Apr</v>
      </c>
      <c r="B6" s="308">
        <f t="shared" si="1"/>
        <v>45392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Apr</v>
      </c>
      <c r="B7" s="308">
        <f t="shared" si="1"/>
        <v>45393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Apr</v>
      </c>
      <c r="B8" s="308">
        <f t="shared" si="1"/>
        <v>45394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Apr</v>
      </c>
      <c r="B9" s="308">
        <f t="shared" si="1"/>
        <v>45395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Apr</v>
      </c>
      <c r="B10" s="308">
        <f t="shared" si="1"/>
        <v>45396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Apr</v>
      </c>
      <c r="B11" s="308">
        <f t="shared" si="1"/>
        <v>45397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Apr</v>
      </c>
      <c r="B12" s="308">
        <f t="shared" si="1"/>
        <v>45398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Apr</v>
      </c>
      <c r="B13" s="308">
        <f t="shared" si="1"/>
        <v>45399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Apr</v>
      </c>
      <c r="B14" s="308">
        <f t="shared" si="1"/>
        <v>45400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Apr</v>
      </c>
      <c r="B15" s="308">
        <f t="shared" si="1"/>
        <v>45401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Apr</v>
      </c>
      <c r="B16" s="308">
        <f t="shared" si="1"/>
        <v>45402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Apr</v>
      </c>
      <c r="B17" s="308">
        <f t="shared" si="1"/>
        <v>45403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Apr</v>
      </c>
      <c r="B18" s="308">
        <f t="shared" si="1"/>
        <v>45404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Apr</v>
      </c>
      <c r="B19" s="308">
        <f t="shared" si="1"/>
        <v>45405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Apr</v>
      </c>
      <c r="B20" s="308">
        <f t="shared" si="1"/>
        <v>45406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Apr</v>
      </c>
      <c r="B21" s="308">
        <f t="shared" si="1"/>
        <v>45407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Apr</v>
      </c>
      <c r="B22" s="308">
        <f t="shared" si="1"/>
        <v>45408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Apr</v>
      </c>
      <c r="B23" s="308">
        <f t="shared" si="1"/>
        <v>45409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Apr</v>
      </c>
      <c r="B24" s="308">
        <f t="shared" si="1"/>
        <v>45410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Apr</v>
      </c>
      <c r="B25" s="308">
        <f t="shared" si="1"/>
        <v>45411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Apr</v>
      </c>
      <c r="B26" s="308">
        <f t="shared" si="1"/>
        <v>45412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Apr</v>
      </c>
      <c r="B27" s="308">
        <f t="shared" si="1"/>
        <v>45413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May</v>
      </c>
      <c r="B28" s="308">
        <f t="shared" si="1"/>
        <v>45414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May</v>
      </c>
      <c r="B29" s="308">
        <f t="shared" si="1"/>
        <v>45415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May</v>
      </c>
      <c r="B30" s="308">
        <f t="shared" si="1"/>
        <v>45416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May</v>
      </c>
      <c r="B31" s="308">
        <f t="shared" si="1"/>
        <v>45417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May</v>
      </c>
      <c r="B32" s="308">
        <f t="shared" si="1"/>
        <v>45418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May</v>
      </c>
      <c r="B33" s="308">
        <f t="shared" si="1"/>
        <v>45419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May</v>
      </c>
      <c r="B34" s="308">
        <f t="shared" si="1"/>
        <v>45420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May</v>
      </c>
      <c r="B35" s="308">
        <f t="shared" si="1"/>
        <v>45421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May</v>
      </c>
      <c r="B36" s="308">
        <f t="shared" si="1"/>
        <v>45422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May</v>
      </c>
      <c r="B37" s="308">
        <f t="shared" si="1"/>
        <v>45423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May</v>
      </c>
      <c r="B38" s="308">
        <f t="shared" si="1"/>
        <v>45424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May</v>
      </c>
      <c r="B39" s="308">
        <f t="shared" si="1"/>
        <v>45425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May</v>
      </c>
      <c r="B40" s="308">
        <f t="shared" si="1"/>
        <v>45426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May</v>
      </c>
      <c r="B41" s="308">
        <f t="shared" si="1"/>
        <v>45427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May</v>
      </c>
      <c r="B42" s="308">
        <f t="shared" si="1"/>
        <v>45428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May</v>
      </c>
      <c r="B43" s="308">
        <f t="shared" si="1"/>
        <v>45429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May</v>
      </c>
      <c r="B44" s="308">
        <f t="shared" si="1"/>
        <v>45430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May</v>
      </c>
      <c r="B45" s="308">
        <f t="shared" si="1"/>
        <v>45431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May</v>
      </c>
      <c r="B46" s="308">
        <f t="shared" si="1"/>
        <v>45432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May</v>
      </c>
      <c r="B47" s="308">
        <f t="shared" si="1"/>
        <v>45433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May</v>
      </c>
      <c r="B48" s="308">
        <f t="shared" si="1"/>
        <v>45434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May</v>
      </c>
      <c r="B49" s="308">
        <f t="shared" si="1"/>
        <v>45435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May</v>
      </c>
      <c r="B50" s="308">
        <f t="shared" si="1"/>
        <v>45436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May</v>
      </c>
      <c r="B51" s="308">
        <f t="shared" si="1"/>
        <v>45437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May</v>
      </c>
      <c r="B52" s="308">
        <f t="shared" si="1"/>
        <v>45438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May</v>
      </c>
      <c r="B53" s="308">
        <f t="shared" si="1"/>
        <v>45439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May</v>
      </c>
      <c r="B54" s="308">
        <f t="shared" si="1"/>
        <v>45440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May</v>
      </c>
      <c r="B55" s="308">
        <f t="shared" si="1"/>
        <v>45441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Jun</v>
      </c>
      <c r="B56" s="308">
        <f t="shared" si="1"/>
        <v>45442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Jun</v>
      </c>
      <c r="B57" s="308">
        <f t="shared" si="1"/>
        <v>45443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Jun</v>
      </c>
      <c r="B58" s="308">
        <f t="shared" si="1"/>
        <v>45444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Jun</v>
      </c>
      <c r="B59" s="308">
        <f t="shared" si="1"/>
        <v>45445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Jun</v>
      </c>
      <c r="B60" s="308">
        <f t="shared" si="1"/>
        <v>45446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Jun</v>
      </c>
      <c r="B61" s="308">
        <f t="shared" si="1"/>
        <v>45447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Jun</v>
      </c>
      <c r="B62" s="308">
        <f t="shared" si="1"/>
        <v>45448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Jun</v>
      </c>
      <c r="B63" s="308">
        <f t="shared" si="1"/>
        <v>45449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Jun</v>
      </c>
      <c r="B64" s="308">
        <f t="shared" si="1"/>
        <v>45450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Jun</v>
      </c>
      <c r="B65" s="308">
        <f t="shared" si="1"/>
        <v>45451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Jun</v>
      </c>
      <c r="B66" s="308">
        <f t="shared" si="1"/>
        <v>45452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TEXT(DATE(YEAR(B$2),MONTH(B$2)+(D67-1),1),"Mmm")</f>
        <v>Jun</v>
      </c>
      <c r="B67" s="308">
        <f t="shared" si="1"/>
        <v>45453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Jun</v>
      </c>
      <c r="B68" s="308">
        <f t="shared" ref="B68:B131" si="3">B67+1</f>
        <v>45454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Jun</v>
      </c>
      <c r="B69" s="308">
        <f t="shared" si="3"/>
        <v>45455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Jun</v>
      </c>
      <c r="B70" s="308">
        <f t="shared" si="3"/>
        <v>45456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Jun</v>
      </c>
      <c r="B71" s="308">
        <f t="shared" si="3"/>
        <v>45457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Jun</v>
      </c>
      <c r="B72" s="308">
        <f t="shared" si="3"/>
        <v>45458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Jun</v>
      </c>
      <c r="B73" s="308">
        <f t="shared" si="3"/>
        <v>45459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Jun</v>
      </c>
      <c r="B74" s="308">
        <f t="shared" si="3"/>
        <v>45460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Jun</v>
      </c>
      <c r="B75" s="308">
        <f t="shared" si="3"/>
        <v>45461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Jun</v>
      </c>
      <c r="B76" s="308">
        <f t="shared" si="3"/>
        <v>45462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Jun</v>
      </c>
      <c r="B77" s="308">
        <f t="shared" si="3"/>
        <v>45463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Jun</v>
      </c>
      <c r="B78" s="308">
        <f t="shared" si="3"/>
        <v>45464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Jun</v>
      </c>
      <c r="B79" s="308">
        <f t="shared" si="3"/>
        <v>45465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Jun</v>
      </c>
      <c r="B80" s="308">
        <f t="shared" si="3"/>
        <v>45466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Jun</v>
      </c>
      <c r="B81" s="308">
        <f t="shared" si="3"/>
        <v>45467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Jun</v>
      </c>
      <c r="B82" s="308">
        <f t="shared" si="3"/>
        <v>45468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Jun</v>
      </c>
      <c r="B83" s="308">
        <f t="shared" si="3"/>
        <v>45469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Jun</v>
      </c>
      <c r="B84" s="308">
        <f t="shared" si="3"/>
        <v>45470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Jun</v>
      </c>
      <c r="B85" s="308">
        <f t="shared" si="3"/>
        <v>45471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Jun</v>
      </c>
      <c r="B86" s="308">
        <f t="shared" si="3"/>
        <v>45472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Jun</v>
      </c>
      <c r="B87" s="308">
        <f t="shared" si="3"/>
        <v>45473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Jun</v>
      </c>
      <c r="B88" s="308">
        <f t="shared" si="3"/>
        <v>45474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Jun</v>
      </c>
      <c r="B89" s="308">
        <f t="shared" si="3"/>
        <v>45475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Jun</v>
      </c>
      <c r="B90" s="308">
        <f t="shared" si="3"/>
        <v>45476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Jul</v>
      </c>
      <c r="B91" s="308">
        <f t="shared" si="3"/>
        <v>45477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Jul</v>
      </c>
      <c r="B92" s="308">
        <f t="shared" si="3"/>
        <v>45478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Jul</v>
      </c>
      <c r="B93" s="308">
        <f t="shared" si="3"/>
        <v>45479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Jul</v>
      </c>
      <c r="B94" s="308">
        <f t="shared" si="3"/>
        <v>45480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Jul</v>
      </c>
      <c r="B95" s="308">
        <f t="shared" si="3"/>
        <v>45481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Jul</v>
      </c>
      <c r="B96" s="308">
        <f t="shared" si="3"/>
        <v>45482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Jul</v>
      </c>
      <c r="B97" s="308">
        <f t="shared" si="3"/>
        <v>45483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Jul</v>
      </c>
      <c r="B98" s="308">
        <f t="shared" si="3"/>
        <v>45484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Jul</v>
      </c>
      <c r="B99" s="308">
        <f t="shared" si="3"/>
        <v>45485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Jul</v>
      </c>
      <c r="B100" s="308">
        <f t="shared" si="3"/>
        <v>45486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Jul</v>
      </c>
      <c r="B101" s="308">
        <f t="shared" si="3"/>
        <v>45487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Jul</v>
      </c>
      <c r="B102" s="308">
        <f t="shared" si="3"/>
        <v>45488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Jul</v>
      </c>
      <c r="B103" s="308">
        <f t="shared" si="3"/>
        <v>45489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Jul</v>
      </c>
      <c r="B104" s="308">
        <f t="shared" si="3"/>
        <v>45490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Jul</v>
      </c>
      <c r="B105" s="308">
        <f t="shared" si="3"/>
        <v>45491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Jul</v>
      </c>
      <c r="B106" s="308">
        <f t="shared" si="3"/>
        <v>45492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Jul</v>
      </c>
      <c r="B107" s="308">
        <f t="shared" si="3"/>
        <v>45493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Jul</v>
      </c>
      <c r="B108" s="308">
        <f t="shared" si="3"/>
        <v>45494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Jul</v>
      </c>
      <c r="B109" s="308">
        <f t="shared" si="3"/>
        <v>45495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Jul</v>
      </c>
      <c r="B110" s="308">
        <f t="shared" si="3"/>
        <v>45496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Jul</v>
      </c>
      <c r="B111" s="308">
        <f t="shared" si="3"/>
        <v>45497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Jul</v>
      </c>
      <c r="B112" s="308">
        <f t="shared" si="3"/>
        <v>45498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Jul</v>
      </c>
      <c r="B113" s="308">
        <f t="shared" si="3"/>
        <v>45499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Jul</v>
      </c>
      <c r="B114" s="308">
        <f t="shared" si="3"/>
        <v>45500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Jul</v>
      </c>
      <c r="B115" s="308">
        <f t="shared" si="3"/>
        <v>45501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Jul</v>
      </c>
      <c r="B116" s="308">
        <f t="shared" si="3"/>
        <v>45502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Jul</v>
      </c>
      <c r="B117" s="308">
        <f t="shared" si="3"/>
        <v>45503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Jul</v>
      </c>
      <c r="B118" s="308">
        <f t="shared" si="3"/>
        <v>45504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Aug</v>
      </c>
      <c r="B119" s="308">
        <f t="shared" si="3"/>
        <v>45505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Aug</v>
      </c>
      <c r="B120" s="308">
        <f t="shared" si="3"/>
        <v>45506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Aug</v>
      </c>
      <c r="B121" s="308">
        <f t="shared" si="3"/>
        <v>45507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Aug</v>
      </c>
      <c r="B122" s="308">
        <f t="shared" si="3"/>
        <v>45508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Aug</v>
      </c>
      <c r="B123" s="308">
        <f t="shared" si="3"/>
        <v>45509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Aug</v>
      </c>
      <c r="B124" s="308">
        <f t="shared" si="3"/>
        <v>45510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Aug</v>
      </c>
      <c r="B125" s="308">
        <f t="shared" si="3"/>
        <v>45511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Aug</v>
      </c>
      <c r="B126" s="308">
        <f t="shared" si="3"/>
        <v>45512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Aug</v>
      </c>
      <c r="B127" s="308">
        <f t="shared" si="3"/>
        <v>45513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Aug</v>
      </c>
      <c r="B128" s="308">
        <f t="shared" si="3"/>
        <v>45514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Aug</v>
      </c>
      <c r="B129" s="308">
        <f t="shared" si="3"/>
        <v>45515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Aug</v>
      </c>
      <c r="B130" s="308">
        <f t="shared" si="3"/>
        <v>45516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TEXT(DATE(YEAR(B$2),MONTH(B$2)+(D131-1),1),"Mmm")</f>
        <v>Aug</v>
      </c>
      <c r="B131" s="308">
        <f t="shared" si="3"/>
        <v>45517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Aug</v>
      </c>
      <c r="B132" s="308">
        <f t="shared" ref="B132:B195" si="5">B131+1</f>
        <v>45518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Aug</v>
      </c>
      <c r="B133" s="308">
        <f t="shared" si="5"/>
        <v>45519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Aug</v>
      </c>
      <c r="B134" s="308">
        <f t="shared" si="5"/>
        <v>45520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Aug</v>
      </c>
      <c r="B135" s="308">
        <f t="shared" si="5"/>
        <v>45521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Aug</v>
      </c>
      <c r="B136" s="308">
        <f t="shared" si="5"/>
        <v>45522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Aug</v>
      </c>
      <c r="B137" s="308">
        <f t="shared" si="5"/>
        <v>45523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Aug</v>
      </c>
      <c r="B138" s="308">
        <f t="shared" si="5"/>
        <v>45524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Aug</v>
      </c>
      <c r="B139" s="308">
        <f t="shared" si="5"/>
        <v>45525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Aug</v>
      </c>
      <c r="B140" s="308">
        <f t="shared" si="5"/>
        <v>45526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Aug</v>
      </c>
      <c r="B141" s="308">
        <f t="shared" si="5"/>
        <v>45527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Aug</v>
      </c>
      <c r="B142" s="308">
        <f t="shared" si="5"/>
        <v>45528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Aug</v>
      </c>
      <c r="B143" s="308">
        <f t="shared" si="5"/>
        <v>45529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Aug</v>
      </c>
      <c r="B144" s="308">
        <f t="shared" si="5"/>
        <v>45530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Aug</v>
      </c>
      <c r="B145" s="308">
        <f t="shared" si="5"/>
        <v>45531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Aug</v>
      </c>
      <c r="B146" s="308">
        <f t="shared" si="5"/>
        <v>45532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Sep</v>
      </c>
      <c r="B147" s="308">
        <f t="shared" si="5"/>
        <v>45533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Sep</v>
      </c>
      <c r="B148" s="308">
        <f t="shared" si="5"/>
        <v>45534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Sep</v>
      </c>
      <c r="B149" s="308">
        <f t="shared" si="5"/>
        <v>45535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Sep</v>
      </c>
      <c r="B150" s="308">
        <f t="shared" si="5"/>
        <v>45536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Sep</v>
      </c>
      <c r="B151" s="308">
        <f t="shared" si="5"/>
        <v>45537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Sep</v>
      </c>
      <c r="B152" s="308">
        <f t="shared" si="5"/>
        <v>45538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Sep</v>
      </c>
      <c r="B153" s="308">
        <f t="shared" si="5"/>
        <v>45539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Sep</v>
      </c>
      <c r="B154" s="308">
        <f t="shared" si="5"/>
        <v>45540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Sep</v>
      </c>
      <c r="B155" s="321">
        <f t="shared" si="5"/>
        <v>45541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Sep</v>
      </c>
      <c r="B156" s="308">
        <f t="shared" si="5"/>
        <v>45542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Sep</v>
      </c>
      <c r="B157" s="308">
        <f t="shared" si="5"/>
        <v>45543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Sep</v>
      </c>
      <c r="B158" s="308">
        <f t="shared" si="5"/>
        <v>45544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Sep</v>
      </c>
      <c r="B159" s="308">
        <f t="shared" si="5"/>
        <v>45545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Sep</v>
      </c>
      <c r="B160" s="308">
        <f t="shared" si="5"/>
        <v>45546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Sep</v>
      </c>
      <c r="B161" s="308">
        <f t="shared" si="5"/>
        <v>45547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Sep</v>
      </c>
      <c r="B162" s="308">
        <f t="shared" si="5"/>
        <v>45548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Sep</v>
      </c>
      <c r="B163" s="308">
        <f t="shared" si="5"/>
        <v>45549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Sep</v>
      </c>
      <c r="B164" s="308">
        <f t="shared" si="5"/>
        <v>45550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Sep</v>
      </c>
      <c r="B165" s="308">
        <f t="shared" si="5"/>
        <v>45551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Sep</v>
      </c>
      <c r="B166" s="308">
        <f t="shared" si="5"/>
        <v>45552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Sep</v>
      </c>
      <c r="B167" s="308">
        <f t="shared" si="5"/>
        <v>45553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Sep</v>
      </c>
      <c r="B168" s="308">
        <f t="shared" si="5"/>
        <v>45554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Sep</v>
      </c>
      <c r="B169" s="308">
        <f t="shared" si="5"/>
        <v>45555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Sep</v>
      </c>
      <c r="B170" s="308">
        <f t="shared" si="5"/>
        <v>45556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Sep</v>
      </c>
      <c r="B171" s="308">
        <f t="shared" si="5"/>
        <v>45557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Sep</v>
      </c>
      <c r="B172" s="308">
        <f t="shared" si="5"/>
        <v>45558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Sep</v>
      </c>
      <c r="B173" s="308">
        <f t="shared" si="5"/>
        <v>45559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Sep</v>
      </c>
      <c r="B174" s="308">
        <f t="shared" si="5"/>
        <v>45560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Sep</v>
      </c>
      <c r="B175" s="308">
        <f t="shared" si="5"/>
        <v>45561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Sep</v>
      </c>
      <c r="B176" s="308">
        <f t="shared" si="5"/>
        <v>45562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Sep</v>
      </c>
      <c r="B177" s="308">
        <f t="shared" si="5"/>
        <v>45563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Sep</v>
      </c>
      <c r="B178" s="308">
        <f t="shared" si="5"/>
        <v>45564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Sep</v>
      </c>
      <c r="B179" s="308">
        <f t="shared" si="5"/>
        <v>45565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Sep</v>
      </c>
      <c r="B180" s="308">
        <f t="shared" si="5"/>
        <v>45566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Sep</v>
      </c>
      <c r="B181" s="308">
        <f t="shared" si="5"/>
        <v>45567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Oct</v>
      </c>
      <c r="B182" s="308">
        <f t="shared" si="5"/>
        <v>45568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Oct</v>
      </c>
      <c r="B183" s="308">
        <f t="shared" si="5"/>
        <v>45569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Oct</v>
      </c>
      <c r="B184" s="308">
        <f t="shared" si="5"/>
        <v>45570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Oct</v>
      </c>
      <c r="B185" s="321">
        <f t="shared" si="5"/>
        <v>45571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Oct</v>
      </c>
      <c r="B186" s="308">
        <f t="shared" si="5"/>
        <v>45572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Oct</v>
      </c>
      <c r="B187" s="308">
        <f t="shared" si="5"/>
        <v>45573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Oct</v>
      </c>
      <c r="B188" s="308">
        <f t="shared" si="5"/>
        <v>45574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Oct</v>
      </c>
      <c r="B189" s="308">
        <f t="shared" si="5"/>
        <v>45575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Oct</v>
      </c>
      <c r="B190" s="308">
        <f t="shared" si="5"/>
        <v>45576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Oct</v>
      </c>
      <c r="B191" s="308">
        <f t="shared" si="5"/>
        <v>45577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Oct</v>
      </c>
      <c r="B192" s="308">
        <f t="shared" si="5"/>
        <v>45578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Oct</v>
      </c>
      <c r="B193" s="308">
        <f t="shared" si="5"/>
        <v>45579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Oct</v>
      </c>
      <c r="B194" s="308">
        <f t="shared" si="5"/>
        <v>45580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TEXT(DATE(YEAR(B$2),MONTH(B$2)+(D195-1),1),"Mmm")</f>
        <v>Oct</v>
      </c>
      <c r="B195" s="308">
        <f t="shared" si="5"/>
        <v>45581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Oct</v>
      </c>
      <c r="B196" s="308">
        <f t="shared" ref="B196:B259" si="7">B195+1</f>
        <v>45582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Oct</v>
      </c>
      <c r="B197" s="308">
        <f t="shared" si="7"/>
        <v>45583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Oct</v>
      </c>
      <c r="B198" s="308">
        <f t="shared" si="7"/>
        <v>45584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Oct</v>
      </c>
      <c r="B199" s="308">
        <f t="shared" si="7"/>
        <v>45585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Oct</v>
      </c>
      <c r="B200" s="308">
        <f t="shared" si="7"/>
        <v>45586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Oct</v>
      </c>
      <c r="B201" s="308">
        <f t="shared" si="7"/>
        <v>45587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Oct</v>
      </c>
      <c r="B202" s="308">
        <f t="shared" si="7"/>
        <v>45588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Oct</v>
      </c>
      <c r="B203" s="308">
        <f t="shared" si="7"/>
        <v>45589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Oct</v>
      </c>
      <c r="B204" s="308">
        <f t="shared" si="7"/>
        <v>45590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Oct</v>
      </c>
      <c r="B205" s="308">
        <f t="shared" si="7"/>
        <v>45591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Oct</v>
      </c>
      <c r="B206" s="308">
        <f t="shared" si="7"/>
        <v>45592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Oct</v>
      </c>
      <c r="B207" s="308">
        <f t="shared" si="7"/>
        <v>45593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Oct</v>
      </c>
      <c r="B208" s="308">
        <f t="shared" si="7"/>
        <v>45594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Oct</v>
      </c>
      <c r="B209" s="308">
        <f t="shared" si="7"/>
        <v>45595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Nov</v>
      </c>
      <c r="B210" s="308">
        <f t="shared" si="7"/>
        <v>45596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Nov</v>
      </c>
      <c r="B211" s="308">
        <f t="shared" si="7"/>
        <v>45597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Nov</v>
      </c>
      <c r="B212" s="308">
        <f t="shared" si="7"/>
        <v>45598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Nov</v>
      </c>
      <c r="B213" s="308">
        <f t="shared" si="7"/>
        <v>45599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Nov</v>
      </c>
      <c r="B214" s="308">
        <f t="shared" si="7"/>
        <v>45600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Nov</v>
      </c>
      <c r="B215" s="308">
        <f t="shared" si="7"/>
        <v>45601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Nov</v>
      </c>
      <c r="B216" s="321">
        <f t="shared" si="7"/>
        <v>45602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Nov</v>
      </c>
      <c r="B217" s="308">
        <f t="shared" si="7"/>
        <v>45603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Nov</v>
      </c>
      <c r="B218" s="308">
        <f t="shared" si="7"/>
        <v>45604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Nov</v>
      </c>
      <c r="B219" s="308">
        <f t="shared" si="7"/>
        <v>45605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Nov</v>
      </c>
      <c r="B220" s="308">
        <f t="shared" si="7"/>
        <v>45606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Nov</v>
      </c>
      <c r="B221" s="308">
        <f t="shared" si="7"/>
        <v>45607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Nov</v>
      </c>
      <c r="B222" s="308">
        <f t="shared" si="7"/>
        <v>45608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Nov</v>
      </c>
      <c r="B223" s="308">
        <f t="shared" si="7"/>
        <v>45609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Nov</v>
      </c>
      <c r="B224" s="308">
        <f t="shared" si="7"/>
        <v>45610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Nov</v>
      </c>
      <c r="B225" s="308">
        <f t="shared" si="7"/>
        <v>45611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Nov</v>
      </c>
      <c r="B226" s="308">
        <f t="shared" si="7"/>
        <v>45612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Nov</v>
      </c>
      <c r="B227" s="308">
        <f t="shared" si="7"/>
        <v>45613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Nov</v>
      </c>
      <c r="B228" s="308">
        <f t="shared" si="7"/>
        <v>45614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Nov</v>
      </c>
      <c r="B229" s="308">
        <f t="shared" si="7"/>
        <v>45615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Nov</v>
      </c>
      <c r="B230" s="308">
        <f t="shared" si="7"/>
        <v>45616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Nov</v>
      </c>
      <c r="B231" s="308">
        <f t="shared" si="7"/>
        <v>45617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Nov</v>
      </c>
      <c r="B232" s="308">
        <f t="shared" si="7"/>
        <v>45618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Nov</v>
      </c>
      <c r="B233" s="308">
        <f t="shared" si="7"/>
        <v>45619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Nov</v>
      </c>
      <c r="B234" s="308">
        <f t="shared" si="7"/>
        <v>45620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Nov</v>
      </c>
      <c r="B235" s="308">
        <f t="shared" si="7"/>
        <v>45621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Nov</v>
      </c>
      <c r="B236" s="308">
        <f t="shared" si="7"/>
        <v>45622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Nov</v>
      </c>
      <c r="B237" s="308">
        <f t="shared" si="7"/>
        <v>45623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Dec</v>
      </c>
      <c r="B238" s="308">
        <f t="shared" si="7"/>
        <v>45624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Dec</v>
      </c>
      <c r="B239" s="308">
        <f t="shared" si="7"/>
        <v>45625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Dec</v>
      </c>
      <c r="B240" s="308">
        <f t="shared" si="7"/>
        <v>45626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Dec</v>
      </c>
      <c r="B241" s="308">
        <f t="shared" si="7"/>
        <v>45627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Dec</v>
      </c>
      <c r="B242" s="308">
        <f t="shared" si="7"/>
        <v>45628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Dec</v>
      </c>
      <c r="B243" s="308">
        <f t="shared" si="7"/>
        <v>45629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Dec</v>
      </c>
      <c r="B244" s="308">
        <f t="shared" si="7"/>
        <v>45630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Dec</v>
      </c>
      <c r="B245" s="308">
        <f t="shared" si="7"/>
        <v>45631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Dec</v>
      </c>
      <c r="B246" s="321">
        <f t="shared" si="7"/>
        <v>45632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Dec</v>
      </c>
      <c r="B247" s="308">
        <f t="shared" si="7"/>
        <v>45633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Dec</v>
      </c>
      <c r="B248" s="308">
        <f t="shared" si="7"/>
        <v>45634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Dec</v>
      </c>
      <c r="B249" s="308">
        <f t="shared" si="7"/>
        <v>45635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Dec</v>
      </c>
      <c r="B250" s="308">
        <f t="shared" si="7"/>
        <v>45636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Dec</v>
      </c>
      <c r="B251" s="308">
        <f t="shared" si="7"/>
        <v>45637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Dec</v>
      </c>
      <c r="B252" s="308">
        <f t="shared" si="7"/>
        <v>45638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Dec</v>
      </c>
      <c r="B253" s="308">
        <f t="shared" si="7"/>
        <v>45639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Dec</v>
      </c>
      <c r="B254" s="308">
        <f t="shared" si="7"/>
        <v>45640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Dec</v>
      </c>
      <c r="B255" s="308">
        <f t="shared" si="7"/>
        <v>45641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Dec</v>
      </c>
      <c r="B256" s="308">
        <f t="shared" si="7"/>
        <v>45642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Dec</v>
      </c>
      <c r="B257" s="308">
        <f t="shared" si="7"/>
        <v>45643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Dec</v>
      </c>
      <c r="B258" s="308">
        <f t="shared" si="7"/>
        <v>45644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TEXT(DATE(YEAR(B$2),MONTH(B$2)+(D259-1),1),"Mmm")</f>
        <v>Dec</v>
      </c>
      <c r="B259" s="308">
        <f t="shared" si="7"/>
        <v>45645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Dec</v>
      </c>
      <c r="B260" s="308">
        <f t="shared" ref="B260:B323" si="9">B259+1</f>
        <v>45646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Dec</v>
      </c>
      <c r="B261" s="308">
        <f t="shared" si="9"/>
        <v>45647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Dec</v>
      </c>
      <c r="B262" s="308">
        <f t="shared" si="9"/>
        <v>45648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Dec</v>
      </c>
      <c r="B263" s="308">
        <f t="shared" si="9"/>
        <v>45649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Dec</v>
      </c>
      <c r="B264" s="308">
        <f t="shared" si="9"/>
        <v>45650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Dec</v>
      </c>
      <c r="B265" s="308">
        <f t="shared" si="9"/>
        <v>45651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Dec</v>
      </c>
      <c r="B266" s="308">
        <f t="shared" si="9"/>
        <v>45652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Dec</v>
      </c>
      <c r="B267" s="308">
        <f t="shared" si="9"/>
        <v>45653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Dec</v>
      </c>
      <c r="B268" s="308">
        <f t="shared" si="9"/>
        <v>45654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Dec</v>
      </c>
      <c r="B269" s="308">
        <f t="shared" si="9"/>
        <v>45655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Dec</v>
      </c>
      <c r="B270" s="308">
        <f t="shared" si="9"/>
        <v>45656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Dec</v>
      </c>
      <c r="B271" s="308">
        <f t="shared" si="9"/>
        <v>45657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Dec</v>
      </c>
      <c r="B272" s="308">
        <f t="shared" si="9"/>
        <v>45658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Jan</v>
      </c>
      <c r="B273" s="308">
        <f t="shared" si="9"/>
        <v>45659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Jan</v>
      </c>
      <c r="B274" s="308">
        <f t="shared" si="9"/>
        <v>45660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Jan</v>
      </c>
      <c r="B275" s="308">
        <f t="shared" si="9"/>
        <v>45661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Jan</v>
      </c>
      <c r="B276" s="321">
        <f t="shared" si="9"/>
        <v>45662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Jan</v>
      </c>
      <c r="B277" s="321">
        <f t="shared" si="9"/>
        <v>45663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Jan</v>
      </c>
      <c r="B278" s="308">
        <f t="shared" si="9"/>
        <v>45664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Jan</v>
      </c>
      <c r="B279" s="308">
        <f t="shared" si="9"/>
        <v>45665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Jan</v>
      </c>
      <c r="B280" s="308">
        <f t="shared" si="9"/>
        <v>45666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Jan</v>
      </c>
      <c r="B281" s="308">
        <f t="shared" si="9"/>
        <v>45667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Jan</v>
      </c>
      <c r="B282" s="308">
        <f t="shared" si="9"/>
        <v>45668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Jan</v>
      </c>
      <c r="B283" s="308">
        <f t="shared" si="9"/>
        <v>45669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Jan</v>
      </c>
      <c r="B284" s="308">
        <f t="shared" si="9"/>
        <v>45670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Jan</v>
      </c>
      <c r="B285" s="308">
        <f t="shared" si="9"/>
        <v>45671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Jan</v>
      </c>
      <c r="B286" s="308">
        <f t="shared" si="9"/>
        <v>45672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Jan</v>
      </c>
      <c r="B287" s="308">
        <f t="shared" si="9"/>
        <v>45673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Jan</v>
      </c>
      <c r="B288" s="308">
        <f t="shared" si="9"/>
        <v>45674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Jan</v>
      </c>
      <c r="B289" s="308">
        <f t="shared" si="9"/>
        <v>45675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Jan</v>
      </c>
      <c r="B290" s="308">
        <f t="shared" si="9"/>
        <v>45676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Jan</v>
      </c>
      <c r="B291" s="308">
        <f t="shared" si="9"/>
        <v>45677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Jan</v>
      </c>
      <c r="B292" s="308">
        <f t="shared" si="9"/>
        <v>45678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Jan</v>
      </c>
      <c r="B293" s="308">
        <f t="shared" si="9"/>
        <v>45679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Jan</v>
      </c>
      <c r="B294" s="308">
        <f t="shared" si="9"/>
        <v>45680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Jan</v>
      </c>
      <c r="B295" s="308">
        <f t="shared" si="9"/>
        <v>45681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Jan</v>
      </c>
      <c r="B296" s="308">
        <f t="shared" si="9"/>
        <v>45682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Jan</v>
      </c>
      <c r="B297" s="308">
        <f t="shared" si="9"/>
        <v>45683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Jan</v>
      </c>
      <c r="B298" s="308">
        <f t="shared" si="9"/>
        <v>45684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Jan</v>
      </c>
      <c r="B299" s="308">
        <f t="shared" si="9"/>
        <v>45685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Jan</v>
      </c>
      <c r="B300" s="308">
        <f t="shared" si="9"/>
        <v>45686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Feb</v>
      </c>
      <c r="B301" s="308">
        <f t="shared" si="9"/>
        <v>45687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Feb</v>
      </c>
      <c r="B302" s="308">
        <f t="shared" si="9"/>
        <v>45688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Feb</v>
      </c>
      <c r="B303" s="308">
        <f t="shared" si="9"/>
        <v>45689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Feb</v>
      </c>
      <c r="B304" s="308">
        <f t="shared" si="9"/>
        <v>45690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Feb</v>
      </c>
      <c r="B305" s="308">
        <f t="shared" si="9"/>
        <v>45691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Feb</v>
      </c>
      <c r="B306" s="308">
        <f t="shared" si="9"/>
        <v>45692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Feb</v>
      </c>
      <c r="B307" s="308">
        <f t="shared" si="9"/>
        <v>45693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Feb</v>
      </c>
      <c r="B308" s="321">
        <f t="shared" si="9"/>
        <v>45694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Feb</v>
      </c>
      <c r="B309" s="308">
        <f t="shared" si="9"/>
        <v>45695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Feb</v>
      </c>
      <c r="B310" s="308">
        <f t="shared" si="9"/>
        <v>45696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Feb</v>
      </c>
      <c r="B311" s="308">
        <f t="shared" si="9"/>
        <v>45697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Feb</v>
      </c>
      <c r="B312" s="308">
        <f t="shared" si="9"/>
        <v>45698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Feb</v>
      </c>
      <c r="B313" s="308">
        <f t="shared" si="9"/>
        <v>45699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Feb</v>
      </c>
      <c r="B314" s="308">
        <f t="shared" si="9"/>
        <v>45700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Feb</v>
      </c>
      <c r="B315" s="308">
        <f t="shared" si="9"/>
        <v>45701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Feb</v>
      </c>
      <c r="B316" s="308">
        <f t="shared" si="9"/>
        <v>45702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Feb</v>
      </c>
      <c r="B317" s="308">
        <f t="shared" si="9"/>
        <v>45703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Feb</v>
      </c>
      <c r="B318" s="308">
        <f t="shared" si="9"/>
        <v>45704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Feb</v>
      </c>
      <c r="B319" s="308">
        <f t="shared" si="9"/>
        <v>45705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Feb</v>
      </c>
      <c r="B320" s="308">
        <f t="shared" si="9"/>
        <v>45706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Feb</v>
      </c>
      <c r="B321" s="308">
        <f t="shared" si="9"/>
        <v>45707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Feb</v>
      </c>
      <c r="B322" s="308">
        <f t="shared" si="9"/>
        <v>45708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TEXT(DATE(YEAR(B$2),MONTH(B$2)+(D323-1),1),"Mmm")</f>
        <v>Feb</v>
      </c>
      <c r="B323" s="308">
        <f t="shared" si="9"/>
        <v>45709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Feb</v>
      </c>
      <c r="B324" s="308">
        <f t="shared" ref="B324:B381" si="11">B323+1</f>
        <v>45710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Feb</v>
      </c>
      <c r="B325" s="308">
        <f t="shared" si="11"/>
        <v>45711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Feb</v>
      </c>
      <c r="B326" s="308">
        <f t="shared" si="11"/>
        <v>45712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Feb</v>
      </c>
      <c r="B327" s="308">
        <f t="shared" si="11"/>
        <v>45713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Feb</v>
      </c>
      <c r="B328" s="308">
        <f t="shared" si="11"/>
        <v>45714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Mar</v>
      </c>
      <c r="B329" s="308">
        <f t="shared" si="11"/>
        <v>45715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Mar</v>
      </c>
      <c r="B330" s="308">
        <f t="shared" si="11"/>
        <v>45716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Mar</v>
      </c>
      <c r="B331" s="308">
        <f t="shared" si="11"/>
        <v>45717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Mar</v>
      </c>
      <c r="B332" s="308">
        <f t="shared" si="11"/>
        <v>45718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Mar</v>
      </c>
      <c r="B333" s="308">
        <f t="shared" si="11"/>
        <v>45719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Mar</v>
      </c>
      <c r="B334" s="308">
        <f t="shared" si="11"/>
        <v>45720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Mar</v>
      </c>
      <c r="B335" s="308">
        <f t="shared" si="11"/>
        <v>45721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Mar</v>
      </c>
      <c r="B336" s="321">
        <f t="shared" si="11"/>
        <v>45722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Mar</v>
      </c>
      <c r="B337" s="308">
        <f t="shared" si="11"/>
        <v>45723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Mar</v>
      </c>
      <c r="B338" s="308">
        <f t="shared" si="11"/>
        <v>45724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Mar</v>
      </c>
      <c r="B339" s="308">
        <f t="shared" si="11"/>
        <v>45725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Mar</v>
      </c>
      <c r="B340" s="308">
        <f t="shared" si="11"/>
        <v>45726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Mar</v>
      </c>
      <c r="B341" s="308">
        <f t="shared" si="11"/>
        <v>45727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Mar</v>
      </c>
      <c r="B342" s="308">
        <f t="shared" si="11"/>
        <v>45728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Mar</v>
      </c>
      <c r="B343" s="308">
        <f t="shared" si="11"/>
        <v>45729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Mar</v>
      </c>
      <c r="B344" s="308">
        <f t="shared" si="11"/>
        <v>45730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Mar</v>
      </c>
      <c r="B345" s="308">
        <f t="shared" si="11"/>
        <v>45731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Mar</v>
      </c>
      <c r="B346" s="308">
        <f t="shared" si="11"/>
        <v>45732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Mar</v>
      </c>
      <c r="B347" s="308">
        <f t="shared" si="11"/>
        <v>45733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Mar</v>
      </c>
      <c r="B348" s="308">
        <f t="shared" si="11"/>
        <v>45734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Mar</v>
      </c>
      <c r="B349" s="308">
        <f t="shared" si="11"/>
        <v>45735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Mar</v>
      </c>
      <c r="B350" s="308">
        <f t="shared" si="11"/>
        <v>45736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Mar</v>
      </c>
      <c r="B351" s="308">
        <f t="shared" si="11"/>
        <v>45737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Mar</v>
      </c>
      <c r="B352" s="308">
        <f t="shared" si="11"/>
        <v>45738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Mar</v>
      </c>
      <c r="B353" s="308">
        <f t="shared" si="11"/>
        <v>45739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Mar</v>
      </c>
      <c r="B354" s="308">
        <f t="shared" si="11"/>
        <v>45740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Mar</v>
      </c>
      <c r="B355" s="308">
        <f t="shared" si="11"/>
        <v>45741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Mar</v>
      </c>
      <c r="B356" s="308">
        <f t="shared" si="11"/>
        <v>45742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Mar</v>
      </c>
      <c r="B357" s="308">
        <f t="shared" si="11"/>
        <v>45743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Mar</v>
      </c>
      <c r="B358" s="308">
        <f t="shared" si="11"/>
        <v>45744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Mar</v>
      </c>
      <c r="B359" s="308">
        <f t="shared" si="11"/>
        <v>45745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Mar</v>
      </c>
      <c r="B360" s="308">
        <f t="shared" si="11"/>
        <v>45746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Mar</v>
      </c>
      <c r="B361" s="308">
        <f t="shared" si="11"/>
        <v>45747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Mar</v>
      </c>
      <c r="B362" s="308">
        <f t="shared" si="11"/>
        <v>45748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Mar</v>
      </c>
      <c r="B363" s="308">
        <f t="shared" si="11"/>
        <v>45749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Mar</v>
      </c>
      <c r="B364" s="308">
        <f t="shared" si="11"/>
        <v>45750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Mar</v>
      </c>
      <c r="B365" s="308">
        <f t="shared" si="11"/>
        <v>45751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Mar</v>
      </c>
      <c r="B366" s="308">
        <f t="shared" si="11"/>
        <v>45752</v>
      </c>
      <c r="C366" s="309">
        <v>53</v>
      </c>
      <c r="D366" s="309">
        <v>12</v>
      </c>
      <c r="E366" s="310">
        <f>B366</f>
        <v>45752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Mar</v>
      </c>
      <c r="B367" s="308">
        <f t="shared" si="11"/>
        <v>45753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Mar</v>
      </c>
      <c r="B368" s="308">
        <f t="shared" si="11"/>
        <v>45754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Mar</v>
      </c>
      <c r="B369" s="308">
        <f t="shared" si="11"/>
        <v>45755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Mar</v>
      </c>
      <c r="B370" s="308">
        <f t="shared" si="11"/>
        <v>45756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Mar</v>
      </c>
      <c r="B371" s="308">
        <f t="shared" si="11"/>
        <v>45757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Mar</v>
      </c>
      <c r="B372" s="308">
        <f t="shared" si="11"/>
        <v>45758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Mar</v>
      </c>
      <c r="B373" s="308">
        <f t="shared" si="11"/>
        <v>45759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Mar</v>
      </c>
      <c r="B374" s="308">
        <f t="shared" si="11"/>
        <v>45760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Mar</v>
      </c>
      <c r="B375" s="308">
        <f t="shared" si="11"/>
        <v>45761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Mar</v>
      </c>
      <c r="B376" s="308">
        <f t="shared" si="11"/>
        <v>45762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Mar</v>
      </c>
      <c r="B377" s="308">
        <f t="shared" si="11"/>
        <v>45763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Mar</v>
      </c>
      <c r="B378" s="308">
        <f t="shared" si="11"/>
        <v>45764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Mar</v>
      </c>
      <c r="B379" s="308">
        <f t="shared" si="11"/>
        <v>45765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Mar</v>
      </c>
      <c r="B380" s="308">
        <f t="shared" si="11"/>
        <v>45766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Mar</v>
      </c>
      <c r="B381" s="308">
        <f t="shared" si="11"/>
        <v>45767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DIY Accounting Customer Service</cp:lastModifiedBy>
  <cp:lastPrinted>2006-09-19T02:28:04Z</cp:lastPrinted>
  <dcterms:created xsi:type="dcterms:W3CDTF">2006-03-29T22:56:21Z</dcterms:created>
  <dcterms:modified xsi:type="dcterms:W3CDTF">2024-04-03T00:11:04Z</dcterms:modified>
</cp:coreProperties>
</file>