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B8454866-613C-F847-A47E-23E0C198C669}" xr6:coauthVersionLast="47" xr6:coauthVersionMax="47" xr10:uidLastSave="{00000000-0000-0000-0000-000000000000}"/>
  <bookViews>
    <workbookView xWindow="6780" yWindow="500" windowWidth="30800" windowHeight="199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M14" i="16" s="1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M12" i="16"/>
  <c r="B11" i="16"/>
  <c r="F11" i="16"/>
  <c r="M11" i="16"/>
  <c r="B60" i="24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66" i="40"/>
  <c r="M22" i="40"/>
  <c r="M51" i="40"/>
  <c r="M14" i="9" l="1"/>
  <c r="M15" i="9"/>
  <c r="F14" i="16"/>
  <c r="F54" i="10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10" l="1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33" i="16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3" i="16"/>
  <c r="AA23" i="16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<sst xmlns="http://schemas.openxmlformats.org/spreadsheetml/2006/main" count="1383" uniqueCount="138">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</sst>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9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46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6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4" t="s">
        <v>135</v>
      </c>
      <c r="I3" s="354"/>
      <c r="J3" s="354"/>
      <c r="K3" s="354"/>
      <c r="L3" s="354"/>
      <c r="M3" s="354"/>
      <c r="N3" s="5"/>
      <c r="O3" s="62"/>
      <c r="P3" s="143"/>
      <c r="Q3" s="351" t="s">
        <v>66</v>
      </c>
      <c r="R3" s="352"/>
      <c r="S3" s="353"/>
      <c r="T3" s="80"/>
      <c r="U3" s="346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6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5"/>
      <c r="E5" s="356"/>
      <c r="F5" s="357"/>
      <c r="G5" s="5"/>
      <c r="H5" s="358" t="s">
        <v>137</v>
      </c>
      <c r="I5" s="358"/>
      <c r="J5" s="358"/>
      <c r="K5" s="358"/>
      <c r="L5" s="358"/>
      <c r="M5" s="358"/>
      <c r="N5" s="358"/>
      <c r="O5" s="358"/>
      <c r="P5" s="68"/>
      <c r="Q5" s="5"/>
      <c r="R5" s="79"/>
      <c r="S5" s="79"/>
      <c r="T5" s="80"/>
      <c r="U5" s="346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5"/>
      <c r="E6" s="356"/>
      <c r="F6" s="357"/>
      <c r="G6" s="5"/>
      <c r="H6" s="358"/>
      <c r="I6" s="358"/>
      <c r="J6" s="358"/>
      <c r="K6" s="358"/>
      <c r="L6" s="358"/>
      <c r="M6" s="358"/>
      <c r="N6" s="358"/>
      <c r="O6" s="358"/>
      <c r="P6" s="68"/>
      <c r="Q6" s="5"/>
      <c r="R6" s="79"/>
      <c r="S6" s="79"/>
      <c r="T6" s="80"/>
      <c r="U6" s="346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5"/>
      <c r="E7" s="356"/>
      <c r="F7" s="357"/>
      <c r="G7" s="5"/>
      <c r="H7" s="358"/>
      <c r="I7" s="358"/>
      <c r="J7" s="358"/>
      <c r="K7" s="358"/>
      <c r="L7" s="358"/>
      <c r="M7" s="358"/>
      <c r="N7" s="358"/>
      <c r="O7" s="358"/>
      <c r="P7" s="68"/>
      <c r="Q7" s="5"/>
      <c r="R7" s="79"/>
      <c r="S7" s="79"/>
      <c r="T7" s="80"/>
      <c r="U7" s="346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6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6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6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7"/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8"/>
      <c r="S11" s="348"/>
      <c r="T11" s="348"/>
      <c r="U11" s="346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6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9" t="s">
        <v>50</v>
      </c>
      <c r="I13" s="14"/>
      <c r="J13" s="22"/>
      <c r="K13" s="83" t="s">
        <v>20</v>
      </c>
      <c r="L13" s="52"/>
      <c r="M13" s="70"/>
      <c r="N13" s="13"/>
      <c r="O13" s="344"/>
      <c r="P13" s="345"/>
      <c r="Q13" s="341"/>
      <c r="R13" s="53"/>
      <c r="S13" s="331"/>
      <c r="T13" s="15"/>
      <c r="U13" s="346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9"/>
      <c r="I14" s="14"/>
      <c r="J14" s="22"/>
      <c r="K14" s="52"/>
      <c r="L14" s="52"/>
      <c r="M14" s="70"/>
      <c r="N14" s="13"/>
      <c r="O14" s="14"/>
      <c r="P14" s="148"/>
      <c r="Q14" s="342"/>
      <c r="R14" s="14"/>
      <c r="S14" s="332"/>
      <c r="T14" s="15"/>
      <c r="U14" s="346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3"/>
      <c r="E15" s="334"/>
      <c r="F15" s="335"/>
      <c r="G15" s="14"/>
      <c r="H15" s="21" t="s">
        <v>51</v>
      </c>
      <c r="I15" s="14"/>
      <c r="J15" s="51"/>
      <c r="K15" s="14" t="s">
        <v>17</v>
      </c>
      <c r="L15" s="14"/>
      <c r="M15" s="336"/>
      <c r="N15" s="337"/>
      <c r="O15" s="338"/>
      <c r="P15" s="148"/>
      <c r="Q15" s="138"/>
      <c r="R15" s="136"/>
      <c r="S15" s="139"/>
      <c r="T15" s="15"/>
      <c r="U15" s="346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3"/>
      <c r="E16" s="334"/>
      <c r="F16" s="335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6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6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6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6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6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6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6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6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6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6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6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6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6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6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6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6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6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6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6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6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6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3"/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342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2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9" t="s">
        <v>50</v>
      </c>
      <c r="I39" s="14"/>
      <c r="J39" s="22"/>
      <c r="K39" s="83" t="s">
        <v>20</v>
      </c>
      <c r="L39" s="52"/>
      <c r="M39" s="70"/>
      <c r="N39" s="13"/>
      <c r="O39" s="344"/>
      <c r="P39" s="345"/>
      <c r="Q39" s="341"/>
      <c r="R39" s="53"/>
      <c r="S39" s="331"/>
      <c r="T39" s="15"/>
      <c r="U39" s="342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9"/>
      <c r="I40" s="14"/>
      <c r="J40" s="22"/>
      <c r="K40" s="52"/>
      <c r="L40" s="52"/>
      <c r="M40" s="70"/>
      <c r="N40" s="13"/>
      <c r="O40" s="14"/>
      <c r="P40" s="148"/>
      <c r="Q40" s="342"/>
      <c r="R40" s="14"/>
      <c r="S40" s="332"/>
      <c r="T40" s="15"/>
      <c r="U40" s="342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3"/>
      <c r="E41" s="334"/>
      <c r="F41" s="335"/>
      <c r="G41" s="14"/>
      <c r="H41" s="21" t="s">
        <v>51</v>
      </c>
      <c r="I41" s="14"/>
      <c r="J41" s="51"/>
      <c r="K41" s="14" t="s">
        <v>17</v>
      </c>
      <c r="L41" s="14"/>
      <c r="M41" s="336"/>
      <c r="N41" s="337"/>
      <c r="O41" s="338"/>
      <c r="P41" s="148"/>
      <c r="Q41" s="138"/>
      <c r="R41" s="136"/>
      <c r="S41" s="139"/>
      <c r="T41" s="15"/>
      <c r="U41" s="342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3"/>
      <c r="E42" s="334"/>
      <c r="F42" s="335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2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2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2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2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2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2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2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2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2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2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2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2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2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2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2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2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2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2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2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9"/>
      <c r="L61" s="339"/>
      <c r="M61" s="340"/>
      <c r="N61" s="340"/>
      <c r="O61" s="340"/>
      <c r="P61" s="340"/>
      <c r="Q61" s="340"/>
      <c r="R61" s="340"/>
      <c r="S61" s="340"/>
      <c r="T61" s="15"/>
      <c r="U61" s="342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2"/>
      <c r="W62" s="206">
        <f>Admin!B62</f>
        <v>45448</v>
      </c>
    </row>
    <row r="63" spans="1:24" ht="22.5" customHeight="1" thickBot="1" x14ac:dyDescent="0.2">
      <c r="A63" s="343"/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2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2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9" t="s">
        <v>50</v>
      </c>
      <c r="I65" s="14"/>
      <c r="J65" s="22"/>
      <c r="K65" s="83" t="s">
        <v>20</v>
      </c>
      <c r="L65" s="52"/>
      <c r="M65" s="70"/>
      <c r="N65" s="13"/>
      <c r="O65" s="344"/>
      <c r="P65" s="345"/>
      <c r="Q65" s="341"/>
      <c r="R65" s="53"/>
      <c r="S65" s="331"/>
      <c r="T65" s="15"/>
      <c r="U65" s="342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9"/>
      <c r="I66" s="14"/>
      <c r="J66" s="22"/>
      <c r="K66" s="52"/>
      <c r="L66" s="52"/>
      <c r="M66" s="70"/>
      <c r="N66" s="13"/>
      <c r="O66" s="14"/>
      <c r="P66" s="148"/>
      <c r="Q66" s="342"/>
      <c r="R66" s="14"/>
      <c r="S66" s="332"/>
      <c r="T66" s="15"/>
      <c r="U66" s="342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3"/>
      <c r="E67" s="334"/>
      <c r="F67" s="335"/>
      <c r="G67" s="14"/>
      <c r="H67" s="21" t="s">
        <v>51</v>
      </c>
      <c r="I67" s="14"/>
      <c r="J67" s="51"/>
      <c r="K67" s="14" t="s">
        <v>17</v>
      </c>
      <c r="L67" s="14"/>
      <c r="M67" s="336"/>
      <c r="N67" s="337"/>
      <c r="O67" s="338"/>
      <c r="P67" s="148"/>
      <c r="Q67" s="138"/>
      <c r="R67" s="136"/>
      <c r="S67" s="139"/>
      <c r="T67" s="15"/>
      <c r="U67" s="342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3"/>
      <c r="E68" s="334"/>
      <c r="F68" s="335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2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2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2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2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2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2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2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2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2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2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2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2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2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2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2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2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2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2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2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2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2"/>
      <c r="W88" s="206">
        <f>Admin!B88</f>
        <v>45474</v>
      </c>
    </row>
    <row r="89" spans="1:23" ht="22.5" customHeight="1" thickBot="1" x14ac:dyDescent="0.2">
      <c r="A89" s="343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2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2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9" t="s">
        <v>50</v>
      </c>
      <c r="I91" s="14"/>
      <c r="J91" s="22"/>
      <c r="K91" s="83" t="s">
        <v>20</v>
      </c>
      <c r="L91" s="52"/>
      <c r="M91" s="70"/>
      <c r="N91" s="13"/>
      <c r="O91" s="344"/>
      <c r="P91" s="345"/>
      <c r="Q91" s="341"/>
      <c r="R91" s="53"/>
      <c r="S91" s="331"/>
      <c r="T91" s="15"/>
      <c r="U91" s="342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9"/>
      <c r="I92" s="14"/>
      <c r="J92" s="22"/>
      <c r="K92" s="52"/>
      <c r="L92" s="52"/>
      <c r="M92" s="70"/>
      <c r="N92" s="13"/>
      <c r="O92" s="14"/>
      <c r="P92" s="148"/>
      <c r="Q92" s="342"/>
      <c r="R92" s="14"/>
      <c r="S92" s="332"/>
      <c r="T92" s="15"/>
      <c r="U92" s="342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3"/>
      <c r="E93" s="334"/>
      <c r="F93" s="335"/>
      <c r="G93" s="14"/>
      <c r="H93" s="21" t="s">
        <v>51</v>
      </c>
      <c r="I93" s="14"/>
      <c r="J93" s="51"/>
      <c r="K93" s="14" t="s">
        <v>17</v>
      </c>
      <c r="L93" s="14"/>
      <c r="M93" s="336"/>
      <c r="N93" s="337"/>
      <c r="O93" s="338"/>
      <c r="P93" s="148"/>
      <c r="Q93" s="138"/>
      <c r="R93" s="136"/>
      <c r="S93" s="139"/>
      <c r="T93" s="15"/>
      <c r="U93" s="342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3"/>
      <c r="E94" s="334"/>
      <c r="F94" s="335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2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3"/>
      <c r="E95" s="334"/>
      <c r="F95" s="335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2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2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2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2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2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2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2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2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2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2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2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2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2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2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2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2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2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2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2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2"/>
      <c r="W114" s="206">
        <f>Admin!B114</f>
        <v>45500</v>
      </c>
    </row>
    <row r="115" spans="1:23" ht="22.5" customHeight="1" thickBot="1" x14ac:dyDescent="0.2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2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2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9" t="s">
        <v>50</v>
      </c>
      <c r="I117" s="14"/>
      <c r="J117" s="22"/>
      <c r="K117" s="83" t="s">
        <v>20</v>
      </c>
      <c r="L117" s="52"/>
      <c r="M117" s="70"/>
      <c r="N117" s="13"/>
      <c r="O117" s="344"/>
      <c r="P117" s="345"/>
      <c r="Q117" s="341"/>
      <c r="R117" s="53"/>
      <c r="S117" s="331"/>
      <c r="T117" s="15"/>
      <c r="U117" s="342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9"/>
      <c r="I118" s="14"/>
      <c r="J118" s="22"/>
      <c r="K118" s="52"/>
      <c r="L118" s="52"/>
      <c r="M118" s="70"/>
      <c r="N118" s="13"/>
      <c r="O118" s="14"/>
      <c r="P118" s="148"/>
      <c r="Q118" s="342"/>
      <c r="R118" s="14"/>
      <c r="S118" s="332"/>
      <c r="T118" s="15"/>
      <c r="U118" s="342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3"/>
      <c r="E119" s="334"/>
      <c r="F119" s="335"/>
      <c r="G119" s="14"/>
      <c r="H119" s="21" t="s">
        <v>51</v>
      </c>
      <c r="I119" s="14"/>
      <c r="J119" s="51"/>
      <c r="K119" s="14" t="s">
        <v>17</v>
      </c>
      <c r="L119" s="14"/>
      <c r="M119" s="336"/>
      <c r="N119" s="337"/>
      <c r="O119" s="338"/>
      <c r="P119" s="148"/>
      <c r="Q119" s="29"/>
      <c r="R119" s="136"/>
      <c r="S119" s="139"/>
      <c r="T119" s="15"/>
      <c r="U119" s="342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3"/>
      <c r="E120" s="334"/>
      <c r="F120" s="335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2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2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2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2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2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2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2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2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2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2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2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2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2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2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2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2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2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2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2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2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2"/>
      <c r="W140" s="206">
        <f>Admin!B140</f>
        <v>45526</v>
      </c>
    </row>
    <row r="141" spans="1:23" ht="22.5" customHeight="1" thickBot="1" x14ac:dyDescent="0.2">
      <c r="A141" s="343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2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1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381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">
        <v>105</v>
      </c>
      <c r="I3" s="366" t="s">
        <v>43</v>
      </c>
      <c r="J3" s="366" t="s">
        <v>44</v>
      </c>
      <c r="K3" s="383" t="s">
        <v>48</v>
      </c>
      <c r="L3" s="383" t="s">
        <v>31</v>
      </c>
      <c r="M3" s="372" t="s">
        <v>46</v>
      </c>
      <c r="N3" s="366" t="s">
        <v>1</v>
      </c>
      <c r="O3" s="374" t="s">
        <v>26</v>
      </c>
      <c r="P3" s="366" t="s">
        <v>106</v>
      </c>
      <c r="Q3" s="374" t="s">
        <v>2</v>
      </c>
      <c r="R3" s="372" t="s">
        <v>47</v>
      </c>
      <c r="S3" s="42"/>
      <c r="T3" s="374" t="s">
        <v>27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7"/>
      <c r="J4" s="367"/>
      <c r="K4" s="384"/>
      <c r="L4" s="384"/>
      <c r="M4" s="373"/>
      <c r="N4" s="369"/>
      <c r="O4" s="375"/>
      <c r="P4" s="369"/>
      <c r="Q4" s="375"/>
      <c r="R4" s="373"/>
      <c r="S4" s="42"/>
      <c r="T4" s="375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7"/>
      <c r="J5" s="367"/>
      <c r="K5" s="384"/>
      <c r="L5" s="384"/>
      <c r="M5" s="373"/>
      <c r="N5" s="369"/>
      <c r="O5" s="375"/>
      <c r="P5" s="369"/>
      <c r="Q5" s="375"/>
      <c r="R5" s="373"/>
      <c r="S5" s="42"/>
      <c r="T5" s="375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68"/>
      <c r="J6" s="368"/>
      <c r="K6" s="385"/>
      <c r="L6" s="385"/>
      <c r="M6" s="373"/>
      <c r="N6" s="370"/>
      <c r="O6" s="375"/>
      <c r="P6" s="370"/>
      <c r="Q6" s="375"/>
      <c r="R6" s="373"/>
      <c r="S6" s="41"/>
      <c r="T6" s="375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377"/>
      <c r="S8" s="378"/>
      <c r="T8" s="378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</v>
      </c>
      <c r="F9" s="35"/>
      <c r="G9" s="35"/>
      <c r="H9" s="361" t="s">
        <v>57</v>
      </c>
      <c r="I9" s="362"/>
      <c r="J9" s="360"/>
      <c r="K9" s="201">
        <f>Admin!B2</f>
        <v>45388</v>
      </c>
      <c r="L9" s="200" t="s">
        <v>76</v>
      </c>
      <c r="M9" s="202">
        <f>K9+4</f>
        <v>45392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80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</v>
      </c>
      <c r="F19" s="35"/>
      <c r="G19" s="35"/>
      <c r="H19" s="361" t="s">
        <v>28</v>
      </c>
      <c r="I19" s="362"/>
      <c r="J19" s="360"/>
      <c r="K19" s="201">
        <f>M9+1</f>
        <v>45393</v>
      </c>
      <c r="L19" s="200" t="s">
        <v>76</v>
      </c>
      <c r="M19" s="202">
        <f>K19+6</f>
        <v>45399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</v>
      </c>
      <c r="F29" s="35"/>
      <c r="G29" s="35"/>
      <c r="H29" s="361" t="s">
        <v>28</v>
      </c>
      <c r="I29" s="362"/>
      <c r="J29" s="360"/>
      <c r="K29" s="201">
        <f>M19+1</f>
        <v>45400</v>
      </c>
      <c r="L29" s="200" t="s">
        <v>76</v>
      </c>
      <c r="M29" s="202">
        <f>K29+6</f>
        <v>45406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4</v>
      </c>
      <c r="F39" s="35"/>
      <c r="G39" s="35"/>
      <c r="H39" s="361" t="s">
        <v>28</v>
      </c>
      <c r="I39" s="362"/>
      <c r="J39" s="360"/>
      <c r="K39" s="201">
        <f>M29+1</f>
        <v>45407</v>
      </c>
      <c r="L39" s="200" t="s">
        <v>76</v>
      </c>
      <c r="M39" s="202">
        <f>K39+6</f>
        <v>45413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</v>
      </c>
      <c r="F49" s="35"/>
      <c r="G49" s="35"/>
      <c r="H49" s="361" t="s">
        <v>28</v>
      </c>
      <c r="I49" s="362"/>
      <c r="J49" s="360"/>
      <c r="K49" s="204">
        <f>Admin!B2</f>
        <v>45388</v>
      </c>
      <c r="L49" s="203" t="s">
        <v>76</v>
      </c>
      <c r="M49" s="205">
        <f>Admin!B26</f>
        <v>45412</v>
      </c>
      <c r="N49" s="20"/>
      <c r="O49" s="402" t="s">
        <v>49</v>
      </c>
      <c r="P49" s="403"/>
      <c r="Q49" s="403"/>
      <c r="R49" s="404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5</v>
      </c>
      <c r="F9" s="35"/>
      <c r="G9" s="35"/>
      <c r="H9" s="361" t="s">
        <v>28</v>
      </c>
      <c r="I9" s="362"/>
      <c r="J9" s="360"/>
      <c r="K9" s="204">
        <f>Apr!M39+1</f>
        <v>45414</v>
      </c>
      <c r="L9" s="203" t="s">
        <v>76</v>
      </c>
      <c r="M9" s="205">
        <f>K9+6</f>
        <v>45420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6</v>
      </c>
      <c r="F19" s="35"/>
      <c r="G19" s="35"/>
      <c r="H19" s="361" t="s">
        <v>28</v>
      </c>
      <c r="I19" s="362"/>
      <c r="J19" s="360"/>
      <c r="K19" s="204">
        <f>M9+1</f>
        <v>45421</v>
      </c>
      <c r="L19" s="203" t="s">
        <v>76</v>
      </c>
      <c r="M19" s="205">
        <f>K19+6</f>
        <v>45427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7</v>
      </c>
      <c r="F29" s="35"/>
      <c r="G29" s="35"/>
      <c r="H29" s="361" t="s">
        <v>28</v>
      </c>
      <c r="I29" s="362"/>
      <c r="J29" s="360"/>
      <c r="K29" s="204">
        <f>M19+1</f>
        <v>45428</v>
      </c>
      <c r="L29" s="203" t="s">
        <v>76</v>
      </c>
      <c r="M29" s="205">
        <f>K29+6</f>
        <v>45434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8</v>
      </c>
      <c r="F39" s="35"/>
      <c r="G39" s="35"/>
      <c r="H39" s="361" t="s">
        <v>28</v>
      </c>
      <c r="I39" s="362"/>
      <c r="J39" s="360"/>
      <c r="K39" s="204">
        <f>M29+1</f>
        <v>45435</v>
      </c>
      <c r="L39" s="203" t="s">
        <v>76</v>
      </c>
      <c r="M39" s="205">
        <f>K39+6</f>
        <v>45441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2</v>
      </c>
      <c r="F49" s="35"/>
      <c r="G49" s="35"/>
      <c r="H49" s="361" t="s">
        <v>28</v>
      </c>
      <c r="I49" s="362"/>
      <c r="J49" s="360"/>
      <c r="K49" s="204">
        <f>Admin!B27</f>
        <v>45413</v>
      </c>
      <c r="L49" s="203" t="s">
        <v>76</v>
      </c>
      <c r="M49" s="205">
        <f>Admin!B57</f>
        <v>45443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3" t="s">
        <v>4</v>
      </c>
      <c r="J1" s="434"/>
      <c r="K1" s="434"/>
      <c r="L1" s="43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9</v>
      </c>
      <c r="F9" s="35"/>
      <c r="G9" s="35"/>
      <c r="H9" s="361" t="s">
        <v>28</v>
      </c>
      <c r="I9" s="362"/>
      <c r="J9" s="360"/>
      <c r="K9" s="204">
        <f>May!M39+1</f>
        <v>45442</v>
      </c>
      <c r="L9" s="203" t="s">
        <v>76</v>
      </c>
      <c r="M9" s="205">
        <f>K9+6</f>
        <v>45448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10</v>
      </c>
      <c r="F19" s="35"/>
      <c r="G19" s="35"/>
      <c r="H19" s="361" t="s">
        <v>28</v>
      </c>
      <c r="I19" s="362"/>
      <c r="J19" s="360"/>
      <c r="K19" s="204">
        <f>M9+1</f>
        <v>45449</v>
      </c>
      <c r="L19" s="203" t="s">
        <v>76</v>
      </c>
      <c r="M19" s="205">
        <f>K19+6</f>
        <v>45455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11</v>
      </c>
      <c r="F29" s="35"/>
      <c r="G29" s="35"/>
      <c r="H29" s="361" t="s">
        <v>28</v>
      </c>
      <c r="I29" s="362"/>
      <c r="J29" s="360"/>
      <c r="K29" s="204">
        <f>M19+1</f>
        <v>45456</v>
      </c>
      <c r="L29" s="203" t="s">
        <v>76</v>
      </c>
      <c r="M29" s="205">
        <f>K29+6</f>
        <v>45462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12</v>
      </c>
      <c r="F39" s="35"/>
      <c r="G39" s="35"/>
      <c r="H39" s="361" t="s">
        <v>28</v>
      </c>
      <c r="I39" s="440"/>
      <c r="J39" s="441"/>
      <c r="K39" s="204">
        <f>M29+1</f>
        <v>45463</v>
      </c>
      <c r="L39" s="203" t="s">
        <v>76</v>
      </c>
      <c r="M39" s="205">
        <f>K39+6</f>
        <v>45469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1" t="s">
        <v>9</v>
      </c>
      <c r="C49" s="440"/>
      <c r="D49" s="441"/>
      <c r="E49" s="156">
        <v>13</v>
      </c>
      <c r="F49" s="35"/>
      <c r="G49" s="35"/>
      <c r="H49" s="361" t="s">
        <v>28</v>
      </c>
      <c r="I49" s="440"/>
      <c r="J49" s="441"/>
      <c r="K49" s="204">
        <f>M39+1</f>
        <v>45470</v>
      </c>
      <c r="L49" s="203" t="s">
        <v>76</v>
      </c>
      <c r="M49" s="205">
        <f>K49+6</f>
        <v>45476</v>
      </c>
      <c r="N49" s="20"/>
      <c r="O49" s="402" t="s">
        <v>63</v>
      </c>
      <c r="P49" s="442"/>
      <c r="Q49" s="442"/>
      <c r="R49" s="443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3</v>
      </c>
      <c r="F59" s="35"/>
      <c r="G59" s="35"/>
      <c r="H59" s="361" t="s">
        <v>28</v>
      </c>
      <c r="I59" s="362"/>
      <c r="J59" s="360"/>
      <c r="K59" s="204">
        <f>Admin!B58</f>
        <v>45444</v>
      </c>
      <c r="L59" s="203" t="s">
        <v>76</v>
      </c>
      <c r="M59" s="205">
        <f>Admin!B87</f>
        <v>45473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14</v>
      </c>
      <c r="F9" s="35"/>
      <c r="G9" s="35"/>
      <c r="H9" s="361" t="s">
        <v>28</v>
      </c>
      <c r="I9" s="440"/>
      <c r="J9" s="441"/>
      <c r="K9" s="204">
        <f>Admin!B91</f>
        <v>45477</v>
      </c>
      <c r="L9" s="203" t="s">
        <v>76</v>
      </c>
      <c r="M9" s="205">
        <f>K9+6</f>
        <v>45483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15</v>
      </c>
      <c r="F19" s="35"/>
      <c r="G19" s="35"/>
      <c r="H19" s="361" t="s">
        <v>28</v>
      </c>
      <c r="I19" s="362"/>
      <c r="J19" s="360"/>
      <c r="K19" s="204">
        <f>M9+1</f>
        <v>45484</v>
      </c>
      <c r="L19" s="203" t="s">
        <v>76</v>
      </c>
      <c r="M19" s="205">
        <f>K19+6</f>
        <v>45490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16</v>
      </c>
      <c r="F29" s="35"/>
      <c r="G29" s="35"/>
      <c r="H29" s="361" t="s">
        <v>28</v>
      </c>
      <c r="I29" s="362"/>
      <c r="J29" s="360"/>
      <c r="K29" s="204">
        <f>M19+1</f>
        <v>45491</v>
      </c>
      <c r="L29" s="203" t="s">
        <v>76</v>
      </c>
      <c r="M29" s="205">
        <f>K29+6</f>
        <v>45497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17</v>
      </c>
      <c r="F39" s="35"/>
      <c r="G39" s="35"/>
      <c r="H39" s="361" t="s">
        <v>28</v>
      </c>
      <c r="I39" s="362"/>
      <c r="J39" s="360"/>
      <c r="K39" s="204">
        <f>M29+1</f>
        <v>45498</v>
      </c>
      <c r="L39" s="203" t="s">
        <v>76</v>
      </c>
      <c r="M39" s="205">
        <f>K39+6</f>
        <v>45504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4</v>
      </c>
      <c r="F49" s="35"/>
      <c r="G49" s="35"/>
      <c r="H49" s="361" t="s">
        <v>28</v>
      </c>
      <c r="I49" s="362"/>
      <c r="J49" s="360"/>
      <c r="K49" s="204">
        <f>Admin!B88</f>
        <v>45474</v>
      </c>
      <c r="L49" s="203" t="s">
        <v>76</v>
      </c>
      <c r="M49" s="205">
        <f>Admin!B118</f>
        <v>45504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18</v>
      </c>
      <c r="F9" s="35"/>
      <c r="G9" s="35"/>
      <c r="H9" s="361" t="s">
        <v>28</v>
      </c>
      <c r="I9" s="362"/>
      <c r="J9" s="360"/>
      <c r="K9" s="204">
        <f>Admin!B119</f>
        <v>45505</v>
      </c>
      <c r="L9" s="203" t="s">
        <v>76</v>
      </c>
      <c r="M9" s="205">
        <f>K9+6</f>
        <v>45511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19</v>
      </c>
      <c r="F19" s="35"/>
      <c r="G19" s="35"/>
      <c r="H19" s="361" t="s">
        <v>28</v>
      </c>
      <c r="I19" s="362"/>
      <c r="J19" s="360"/>
      <c r="K19" s="204">
        <f>M9+1</f>
        <v>45512</v>
      </c>
      <c r="L19" s="203" t="s">
        <v>76</v>
      </c>
      <c r="M19" s="205">
        <f>K19+6</f>
        <v>45518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20</v>
      </c>
      <c r="F29" s="35"/>
      <c r="G29" s="35"/>
      <c r="H29" s="361" t="s">
        <v>28</v>
      </c>
      <c r="I29" s="362"/>
      <c r="J29" s="360"/>
      <c r="K29" s="204">
        <f>M19+1</f>
        <v>45519</v>
      </c>
      <c r="L29" s="203" t="s">
        <v>76</v>
      </c>
      <c r="M29" s="205">
        <f>K29+6</f>
        <v>45525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21</v>
      </c>
      <c r="F39" s="35"/>
      <c r="G39" s="35"/>
      <c r="H39" s="361" t="s">
        <v>28</v>
      </c>
      <c r="I39" s="440"/>
      <c r="J39" s="441"/>
      <c r="K39" s="204">
        <f>M29+1</f>
        <v>45526</v>
      </c>
      <c r="L39" s="203" t="s">
        <v>76</v>
      </c>
      <c r="M39" s="205">
        <f>K39+6</f>
        <v>45532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5</v>
      </c>
      <c r="F49" s="35"/>
      <c r="G49" s="35"/>
      <c r="H49" s="361" t="s">
        <v>28</v>
      </c>
      <c r="I49" s="362"/>
      <c r="J49" s="360"/>
      <c r="K49" s="204">
        <f>Admin!B119</f>
        <v>45505</v>
      </c>
      <c r="L49" s="203" t="s">
        <v>76</v>
      </c>
      <c r="M49" s="205">
        <f>Admin!B149</f>
        <v>45535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22</v>
      </c>
      <c r="F9" s="35"/>
      <c r="G9" s="35"/>
      <c r="H9" s="361" t="s">
        <v>28</v>
      </c>
      <c r="I9" s="362"/>
      <c r="J9" s="360"/>
      <c r="K9" s="204">
        <f>Aug!M39+1</f>
        <v>45533</v>
      </c>
      <c r="L9" s="203" t="s">
        <v>76</v>
      </c>
      <c r="M9" s="205">
        <f>K9+6</f>
        <v>45539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23</v>
      </c>
      <c r="F19" s="35"/>
      <c r="G19" s="35"/>
      <c r="H19" s="361" t="s">
        <v>28</v>
      </c>
      <c r="I19" s="362"/>
      <c r="J19" s="360"/>
      <c r="K19" s="204">
        <f>M9+1</f>
        <v>45540</v>
      </c>
      <c r="L19" s="203" t="s">
        <v>76</v>
      </c>
      <c r="M19" s="205">
        <f>K19+6</f>
        <v>45546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24</v>
      </c>
      <c r="F29" s="35"/>
      <c r="G29" s="35"/>
      <c r="H29" s="361" t="s">
        <v>28</v>
      </c>
      <c r="I29" s="362"/>
      <c r="J29" s="360"/>
      <c r="K29" s="204">
        <f>M19+1</f>
        <v>45547</v>
      </c>
      <c r="L29" s="203" t="s">
        <v>76</v>
      </c>
      <c r="M29" s="205">
        <f>K29+6</f>
        <v>45553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25</v>
      </c>
      <c r="F39" s="35"/>
      <c r="G39" s="35"/>
      <c r="H39" s="361" t="s">
        <v>28</v>
      </c>
      <c r="I39" s="440"/>
      <c r="J39" s="441"/>
      <c r="K39" s="204">
        <f>M29+1</f>
        <v>45554</v>
      </c>
      <c r="L39" s="203" t="s">
        <v>76</v>
      </c>
      <c r="M39" s="205">
        <f>K39+6</f>
        <v>45560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26</v>
      </c>
      <c r="F49" s="35"/>
      <c r="G49" s="35"/>
      <c r="H49" s="361" t="s">
        <v>28</v>
      </c>
      <c r="I49" s="440"/>
      <c r="J49" s="441"/>
      <c r="K49" s="204">
        <f>Admin!B175</f>
        <v>45561</v>
      </c>
      <c r="L49" s="203" t="s">
        <v>76</v>
      </c>
      <c r="M49" s="205">
        <f>K49+6</f>
        <v>45567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6</v>
      </c>
      <c r="F59" s="35"/>
      <c r="G59" s="35"/>
      <c r="H59" s="361" t="s">
        <v>28</v>
      </c>
      <c r="I59" s="362"/>
      <c r="J59" s="360"/>
      <c r="K59" s="204">
        <f>Admin!B150</f>
        <v>45536</v>
      </c>
      <c r="L59" s="203" t="s">
        <v>76</v>
      </c>
      <c r="M59" s="205">
        <f>Admin!B179</f>
        <v>45565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27</v>
      </c>
      <c r="F9" s="35"/>
      <c r="G9" s="35"/>
      <c r="H9" s="361" t="s">
        <v>28</v>
      </c>
      <c r="I9" s="440"/>
      <c r="J9" s="441"/>
      <c r="K9" s="204">
        <f>Admin!B182</f>
        <v>45568</v>
      </c>
      <c r="L9" s="203" t="s">
        <v>76</v>
      </c>
      <c r="M9" s="205">
        <f>Admin!B188</f>
        <v>45574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28</v>
      </c>
      <c r="F19" s="35"/>
      <c r="G19" s="35"/>
      <c r="H19" s="361" t="s">
        <v>28</v>
      </c>
      <c r="I19" s="362"/>
      <c r="J19" s="360"/>
      <c r="K19" s="204">
        <f>M9+1</f>
        <v>45575</v>
      </c>
      <c r="L19" s="203" t="s">
        <v>76</v>
      </c>
      <c r="M19" s="205">
        <f>K19+6</f>
        <v>45581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29</v>
      </c>
      <c r="F29" s="35"/>
      <c r="G29" s="35"/>
      <c r="H29" s="361" t="s">
        <v>28</v>
      </c>
      <c r="I29" s="362"/>
      <c r="J29" s="360"/>
      <c r="K29" s="204">
        <f>M19+1</f>
        <v>45582</v>
      </c>
      <c r="L29" s="203" t="s">
        <v>76</v>
      </c>
      <c r="M29" s="205">
        <f>K29+6</f>
        <v>45588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30</v>
      </c>
      <c r="F39" s="35"/>
      <c r="G39" s="35"/>
      <c r="H39" s="361" t="s">
        <v>28</v>
      </c>
      <c r="I39" s="362"/>
      <c r="J39" s="360"/>
      <c r="K39" s="204">
        <f>M29+1</f>
        <v>45589</v>
      </c>
      <c r="L39" s="203" t="s">
        <v>76</v>
      </c>
      <c r="M39" s="205">
        <f>K39+6</f>
        <v>45595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7</v>
      </c>
      <c r="F49" s="35"/>
      <c r="G49" s="35"/>
      <c r="H49" s="361" t="s">
        <v>28</v>
      </c>
      <c r="I49" s="362"/>
      <c r="J49" s="360"/>
      <c r="K49" s="204">
        <f>Admin!B180</f>
        <v>45566</v>
      </c>
      <c r="L49" s="203" t="s">
        <v>76</v>
      </c>
      <c r="M49" s="205">
        <f>Admin!B210</f>
        <v>45596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31</v>
      </c>
      <c r="F9" s="35"/>
      <c r="G9" s="35"/>
      <c r="H9" s="361" t="s">
        <v>28</v>
      </c>
      <c r="I9" s="362"/>
      <c r="J9" s="360"/>
      <c r="K9" s="204">
        <f>Admin!B210</f>
        <v>45596</v>
      </c>
      <c r="L9" s="203" t="s">
        <v>76</v>
      </c>
      <c r="M9" s="205">
        <f>K9+6</f>
        <v>45602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32</v>
      </c>
      <c r="F19" s="35"/>
      <c r="G19" s="35"/>
      <c r="H19" s="361" t="s">
        <v>28</v>
      </c>
      <c r="I19" s="362"/>
      <c r="J19" s="360"/>
      <c r="K19" s="204">
        <f>M9+1</f>
        <v>45603</v>
      </c>
      <c r="L19" s="203" t="s">
        <v>76</v>
      </c>
      <c r="M19" s="205">
        <f>K19+6</f>
        <v>45609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33</v>
      </c>
      <c r="F29" s="35"/>
      <c r="G29" s="35"/>
      <c r="H29" s="361" t="s">
        <v>28</v>
      </c>
      <c r="I29" s="362"/>
      <c r="J29" s="360"/>
      <c r="K29" s="204">
        <f>M19+1</f>
        <v>45610</v>
      </c>
      <c r="L29" s="203" t="s">
        <v>76</v>
      </c>
      <c r="M29" s="205">
        <f>K29+6</f>
        <v>45616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34</v>
      </c>
      <c r="F39" s="35"/>
      <c r="G39" s="35"/>
      <c r="H39" s="361" t="s">
        <v>28</v>
      </c>
      <c r="I39" s="440"/>
      <c r="J39" s="441"/>
      <c r="K39" s="204">
        <f>M29+1</f>
        <v>45617</v>
      </c>
      <c r="L39" s="203" t="s">
        <v>76</v>
      </c>
      <c r="M39" s="205">
        <f>K39+6</f>
        <v>45623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8</v>
      </c>
      <c r="F49" s="35"/>
      <c r="G49" s="35"/>
      <c r="H49" s="361" t="s">
        <v>28</v>
      </c>
      <c r="I49" s="362"/>
      <c r="J49" s="360"/>
      <c r="K49" s="204">
        <f>Admin!B211</f>
        <v>45597</v>
      </c>
      <c r="L49" s="203" t="s">
        <v>76</v>
      </c>
      <c r="M49" s="205">
        <f>Admin!B240</f>
        <v>45626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35</v>
      </c>
      <c r="F9" s="35"/>
      <c r="G9" s="35"/>
      <c r="H9" s="361" t="s">
        <v>28</v>
      </c>
      <c r="I9" s="362"/>
      <c r="J9" s="360"/>
      <c r="K9" s="204">
        <f>Nov!M39+1</f>
        <v>45624</v>
      </c>
      <c r="L9" s="203" t="s">
        <v>76</v>
      </c>
      <c r="M9" s="205">
        <f>K9+6</f>
        <v>45630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36</v>
      </c>
      <c r="F19" s="35"/>
      <c r="G19" s="35"/>
      <c r="H19" s="361" t="s">
        <v>28</v>
      </c>
      <c r="I19" s="362"/>
      <c r="J19" s="360"/>
      <c r="K19" s="204">
        <f>M9+1</f>
        <v>45631</v>
      </c>
      <c r="L19" s="203" t="s">
        <v>76</v>
      </c>
      <c r="M19" s="205">
        <f>K19+6</f>
        <v>45637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37</v>
      </c>
      <c r="F29" s="35"/>
      <c r="G29" s="35"/>
      <c r="H29" s="361" t="s">
        <v>28</v>
      </c>
      <c r="I29" s="362"/>
      <c r="J29" s="360"/>
      <c r="K29" s="204">
        <f>M19+1</f>
        <v>45638</v>
      </c>
      <c r="L29" s="203" t="s">
        <v>76</v>
      </c>
      <c r="M29" s="205">
        <f>K29+6</f>
        <v>45644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38</v>
      </c>
      <c r="F39" s="35"/>
      <c r="G39" s="35"/>
      <c r="H39" s="361" t="s">
        <v>28</v>
      </c>
      <c r="I39" s="440"/>
      <c r="J39" s="441"/>
      <c r="K39" s="204">
        <f>M29+1</f>
        <v>45645</v>
      </c>
      <c r="L39" s="203" t="s">
        <v>76</v>
      </c>
      <c r="M39" s="205">
        <f>K39+6</f>
        <v>45651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39</v>
      </c>
      <c r="F49" s="35"/>
      <c r="G49" s="35"/>
      <c r="H49" s="361" t="s">
        <v>28</v>
      </c>
      <c r="I49" s="440"/>
      <c r="J49" s="441"/>
      <c r="K49" s="204">
        <f>M39+1</f>
        <v>45652</v>
      </c>
      <c r="L49" s="203" t="s">
        <v>76</v>
      </c>
      <c r="M49" s="205">
        <f>K49+6</f>
        <v>45658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9</v>
      </c>
      <c r="F59" s="35"/>
      <c r="G59" s="35"/>
      <c r="H59" s="361" t="s">
        <v>28</v>
      </c>
      <c r="I59" s="362"/>
      <c r="J59" s="360"/>
      <c r="K59" s="204">
        <f>Admin!B241</f>
        <v>45627</v>
      </c>
      <c r="L59" s="203" t="s">
        <v>76</v>
      </c>
      <c r="M59" s="205">
        <f>Admin!B271</f>
        <v>45657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40</v>
      </c>
      <c r="F9" s="35"/>
      <c r="G9" s="35"/>
      <c r="H9" s="361" t="s">
        <v>28</v>
      </c>
      <c r="I9" s="362"/>
      <c r="J9" s="360"/>
      <c r="K9" s="204">
        <f>Dec!M49+1</f>
        <v>45659</v>
      </c>
      <c r="L9" s="203" t="s">
        <v>76</v>
      </c>
      <c r="M9" s="205">
        <f>K9+6</f>
        <v>45665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41</v>
      </c>
      <c r="F19" s="35"/>
      <c r="G19" s="35"/>
      <c r="H19" s="361" t="s">
        <v>28</v>
      </c>
      <c r="I19" s="362"/>
      <c r="J19" s="360"/>
      <c r="K19" s="204">
        <f>M9+1</f>
        <v>45666</v>
      </c>
      <c r="L19" s="203" t="s">
        <v>76</v>
      </c>
      <c r="M19" s="205">
        <f>K19+6</f>
        <v>45672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42</v>
      </c>
      <c r="F29" s="35"/>
      <c r="G29" s="35"/>
      <c r="H29" s="361" t="s">
        <v>28</v>
      </c>
      <c r="I29" s="362"/>
      <c r="J29" s="360"/>
      <c r="K29" s="204">
        <f>M19+1</f>
        <v>45673</v>
      </c>
      <c r="L29" s="203" t="s">
        <v>76</v>
      </c>
      <c r="M29" s="205">
        <f>K29+6</f>
        <v>45679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43</v>
      </c>
      <c r="F39" s="35"/>
      <c r="G39" s="35"/>
      <c r="H39" s="361" t="s">
        <v>28</v>
      </c>
      <c r="I39" s="440"/>
      <c r="J39" s="441"/>
      <c r="K39" s="204">
        <f>M29+1</f>
        <v>45680</v>
      </c>
      <c r="L39" s="203" t="s">
        <v>76</v>
      </c>
      <c r="M39" s="205">
        <f>K39+6</f>
        <v>45686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10</v>
      </c>
      <c r="F49" s="35"/>
      <c r="G49" s="35"/>
      <c r="H49" s="361" t="s">
        <v>28</v>
      </c>
      <c r="I49" s="362"/>
      <c r="J49" s="360"/>
      <c r="K49" s="204">
        <f>Admin!B272</f>
        <v>45658</v>
      </c>
      <c r="L49" s="203" t="s">
        <v>76</v>
      </c>
      <c r="M49" s="205">
        <f>Admin!B302</f>
        <v>45688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47" t="s">
        <v>66</v>
      </c>
      <c r="C1" s="448"/>
      <c r="D1" s="448"/>
      <c r="E1" s="448"/>
      <c r="F1" s="449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50"/>
      <c r="C2" s="451"/>
      <c r="D2" s="451"/>
      <c r="E2" s="451"/>
      <c r="F2" s="452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44</v>
      </c>
      <c r="F9" s="35"/>
      <c r="G9" s="35"/>
      <c r="H9" s="361" t="s">
        <v>28</v>
      </c>
      <c r="I9" s="362"/>
      <c r="J9" s="360"/>
      <c r="K9" s="204">
        <f>Jan!M39+1</f>
        <v>45687</v>
      </c>
      <c r="L9" s="203" t="s">
        <v>76</v>
      </c>
      <c r="M9" s="205">
        <f>K9+6</f>
        <v>45693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45</v>
      </c>
      <c r="F19" s="35"/>
      <c r="G19" s="35"/>
      <c r="H19" s="361" t="s">
        <v>28</v>
      </c>
      <c r="I19" s="362"/>
      <c r="J19" s="360"/>
      <c r="K19" s="204">
        <f>M9+1</f>
        <v>45694</v>
      </c>
      <c r="L19" s="203" t="s">
        <v>76</v>
      </c>
      <c r="M19" s="205">
        <f>K19+6</f>
        <v>45700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46</v>
      </c>
      <c r="F29" s="35"/>
      <c r="G29" s="35"/>
      <c r="H29" s="361" t="s">
        <v>28</v>
      </c>
      <c r="I29" s="362"/>
      <c r="J29" s="360"/>
      <c r="K29" s="204">
        <f>M19+1</f>
        <v>45701</v>
      </c>
      <c r="L29" s="203" t="s">
        <v>76</v>
      </c>
      <c r="M29" s="205">
        <f>K29+6</f>
        <v>45707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47</v>
      </c>
      <c r="F39" s="35"/>
      <c r="G39" s="35"/>
      <c r="H39" s="361" t="s">
        <v>28</v>
      </c>
      <c r="I39" s="440"/>
      <c r="J39" s="441"/>
      <c r="K39" s="204">
        <f>M29+1</f>
        <v>45708</v>
      </c>
      <c r="L39" s="203" t="s">
        <v>76</v>
      </c>
      <c r="M39" s="205">
        <f>K39+6</f>
        <v>45714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11</v>
      </c>
      <c r="F49" s="35"/>
      <c r="G49" s="35"/>
      <c r="H49" s="361" t="s">
        <v>28</v>
      </c>
      <c r="I49" s="362"/>
      <c r="J49" s="360"/>
      <c r="K49" s="204">
        <f>Admin!B303</f>
        <v>45689</v>
      </c>
      <c r="L49" s="203" t="s">
        <v>76</v>
      </c>
      <c r="M49" s="205">
        <f>Admin!B330</f>
        <v>45716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SUM(AD80:AG80)+SUM(AE82:AG82)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Apr!H3:H6</f>
        <v>Statutory Pay</v>
      </c>
      <c r="I3" s="366" t="str">
        <f>Apr!I3:I6</f>
        <v>Basic hours</v>
      </c>
      <c r="J3" s="366" t="str">
        <f>Apr!J3:J6</f>
        <v>Hourly rate</v>
      </c>
      <c r="K3" s="366" t="str">
        <f>Apr!K3:K6</f>
        <v>Basic    wages</v>
      </c>
      <c r="L3" s="366" t="str">
        <f>Apr!L3:L6</f>
        <v>Overtime Bonus Gratuities</v>
      </c>
      <c r="M3" s="429" t="str">
        <f>Apr!M3:M6</f>
        <v>GROSS WAGES</v>
      </c>
      <c r="N3" s="366" t="str">
        <f>Apr!N3:N6</f>
        <v>Income Tax</v>
      </c>
      <c r="O3" s="366" t="str">
        <f>Apr!O3:O6</f>
        <v>Employees National Insurance</v>
      </c>
      <c r="P3" s="366" t="str">
        <f>Apr!P3:P6</f>
        <v>Student Loans</v>
      </c>
      <c r="Q3" s="366" t="str">
        <f>Apr!Q3:Q6</f>
        <v>Other Deductions</v>
      </c>
      <c r="R3" s="429" t="str">
        <f>Apr!R3:R6</f>
        <v>NET      PAY</v>
      </c>
      <c r="S3" s="42"/>
      <c r="T3" s="366" t="str">
        <f>Apr!T3:T6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48</v>
      </c>
      <c r="F9" s="35"/>
      <c r="G9" s="35"/>
      <c r="H9" s="361" t="s">
        <v>28</v>
      </c>
      <c r="I9" s="362"/>
      <c r="J9" s="360"/>
      <c r="K9" s="204">
        <f>Feb!M39+1</f>
        <v>45715</v>
      </c>
      <c r="L9" s="203" t="s">
        <v>76</v>
      </c>
      <c r="M9" s="205">
        <f>K9+6</f>
        <v>45721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49</v>
      </c>
      <c r="F19" s="35"/>
      <c r="G19" s="35"/>
      <c r="H19" s="361" t="s">
        <v>28</v>
      </c>
      <c r="I19" s="362"/>
      <c r="J19" s="360"/>
      <c r="K19" s="204">
        <f>M9+1</f>
        <v>45722</v>
      </c>
      <c r="L19" s="203" t="s">
        <v>76</v>
      </c>
      <c r="M19" s="205">
        <f>K19+6</f>
        <v>45728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50</v>
      </c>
      <c r="F29" s="35"/>
      <c r="G29" s="35"/>
      <c r="H29" s="361" t="s">
        <v>28</v>
      </c>
      <c r="I29" s="362"/>
      <c r="J29" s="360"/>
      <c r="K29" s="204">
        <f>M19+1</f>
        <v>45729</v>
      </c>
      <c r="L29" s="203" t="s">
        <v>76</v>
      </c>
      <c r="M29" s="205">
        <f>K29+6</f>
        <v>45735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51</v>
      </c>
      <c r="F39" s="35"/>
      <c r="G39" s="35"/>
      <c r="H39" s="361" t="s">
        <v>28</v>
      </c>
      <c r="I39" s="440"/>
      <c r="J39" s="441"/>
      <c r="K39" s="204">
        <f>M29+1</f>
        <v>45736</v>
      </c>
      <c r="L39" s="203" t="s">
        <v>76</v>
      </c>
      <c r="M39" s="205">
        <f>K39+6</f>
        <v>45742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52</v>
      </c>
      <c r="F49" s="35"/>
      <c r="G49" s="35"/>
      <c r="H49" s="361" t="s">
        <v>28</v>
      </c>
      <c r="I49" s="440"/>
      <c r="J49" s="441"/>
      <c r="K49" s="204">
        <f>M39+1</f>
        <v>45743</v>
      </c>
      <c r="L49" s="203" t="s">
        <v>76</v>
      </c>
      <c r="M49" s="205">
        <f>K49+6</f>
        <v>45749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8"/>
      <c r="D58" s="438"/>
      <c r="E58" s="439"/>
      <c r="F58" s="32"/>
      <c r="G58" s="32"/>
      <c r="H58" s="32"/>
      <c r="I58" s="32"/>
      <c r="J58" s="32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9</v>
      </c>
      <c r="C59" s="440"/>
      <c r="D59" s="441"/>
      <c r="E59" s="156">
        <v>53</v>
      </c>
      <c r="F59" s="35"/>
      <c r="G59" s="35"/>
      <c r="H59" s="361" t="s">
        <v>28</v>
      </c>
      <c r="I59" s="440"/>
      <c r="J59" s="441"/>
      <c r="K59" s="204">
        <f>M49+1</f>
        <v>45750</v>
      </c>
      <c r="L59" s="203" t="s">
        <v>76</v>
      </c>
      <c r="M59" s="205">
        <f>K59+4</f>
        <v>45754</v>
      </c>
      <c r="N59" s="20"/>
      <c r="O59" s="402" t="s">
        <v>63</v>
      </c>
      <c r="P59" s="442"/>
      <c r="Q59" s="442"/>
      <c r="R59" s="443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444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62"/>
      <c r="D68" s="362"/>
      <c r="E68" s="360"/>
      <c r="F68" s="32"/>
      <c r="G68" s="32"/>
      <c r="H68" s="43"/>
      <c r="I68" s="43"/>
      <c r="J68" s="43"/>
      <c r="K68" s="46"/>
      <c r="L68" s="46"/>
      <c r="M68" s="43"/>
      <c r="N68" s="32"/>
      <c r="O68" s="363" t="s">
        <v>28</v>
      </c>
      <c r="P68" s="364"/>
      <c r="Q68" s="365"/>
      <c r="R68" s="400"/>
      <c r="S68" s="401"/>
      <c r="T68" s="401"/>
      <c r="U68" s="33"/>
      <c r="AH68" s="35"/>
    </row>
    <row r="69" spans="1:34" ht="18" customHeight="1" thickTop="1" thickBot="1" x14ac:dyDescent="0.2">
      <c r="A69" s="34"/>
      <c r="B69" s="361" t="s">
        <v>10</v>
      </c>
      <c r="C69" s="362"/>
      <c r="D69" s="360"/>
      <c r="E69" s="156">
        <v>12</v>
      </c>
      <c r="F69" s="35"/>
      <c r="G69" s="35"/>
      <c r="H69" s="361" t="s">
        <v>28</v>
      </c>
      <c r="I69" s="362"/>
      <c r="J69" s="360"/>
      <c r="K69" s="204">
        <f>Admin!B331</f>
        <v>45717</v>
      </c>
      <c r="L69" s="203" t="s">
        <v>76</v>
      </c>
      <c r="M69" s="205">
        <f>Admin!B361</f>
        <v>45747</v>
      </c>
      <c r="N69" s="20"/>
      <c r="O69" s="402" t="s">
        <v>64</v>
      </c>
      <c r="P69" s="403"/>
      <c r="Q69" s="403"/>
      <c r="R69" s="404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9" t="s">
        <v>7</v>
      </c>
      <c r="G76" s="360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6" t="s">
        <v>74</v>
      </c>
      <c r="N79" s="417"/>
      <c r="O79" s="417"/>
      <c r="P79" s="417"/>
      <c r="Q79" s="417"/>
      <c r="R79" s="417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Apr24</v>
      </c>
      <c r="I3" s="479" t="str">
        <f>IF(M3="ERROR","Enter W or M in cell F3"," ")</f>
        <v xml:space="preserve"> </v>
      </c>
      <c r="J3" s="479"/>
      <c r="K3" s="479"/>
      <c r="L3" s="47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9" t="str">
        <f>IF(M3="ERROR","Enter 1 to 53 in cell F4"," ")</f>
        <v xml:space="preserve"> </v>
      </c>
      <c r="J4" s="479"/>
      <c r="K4" s="479"/>
      <c r="L4" s="47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5"/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</row>
    <row r="7" spans="1:14" ht="25" customHeight="1" x14ac:dyDescent="0.2">
      <c r="A7" s="256"/>
      <c r="B7" s="473" t="e">
        <f ca="1">IF(M14=" "," ",Employee!$D$5)</f>
        <v>#REF!</v>
      </c>
      <c r="C7" s="473"/>
      <c r="D7" s="473"/>
      <c r="E7" s="473"/>
      <c r="F7" s="473"/>
      <c r="G7" s="468" t="e">
        <f ca="1">IF(G14=" "," ",Employee!$D$15)</f>
        <v>#REF!</v>
      </c>
      <c r="H7" s="469"/>
      <c r="I7" s="480" t="e">
        <f ca="1">IF(G14=" "," ",Employee!$D$16)</f>
        <v>#REF!</v>
      </c>
      <c r="J7" s="481"/>
      <c r="K7" s="481"/>
      <c r="L7" s="460" t="e">
        <f ca="1">INDIRECT($H$3 &amp; "!B" &amp; $H$4)</f>
        <v>#REF!</v>
      </c>
      <c r="M7" s="460"/>
      <c r="N7" s="257"/>
    </row>
    <row r="8" spans="1:14" ht="18" customHeight="1" x14ac:dyDescent="0.15">
      <c r="A8" s="258"/>
      <c r="B8" s="464" t="e">
        <f ca="1">IF(M14=" "," ",Employee!$D$6)</f>
        <v>#REF!</v>
      </c>
      <c r="C8" s="464"/>
      <c r="D8" s="465"/>
      <c r="E8" s="466"/>
      <c r="F8" s="467"/>
      <c r="G8" s="259"/>
      <c r="H8" s="260"/>
      <c r="I8" s="261"/>
      <c r="J8" s="261"/>
      <c r="K8" s="261"/>
      <c r="L8" s="261"/>
      <c r="M8" s="261" t="e">
        <f ca="1">INDIRECT($H$3 &amp; "!E" &amp; $H$4+2+C10)</f>
        <v>#REF!</v>
      </c>
      <c r="N8" s="262"/>
    </row>
    <row r="9" spans="1:14" ht="21" customHeight="1" x14ac:dyDescent="0.15">
      <c r="A9" s="258"/>
      <c r="B9" s="464" t="e">
        <f ca="1">IF(M14=" "," ",Employee!$D$7)</f>
        <v>#REF!</v>
      </c>
      <c r="C9" s="464"/>
      <c r="D9" s="464"/>
      <c r="E9" s="263" t="e">
        <f ca="1">IF(M14=" "," ",Employee!$D$9)</f>
        <v>#REF!</v>
      </c>
      <c r="F9" s="264"/>
      <c r="G9" s="265"/>
      <c r="H9" s="249" t="s">
        <v>127</v>
      </c>
      <c r="I9" s="266" t="e">
        <f ca="1">INDIRECT($H$3 &amp; "!M" &amp; $H$4+1)</f>
        <v>#REF!</v>
      </c>
      <c r="J9" s="482" t="s">
        <v>6</v>
      </c>
      <c r="K9" s="482"/>
      <c r="L9" s="249" t="s">
        <v>126</v>
      </c>
      <c r="M9" s="261" t="e">
        <f ca="1">IF(M8=" "," ",Employee!$M$15)</f>
        <v>#REF!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8"/>
      <c r="E10" s="489"/>
      <c r="F10" s="486"/>
      <c r="G10" s="486"/>
      <c r="H10" s="253" t="str">
        <f>"Tax "&amp;IF($F$3="W","Week","Month")</f>
        <v>Tax Week</v>
      </c>
      <c r="I10" s="268" t="e">
        <f ca="1">INDIRECT($H$3 &amp; "!E" &amp; $H$4+1)</f>
        <v>#REF!</v>
      </c>
      <c r="J10" s="478" t="e">
        <f ca="1">IF(M8=" "," ",INDIRECT($H$3 &amp; "!D" &amp; $H$4+2+C10))</f>
        <v>#REF!</v>
      </c>
      <c r="K10" s="478"/>
      <c r="L10" s="249" t="s">
        <v>123</v>
      </c>
      <c r="M10" s="261" t="e">
        <f ca="1">IF(M8=" "," ",INDIRECT($H$3 &amp; "!C" &amp; $H$4+2+C10))</f>
        <v>#REF!</v>
      </c>
      <c r="N10" s="262"/>
    </row>
    <row r="11" spans="1:14" ht="6" customHeight="1" x14ac:dyDescent="0.15">
      <c r="A11" s="2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262"/>
    </row>
    <row r="12" spans="1:14" ht="21" customHeight="1" x14ac:dyDescent="0.15">
      <c r="A12" s="258"/>
      <c r="B12" s="474" t="s">
        <v>122</v>
      </c>
      <c r="C12" s="475"/>
      <c r="D12" s="475"/>
      <c r="E12" s="475"/>
      <c r="F12" s="475"/>
      <c r="G12" s="476" t="s">
        <v>121</v>
      </c>
      <c r="H12" s="483" t="s">
        <v>120</v>
      </c>
      <c r="I12" s="483"/>
      <c r="J12" s="483"/>
      <c r="K12" s="483"/>
      <c r="L12" s="483"/>
      <c r="M12" s="487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7"/>
      <c r="H13" s="251" t="s">
        <v>128</v>
      </c>
      <c r="I13" s="252" t="s">
        <v>112</v>
      </c>
      <c r="J13" s="463" t="s">
        <v>111</v>
      </c>
      <c r="K13" s="463"/>
      <c r="L13" s="248" t="s">
        <v>2</v>
      </c>
      <c r="M13" s="476"/>
      <c r="N13" s="262"/>
    </row>
    <row r="14" spans="1:14" s="277" customFormat="1" ht="21" customHeight="1" x14ac:dyDescent="0.15">
      <c r="A14" s="270"/>
      <c r="B14" s="271" t="e">
        <f ca="1">IF(M8=" "," ",INDIRECT($H$3 &amp; "!H" &amp; $H$4+2+C10))</f>
        <v>#REF!</v>
      </c>
      <c r="C14" s="271" t="e">
        <f ca="1">IF(M8=" "," ",INDIRECT($H$3 &amp; "!I" &amp; $H$4+2+C10))</f>
        <v>#REF!</v>
      </c>
      <c r="D14" s="271" t="e">
        <f ca="1">IF(M8=" "," ",INDIRECT($H$3 &amp; "!J" &amp; $H$4+2+C10))</f>
        <v>#REF!</v>
      </c>
      <c r="E14" s="271" t="e">
        <f ca="1">IF(M8=" "," ",INDIRECT($H$3 &amp; "!K" &amp; $H$4+2+C10))</f>
        <v>#REF!</v>
      </c>
      <c r="F14" s="272" t="e">
        <f ca="1">IF(M8=" "," ",INDIRECT($H$3 &amp; "!L" &amp; $H$4+2+C10))</f>
        <v>#REF!</v>
      </c>
      <c r="G14" s="273" t="e">
        <f ca="1">IF(M8=" "," ",INDIRECT($H$3 &amp; "!M" &amp; $H$4+2+C10))</f>
        <v>#REF!</v>
      </c>
      <c r="H14" s="274" t="e">
        <f ca="1">IF(M8=" "," ",INDIRECT($H$3 &amp; "!N" &amp; $H$4+2+C10))</f>
        <v>#REF!</v>
      </c>
      <c r="I14" s="271" t="e">
        <f ca="1">IF(M8=" "," ",INDIRECT($H$3 &amp; "!O" &amp; $H$4+2+C10))</f>
        <v>#REF!</v>
      </c>
      <c r="J14" s="458" t="e">
        <f ca="1">IF(M8=" "," ",INDIRECT($H$3 &amp; "!P" &amp; $H$4+2+C10))</f>
        <v>#REF!</v>
      </c>
      <c r="K14" s="458"/>
      <c r="L14" s="272" t="e">
        <f ca="1">IF(M8=" "," ",INDIRECT($H$3 &amp; "!Q" &amp; $H$4+2+C10))</f>
        <v>#REF!</v>
      </c>
      <c r="M14" s="275" t="e">
        <f ca="1">IF(M8=" "," ",INDIRECT($H$3 &amp; "!R" &amp; $H$4+2+C10))</f>
        <v>#REF!</v>
      </c>
      <c r="N14" s="276"/>
    </row>
    <row r="15" spans="1:14" s="279" customFormat="1" ht="21" customHeight="1" x14ac:dyDescent="0.15">
      <c r="A15" s="258"/>
      <c r="B15" s="472" t="s">
        <v>110</v>
      </c>
      <c r="C15" s="472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6" t="s">
        <v>109</v>
      </c>
      <c r="F16" s="457"/>
      <c r="G16" s="271" t="e">
        <f ca="1">IF(M8=" "," ",INDIRECT($H$3 &amp; "!V" &amp; $H$4+2+C10))</f>
        <v>#REF!</v>
      </c>
      <c r="H16" s="271" t="e">
        <f ca="1">IF(M8=" "," ",INDIRECT($H$3 &amp; "!W" &amp; $H$4+2+C10))</f>
        <v>#REF!</v>
      </c>
      <c r="I16" s="271" t="e">
        <f ca="1">IF(M8=" "," ",INDIRECT($H$3 &amp; "!X" &amp; $H$4+2+C10))</f>
        <v>#REF!</v>
      </c>
      <c r="J16" s="458" t="e">
        <f ca="1">IF(M8=" "," ",INDIRECT($H$3 &amp; "!Y" &amp; $H$4+2+C10))</f>
        <v>#REF!</v>
      </c>
      <c r="K16" s="458"/>
      <c r="L16" s="271" t="e">
        <f ca="1">IF(M8=" "," ",INDIRECT($H$3 &amp; "!Z" &amp; $H$4+2+C10))</f>
        <v>#REF!</v>
      </c>
      <c r="M16" s="271" t="e">
        <f ca="1">IF(M8=" "," ",INDIRECT($H$3 &amp; "!AA" &amp; $H$4+2+C10))</f>
        <v>#REF!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9"/>
      <c r="K17" s="459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0" t="s">
        <v>108</v>
      </c>
      <c r="K18" s="471"/>
      <c r="L18" s="471"/>
      <c r="M18" s="281" t="e">
        <f ca="1">IF(M8=" "," ",INDIRECT($H$3 &amp; "!R" &amp; $H$4))</f>
        <v>#REF!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5"/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</row>
    <row r="21" spans="1:14" ht="25" customHeight="1" x14ac:dyDescent="0.2">
      <c r="A21" s="256"/>
      <c r="B21" s="473" t="e">
        <f ca="1">IF(M28=" "," ",Employee!$D$5)</f>
        <v>#REF!</v>
      </c>
      <c r="C21" s="473"/>
      <c r="D21" s="473"/>
      <c r="E21" s="473"/>
      <c r="F21" s="473"/>
      <c r="G21" s="468" t="e">
        <f ca="1">IF(G28=" "," ",Employee!$D$41)</f>
        <v>#REF!</v>
      </c>
      <c r="H21" s="469"/>
      <c r="I21" s="480" t="e">
        <f ca="1">IF(G28=" "," ",Employee!$D$42)</f>
        <v>#REF!</v>
      </c>
      <c r="J21" s="481"/>
      <c r="K21" s="481"/>
      <c r="L21" s="460" t="s">
        <v>23</v>
      </c>
      <c r="M21" s="460"/>
      <c r="N21" s="257"/>
    </row>
    <row r="22" spans="1:14" ht="18" customHeight="1" x14ac:dyDescent="0.15">
      <c r="A22" s="258"/>
      <c r="B22" s="464" t="e">
        <f ca="1">IF(M28=" "," ",Employee!$D$6)</f>
        <v>#REF!</v>
      </c>
      <c r="C22" s="464"/>
      <c r="D22" s="465"/>
      <c r="E22" s="466"/>
      <c r="F22" s="467"/>
      <c r="G22" s="259"/>
      <c r="H22" s="260"/>
      <c r="I22" s="261"/>
      <c r="J22" s="261"/>
      <c r="K22" s="261"/>
      <c r="L22" s="261"/>
      <c r="M22" s="261" t="e">
        <f ca="1">INDIRECT($H$3 &amp; "!E" &amp; $H$4+2+C24)</f>
        <v>#REF!</v>
      </c>
      <c r="N22" s="262"/>
    </row>
    <row r="23" spans="1:14" ht="21" customHeight="1" x14ac:dyDescent="0.15">
      <c r="A23" s="258"/>
      <c r="B23" s="464" t="e">
        <f ca="1">IF(M28=" "," ",Employee!$D$7)</f>
        <v>#REF!</v>
      </c>
      <c r="C23" s="464"/>
      <c r="D23" s="464"/>
      <c r="E23" s="263" t="e">
        <f ca="1">IF(M28=" "," ",Employee!$D$9)</f>
        <v>#REF!</v>
      </c>
      <c r="F23" s="264"/>
      <c r="G23" s="265"/>
      <c r="H23" s="249" t="s">
        <v>127</v>
      </c>
      <c r="I23" s="266" t="e">
        <f ca="1">I9</f>
        <v>#REF!</v>
      </c>
      <c r="J23" s="482" t="s">
        <v>6</v>
      </c>
      <c r="K23" s="482"/>
      <c r="L23" s="249" t="s">
        <v>126</v>
      </c>
      <c r="M23" s="261" t="e">
        <f ca="1">IF(M22=" "," ",Employee!$M$41)</f>
        <v>#REF!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9"/>
      <c r="G24" s="459"/>
      <c r="H24" s="253" t="s">
        <v>124</v>
      </c>
      <c r="I24" s="268" t="e">
        <f ca="1">I10</f>
        <v>#REF!</v>
      </c>
      <c r="J24" s="478" t="e">
        <f ca="1">IF(M22=" "," ",INDIRECT($H$3 &amp; "!D" &amp; $H$4+2+C24))</f>
        <v>#REF!</v>
      </c>
      <c r="K24" s="478"/>
      <c r="L24" s="249" t="s">
        <v>123</v>
      </c>
      <c r="M24" s="261" t="e">
        <f ca="1">IF(M22=" "," ",INDIRECT($H$3 &amp; "!C" &amp; $H$4+2+C24))</f>
        <v>#REF!</v>
      </c>
      <c r="N24" s="262"/>
    </row>
    <row r="25" spans="1:14" ht="6" customHeight="1" x14ac:dyDescent="0.15">
      <c r="A25" s="258"/>
      <c r="B25" s="459"/>
      <c r="C25" s="459"/>
      <c r="D25" s="459"/>
      <c r="E25" s="459"/>
      <c r="F25" s="459"/>
      <c r="G25" s="459"/>
      <c r="H25" s="459"/>
      <c r="I25" s="459"/>
      <c r="J25" s="459"/>
      <c r="K25" s="459"/>
      <c r="L25" s="459"/>
      <c r="M25" s="459"/>
      <c r="N25" s="262"/>
    </row>
    <row r="26" spans="1:14" ht="21" customHeight="1" x14ac:dyDescent="0.15">
      <c r="A26" s="258"/>
      <c r="B26" s="474" t="s">
        <v>122</v>
      </c>
      <c r="C26" s="475"/>
      <c r="D26" s="475"/>
      <c r="E26" s="475"/>
      <c r="F26" s="475"/>
      <c r="G26" s="476" t="s">
        <v>121</v>
      </c>
      <c r="H26" s="474" t="s">
        <v>120</v>
      </c>
      <c r="I26" s="483"/>
      <c r="J26" s="483"/>
      <c r="K26" s="483"/>
      <c r="L26" s="483"/>
      <c r="M26" s="46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7"/>
      <c r="H27" s="252" t="s">
        <v>128</v>
      </c>
      <c r="I27" s="252" t="s">
        <v>112</v>
      </c>
      <c r="J27" s="463" t="s">
        <v>111</v>
      </c>
      <c r="K27" s="463"/>
      <c r="L27" s="248" t="s">
        <v>2</v>
      </c>
      <c r="M27" s="462"/>
      <c r="N27" s="262"/>
    </row>
    <row r="28" spans="1:14" s="279" customFormat="1" ht="21" customHeight="1" x14ac:dyDescent="0.15">
      <c r="A28" s="258"/>
      <c r="B28" s="271" t="e">
        <f ca="1">IF(M22=" "," ",INDIRECT($H$3 &amp; "!H" &amp; $H$4+2+C24))</f>
        <v>#REF!</v>
      </c>
      <c r="C28" s="271" t="e">
        <f ca="1">IF(M22=" "," ",INDIRECT($H$3 &amp; "!I" &amp; $H$4+2+C24))</f>
        <v>#REF!</v>
      </c>
      <c r="D28" s="271" t="e">
        <f ca="1">IF(M22=" "," ",INDIRECT($H$3 &amp; "!J" &amp; $H$4+2+C24))</f>
        <v>#REF!</v>
      </c>
      <c r="E28" s="271" t="e">
        <f ca="1">IF(M22=" "," ",INDIRECT($H$3 &amp; "!K" &amp; $H$4+2+C24))</f>
        <v>#REF!</v>
      </c>
      <c r="F28" s="272" t="e">
        <f ca="1">IF(M22=" "," ",INDIRECT($H$3 &amp; "!L" &amp; $H$4+2+C24))</f>
        <v>#REF!</v>
      </c>
      <c r="G28" s="273" t="e">
        <f ca="1">IF(M22=" "," ",INDIRECT($H$3 &amp; "!M" &amp; $H$4+2+C24))</f>
        <v>#REF!</v>
      </c>
      <c r="H28" s="274" t="e">
        <f ca="1">IF(M22=" "," ",INDIRECT($H$3 &amp; "!N" &amp; $H$4+2+C24))</f>
        <v>#REF!</v>
      </c>
      <c r="I28" s="271" t="e">
        <f ca="1">IF(M22=" "," ",INDIRECT($H$3 &amp; "!O" &amp; $H$4+2+C24))</f>
        <v>#REF!</v>
      </c>
      <c r="J28" s="458" t="e">
        <f ca="1">IF(M22=" "," ",INDIRECT($H$3 &amp; "!P" &amp; $H$4+2+C24))</f>
        <v>#REF!</v>
      </c>
      <c r="K28" s="458"/>
      <c r="L28" s="272" t="e">
        <f ca="1">IF(M22=" "," ",INDIRECT($H$3 &amp; "!Q" &amp; $H$4+2+C24))</f>
        <v>#REF!</v>
      </c>
      <c r="M28" s="275" t="e">
        <f ca="1">IF(M22=" "," ",INDIRECT($H$3 &amp; "!R" &amp; $H$4+2+C24))</f>
        <v>#REF!</v>
      </c>
      <c r="N28" s="262"/>
    </row>
    <row r="29" spans="1:14" s="279" customFormat="1" ht="21" customHeight="1" x14ac:dyDescent="0.15">
      <c r="A29" s="258"/>
      <c r="B29" s="472" t="s">
        <v>110</v>
      </c>
      <c r="C29" s="472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6" t="s">
        <v>109</v>
      </c>
      <c r="F30" s="457"/>
      <c r="G30" s="271" t="e">
        <f ca="1">IF(M22=" "," ",INDIRECT($H$3 &amp; "!V" &amp; $H$4+2+C24))</f>
        <v>#REF!</v>
      </c>
      <c r="H30" s="271" t="e">
        <f ca="1">IF(M22=" "," ",INDIRECT($H$3 &amp; "!W" &amp; $H$4+2+C24))</f>
        <v>#REF!</v>
      </c>
      <c r="I30" s="271" t="e">
        <f ca="1">IF(M22=" "," ",INDIRECT($H$3 &amp; "!X" &amp; $H$4+2+C24))</f>
        <v>#REF!</v>
      </c>
      <c r="J30" s="458" t="e">
        <f ca="1">IF(M22=" "," ",INDIRECT($H$3 &amp; "!Y" &amp; $H$4+2+C24))</f>
        <v>#REF!</v>
      </c>
      <c r="K30" s="458"/>
      <c r="L30" s="271" t="e">
        <f ca="1">IF(M22=" "," ",INDIRECT($H$3 &amp; "!Z" &amp; $H$4+2+C24))</f>
        <v>#REF!</v>
      </c>
      <c r="M30" s="271" t="e">
        <f ca="1">IF(M22=" "," ",INDIRECT($H$3 &amp; "!AA" &amp; $H$4+2+C24))</f>
        <v>#REF!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9"/>
      <c r="K31" s="459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0" t="s">
        <v>108</v>
      </c>
      <c r="K32" s="471"/>
      <c r="L32" s="471"/>
      <c r="M32" s="281" t="e">
        <f ca="1">M18</f>
        <v>#REF!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4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</row>
    <row r="35" spans="1:14" ht="21" customHeight="1" x14ac:dyDescent="0.15">
      <c r="A35" s="455"/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</row>
    <row r="36" spans="1:14" ht="25" customHeight="1" x14ac:dyDescent="0.2">
      <c r="A36" s="256"/>
      <c r="B36" s="473" t="e">
        <f ca="1">IF(M43=" "," ",Employee!$D$5)</f>
        <v>#REF!</v>
      </c>
      <c r="C36" s="473"/>
      <c r="D36" s="473"/>
      <c r="E36" s="473"/>
      <c r="F36" s="473"/>
      <c r="G36" s="468" t="e">
        <f ca="1">IF(G43=" "," ",Employee!$D$67)</f>
        <v>#REF!</v>
      </c>
      <c r="H36" s="469"/>
      <c r="I36" s="480" t="e">
        <f ca="1">IF(G43=" "," ",Employee!$D$68)</f>
        <v>#REF!</v>
      </c>
      <c r="J36" s="481"/>
      <c r="K36" s="481"/>
      <c r="L36" s="460" t="s">
        <v>23</v>
      </c>
      <c r="M36" s="460"/>
      <c r="N36" s="257"/>
    </row>
    <row r="37" spans="1:14" ht="18" customHeight="1" x14ac:dyDescent="0.15">
      <c r="A37" s="258"/>
      <c r="B37" s="464" t="e">
        <f ca="1">IF(M43=" "," ",Employee!$D$6)</f>
        <v>#REF!</v>
      </c>
      <c r="C37" s="464"/>
      <c r="D37" s="465"/>
      <c r="E37" s="466"/>
      <c r="F37" s="467"/>
      <c r="G37" s="259"/>
      <c r="H37" s="260"/>
      <c r="I37" s="261"/>
      <c r="J37" s="261"/>
      <c r="K37" s="261"/>
      <c r="L37" s="261"/>
      <c r="M37" s="261" t="e">
        <f ca="1">INDIRECT($H$3 &amp; "!E" &amp; $H$4+2+C39)</f>
        <v>#REF!</v>
      </c>
      <c r="N37" s="262"/>
    </row>
    <row r="38" spans="1:14" ht="21" customHeight="1" x14ac:dyDescent="0.15">
      <c r="A38" s="258"/>
      <c r="B38" s="464" t="e">
        <f ca="1">IF(M43=" "," ",Employee!$D$7)</f>
        <v>#REF!</v>
      </c>
      <c r="C38" s="464"/>
      <c r="D38" s="464"/>
      <c r="E38" s="263" t="e">
        <f ca="1">IF(M43=" "," ",Employee!$D$9)</f>
        <v>#REF!</v>
      </c>
      <c r="F38" s="264"/>
      <c r="G38" s="265"/>
      <c r="H38" s="249" t="s">
        <v>127</v>
      </c>
      <c r="I38" s="266" t="e">
        <f ca="1">I23</f>
        <v>#REF!</v>
      </c>
      <c r="J38" s="482" t="s">
        <v>6</v>
      </c>
      <c r="K38" s="482"/>
      <c r="L38" s="249" t="s">
        <v>126</v>
      </c>
      <c r="M38" s="261" t="e">
        <f ca="1">IF(M37=" "," ",Employee!$M$67)</f>
        <v>#REF!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9"/>
      <c r="G39" s="459"/>
      <c r="H39" s="253" t="s">
        <v>124</v>
      </c>
      <c r="I39" s="268" t="e">
        <f ca="1">I24</f>
        <v>#REF!</v>
      </c>
      <c r="J39" s="478" t="e">
        <f ca="1">IF(M37=" "," ",INDIRECT($H$3 &amp; "!D" &amp; $H$4+2+C39))</f>
        <v>#REF!</v>
      </c>
      <c r="K39" s="478"/>
      <c r="L39" s="249" t="s">
        <v>123</v>
      </c>
      <c r="M39" s="261" t="e">
        <f ca="1">IF(M37=" "," ",INDIRECT($H$3 &amp; "!C" &amp; $H$4+2+C39))</f>
        <v>#REF!</v>
      </c>
      <c r="N39" s="262"/>
    </row>
    <row r="40" spans="1:14" ht="6" customHeight="1" x14ac:dyDescent="0.15">
      <c r="A40" s="258"/>
      <c r="B40" s="459"/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262"/>
    </row>
    <row r="41" spans="1:14" ht="21" customHeight="1" x14ac:dyDescent="0.15">
      <c r="A41" s="258"/>
      <c r="B41" s="474" t="s">
        <v>122</v>
      </c>
      <c r="C41" s="475"/>
      <c r="D41" s="475"/>
      <c r="E41" s="475"/>
      <c r="F41" s="475"/>
      <c r="G41" s="476" t="s">
        <v>121</v>
      </c>
      <c r="H41" s="474" t="s">
        <v>120</v>
      </c>
      <c r="I41" s="483"/>
      <c r="J41" s="483"/>
      <c r="K41" s="483"/>
      <c r="L41" s="483"/>
      <c r="M41" s="46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7"/>
      <c r="H42" s="252" t="s">
        <v>128</v>
      </c>
      <c r="I42" s="252" t="s">
        <v>112</v>
      </c>
      <c r="J42" s="463" t="s">
        <v>111</v>
      </c>
      <c r="K42" s="463"/>
      <c r="L42" s="248" t="s">
        <v>2</v>
      </c>
      <c r="M42" s="462"/>
      <c r="N42" s="262"/>
    </row>
    <row r="43" spans="1:14" s="279" customFormat="1" ht="21" customHeight="1" x14ac:dyDescent="0.15">
      <c r="A43" s="258"/>
      <c r="B43" s="271" t="e">
        <f ca="1">IF(M37=" "," ",INDIRECT($H$3 &amp; "!H" &amp; $H$4+2+C39))</f>
        <v>#REF!</v>
      </c>
      <c r="C43" s="271" t="e">
        <f ca="1">IF(M37=" "," ",INDIRECT($H$3 &amp; "!I" &amp; $H$4+2+C39))</f>
        <v>#REF!</v>
      </c>
      <c r="D43" s="271" t="e">
        <f ca="1">IF(M37=" "," ",INDIRECT($H$3 &amp; "!J" &amp; $H$4+2+C39))</f>
        <v>#REF!</v>
      </c>
      <c r="E43" s="271" t="e">
        <f ca="1">IF(M37=" "," ",INDIRECT($H$3 &amp; "!K" &amp; $H$4+2+C39))</f>
        <v>#REF!</v>
      </c>
      <c r="F43" s="272" t="e">
        <f ca="1">IF(M37=" "," ",INDIRECT($H$3 &amp; "!L" &amp; $H$4+2+C39))</f>
        <v>#REF!</v>
      </c>
      <c r="G43" s="273" t="e">
        <f ca="1">IF(M37=" "," ",INDIRECT($H$3 &amp; "!M" &amp; $H$4+2+C39))</f>
        <v>#REF!</v>
      </c>
      <c r="H43" s="274" t="e">
        <f ca="1">IF(M37=" "," ",INDIRECT($H$3 &amp; "!N" &amp; $H$4+2+C39))</f>
        <v>#REF!</v>
      </c>
      <c r="I43" s="271" t="e">
        <f ca="1">IF(M37=" "," ",INDIRECT($H$3 &amp; "!O" &amp; $H$4+2+C39))</f>
        <v>#REF!</v>
      </c>
      <c r="J43" s="458" t="e">
        <f ca="1">IF(M37=" "," ",INDIRECT($H$3 &amp; "!P" &amp; $H$4+2+C39))</f>
        <v>#REF!</v>
      </c>
      <c r="K43" s="458"/>
      <c r="L43" s="272" t="e">
        <f ca="1">IF(M37=" "," ",INDIRECT($H$3 &amp; "!Q" &amp; $H$4+2+C39))</f>
        <v>#REF!</v>
      </c>
      <c r="M43" s="275" t="e">
        <f ca="1">IF(M37=" "," ",INDIRECT($H$3 &amp; "!R" &amp; $H$4+2+C39))</f>
        <v>#REF!</v>
      </c>
      <c r="N43" s="262"/>
    </row>
    <row r="44" spans="1:14" s="279" customFormat="1" ht="21" customHeight="1" x14ac:dyDescent="0.15">
      <c r="A44" s="258"/>
      <c r="B44" s="472" t="s">
        <v>110</v>
      </c>
      <c r="C44" s="472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6" t="s">
        <v>109</v>
      </c>
      <c r="F45" s="457"/>
      <c r="G45" s="271" t="e">
        <f ca="1">IF(M37=" "," ",INDIRECT($H$3 &amp; "!V" &amp; $H$4+2+C39))</f>
        <v>#REF!</v>
      </c>
      <c r="H45" s="271" t="e">
        <f ca="1">IF(M37=" "," ",INDIRECT($H$3 &amp; "!W" &amp; $H$4+2+C39))</f>
        <v>#REF!</v>
      </c>
      <c r="I45" s="271" t="e">
        <f ca="1">IF(M37=" "," ",INDIRECT($H$3 &amp; "!X" &amp; $H$4+2+C39))</f>
        <v>#REF!</v>
      </c>
      <c r="J45" s="458" t="e">
        <f ca="1">IF(M37=" "," ",INDIRECT($H$3 &amp; "!Y" &amp; $H$4+2+C39))</f>
        <v>#REF!</v>
      </c>
      <c r="K45" s="458"/>
      <c r="L45" s="271" t="e">
        <f ca="1">IF(M37=" "," ",INDIRECT($H$3 &amp; "!Z" &amp; $H$4+2+C39))</f>
        <v>#REF!</v>
      </c>
      <c r="M45" s="271" t="e">
        <f ca="1">IF(M37=" "," ",INDIRECT($H$3 &amp; "!AA" &amp; $H$4+2+C39))</f>
        <v>#REF!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9"/>
      <c r="K46" s="459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0" t="s">
        <v>108</v>
      </c>
      <c r="K47" s="471"/>
      <c r="L47" s="471"/>
      <c r="M47" s="281" t="e">
        <f ca="1">M32</f>
        <v>#REF!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5"/>
      <c r="B49" s="455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</row>
    <row r="50" spans="1:14" ht="25" customHeight="1" x14ac:dyDescent="0.2">
      <c r="A50" s="256"/>
      <c r="B50" s="473" t="e">
        <f ca="1">IF(M57=" "," ",Employee!$D$5)</f>
        <v>#REF!</v>
      </c>
      <c r="C50" s="473"/>
      <c r="D50" s="473"/>
      <c r="E50" s="473"/>
      <c r="F50" s="473"/>
      <c r="G50" s="468" t="e">
        <f ca="1">IF(G57=" "," ",Employee!$D$93)</f>
        <v>#REF!</v>
      </c>
      <c r="H50" s="469"/>
      <c r="I50" s="480" t="e">
        <f ca="1">IF(G57=" "," ",Employee!$D$94)</f>
        <v>#REF!</v>
      </c>
      <c r="J50" s="481"/>
      <c r="K50" s="481"/>
      <c r="L50" s="460" t="s">
        <v>23</v>
      </c>
      <c r="M50" s="460"/>
      <c r="N50" s="257"/>
    </row>
    <row r="51" spans="1:14" ht="18" customHeight="1" x14ac:dyDescent="0.15">
      <c r="A51" s="258"/>
      <c r="B51" s="464" t="e">
        <f ca="1">IF(M57=" "," ",Employee!$D$6)</f>
        <v>#REF!</v>
      </c>
      <c r="C51" s="464"/>
      <c r="D51" s="465"/>
      <c r="E51" s="466"/>
      <c r="F51" s="467"/>
      <c r="G51" s="259"/>
      <c r="H51" s="260"/>
      <c r="I51" s="261"/>
      <c r="J51" s="261"/>
      <c r="K51" s="261"/>
      <c r="L51" s="261"/>
      <c r="M51" s="261" t="e">
        <f ca="1">INDIRECT($H$3 &amp; "!E" &amp; $H$4+2+C53)</f>
        <v>#REF!</v>
      </c>
      <c r="N51" s="262"/>
    </row>
    <row r="52" spans="1:14" ht="21" customHeight="1" x14ac:dyDescent="0.15">
      <c r="A52" s="258"/>
      <c r="B52" s="464" t="e">
        <f ca="1">IF(M57=" "," ",Employee!$D$7)</f>
        <v>#REF!</v>
      </c>
      <c r="C52" s="464"/>
      <c r="D52" s="464"/>
      <c r="E52" s="263" t="e">
        <f ca="1">IF(M57=" "," ",Employee!$D$9)</f>
        <v>#REF!</v>
      </c>
      <c r="F52" s="264"/>
      <c r="G52" s="265"/>
      <c r="H52" s="249" t="s">
        <v>127</v>
      </c>
      <c r="I52" s="266" t="e">
        <f ca="1">I38</f>
        <v>#REF!</v>
      </c>
      <c r="J52" s="482" t="s">
        <v>6</v>
      </c>
      <c r="K52" s="482"/>
      <c r="L52" s="249" t="s">
        <v>126</v>
      </c>
      <c r="M52" s="261" t="e">
        <f ca="1">IF(M51=" "," ",Employee!$M$93)</f>
        <v>#REF!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9"/>
      <c r="G53" s="459"/>
      <c r="H53" s="253" t="s">
        <v>124</v>
      </c>
      <c r="I53" s="268" t="e">
        <f ca="1">I39</f>
        <v>#REF!</v>
      </c>
      <c r="J53" s="478" t="e">
        <f ca="1">IF(M51=" "," ",INDIRECT($H$3 &amp; "!D" &amp; $H$4+2+C53))</f>
        <v>#REF!</v>
      </c>
      <c r="K53" s="478"/>
      <c r="L53" s="249" t="s">
        <v>123</v>
      </c>
      <c r="M53" s="261" t="e">
        <f ca="1">IF(M51=" "," ",INDIRECT($H$3 &amp; "!C" &amp; $H$4+2+C53))</f>
        <v>#REF!</v>
      </c>
      <c r="N53" s="262"/>
    </row>
    <row r="54" spans="1:14" ht="6" customHeight="1" x14ac:dyDescent="0.15">
      <c r="A54" s="258"/>
      <c r="B54" s="459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262"/>
    </row>
    <row r="55" spans="1:14" ht="21" customHeight="1" x14ac:dyDescent="0.15">
      <c r="A55" s="258"/>
      <c r="B55" s="474" t="s">
        <v>122</v>
      </c>
      <c r="C55" s="475"/>
      <c r="D55" s="475"/>
      <c r="E55" s="475"/>
      <c r="F55" s="475"/>
      <c r="G55" s="476" t="s">
        <v>121</v>
      </c>
      <c r="H55" s="474" t="s">
        <v>120</v>
      </c>
      <c r="I55" s="483"/>
      <c r="J55" s="483"/>
      <c r="K55" s="483"/>
      <c r="L55" s="483"/>
      <c r="M55" s="46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7"/>
      <c r="H56" s="252" t="s">
        <v>128</v>
      </c>
      <c r="I56" s="252" t="s">
        <v>112</v>
      </c>
      <c r="J56" s="463" t="s">
        <v>111</v>
      </c>
      <c r="K56" s="463"/>
      <c r="L56" s="248" t="s">
        <v>2</v>
      </c>
      <c r="M56" s="462"/>
      <c r="N56" s="262"/>
    </row>
    <row r="57" spans="1:14" s="279" customFormat="1" ht="21" customHeight="1" x14ac:dyDescent="0.15">
      <c r="A57" s="258"/>
      <c r="B57" s="271" t="e">
        <f ca="1">IF(M51=" "," ",INDIRECT($H$3 &amp; "!H" &amp; $H$4+2+C53))</f>
        <v>#REF!</v>
      </c>
      <c r="C57" s="271" t="e">
        <f ca="1">IF(M51=" "," ",INDIRECT($H$3 &amp; "!I" &amp; $H$4+2+C53))</f>
        <v>#REF!</v>
      </c>
      <c r="D57" s="271" t="e">
        <f ca="1">IF(M51=" "," ",INDIRECT($H$3 &amp; "!J" &amp; $H$4+2+C53))</f>
        <v>#REF!</v>
      </c>
      <c r="E57" s="271" t="e">
        <f ca="1">IF(M51=" "," ",INDIRECT($H$3 &amp; "!K" &amp; $H$4+2+C53))</f>
        <v>#REF!</v>
      </c>
      <c r="F57" s="272" t="e">
        <f ca="1">IF(M51=" "," ",INDIRECT($H$3 &amp; "!L" &amp; $H$4+2+C53))</f>
        <v>#REF!</v>
      </c>
      <c r="G57" s="273" t="e">
        <f ca="1">IF(M51=" "," ",INDIRECT($H$3 &amp; "!M" &amp; $H$4+2+C53))</f>
        <v>#REF!</v>
      </c>
      <c r="H57" s="274" t="e">
        <f ca="1">IF(M51=" "," ",INDIRECT($H$3 &amp; "!N" &amp; $H$4+2+C53))</f>
        <v>#REF!</v>
      </c>
      <c r="I57" s="271" t="e">
        <f ca="1">IF(M51=" "," ",INDIRECT($H$3 &amp; "!O" &amp; $H$4+2+C53))</f>
        <v>#REF!</v>
      </c>
      <c r="J57" s="458" t="e">
        <f ca="1">IF(M51=" "," ",INDIRECT($H$3 &amp; "!P" &amp; $H$4+2+C53))</f>
        <v>#REF!</v>
      </c>
      <c r="K57" s="458"/>
      <c r="L57" s="272" t="e">
        <f ca="1">IF(M51=" "," ",INDIRECT($H$3 &amp; "!Q" &amp; $H$4+2+C53))</f>
        <v>#REF!</v>
      </c>
      <c r="M57" s="275" t="e">
        <f ca="1">IF(M51=" "," ",INDIRECT($H$3 &amp; "!R" &amp; $H$4+2+C53))</f>
        <v>#REF!</v>
      </c>
      <c r="N57" s="262"/>
    </row>
    <row r="58" spans="1:14" s="279" customFormat="1" ht="21" customHeight="1" x14ac:dyDescent="0.15">
      <c r="A58" s="258"/>
      <c r="B58" s="472" t="s">
        <v>110</v>
      </c>
      <c r="C58" s="472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6" t="s">
        <v>109</v>
      </c>
      <c r="F59" s="457"/>
      <c r="G59" s="271" t="e">
        <f ca="1">IF(M51=" "," ",INDIRECT($H$3 &amp; "!V" &amp; $H$4+2+C53))</f>
        <v>#REF!</v>
      </c>
      <c r="H59" s="271" t="e">
        <f ca="1">IF(M51=" "," ",INDIRECT($H$3 &amp; "!W" &amp; $H$4+2+C53))</f>
        <v>#REF!</v>
      </c>
      <c r="I59" s="271" t="e">
        <f ca="1">IF(M51=" "," ",INDIRECT($H$3 &amp; "!X" &amp; $H$4+2+C53))</f>
        <v>#REF!</v>
      </c>
      <c r="J59" s="458" t="e">
        <f ca="1">IF(M51=" "," ",INDIRECT($H$3 &amp; "!Y" &amp; $H$4+2+C53))</f>
        <v>#REF!</v>
      </c>
      <c r="K59" s="458"/>
      <c r="L59" s="271" t="e">
        <f ca="1">IF(M51=" "," ",INDIRECT($H$3 &amp; "!Z" &amp; $H$4+2+C53))</f>
        <v>#REF!</v>
      </c>
      <c r="M59" s="271" t="e">
        <f ca="1">IF(M51=" "," ",INDIRECT($H$3 &amp; "!AA" &amp; $H$4+2+C53))</f>
        <v>#REF!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9"/>
      <c r="K60" s="459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0" t="s">
        <v>108</v>
      </c>
      <c r="K61" s="471"/>
      <c r="L61" s="471"/>
      <c r="M61" s="281" t="e">
        <f ca="1">M47</f>
        <v>#REF!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4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</row>
    <row r="64" spans="1:14" ht="21" customHeight="1" x14ac:dyDescent="0.15">
      <c r="A64" s="455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</row>
    <row r="65" spans="1:14" ht="25" customHeight="1" x14ac:dyDescent="0.2">
      <c r="A65" s="256"/>
      <c r="B65" s="473" t="e">
        <f ca="1">IF(M72=" "," ",Employee!$D$5)</f>
        <v>#REF!</v>
      </c>
      <c r="C65" s="473"/>
      <c r="D65" s="473"/>
      <c r="E65" s="473"/>
      <c r="F65" s="473"/>
      <c r="G65" s="468" t="e">
        <f ca="1">IF(G72=" "," ",Employee!$D$119)</f>
        <v>#REF!</v>
      </c>
      <c r="H65" s="469"/>
      <c r="I65" s="480" t="e">
        <f ca="1">IF(G72=" "," ",Employee!$D$120)</f>
        <v>#REF!</v>
      </c>
      <c r="J65" s="481"/>
      <c r="K65" s="481"/>
      <c r="L65" s="460" t="s">
        <v>23</v>
      </c>
      <c r="M65" s="460"/>
      <c r="N65" s="257"/>
    </row>
    <row r="66" spans="1:14" ht="18" customHeight="1" x14ac:dyDescent="0.15">
      <c r="A66" s="258"/>
      <c r="B66" s="464" t="e">
        <f ca="1">IF(M72=" "," ",Employee!$D$6)</f>
        <v>#REF!</v>
      </c>
      <c r="C66" s="464"/>
      <c r="D66" s="465"/>
      <c r="E66" s="466"/>
      <c r="F66" s="467"/>
      <c r="G66" s="259"/>
      <c r="H66" s="260"/>
      <c r="I66" s="261"/>
      <c r="J66" s="261"/>
      <c r="K66" s="261"/>
      <c r="L66" s="261"/>
      <c r="M66" s="261" t="e">
        <f ca="1">INDIRECT($H$3 &amp; "!E" &amp; $H$4+2+C68)</f>
        <v>#REF!</v>
      </c>
      <c r="N66" s="262"/>
    </row>
    <row r="67" spans="1:14" ht="21" customHeight="1" x14ac:dyDescent="0.15">
      <c r="A67" s="258"/>
      <c r="B67" s="464" t="e">
        <f ca="1">IF(M72=" "," ",Employee!$D$7)</f>
        <v>#REF!</v>
      </c>
      <c r="C67" s="464"/>
      <c r="D67" s="464"/>
      <c r="E67" s="263" t="e">
        <f ca="1">IF(M72=" "," ",Employee!$D$9)</f>
        <v>#REF!</v>
      </c>
      <c r="F67" s="264"/>
      <c r="G67" s="265"/>
      <c r="H67" s="249" t="s">
        <v>127</v>
      </c>
      <c r="I67" s="266" t="e">
        <f ca="1">I52</f>
        <v>#REF!</v>
      </c>
      <c r="J67" s="482" t="s">
        <v>6</v>
      </c>
      <c r="K67" s="482"/>
      <c r="L67" s="249" t="s">
        <v>126</v>
      </c>
      <c r="M67" s="261" t="e">
        <f ca="1">IF(M66=" "," ",Employee!$M$119)</f>
        <v>#REF!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9"/>
      <c r="G68" s="459"/>
      <c r="H68" s="253" t="s">
        <v>124</v>
      </c>
      <c r="I68" s="268" t="e">
        <f ca="1">I53</f>
        <v>#REF!</v>
      </c>
      <c r="J68" s="478" t="e">
        <f ca="1">IF(M66=" "," ",INDIRECT($H$3 &amp; "!D" &amp; $H$4+2+C68))</f>
        <v>#REF!</v>
      </c>
      <c r="K68" s="478"/>
      <c r="L68" s="249" t="s">
        <v>123</v>
      </c>
      <c r="M68" s="261" t="e">
        <f ca="1">IF(M66=" "," ",INDIRECT($H$3 &amp; "!C" &amp; $H$4+2+C68))</f>
        <v>#REF!</v>
      </c>
      <c r="N68" s="262"/>
    </row>
    <row r="69" spans="1:14" ht="6" customHeight="1" x14ac:dyDescent="0.15">
      <c r="A69" s="258"/>
      <c r="B69" s="459"/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262"/>
    </row>
    <row r="70" spans="1:14" ht="21" customHeight="1" x14ac:dyDescent="0.15">
      <c r="A70" s="258"/>
      <c r="B70" s="474" t="s">
        <v>122</v>
      </c>
      <c r="C70" s="475"/>
      <c r="D70" s="475"/>
      <c r="E70" s="475"/>
      <c r="F70" s="475"/>
      <c r="G70" s="476" t="s">
        <v>121</v>
      </c>
      <c r="H70" s="474" t="s">
        <v>120</v>
      </c>
      <c r="I70" s="483"/>
      <c r="J70" s="483"/>
      <c r="K70" s="483"/>
      <c r="L70" s="483"/>
      <c r="M70" s="46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7"/>
      <c r="H71" s="252" t="s">
        <v>113</v>
      </c>
      <c r="I71" s="252" t="s">
        <v>112</v>
      </c>
      <c r="J71" s="463" t="s">
        <v>111</v>
      </c>
      <c r="K71" s="463"/>
      <c r="L71" s="248" t="s">
        <v>2</v>
      </c>
      <c r="M71" s="462"/>
      <c r="N71" s="262"/>
    </row>
    <row r="72" spans="1:14" s="279" customFormat="1" ht="21" customHeight="1" x14ac:dyDescent="0.15">
      <c r="A72" s="258"/>
      <c r="B72" s="271" t="e">
        <f ca="1">IF(M66=" "," ",INDIRECT($H$3 &amp; "!H" &amp; $H$4+2+C68))</f>
        <v>#REF!</v>
      </c>
      <c r="C72" s="271" t="e">
        <f ca="1">IF(M66=" "," ",INDIRECT($H$3 &amp; "!I" &amp; $H$4+2+C68))</f>
        <v>#REF!</v>
      </c>
      <c r="D72" s="271" t="e">
        <f ca="1">IF(M66=" "," ",INDIRECT($H$3 &amp; "!J" &amp; $H$4+2+C68))</f>
        <v>#REF!</v>
      </c>
      <c r="E72" s="271" t="e">
        <f ca="1">IF(M66=" "," ",INDIRECT($H$3 &amp; "!K" &amp; $H$4+2+C68))</f>
        <v>#REF!</v>
      </c>
      <c r="F72" s="272" t="e">
        <f ca="1">IF(M66=" "," ",INDIRECT($H$3 &amp; "!L" &amp; $H$4+2+C68))</f>
        <v>#REF!</v>
      </c>
      <c r="G72" s="273" t="e">
        <f ca="1">IF(M66=" "," ",INDIRECT($H$3 &amp; "!M" &amp; $H$4+2+C68))</f>
        <v>#REF!</v>
      </c>
      <c r="H72" s="274" t="e">
        <f ca="1">IF(M66=" "," ",INDIRECT($H$3 &amp; "!N" &amp; $H$4+2+C68))</f>
        <v>#REF!</v>
      </c>
      <c r="I72" s="271" t="e">
        <f ca="1">IF(M66=" "," ",INDIRECT($H$3 &amp; "!O" &amp; $H$4+2+C68))</f>
        <v>#REF!</v>
      </c>
      <c r="J72" s="458" t="e">
        <f ca="1">IF(M66=" "," ",INDIRECT($H$3 &amp; "!P" &amp; $H$4+2+C68))</f>
        <v>#REF!</v>
      </c>
      <c r="K72" s="458"/>
      <c r="L72" s="272" t="e">
        <f ca="1">IF(M66=" "," ",INDIRECT($H$3 &amp; "!Q" &amp; $H$4+2+C68))</f>
        <v>#REF!</v>
      </c>
      <c r="M72" s="275" t="e">
        <f ca="1">IF(M66=" "," ",INDIRECT($H$3 &amp; "!R" &amp; $H$4+2+C68))</f>
        <v>#REF!</v>
      </c>
      <c r="N72" s="262"/>
    </row>
    <row r="73" spans="1:14" s="279" customFormat="1" ht="21" customHeight="1" x14ac:dyDescent="0.15">
      <c r="A73" s="258"/>
      <c r="B73" s="472" t="s">
        <v>110</v>
      </c>
      <c r="C73" s="472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6" t="s">
        <v>109</v>
      </c>
      <c r="F74" s="457"/>
      <c r="G74" s="271" t="e">
        <f ca="1">IF(M66=" "," ",INDIRECT($H$3 &amp; "!V" &amp; $H$4+2+C68))</f>
        <v>#REF!</v>
      </c>
      <c r="H74" s="271" t="e">
        <f ca="1">IF(M66=" "," ",INDIRECT($H$3 &amp; "!W" &amp; $H$4+2+C68))</f>
        <v>#REF!</v>
      </c>
      <c r="I74" s="271" t="e">
        <f ca="1">IF(M66=" "," ",INDIRECT($H$3 &amp; "!X" &amp; $H$4+2+C68))</f>
        <v>#REF!</v>
      </c>
      <c r="J74" s="458" t="e">
        <f ca="1">IF(M66=" "," ",INDIRECT($H$3 &amp; "!Y" &amp; $H$4+2+C68))</f>
        <v>#REF!</v>
      </c>
      <c r="K74" s="458"/>
      <c r="L74" s="271" t="e">
        <f ca="1">IF(M66=" "," ",INDIRECT($H$3 &amp; "!Z" &amp; $H$4+2+C68))</f>
        <v>#REF!</v>
      </c>
      <c r="M74" s="271" t="e">
        <f ca="1">IF(M66=" "," ",INDIRECT($H$3 &amp; "!AA" &amp; $H$4+2+C68))</f>
        <v>#REF!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9"/>
      <c r="K75" s="459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0" t="s">
        <v>108</v>
      </c>
      <c r="K76" s="471"/>
      <c r="L76" s="471"/>
      <c r="M76" s="281" t="e">
        <f ca="1">M61</f>
        <v>#REF!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5"/>
      <c r="B78" s="455"/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45412</v>
      </c>
      <c r="C4" s="229">
        <f>Admin!$B$45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45443</v>
      </c>
      <c r="C5" s="229">
        <f>Admin!$B$76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45473</v>
      </c>
      <c r="C6" s="229">
        <f>Admin!$B$106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45504</v>
      </c>
      <c r="C7" s="229">
        <f>Admin!$B$137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45535</v>
      </c>
      <c r="C8" s="229">
        <f>Admin!$B$168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45565</v>
      </c>
      <c r="C9" s="229">
        <f>Admin!$B$198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45596</v>
      </c>
      <c r="C10" s="229">
        <f>Admin!$B$229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45626</v>
      </c>
      <c r="C11" s="229">
        <f>Admin!$B$259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45657</v>
      </c>
      <c r="C12" s="229">
        <f>Admin!$B$290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45688</v>
      </c>
      <c r="C13" s="229">
        <f>Admin!$B$321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45716</v>
      </c>
      <c r="C14" s="229">
        <f>Admin!$B$350</f>
        <v>45736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45747</v>
      </c>
      <c r="C15" s="229">
        <f>Admin!$B$381</f>
        <v>45767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3" sqref="B3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45752</v>
      </c>
      <c r="J1" s="494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Apr24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Apr24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Apr24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Apr24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Apr24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Apr24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Apr24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Apr24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Apr24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Apr24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Apr24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Apr24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Apr24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Apr24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Apr24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Apr24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Apr24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Apr24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Apr24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Apr24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Apr24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Apr24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Apr24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Apr24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Apr24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Apr24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May24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May24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May24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May24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May24</v>
      </c>
      <c r="B32" s="308">
        <f t="shared" si="1"/>
        <v>45418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May24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May24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May24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May24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May24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May24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May24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May24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May24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May24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May24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May24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May24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May24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May24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May24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May24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May24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May24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May24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May24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May24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May24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Jun24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Jun24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Jun24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Jun24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Jun24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Jun24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Jun24</v>
      </c>
      <c r="B62" s="308">
        <f t="shared" si="1"/>
        <v>45448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Jun24</v>
      </c>
      <c r="B63" s="308">
        <f t="shared" si="1"/>
        <v>45449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Jun24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Jun24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Jun24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Jun24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Jun24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Jun24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Jun24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Jun24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Jun24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Jun24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Jun24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Jun24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Jun24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Jun24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Jun24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Jun24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Jun24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Jun24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Jun24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Jun24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Jun24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Jun24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Jun24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Jun24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Jun24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Jun24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Jun24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Jul24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Jul24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Jul24</v>
      </c>
      <c r="B93" s="308">
        <f t="shared" si="3"/>
        <v>45479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Jul24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Jul24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Jul24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Jul24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Jul24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Jul24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Jul24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Jul24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Jul24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Jul24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Jul24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Jul24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Jul24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Jul24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Jul24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Jul24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Jul24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Jul24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Jul24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Jul24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Jul24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Jul24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Jul24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Jul24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Jul24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Aug24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Aug24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Aug24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Aug24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Aug24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Aug24</v>
      </c>
      <c r="B124" s="308">
        <f t="shared" si="3"/>
        <v>45510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Aug24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Aug24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Aug24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Aug24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Aug24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Aug24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Aug24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Aug24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Aug24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Aug24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Aug24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Aug24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Aug24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Aug24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Aug24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Aug24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Aug24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Aug24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Aug24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Aug24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Aug24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Aug24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Sep24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Sep24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Sep24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Sep24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Sep24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Sep24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Sep24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Sep24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Sep24</v>
      </c>
      <c r="B155" s="322">
        <f t="shared" si="5"/>
        <v>45541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Sep24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Sep24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Sep24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Sep24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Sep24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Sep24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Sep24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Sep24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Sep24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Sep24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Sep24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Sep24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Sep24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Sep24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Sep24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Sep24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Sep24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Sep24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Sep24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Sep24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Sep24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Sep24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Sep24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Sep24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Sep24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Sep24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Oct24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Oct24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Oct24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Oct24</v>
      </c>
      <c r="B185" s="322">
        <f t="shared" si="5"/>
        <v>45571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Oct24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Oct24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Oct24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Oct24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Oct24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Oct24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Oct24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Oct24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Oct24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Oct24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Oct24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Oct24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Oct24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Oct24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Oct24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Oct24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Oct24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Oct24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Oct24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Oct24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Oct24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Oct24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Oct24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Oct24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Nov24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Nov24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Nov24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Nov24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Nov24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Nov24</v>
      </c>
      <c r="B215" s="308">
        <f t="shared" si="7"/>
        <v>45601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Nov24</v>
      </c>
      <c r="B216" s="322">
        <f t="shared" si="7"/>
        <v>45602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Nov24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Nov24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Nov24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Nov24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Nov24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Nov24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Nov24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Nov24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Nov24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Nov24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Nov24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Nov24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Nov24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Nov24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Nov24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Nov24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Nov24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Nov24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Nov24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Nov24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Nov24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Dec24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Dec24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Dec24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Dec24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Dec24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Dec24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Dec24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Dec24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Dec24</v>
      </c>
      <c r="B246" s="322">
        <f t="shared" si="7"/>
        <v>45632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Dec24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Dec24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Dec24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Dec24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Dec24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Dec24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Dec24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Dec24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Dec24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Dec24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Dec24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Dec24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Dec24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Dec24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Dec24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Dec24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Dec24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Dec24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Dec24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Dec24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Dec24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Dec24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Dec24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Dec24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Dec24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Dec24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Jan25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Jan25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Jan25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Jan25</v>
      </c>
      <c r="B276" s="322">
        <f t="shared" si="9"/>
        <v>45662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Jan25</v>
      </c>
      <c r="B277" s="322">
        <f t="shared" si="9"/>
        <v>45663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Jan25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Jan25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Jan25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Jan25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Jan25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Jan25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Jan25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Jan25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Jan25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Jan25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Jan25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Jan25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Jan25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Jan25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Jan25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Jan25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Jan25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Jan25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Jan25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Jan25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Jan25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Jan25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Jan25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Feb25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Feb25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Feb25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Feb25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Feb25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Feb25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Feb25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Feb25</v>
      </c>
      <c r="B308" s="322">
        <f t="shared" si="9"/>
        <v>45694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Feb25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Feb25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Feb25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Feb25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Feb25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Feb25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Feb25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Feb25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Feb25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Feb25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Feb25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Feb25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Feb25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Feb25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Feb25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Feb25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Feb25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Feb25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Feb25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Feb25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Mar25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Mar25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Mar25</v>
      </c>
      <c r="B331" s="308">
        <f t="shared" si="11"/>
        <v>45717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Mar25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Mar25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Mar25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Mar25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Mar25</v>
      </c>
      <c r="B336" s="322">
        <f t="shared" si="11"/>
        <v>45722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Mar25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Mar25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Mar25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Mar25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Mar25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Mar25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Mar25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Mar25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Mar25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Mar25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Mar25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Mar25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Mar25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Mar25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Mar25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Mar25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Mar25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Mar25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Mar25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Mar25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Mar25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Mar25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Mar25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Mar25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Mar25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Mar25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Mar25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Mar25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Mar25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Mar25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Mar25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Mar25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Mar25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Mar25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Mar25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Mar25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Mar25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Mar25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Mar25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Mar25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Mar25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Mar25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Mar25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Mar25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Mar25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DIY Accounting Customer Service</cp:lastModifiedBy>
  <cp:lastPrinted>2006-09-19T02:28:04Z</cp:lastPrinted>
  <dcterms:created xsi:type="dcterms:W3CDTF">2006-03-29T22:56:21Z</dcterms:created>
  <dcterms:modified xsi:type="dcterms:W3CDTF">2024-04-02T18:55:52Z</dcterms:modified>
</cp:coreProperties>
</file>