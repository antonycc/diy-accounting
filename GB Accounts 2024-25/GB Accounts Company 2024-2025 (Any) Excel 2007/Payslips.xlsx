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Company 2024-2025 (Any) Excel 2007/"/>
    </mc:Choice>
  </mc:AlternateContent>
  <xr:revisionPtr revIDLastSave="0" documentId="13_ncr:1_{AA8A6AB1-D4C4-EF4D-9171-8B82BBCD535E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onth01" sheetId="12" r:id="rId2"/>
    <sheet name="Month02" sheetId="11" r:id="rId3"/>
    <sheet name="Month03" sheetId="10" r:id="rId4"/>
    <sheet name="Month04" sheetId="9" r:id="rId5"/>
    <sheet name="Month05" sheetId="8" r:id="rId6"/>
    <sheet name="Month06" sheetId="17" r:id="rId7"/>
    <sheet name="Month07" sheetId="16" r:id="rId8"/>
    <sheet name="Month08" sheetId="15" r:id="rId9"/>
    <sheet name="Month09" sheetId="14" r:id="rId10"/>
    <sheet name="Month10" sheetId="13" r:id="rId11"/>
    <sheet name="Month11" sheetId="19" r:id="rId12"/>
    <sheet name="Month12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Month01!$E:$F,Month01!$1:$6</definedName>
    <definedName name="_xlnm.Print_Titles" localSheetId="2">Month02!$A:$D,Month02!$1:$6</definedName>
    <definedName name="_xlnm.Print_Titles" localSheetId="3">Month03!$A:$D,Month03!$1:$6</definedName>
    <definedName name="_xlnm.Print_Titles" localSheetId="4">Month04!$A:$D,Month04!$1:$6</definedName>
    <definedName name="_xlnm.Print_Titles" localSheetId="5">Month05!$A:$D,Month05!$1:$6</definedName>
    <definedName name="_xlnm.Print_Titles" localSheetId="6">Month06!$A:$D,Month06!$1:$6</definedName>
    <definedName name="_xlnm.Print_Titles" localSheetId="7">Month07!$A:$D,Month07!$1:$6</definedName>
    <definedName name="_xlnm.Print_Titles" localSheetId="8">Month08!$A:$D,Month08!$1:$6</definedName>
    <definedName name="_xlnm.Print_Titles" localSheetId="9">Month09!$A:$D,Month09!$1:$6</definedName>
    <definedName name="_xlnm.Print_Titles" localSheetId="10">Month10!$A:$D,Month10!$1:$6</definedName>
    <definedName name="_xlnm.Print_Titles" localSheetId="11">Month11!$A:$D,Month11!$1:$6</definedName>
    <definedName name="_xlnm.Print_Titles" localSheetId="12">Month12!$A:$D,Month12!$1:$6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B2" i="24"/>
  <c r="P19" i="24" s="1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M14" i="16" s="1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66" i="40"/>
  <c r="M51" i="40"/>
  <c r="M37" i="40"/>
  <c r="M22" i="40"/>
  <c r="B14" i="16" l="1"/>
  <c r="M15" i="9"/>
  <c r="F14" i="16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<sst xmlns="http://schemas.openxmlformats.org/spreadsheetml/2006/main" count="1388" uniqueCount="142">
  <si>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</si>
  <si>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</si>
  <si>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</si>
  <si>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</si>
  <si>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</si>
  <si>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</si>
  <si>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</si>
  <si>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</si>
  <si>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</si>
  <si>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</si>
  <si>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</si>
  <si>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</si>
  <si>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</si>
  <si>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</si>
  <si>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</si>
  <si>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</si>
  <si>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</si>
  <si>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</si>
  <si>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</si>
  <si>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</si>
  <si>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</si>
  <si>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</si>
  <si>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</si>
  <si>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</si>
  <si>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</si>
  <si>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</si>
  <si>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</si>
  <si>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</si>
  <si>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</si>
  <si>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</si>
  <si>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</si>
  <si>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</si>
  <si>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</si>
  <si>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</si>
  <si>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</si>
  <si>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</si>
  <si>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</si>
  <si>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</si>
  <si>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</si>
  <si>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</si>
  <si>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</si>
  <si>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</si>
  <si>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</si>
  <si>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</si>
  <si>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</si>
  <si>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</si>
  <si>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</si>
  <si>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</si>
  <si>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</si>
  <si>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</si>
  <si>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</si>
  <si>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</si>
  <si>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</si>
  <si>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</si>
  <si>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</si>
  <si>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</si>
  <si>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</si>
  <si>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</si>
  <si>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</si>
  <si>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</si>
  <si>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</si>
  <si>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</si>
  <si>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</si>
  <si>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</si>
  <si>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</si>
  <si>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</si>
  <si>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</si>
  <si>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</si>
  <si>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</si>
  <si>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</si>
  <si>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</si>
  <si>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</si>
  <si>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</si>
  <si>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</si>
  <si>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</si>
  <si>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</si>
  <si>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</si>
  <si>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</si>
  <si>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</si>
  <si>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</si>
  <si>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</si>
  <si>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</si>
  <si>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</si>
  <si>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</si>
  <si>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</si>
  <si>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</si>
  <si>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</si>
  <si>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</si>
  <si>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</si>
  <si>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</si>
  <si>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</si>
  <si>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</si>
  <si>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</si>
  <si>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</si>
  <si>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</si>
  <si>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</si>
  <si>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</si>
  <si>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</si>
  <si>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</si>
  <si>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</si>
  <si>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</si>
  <si>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</si>
  <si>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</si>
  <si>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</si>
  <si>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</si>
  <si>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</si>
  <si>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</si>
  <si>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</si>
  <si>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</si>
  <si>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</si>
  <si>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</si>
  <si>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</si>
  <si>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</si>
  <si>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</si>
  <si>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</si>
  <si>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</si>
  <si>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</si>
  <si>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</si>
  <si>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</si>
  <si>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</si>
  <si>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</si>
  <si>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</si>
  <si>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</si>
  <si>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</si>
  <si>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</si>
  <si>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</si>
  <si>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</si>
  <si>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</si>
  <si>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</si>
  <si>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</si>
  <si>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</si>
  <si>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</si>
  <si>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</si>
  <si>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</si>
  <si>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</si>
  <si>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</si>
  <si>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</si>
  <si>
    <t>Enter the first payroll week of your year in this cell ---&gt;</t>
  </si>
  <si>
    <t>\</t>
  </si>
  <si>
    <t>The first day of the first payroll week of the year is from cell M9 of</t>
  </si>
  <si>
    <t>the Employee sheet and the value is</t>
  </si>
  <si>
    <t>This value drives the payroll weeks and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</si>
</sst>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  <font>
      <b/>
      <sz val="12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506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55" fillId="2" borderId="0" xfId="0" applyFont="1" applyFill="1"/>
    <xf numFmtId="166" fontId="55" fillId="0" borderId="1" xfId="0" applyNumberFormat="1" applyFont="1" applyBorder="1" applyAlignment="1">
      <alignment horizontal="center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56" fillId="3" borderId="0" xfId="0" applyFont="1" applyFill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  <xf numFmtId="15" fontId="57" fillId="5" borderId="12" xfId="0" applyNumberFormat="1" applyFont="1" applyFill="1" applyBorder="1" applyAlignment="1">
      <alignment horizontal="center" vertical="center"/>
    </xf>
    <xf numFmtId="15" fontId="57" fillId="5" borderId="13" xfId="0" applyNumberFormat="1" applyFont="1" applyFill="1" applyBorder="1" applyAlignment="1">
      <alignment horizontal="center" vertical="center"/>
    </xf>
    <xf numFmtId="15" fontId="57" fillId="5" borderId="18" xfId="0" applyNumberFormat="1" applyFont="1" applyFill="1" applyBorder="1" applyAlignment="1">
      <alignment horizontal="center" vertical="center"/>
    </xf>
    <xf numFmtId="15" fontId="57" fillId="5" borderId="14" xfId="0" applyNumberFormat="1" applyFont="1" applyFill="1" applyBorder="1" applyAlignment="1">
      <alignment horizontal="center" vertical="center"/>
    </xf>
    <xf numFmtId="15" fontId="57" fillId="5" borderId="15" xfId="0" applyNumberFormat="1" applyFont="1" applyFill="1" applyBorder="1" applyAlignment="1">
      <alignment horizontal="center" vertical="center"/>
    </xf>
    <xf numFmtId="15" fontId="57" fillId="5" borderId="20" xfId="0" applyNumberFormat="1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0"/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47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7"/>
      <c r="W2" s="206">
        <f>Admin!B2</f>
        <v>45418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5" t="s">
        <v>134</v>
      </c>
      <c r="I3" s="355"/>
      <c r="J3" s="355"/>
      <c r="K3" s="355"/>
      <c r="L3" s="355"/>
      <c r="M3" s="355"/>
      <c r="N3" s="5"/>
      <c r="O3" s="62"/>
      <c r="P3" s="143"/>
      <c r="Q3" s="352" t="s">
        <v>65</v>
      </c>
      <c r="R3" s="353"/>
      <c r="S3" s="354"/>
      <c r="T3" s="80"/>
      <c r="U3" s="347"/>
      <c r="W3" s="206">
        <f>Admin!B3</f>
        <v>45419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7"/>
      <c r="W4" s="206">
        <f>Admin!B4</f>
        <v>45420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6"/>
      <c r="E5" s="357"/>
      <c r="F5" s="358"/>
      <c r="G5" s="5"/>
      <c r="H5" s="359" t="s">
        <v>136</v>
      </c>
      <c r="I5" s="359"/>
      <c r="J5" s="359"/>
      <c r="K5" s="359"/>
      <c r="L5" s="359"/>
      <c r="M5" s="359"/>
      <c r="N5" s="359"/>
      <c r="O5" s="359"/>
      <c r="P5" s="68"/>
      <c r="Q5" s="5"/>
      <c r="R5" s="79"/>
      <c r="S5" s="79"/>
      <c r="T5" s="80"/>
      <c r="U5" s="347"/>
      <c r="V5" s="3" t="s">
        <v>77</v>
      </c>
      <c r="W5" s="206">
        <f>Admin!B5</f>
        <v>45421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6"/>
      <c r="E6" s="357"/>
      <c r="F6" s="358"/>
      <c r="G6" s="5"/>
      <c r="H6" s="359"/>
      <c r="I6" s="359"/>
      <c r="J6" s="359"/>
      <c r="K6" s="359"/>
      <c r="L6" s="359"/>
      <c r="M6" s="359"/>
      <c r="N6" s="359"/>
      <c r="O6" s="359"/>
      <c r="P6" s="68"/>
      <c r="Q6" s="5"/>
      <c r="R6" s="79"/>
      <c r="S6" s="79"/>
      <c r="T6" s="80"/>
      <c r="U6" s="347"/>
      <c r="V6" s="3" t="s">
        <v>78</v>
      </c>
      <c r="W6" s="206">
        <f>Admin!B6</f>
        <v>45422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6"/>
      <c r="E7" s="357"/>
      <c r="F7" s="358"/>
      <c r="G7" s="5"/>
      <c r="H7" s="359"/>
      <c r="I7" s="359"/>
      <c r="J7" s="359"/>
      <c r="K7" s="359"/>
      <c r="L7" s="359"/>
      <c r="M7" s="359"/>
      <c r="N7" s="359"/>
      <c r="O7" s="359"/>
      <c r="P7" s="68"/>
      <c r="Q7" s="5"/>
      <c r="R7" s="79"/>
      <c r="S7" s="79"/>
      <c r="T7" s="80"/>
      <c r="U7" s="347"/>
      <c r="V7" s="3" t="s">
        <v>79</v>
      </c>
      <c r="W7" s="206">
        <f>Admin!B7</f>
        <v>45423</v>
      </c>
      <c r="X7" s="3">
        <f t="shared" si="0"/>
        <v>6</v>
      </c>
    </row>
    <row r="8" spans="1:24" ht="8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7"/>
      <c r="V8" s="3" t="s">
        <v>77</v>
      </c>
      <c r="W8" s="206">
        <f>Admin!B8</f>
        <v>45424</v>
      </c>
      <c r="X8" s="3">
        <f t="shared" si="0"/>
        <v>7</v>
      </c>
    </row>
    <row r="9" spans="1:24" ht="16" customHeight="1" x14ac:dyDescent="0.2">
      <c r="A9" s="59"/>
      <c r="B9" s="5" t="s">
        <v>15</v>
      </c>
      <c r="C9" s="5"/>
      <c r="D9" s="6"/>
      <c r="E9" s="5"/>
      <c r="F9" s="330" t="s">
        <v>137</v>
      </c>
      <c r="G9" s="5"/>
      <c r="H9" s="68"/>
      <c r="I9" s="5"/>
      <c r="J9" s="5"/>
      <c r="K9" s="69"/>
      <c r="L9" s="69"/>
      <c r="M9" s="331">
        <v>45418</v>
      </c>
      <c r="N9" s="5"/>
      <c r="O9" s="163">
        <f>Admin!I1</f>
        <v>45782</v>
      </c>
      <c r="P9" s="145"/>
      <c r="Q9" s="140"/>
      <c r="R9" s="141"/>
      <c r="S9" s="141"/>
      <c r="T9" s="80"/>
      <c r="U9" s="347"/>
      <c r="W9" s="206">
        <f>Admin!B9</f>
        <v>45425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 t="s">
        <v>138</v>
      </c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7"/>
      <c r="V10" s="3" t="s">
        <v>80</v>
      </c>
      <c r="W10" s="206">
        <f>Admin!B10</f>
        <v>45426</v>
      </c>
      <c r="X10" s="3">
        <f t="shared" si="0"/>
        <v>9</v>
      </c>
    </row>
    <row r="11" spans="1:24" ht="15" customHeight="1" thickBot="1" x14ac:dyDescent="0.2">
      <c r="A11" s="348"/>
      <c r="B11" s="348"/>
      <c r="C11" s="348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9"/>
      <c r="S11" s="349"/>
      <c r="T11" s="349"/>
      <c r="U11" s="347"/>
      <c r="W11" s="206">
        <f>Admin!B11</f>
        <v>45427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7"/>
      <c r="V12" s="3" t="s">
        <v>81</v>
      </c>
      <c r="W12" s="206">
        <f>Admin!B12</f>
        <v>45428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0" t="s">
        <v>50</v>
      </c>
      <c r="I13" s="14"/>
      <c r="J13" s="22"/>
      <c r="K13" s="83" t="s">
        <v>20</v>
      </c>
      <c r="L13" s="52"/>
      <c r="M13" s="70"/>
      <c r="N13" s="13"/>
      <c r="O13" s="345"/>
      <c r="P13" s="346"/>
      <c r="Q13" s="342"/>
      <c r="R13" s="53"/>
      <c r="S13" s="332"/>
      <c r="T13" s="15"/>
      <c r="U13" s="347"/>
      <c r="V13" s="3" t="s">
        <v>82</v>
      </c>
      <c r="W13" s="206">
        <f>Admin!B13</f>
        <v>45429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0"/>
      <c r="I14" s="14"/>
      <c r="J14" s="22"/>
      <c r="K14" s="52"/>
      <c r="L14" s="52"/>
      <c r="M14" s="70"/>
      <c r="N14" s="13"/>
      <c r="O14" s="14"/>
      <c r="P14" s="148"/>
      <c r="Q14" s="343"/>
      <c r="R14" s="14"/>
      <c r="S14" s="333"/>
      <c r="T14" s="15"/>
      <c r="U14" s="347"/>
      <c r="W14" s="206">
        <f>Admin!B14</f>
        <v>45430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4"/>
      <c r="E15" s="335"/>
      <c r="F15" s="336"/>
      <c r="G15" s="14"/>
      <c r="H15" s="21" t="s">
        <v>51</v>
      </c>
      <c r="I15" s="14"/>
      <c r="J15" s="51"/>
      <c r="K15" s="14" t="s">
        <v>17</v>
      </c>
      <c r="L15" s="14"/>
      <c r="M15" s="337"/>
      <c r="N15" s="338"/>
      <c r="O15" s="339"/>
      <c r="P15" s="148"/>
      <c r="Q15" s="138"/>
      <c r="R15" s="136"/>
      <c r="S15" s="139"/>
      <c r="T15" s="15"/>
      <c r="U15" s="347"/>
      <c r="W15" s="206">
        <f>Admin!B15</f>
        <v>45431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4"/>
      <c r="E16" s="335"/>
      <c r="F16" s="336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7"/>
      <c r="W16" s="206">
        <f>Admin!B16</f>
        <v>45432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7"/>
      <c r="W17" s="206">
        <f>Admin!B17</f>
        <v>45433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7"/>
      <c r="W18" s="206">
        <f>Admin!B18</f>
        <v>45434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7"/>
      <c r="W19" s="206">
        <f>Admin!B19</f>
        <v>45435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7"/>
      <c r="W20" s="206">
        <f>Admin!B20</f>
        <v>45436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7"/>
      <c r="W21" s="206">
        <f>Admin!B21</f>
        <v>45437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7"/>
      <c r="W22" s="206">
        <f>Admin!B22</f>
        <v>45438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7"/>
      <c r="W23" s="206">
        <f>Admin!B23</f>
        <v>45439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06/05/24)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7"/>
      <c r="W24" s="206">
        <f>Admin!B24</f>
        <v>45440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7"/>
      <c r="W25" s="206">
        <f>Admin!B25</f>
        <v>45441</v>
      </c>
      <c r="X25" s="3">
        <f t="shared" si="0"/>
        <v>24</v>
      </c>
    </row>
    <row r="26" spans="1:24" ht="14" thickTop="1" thickBot="1" x14ac:dyDescent="0.2">
      <c r="A26" s="12"/>
      <c r="B26" s="14" t="s">
        <v>67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7"/>
      <c r="W26" s="206">
        <f>Admin!B26</f>
        <v>45442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7"/>
      <c r="W27" s="206">
        <f>Admin!B27</f>
        <v>45443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7"/>
      <c r="W28" s="206">
        <f>Admin!B28</f>
        <v>45444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7"/>
      <c r="W29" s="206">
        <f>Admin!B29</f>
        <v>45445</v>
      </c>
      <c r="X29" s="3">
        <f t="shared" si="0"/>
        <v>28</v>
      </c>
    </row>
    <row r="30" spans="1:24" ht="13.5" customHeight="1" x14ac:dyDescent="0.15">
      <c r="A30" s="12"/>
      <c r="B30" s="14" t="s">
        <v>66</v>
      </c>
      <c r="C30" s="14"/>
      <c r="D30" s="199"/>
      <c r="E30" s="14"/>
      <c r="F30" s="175" t="s">
        <v>74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7"/>
      <c r="W30" s="206">
        <f>Admin!B30</f>
        <v>45446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7"/>
      <c r="W31" s="206">
        <f>Admin!B31</f>
        <v>45447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7"/>
      <c r="W32" s="206">
        <f>Admin!B32</f>
        <v>45448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7"/>
      <c r="W33" s="206">
        <f>Admin!B33</f>
        <v>45449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7"/>
      <c r="W34" s="206">
        <f>Admin!B34</f>
        <v>45450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7"/>
      <c r="W35" s="206">
        <f>Admin!B35</f>
        <v>45451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7"/>
      <c r="W36" s="206">
        <f>Admin!B36</f>
        <v>45452</v>
      </c>
      <c r="X36" s="3">
        <f t="shared" si="0"/>
        <v>35</v>
      </c>
    </row>
    <row r="37" spans="1:24" ht="22.5" customHeight="1" thickBot="1" x14ac:dyDescent="0.2">
      <c r="A37" s="344"/>
      <c r="B37" s="344"/>
      <c r="C37" s="344"/>
      <c r="D37" s="344"/>
      <c r="E37" s="344"/>
      <c r="F37" s="344"/>
      <c r="G37" s="344"/>
      <c r="H37" s="344"/>
      <c r="I37" s="344"/>
      <c r="J37" s="344"/>
      <c r="K37" s="344"/>
      <c r="L37" s="344"/>
      <c r="M37" s="344"/>
      <c r="N37" s="344"/>
      <c r="O37" s="344"/>
      <c r="P37" s="344"/>
      <c r="Q37" s="344"/>
      <c r="R37" s="344"/>
      <c r="S37" s="344"/>
      <c r="T37" s="344"/>
      <c r="U37" s="343"/>
      <c r="W37" s="206">
        <f>Admin!B37</f>
        <v>45453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3"/>
      <c r="W38" s="206">
        <f>Admin!B38</f>
        <v>45454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0" t="s">
        <v>50</v>
      </c>
      <c r="I39" s="14"/>
      <c r="J39" s="22"/>
      <c r="K39" s="83" t="s">
        <v>20</v>
      </c>
      <c r="L39" s="52"/>
      <c r="M39" s="70"/>
      <c r="N39" s="13"/>
      <c r="O39" s="345"/>
      <c r="P39" s="346"/>
      <c r="Q39" s="342"/>
      <c r="R39" s="53"/>
      <c r="S39" s="332"/>
      <c r="T39" s="15"/>
      <c r="U39" s="343"/>
      <c r="W39" s="206">
        <f>Admin!B39</f>
        <v>45455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0"/>
      <c r="I40" s="14"/>
      <c r="J40" s="22"/>
      <c r="K40" s="52"/>
      <c r="L40" s="52"/>
      <c r="M40" s="70"/>
      <c r="N40" s="13"/>
      <c r="O40" s="14"/>
      <c r="P40" s="148"/>
      <c r="Q40" s="343"/>
      <c r="R40" s="14"/>
      <c r="S40" s="333"/>
      <c r="T40" s="15"/>
      <c r="U40" s="343"/>
      <c r="W40" s="206">
        <f>Admin!B40</f>
        <v>45456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4"/>
      <c r="E41" s="335"/>
      <c r="F41" s="336"/>
      <c r="G41" s="14"/>
      <c r="H41" s="21" t="s">
        <v>51</v>
      </c>
      <c r="I41" s="14"/>
      <c r="J41" s="51"/>
      <c r="K41" s="14" t="s">
        <v>17</v>
      </c>
      <c r="L41" s="14"/>
      <c r="M41" s="337"/>
      <c r="N41" s="338"/>
      <c r="O41" s="339"/>
      <c r="P41" s="148"/>
      <c r="Q41" s="138"/>
      <c r="R41" s="136"/>
      <c r="S41" s="139"/>
      <c r="T41" s="15"/>
      <c r="U41" s="343"/>
      <c r="W41" s="206">
        <f>Admin!B41</f>
        <v>45457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4"/>
      <c r="E42" s="335"/>
      <c r="F42" s="336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3"/>
      <c r="W42" s="206">
        <f>Admin!B42</f>
        <v>45458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3"/>
      <c r="W43" s="206">
        <f>Admin!B43</f>
        <v>45459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3"/>
      <c r="W44" s="206">
        <f>Admin!B44</f>
        <v>45460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3"/>
      <c r="W45" s="206">
        <f>Admin!B45</f>
        <v>45461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3"/>
      <c r="W46" s="206">
        <f>Admin!B46</f>
        <v>45462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3"/>
      <c r="W47" s="206">
        <f>Admin!B47</f>
        <v>45463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3"/>
      <c r="W48" s="206">
        <f>Admin!B48</f>
        <v>45464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3"/>
      <c r="W49" s="206">
        <f>Admin!B49</f>
        <v>45465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06/05/24)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3"/>
      <c r="W50" s="206">
        <f>Admin!B50</f>
        <v>45466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3"/>
      <c r="W51" s="206">
        <f>Admin!B51</f>
        <v>45467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67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3"/>
      <c r="W52" s="206">
        <f>Admin!B52</f>
        <v>45468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3"/>
      <c r="W53" s="206">
        <f>Admin!B53</f>
        <v>45469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3"/>
      <c r="W54" s="206">
        <f>Admin!B54</f>
        <v>45470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3"/>
      <c r="W55" s="206">
        <f>Admin!B55</f>
        <v>45471</v>
      </c>
    </row>
    <row r="56" spans="1:24" x14ac:dyDescent="0.15">
      <c r="A56" s="12"/>
      <c r="B56" s="14" t="s">
        <v>66</v>
      </c>
      <c r="C56" s="14"/>
      <c r="D56" s="199"/>
      <c r="E56" s="14"/>
      <c r="F56" s="175" t="s">
        <v>74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3"/>
      <c r="W56" s="206">
        <f>Admin!B56</f>
        <v>45472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3"/>
      <c r="W57" s="206">
        <f>Admin!B57</f>
        <v>45473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3"/>
      <c r="W58" s="206">
        <f>Admin!B58</f>
        <v>45474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3"/>
      <c r="W59" s="206">
        <f>Admin!B59</f>
        <v>45475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3"/>
      <c r="W60" s="206">
        <f>Admin!B60</f>
        <v>45476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0"/>
      <c r="L61" s="340"/>
      <c r="M61" s="341"/>
      <c r="N61" s="341"/>
      <c r="O61" s="341"/>
      <c r="P61" s="341"/>
      <c r="Q61" s="341"/>
      <c r="R61" s="341"/>
      <c r="S61" s="341"/>
      <c r="T61" s="15"/>
      <c r="U61" s="343"/>
      <c r="W61" s="206">
        <f>Admin!B61</f>
        <v>45477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3"/>
      <c r="W62" s="206">
        <f>Admin!B62</f>
        <v>45478</v>
      </c>
    </row>
    <row r="63" spans="1:24" ht="22.5" customHeight="1" thickBot="1" x14ac:dyDescent="0.2">
      <c r="A63" s="344"/>
      <c r="B63" s="344"/>
      <c r="C63" s="344"/>
      <c r="D63" s="344"/>
      <c r="E63" s="344"/>
      <c r="F63" s="344"/>
      <c r="G63" s="344"/>
      <c r="H63" s="344"/>
      <c r="I63" s="344"/>
      <c r="J63" s="344"/>
      <c r="K63" s="344"/>
      <c r="L63" s="344"/>
      <c r="M63" s="344"/>
      <c r="N63" s="344"/>
      <c r="O63" s="344"/>
      <c r="P63" s="344"/>
      <c r="Q63" s="344"/>
      <c r="R63" s="344"/>
      <c r="S63" s="344"/>
      <c r="T63" s="344"/>
      <c r="U63" s="343"/>
      <c r="W63" s="206">
        <f>Admin!B63</f>
        <v>45479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3"/>
      <c r="W64" s="206">
        <f>Admin!B64</f>
        <v>45480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0" t="s">
        <v>50</v>
      </c>
      <c r="I65" s="14"/>
      <c r="J65" s="22"/>
      <c r="K65" s="83" t="s">
        <v>20</v>
      </c>
      <c r="L65" s="52"/>
      <c r="M65" s="70"/>
      <c r="N65" s="13"/>
      <c r="O65" s="345"/>
      <c r="P65" s="346"/>
      <c r="Q65" s="342"/>
      <c r="R65" s="53"/>
      <c r="S65" s="332"/>
      <c r="T65" s="15"/>
      <c r="U65" s="343"/>
      <c r="W65" s="206">
        <f>Admin!B65</f>
        <v>45481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0"/>
      <c r="I66" s="14"/>
      <c r="J66" s="22"/>
      <c r="K66" s="52"/>
      <c r="L66" s="52"/>
      <c r="M66" s="70"/>
      <c r="N66" s="13"/>
      <c r="O66" s="14"/>
      <c r="P66" s="148"/>
      <c r="Q66" s="343"/>
      <c r="R66" s="14"/>
      <c r="S66" s="333"/>
      <c r="T66" s="15"/>
      <c r="U66" s="343"/>
      <c r="W66" s="206">
        <f>Admin!B66</f>
        <v>45482</v>
      </c>
    </row>
    <row r="67" spans="1:23" ht="15" thickTop="1" thickBot="1" x14ac:dyDescent="0.2">
      <c r="A67" s="12"/>
      <c r="B67" s="14" t="s">
        <v>11</v>
      </c>
      <c r="C67" s="14"/>
      <c r="D67" s="334"/>
      <c r="E67" s="335"/>
      <c r="F67" s="336"/>
      <c r="G67" s="14"/>
      <c r="H67" s="21" t="s">
        <v>51</v>
      </c>
      <c r="I67" s="14"/>
      <c r="J67" s="51"/>
      <c r="K67" s="14" t="s">
        <v>17</v>
      </c>
      <c r="L67" s="14"/>
      <c r="M67" s="337"/>
      <c r="N67" s="338"/>
      <c r="O67" s="339"/>
      <c r="P67" s="148"/>
      <c r="Q67" s="138"/>
      <c r="R67" s="136"/>
      <c r="S67" s="139"/>
      <c r="T67" s="15"/>
      <c r="U67" s="343"/>
      <c r="W67" s="206">
        <f>Admin!B67</f>
        <v>45483</v>
      </c>
    </row>
    <row r="68" spans="1:23" ht="14" thickTop="1" thickBot="1" x14ac:dyDescent="0.2">
      <c r="A68" s="12"/>
      <c r="B68" s="14" t="s">
        <v>12</v>
      </c>
      <c r="C68" s="14"/>
      <c r="D68" s="334"/>
      <c r="E68" s="335"/>
      <c r="F68" s="336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3"/>
      <c r="W68" s="206">
        <f>Admin!B68</f>
        <v>45484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3"/>
      <c r="W69" s="206">
        <f>Admin!B69</f>
        <v>45485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3"/>
      <c r="W70" s="206">
        <f>Admin!B70</f>
        <v>45486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3"/>
      <c r="W71" s="206">
        <f>Admin!B71</f>
        <v>45487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3"/>
      <c r="W72" s="206">
        <f>Admin!B72</f>
        <v>45488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3"/>
      <c r="W73" s="206">
        <f>Admin!B73</f>
        <v>45489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3"/>
      <c r="W74" s="206">
        <f>Admin!B74</f>
        <v>45490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3"/>
      <c r="W75" s="206">
        <f>Admin!B75</f>
        <v>45491</v>
      </c>
    </row>
    <row r="76" spans="1:23" ht="14" thickTop="1" thickBot="1" x14ac:dyDescent="0.2">
      <c r="A76" s="12"/>
      <c r="B76" s="14" t="str">
        <f>B24</f>
        <v>Starting date (existing = 06/05/24)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3"/>
      <c r="W76" s="206">
        <f>Admin!B76</f>
        <v>45492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3"/>
      <c r="W77" s="206">
        <f>Admin!B77</f>
        <v>45493</v>
      </c>
    </row>
    <row r="78" spans="1:23" ht="13.5" customHeight="1" thickTop="1" thickBot="1" x14ac:dyDescent="0.2">
      <c r="A78" s="12"/>
      <c r="B78" s="14" t="s">
        <v>68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3"/>
      <c r="W78" s="206">
        <f>Admin!B78</f>
        <v>45494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3"/>
      <c r="W79" s="206">
        <f>Admin!B79</f>
        <v>45495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3"/>
      <c r="W80" s="206">
        <f>Admin!B80</f>
        <v>45496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3"/>
      <c r="W81" s="206">
        <f>Admin!B81</f>
        <v>45497</v>
      </c>
    </row>
    <row r="82" spans="1:23" x14ac:dyDescent="0.15">
      <c r="A82" s="12"/>
      <c r="B82" s="14" t="s">
        <v>66</v>
      </c>
      <c r="C82" s="14"/>
      <c r="D82" s="199"/>
      <c r="E82" s="14"/>
      <c r="F82" s="175" t="s">
        <v>74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3"/>
      <c r="W82" s="206">
        <f>Admin!B82</f>
        <v>45498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3"/>
      <c r="W83" s="206">
        <f>Admin!B83</f>
        <v>45499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3"/>
      <c r="W84" s="206">
        <f>Admin!B84</f>
        <v>45500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3"/>
      <c r="W85" s="206">
        <f>Admin!B85</f>
        <v>45501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3"/>
      <c r="W86" s="206">
        <f>Admin!B86</f>
        <v>45502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3"/>
      <c r="W87" s="206">
        <f>Admin!B87</f>
        <v>45503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3"/>
      <c r="W88" s="206">
        <f>Admin!B88</f>
        <v>45504</v>
      </c>
    </row>
    <row r="89" spans="1:23" ht="22.5" customHeight="1" thickBot="1" x14ac:dyDescent="0.2">
      <c r="A89" s="344"/>
      <c r="B89" s="344"/>
      <c r="C89" s="344"/>
      <c r="D89" s="344"/>
      <c r="E89" s="344"/>
      <c r="F89" s="344"/>
      <c r="G89" s="344"/>
      <c r="H89" s="344"/>
      <c r="I89" s="344"/>
      <c r="J89" s="344"/>
      <c r="K89" s="344"/>
      <c r="L89" s="344"/>
      <c r="M89" s="344"/>
      <c r="N89" s="344"/>
      <c r="O89" s="344"/>
      <c r="P89" s="344"/>
      <c r="Q89" s="344"/>
      <c r="R89" s="344"/>
      <c r="S89" s="344"/>
      <c r="T89" s="344"/>
      <c r="U89" s="343"/>
      <c r="W89" s="206">
        <f>Admin!B89</f>
        <v>45505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3"/>
      <c r="W90" s="206">
        <f>Admin!B90</f>
        <v>45506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0" t="s">
        <v>50</v>
      </c>
      <c r="I91" s="14"/>
      <c r="J91" s="22"/>
      <c r="K91" s="83" t="s">
        <v>20</v>
      </c>
      <c r="L91" s="52"/>
      <c r="M91" s="70"/>
      <c r="N91" s="13"/>
      <c r="O91" s="345"/>
      <c r="P91" s="346"/>
      <c r="Q91" s="342"/>
      <c r="R91" s="53"/>
      <c r="S91" s="332"/>
      <c r="T91" s="15"/>
      <c r="U91" s="343"/>
      <c r="W91" s="206">
        <f>Admin!B91</f>
        <v>45507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0"/>
      <c r="I92" s="14"/>
      <c r="J92" s="22"/>
      <c r="K92" s="52"/>
      <c r="L92" s="52"/>
      <c r="M92" s="70"/>
      <c r="N92" s="13"/>
      <c r="O92" s="14"/>
      <c r="P92" s="148"/>
      <c r="Q92" s="343"/>
      <c r="R92" s="14"/>
      <c r="S92" s="333"/>
      <c r="T92" s="15"/>
      <c r="U92" s="343"/>
      <c r="W92" s="206">
        <f>Admin!B92</f>
        <v>45508</v>
      </c>
    </row>
    <row r="93" spans="1:23" ht="15" thickTop="1" thickBot="1" x14ac:dyDescent="0.2">
      <c r="A93" s="12"/>
      <c r="B93" s="14" t="s">
        <v>11</v>
      </c>
      <c r="C93" s="14"/>
      <c r="D93" s="334"/>
      <c r="E93" s="335"/>
      <c r="F93" s="336"/>
      <c r="G93" s="14"/>
      <c r="H93" s="21" t="s">
        <v>51</v>
      </c>
      <c r="I93" s="14"/>
      <c r="J93" s="51"/>
      <c r="K93" s="14" t="s">
        <v>17</v>
      </c>
      <c r="L93" s="14"/>
      <c r="M93" s="337"/>
      <c r="N93" s="338"/>
      <c r="O93" s="339"/>
      <c r="P93" s="148"/>
      <c r="Q93" s="138"/>
      <c r="R93" s="136"/>
      <c r="S93" s="139"/>
      <c r="T93" s="15"/>
      <c r="U93" s="343"/>
      <c r="W93" s="206">
        <f>Admin!B93</f>
        <v>45509</v>
      </c>
    </row>
    <row r="94" spans="1:23" ht="14" thickTop="1" thickBot="1" x14ac:dyDescent="0.2">
      <c r="A94" s="12"/>
      <c r="B94" s="14" t="s">
        <v>12</v>
      </c>
      <c r="C94" s="14"/>
      <c r="D94" s="334"/>
      <c r="E94" s="335"/>
      <c r="F94" s="336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3"/>
      <c r="W94" s="206">
        <f>Admin!B94</f>
        <v>45510</v>
      </c>
    </row>
    <row r="95" spans="1:23" ht="14" thickTop="1" thickBot="1" x14ac:dyDescent="0.2">
      <c r="A95" s="12"/>
      <c r="B95" s="14" t="s">
        <v>13</v>
      </c>
      <c r="C95" s="14"/>
      <c r="D95" s="334"/>
      <c r="E95" s="335"/>
      <c r="F95" s="336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3"/>
      <c r="W95" s="206">
        <f>Admin!B95</f>
        <v>45511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3"/>
      <c r="W96" s="206">
        <f>Admin!B96</f>
        <v>45512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3"/>
      <c r="W97" s="206">
        <f>Admin!B97</f>
        <v>45513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3"/>
      <c r="W98" s="206">
        <f>Admin!B98</f>
        <v>45514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3"/>
      <c r="W99" s="206">
        <f>Admin!B99</f>
        <v>45515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3"/>
      <c r="W100" s="206">
        <f>Admin!B100</f>
        <v>45516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3"/>
      <c r="W101" s="206">
        <f>Admin!B101</f>
        <v>45517</v>
      </c>
    </row>
    <row r="102" spans="1:23" ht="14" thickTop="1" thickBot="1" x14ac:dyDescent="0.2">
      <c r="A102" s="12"/>
      <c r="B102" s="14" t="str">
        <f>B24</f>
        <v>Starting date (existing = 06/05/24)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3"/>
      <c r="W102" s="206">
        <f>Admin!B102</f>
        <v>45518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3"/>
      <c r="W103" s="206">
        <f>Admin!B103</f>
        <v>45519</v>
      </c>
    </row>
    <row r="104" spans="1:23" ht="13.5" customHeight="1" thickTop="1" thickBot="1" x14ac:dyDescent="0.2">
      <c r="A104" s="12"/>
      <c r="B104" s="14" t="s">
        <v>68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3"/>
      <c r="W104" s="206">
        <f>Admin!B104</f>
        <v>45520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3"/>
      <c r="W105" s="206">
        <f>Admin!B105</f>
        <v>45521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3"/>
      <c r="W106" s="206">
        <f>Admin!B106</f>
        <v>45522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3"/>
      <c r="W107" s="206">
        <f>Admin!B107</f>
        <v>45523</v>
      </c>
    </row>
    <row r="108" spans="1:23" x14ac:dyDescent="0.15">
      <c r="A108" s="12"/>
      <c r="B108" s="14" t="s">
        <v>66</v>
      </c>
      <c r="C108" s="14"/>
      <c r="D108" s="199"/>
      <c r="E108" s="14"/>
      <c r="F108" s="175" t="s">
        <v>74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3"/>
      <c r="W108" s="206">
        <f>Admin!B108</f>
        <v>45524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3"/>
      <c r="W109" s="206">
        <f>Admin!B109</f>
        <v>45525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3"/>
      <c r="W110" s="206">
        <f>Admin!B110</f>
        <v>45526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3"/>
      <c r="W111" s="206">
        <f>Admin!B111</f>
        <v>45527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3"/>
      <c r="W112" s="206">
        <f>Admin!B112</f>
        <v>45528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3"/>
      <c r="W113" s="206">
        <f>Admin!B113</f>
        <v>45529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3"/>
      <c r="W114" s="206">
        <f>Admin!B114</f>
        <v>45530</v>
      </c>
    </row>
    <row r="115" spans="1:23" ht="22.5" customHeight="1" thickBot="1" x14ac:dyDescent="0.2">
      <c r="A115" s="344"/>
      <c r="B115" s="344"/>
      <c r="C115" s="344"/>
      <c r="D115" s="344"/>
      <c r="E115" s="344"/>
      <c r="F115" s="344"/>
      <c r="G115" s="344"/>
      <c r="H115" s="344"/>
      <c r="I115" s="344"/>
      <c r="J115" s="344"/>
      <c r="K115" s="344"/>
      <c r="L115" s="344"/>
      <c r="M115" s="344"/>
      <c r="N115" s="344"/>
      <c r="O115" s="344"/>
      <c r="P115" s="344"/>
      <c r="Q115" s="344"/>
      <c r="R115" s="344"/>
      <c r="S115" s="344"/>
      <c r="T115" s="344"/>
      <c r="U115" s="343"/>
      <c r="W115" s="206">
        <f>Admin!B115</f>
        <v>45531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3"/>
      <c r="W116" s="206">
        <f>Admin!B116</f>
        <v>45532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0" t="s">
        <v>50</v>
      </c>
      <c r="I117" s="14"/>
      <c r="J117" s="22"/>
      <c r="K117" s="83" t="s">
        <v>20</v>
      </c>
      <c r="L117" s="52"/>
      <c r="M117" s="70"/>
      <c r="N117" s="13"/>
      <c r="O117" s="345"/>
      <c r="P117" s="346"/>
      <c r="Q117" s="342"/>
      <c r="R117" s="53"/>
      <c r="S117" s="332"/>
      <c r="T117" s="15"/>
      <c r="U117" s="343"/>
      <c r="W117" s="206">
        <f>Admin!B117</f>
        <v>45533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0"/>
      <c r="I118" s="14"/>
      <c r="J118" s="22"/>
      <c r="K118" s="52"/>
      <c r="L118" s="52"/>
      <c r="M118" s="70"/>
      <c r="N118" s="13"/>
      <c r="O118" s="14"/>
      <c r="P118" s="148"/>
      <c r="Q118" s="343"/>
      <c r="R118" s="14"/>
      <c r="S118" s="333"/>
      <c r="T118" s="15"/>
      <c r="U118" s="343"/>
      <c r="W118" s="206">
        <f>Admin!B118</f>
        <v>45534</v>
      </c>
    </row>
    <row r="119" spans="1:23" ht="15" thickTop="1" thickBot="1" x14ac:dyDescent="0.2">
      <c r="A119" s="12"/>
      <c r="B119" s="14" t="s">
        <v>11</v>
      </c>
      <c r="C119" s="14"/>
      <c r="D119" s="334"/>
      <c r="E119" s="335"/>
      <c r="F119" s="336"/>
      <c r="G119" s="14"/>
      <c r="H119" s="21" t="s">
        <v>51</v>
      </c>
      <c r="I119" s="14"/>
      <c r="J119" s="51"/>
      <c r="K119" s="14" t="s">
        <v>17</v>
      </c>
      <c r="L119" s="14"/>
      <c r="M119" s="337"/>
      <c r="N119" s="338"/>
      <c r="O119" s="339"/>
      <c r="P119" s="148"/>
      <c r="Q119" s="29"/>
      <c r="R119" s="136"/>
      <c r="S119" s="139"/>
      <c r="T119" s="15"/>
      <c r="U119" s="343"/>
      <c r="W119" s="206">
        <f>Admin!B119</f>
        <v>45535</v>
      </c>
    </row>
    <row r="120" spans="1:23" ht="14" thickTop="1" thickBot="1" x14ac:dyDescent="0.2">
      <c r="A120" s="12"/>
      <c r="B120" s="14" t="s">
        <v>12</v>
      </c>
      <c r="C120" s="14"/>
      <c r="D120" s="334"/>
      <c r="E120" s="335"/>
      <c r="F120" s="336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3"/>
      <c r="W120" s="206">
        <f>Admin!B120</f>
        <v>45536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3"/>
      <c r="W121" s="206">
        <f>Admin!B121</f>
        <v>45537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3"/>
      <c r="W122" s="206">
        <f>Admin!B122</f>
        <v>45538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3"/>
      <c r="W123" s="206">
        <f>Admin!B123</f>
        <v>45539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3"/>
      <c r="W124" s="206">
        <f>Admin!B124</f>
        <v>45540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3"/>
      <c r="W125" s="206">
        <f>Admin!B125</f>
        <v>45541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3"/>
      <c r="W126" s="206">
        <f>Admin!B126</f>
        <v>45542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3"/>
      <c r="W127" s="206">
        <f>Admin!B127</f>
        <v>45543</v>
      </c>
    </row>
    <row r="128" spans="1:23" ht="14" thickTop="1" thickBot="1" x14ac:dyDescent="0.2">
      <c r="A128" s="12"/>
      <c r="B128" s="14" t="str">
        <f>B24</f>
        <v>Starting date (existing = 06/05/24)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3"/>
      <c r="W128" s="206">
        <f>Admin!B128</f>
        <v>45544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3"/>
      <c r="W129" s="206">
        <f>Admin!B129</f>
        <v>45545</v>
      </c>
    </row>
    <row r="130" spans="1:23" ht="13.5" customHeight="1" thickTop="1" thickBot="1" x14ac:dyDescent="0.2">
      <c r="A130" s="12"/>
      <c r="B130" s="14" t="s">
        <v>68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3"/>
      <c r="W130" s="206">
        <f>Admin!B130</f>
        <v>45546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3"/>
      <c r="W131" s="206">
        <f>Admin!B131</f>
        <v>45547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3"/>
      <c r="W132" s="206">
        <f>Admin!B132</f>
        <v>45548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3"/>
      <c r="W133" s="206">
        <f>Admin!B133</f>
        <v>45549</v>
      </c>
    </row>
    <row r="134" spans="1:23" x14ac:dyDescent="0.15">
      <c r="A134" s="12"/>
      <c r="B134" s="14" t="s">
        <v>66</v>
      </c>
      <c r="C134" s="14"/>
      <c r="D134" s="199"/>
      <c r="E134" s="14"/>
      <c r="F134" s="175" t="s">
        <v>74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3"/>
      <c r="W134" s="206">
        <f>Admin!B134</f>
        <v>45550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3"/>
      <c r="W135" s="206">
        <f>Admin!B135</f>
        <v>45551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3"/>
      <c r="W136" s="206">
        <f>Admin!B136</f>
        <v>45552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3"/>
      <c r="W137" s="206">
        <f>Admin!B137</f>
        <v>45553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3"/>
      <c r="W138" s="206">
        <f>Admin!B138</f>
        <v>45554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3"/>
      <c r="W139" s="206">
        <f>Admin!B139</f>
        <v>45555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3"/>
      <c r="W140" s="206">
        <f>Admin!B140</f>
        <v>45556</v>
      </c>
    </row>
    <row r="141" spans="1:23" ht="22.5" customHeight="1" thickBot="1" x14ac:dyDescent="0.2">
      <c r="A141" s="344"/>
      <c r="B141" s="344"/>
      <c r="C141" s="344"/>
      <c r="D141" s="344"/>
      <c r="E141" s="344"/>
      <c r="F141" s="344"/>
      <c r="G141" s="344"/>
      <c r="H141" s="344"/>
      <c r="I141" s="344"/>
      <c r="J141" s="344"/>
      <c r="K141" s="344"/>
      <c r="L141" s="344"/>
      <c r="M141" s="344"/>
      <c r="N141" s="344"/>
      <c r="O141" s="344"/>
      <c r="P141" s="344"/>
      <c r="Q141" s="344"/>
      <c r="R141" s="344"/>
      <c r="S141" s="344"/>
      <c r="T141" s="344"/>
      <c r="U141" s="343"/>
      <c r="W141" s="206">
        <f>Admin!B141</f>
        <v>45557</v>
      </c>
    </row>
    <row r="142" spans="1:23" x14ac:dyDescent="0.15">
      <c r="W142" s="206">
        <f>Admin!B142</f>
        <v>45558</v>
      </c>
    </row>
    <row r="143" spans="1:23" x14ac:dyDescent="0.15">
      <c r="W143" s="206">
        <f>Admin!B143</f>
        <v>45559</v>
      </c>
    </row>
    <row r="144" spans="1:23" x14ac:dyDescent="0.15">
      <c r="W144" s="206">
        <f>Admin!B144</f>
        <v>45560</v>
      </c>
    </row>
    <row r="145" spans="23:23" x14ac:dyDescent="0.15">
      <c r="W145" s="206">
        <f>Admin!B145</f>
        <v>45561</v>
      </c>
    </row>
    <row r="146" spans="23:23" x14ac:dyDescent="0.15">
      <c r="W146" s="206">
        <f>Admin!B146</f>
        <v>45562</v>
      </c>
    </row>
    <row r="147" spans="23:23" x14ac:dyDescent="0.15">
      <c r="W147" s="206">
        <f>Admin!B147</f>
        <v>45563</v>
      </c>
    </row>
    <row r="148" spans="23:23" x14ac:dyDescent="0.15">
      <c r="W148" s="206">
        <f>Admin!B148</f>
        <v>45564</v>
      </c>
    </row>
    <row r="149" spans="23:23" x14ac:dyDescent="0.15">
      <c r="W149" s="206">
        <f>Admin!B149</f>
        <v>45565</v>
      </c>
    </row>
    <row r="150" spans="23:23" x14ac:dyDescent="0.15">
      <c r="W150" s="206">
        <f>Admin!B150</f>
        <v>45566</v>
      </c>
    </row>
    <row r="151" spans="23:23" x14ac:dyDescent="0.15">
      <c r="W151" s="206">
        <f>Admin!B151</f>
        <v>45567</v>
      </c>
    </row>
    <row r="152" spans="23:23" x14ac:dyDescent="0.15">
      <c r="W152" s="206">
        <f>Admin!B152</f>
        <v>45568</v>
      </c>
    </row>
    <row r="153" spans="23:23" x14ac:dyDescent="0.15">
      <c r="W153" s="206">
        <f>Admin!B153</f>
        <v>45569</v>
      </c>
    </row>
    <row r="154" spans="23:23" x14ac:dyDescent="0.15">
      <c r="W154" s="206">
        <f>Admin!B154</f>
        <v>45570</v>
      </c>
    </row>
    <row r="155" spans="23:23" x14ac:dyDescent="0.15">
      <c r="W155" s="206">
        <f>Admin!B155</f>
        <v>45571</v>
      </c>
    </row>
    <row r="156" spans="23:23" x14ac:dyDescent="0.15">
      <c r="W156" s="206">
        <f>Admin!B156</f>
        <v>45572</v>
      </c>
    </row>
    <row r="157" spans="23:23" x14ac:dyDescent="0.15">
      <c r="W157" s="206">
        <f>Admin!B157</f>
        <v>45573</v>
      </c>
    </row>
    <row r="158" spans="23:23" x14ac:dyDescent="0.15">
      <c r="W158" s="206">
        <f>Admin!B158</f>
        <v>45574</v>
      </c>
    </row>
    <row r="159" spans="23:23" x14ac:dyDescent="0.15">
      <c r="W159" s="206">
        <f>Admin!B159</f>
        <v>45575</v>
      </c>
    </row>
    <row r="160" spans="23:23" x14ac:dyDescent="0.15">
      <c r="W160" s="206">
        <f>Admin!B160</f>
        <v>45576</v>
      </c>
    </row>
    <row r="161" spans="23:23" x14ac:dyDescent="0.15">
      <c r="W161" s="206">
        <f>Admin!B161</f>
        <v>45577</v>
      </c>
    </row>
    <row r="162" spans="23:23" x14ac:dyDescent="0.15">
      <c r="W162" s="206">
        <f>Admin!B162</f>
        <v>45578</v>
      </c>
    </row>
    <row r="163" spans="23:23" x14ac:dyDescent="0.15">
      <c r="W163" s="206">
        <f>Admin!B163</f>
        <v>45579</v>
      </c>
    </row>
    <row r="164" spans="23:23" x14ac:dyDescent="0.15">
      <c r="W164" s="206">
        <f>Admin!B164</f>
        <v>45580</v>
      </c>
    </row>
    <row r="165" spans="23:23" x14ac:dyDescent="0.15">
      <c r="W165" s="206">
        <f>Admin!B165</f>
        <v>45581</v>
      </c>
    </row>
    <row r="166" spans="23:23" x14ac:dyDescent="0.15">
      <c r="W166" s="206">
        <f>Admin!B166</f>
        <v>45582</v>
      </c>
    </row>
    <row r="167" spans="23:23" x14ac:dyDescent="0.15">
      <c r="W167" s="206">
        <f>Admin!B167</f>
        <v>45583</v>
      </c>
    </row>
    <row r="168" spans="23:23" x14ac:dyDescent="0.15">
      <c r="W168" s="206">
        <f>Admin!B168</f>
        <v>45584</v>
      </c>
    </row>
    <row r="169" spans="23:23" x14ac:dyDescent="0.15">
      <c r="W169" s="206">
        <f>Admin!B169</f>
        <v>45585</v>
      </c>
    </row>
    <row r="170" spans="23:23" x14ac:dyDescent="0.15">
      <c r="W170" s="206">
        <f>Admin!B170</f>
        <v>45586</v>
      </c>
    </row>
    <row r="171" spans="23:23" x14ac:dyDescent="0.15">
      <c r="W171" s="206">
        <f>Admin!B171</f>
        <v>45587</v>
      </c>
    </row>
    <row r="172" spans="23:23" x14ac:dyDescent="0.15">
      <c r="W172" s="206">
        <f>Admin!B172</f>
        <v>45588</v>
      </c>
    </row>
    <row r="173" spans="23:23" x14ac:dyDescent="0.15">
      <c r="W173" s="206">
        <f>Admin!B173</f>
        <v>45589</v>
      </c>
    </row>
    <row r="174" spans="23:23" x14ac:dyDescent="0.15">
      <c r="W174" s="206">
        <f>Admin!B174</f>
        <v>45590</v>
      </c>
    </row>
    <row r="175" spans="23:23" x14ac:dyDescent="0.15">
      <c r="W175" s="206">
        <f>Admin!B175</f>
        <v>45591</v>
      </c>
    </row>
    <row r="176" spans="23:23" x14ac:dyDescent="0.15">
      <c r="W176" s="206">
        <f>Admin!B176</f>
        <v>45592</v>
      </c>
    </row>
    <row r="177" spans="23:23" x14ac:dyDescent="0.15">
      <c r="W177" s="206">
        <f>Admin!B177</f>
        <v>45593</v>
      </c>
    </row>
    <row r="178" spans="23:23" x14ac:dyDescent="0.15">
      <c r="W178" s="206">
        <f>Admin!B178</f>
        <v>45594</v>
      </c>
    </row>
    <row r="179" spans="23:23" x14ac:dyDescent="0.15">
      <c r="W179" s="206">
        <f>Admin!B179</f>
        <v>45595</v>
      </c>
    </row>
    <row r="180" spans="23:23" x14ac:dyDescent="0.15">
      <c r="W180" s="206">
        <f>Admin!B180</f>
        <v>45596</v>
      </c>
    </row>
    <row r="181" spans="23:23" x14ac:dyDescent="0.15">
      <c r="W181" s="206">
        <f>Admin!B181</f>
        <v>45597</v>
      </c>
    </row>
    <row r="182" spans="23:23" x14ac:dyDescent="0.15">
      <c r="W182" s="206">
        <f>Admin!B182</f>
        <v>45598</v>
      </c>
    </row>
    <row r="183" spans="23:23" x14ac:dyDescent="0.15">
      <c r="W183" s="206">
        <f>Admin!B183</f>
        <v>45599</v>
      </c>
    </row>
    <row r="184" spans="23:23" x14ac:dyDescent="0.15">
      <c r="W184" s="206">
        <f>Admin!B184</f>
        <v>45600</v>
      </c>
    </row>
    <row r="185" spans="23:23" x14ac:dyDescent="0.15">
      <c r="W185" s="206">
        <f>Admin!B185</f>
        <v>45601</v>
      </c>
    </row>
    <row r="186" spans="23:23" x14ac:dyDescent="0.15">
      <c r="W186" s="206">
        <f>Admin!B186</f>
        <v>45602</v>
      </c>
    </row>
    <row r="187" spans="23:23" x14ac:dyDescent="0.15">
      <c r="W187" s="206">
        <f>Admin!B187</f>
        <v>45603</v>
      </c>
    </row>
    <row r="188" spans="23:23" x14ac:dyDescent="0.15">
      <c r="W188" s="206">
        <f>Admin!B188</f>
        <v>45604</v>
      </c>
    </row>
    <row r="189" spans="23:23" x14ac:dyDescent="0.15">
      <c r="W189" s="206">
        <f>Admin!B189</f>
        <v>45605</v>
      </c>
    </row>
    <row r="190" spans="23:23" x14ac:dyDescent="0.15">
      <c r="W190" s="206">
        <f>Admin!B190</f>
        <v>45606</v>
      </c>
    </row>
    <row r="191" spans="23:23" x14ac:dyDescent="0.15">
      <c r="W191" s="206">
        <f>Admin!B191</f>
        <v>45607</v>
      </c>
    </row>
    <row r="192" spans="23:23" x14ac:dyDescent="0.15">
      <c r="W192" s="206">
        <f>Admin!B192</f>
        <v>45608</v>
      </c>
    </row>
    <row r="193" spans="23:23" x14ac:dyDescent="0.15">
      <c r="W193" s="206">
        <f>Admin!B193</f>
        <v>45609</v>
      </c>
    </row>
    <row r="194" spans="23:23" x14ac:dyDescent="0.15">
      <c r="W194" s="206">
        <f>Admin!B194</f>
        <v>45610</v>
      </c>
    </row>
    <row r="195" spans="23:23" x14ac:dyDescent="0.15">
      <c r="W195" s="206">
        <f>Admin!B195</f>
        <v>45611</v>
      </c>
    </row>
    <row r="196" spans="23:23" x14ac:dyDescent="0.15">
      <c r="W196" s="206">
        <f>Admin!B196</f>
        <v>45612</v>
      </c>
    </row>
    <row r="197" spans="23:23" x14ac:dyDescent="0.15">
      <c r="W197" s="206">
        <f>Admin!B197</f>
        <v>45613</v>
      </c>
    </row>
    <row r="198" spans="23:23" x14ac:dyDescent="0.15">
      <c r="W198" s="206">
        <f>Admin!B198</f>
        <v>45614</v>
      </c>
    </row>
    <row r="199" spans="23:23" x14ac:dyDescent="0.15">
      <c r="W199" s="206">
        <f>Admin!B199</f>
        <v>45615</v>
      </c>
    </row>
    <row r="200" spans="23:23" x14ac:dyDescent="0.15">
      <c r="W200" s="206">
        <f>Admin!B200</f>
        <v>45616</v>
      </c>
    </row>
    <row r="201" spans="23:23" x14ac:dyDescent="0.15">
      <c r="W201" s="206">
        <f>Admin!B201</f>
        <v>45617</v>
      </c>
    </row>
    <row r="202" spans="23:23" x14ac:dyDescent="0.15">
      <c r="W202" s="206">
        <f>Admin!B202</f>
        <v>45618</v>
      </c>
    </row>
    <row r="203" spans="23:23" x14ac:dyDescent="0.15">
      <c r="W203" s="206">
        <f>Admin!B203</f>
        <v>45619</v>
      </c>
    </row>
    <row r="204" spans="23:23" x14ac:dyDescent="0.15">
      <c r="W204" s="206">
        <f>Admin!B204</f>
        <v>45620</v>
      </c>
    </row>
    <row r="205" spans="23:23" x14ac:dyDescent="0.15">
      <c r="W205" s="206">
        <f>Admin!B205</f>
        <v>45621</v>
      </c>
    </row>
    <row r="206" spans="23:23" x14ac:dyDescent="0.15">
      <c r="W206" s="206">
        <f>Admin!B206</f>
        <v>45622</v>
      </c>
    </row>
    <row r="207" spans="23:23" x14ac:dyDescent="0.15">
      <c r="W207" s="206">
        <f>Admin!B207</f>
        <v>45623</v>
      </c>
    </row>
    <row r="208" spans="23:23" x14ac:dyDescent="0.15">
      <c r="W208" s="206">
        <f>Admin!B208</f>
        <v>45624</v>
      </c>
    </row>
    <row r="209" spans="23:23" x14ac:dyDescent="0.15">
      <c r="W209" s="206">
        <f>Admin!B209</f>
        <v>45625</v>
      </c>
    </row>
    <row r="210" spans="23:23" x14ac:dyDescent="0.15">
      <c r="W210" s="206">
        <f>Admin!B210</f>
        <v>45626</v>
      </c>
    </row>
    <row r="211" spans="23:23" x14ac:dyDescent="0.15">
      <c r="W211" s="206">
        <f>Admin!B211</f>
        <v>45627</v>
      </c>
    </row>
    <row r="212" spans="23:23" x14ac:dyDescent="0.15">
      <c r="W212" s="206">
        <f>Admin!B212</f>
        <v>45628</v>
      </c>
    </row>
    <row r="213" spans="23:23" x14ac:dyDescent="0.15">
      <c r="W213" s="206">
        <f>Admin!B213</f>
        <v>45629</v>
      </c>
    </row>
    <row r="214" spans="23:23" x14ac:dyDescent="0.15">
      <c r="W214" s="206">
        <f>Admin!B214</f>
        <v>45630</v>
      </c>
    </row>
    <row r="215" spans="23:23" x14ac:dyDescent="0.15">
      <c r="W215" s="206">
        <f>Admin!B215</f>
        <v>45631</v>
      </c>
    </row>
    <row r="216" spans="23:23" x14ac:dyDescent="0.15">
      <c r="W216" s="206">
        <f>Admin!B216</f>
        <v>45632</v>
      </c>
    </row>
    <row r="217" spans="23:23" x14ac:dyDescent="0.15">
      <c r="W217" s="206">
        <f>Admin!B217</f>
        <v>45633</v>
      </c>
    </row>
    <row r="218" spans="23:23" x14ac:dyDescent="0.15">
      <c r="W218" s="206">
        <f>Admin!B218</f>
        <v>45634</v>
      </c>
    </row>
    <row r="219" spans="23:23" x14ac:dyDescent="0.15">
      <c r="W219" s="206">
        <f>Admin!B219</f>
        <v>45635</v>
      </c>
    </row>
    <row r="220" spans="23:23" x14ac:dyDescent="0.15">
      <c r="W220" s="206">
        <f>Admin!B220</f>
        <v>45636</v>
      </c>
    </row>
    <row r="221" spans="23:23" x14ac:dyDescent="0.15">
      <c r="W221" s="206">
        <f>Admin!B221</f>
        <v>45637</v>
      </c>
    </row>
    <row r="222" spans="23:23" x14ac:dyDescent="0.15">
      <c r="W222" s="206">
        <f>Admin!B222</f>
        <v>45638</v>
      </c>
    </row>
    <row r="223" spans="23:23" x14ac:dyDescent="0.15">
      <c r="W223" s="206">
        <f>Admin!B223</f>
        <v>45639</v>
      </c>
    </row>
    <row r="224" spans="23:23" x14ac:dyDescent="0.15">
      <c r="W224" s="206">
        <f>Admin!B224</f>
        <v>45640</v>
      </c>
    </row>
    <row r="225" spans="23:23" x14ac:dyDescent="0.15">
      <c r="W225" s="206">
        <f>Admin!B225</f>
        <v>45641</v>
      </c>
    </row>
    <row r="226" spans="23:23" x14ac:dyDescent="0.15">
      <c r="W226" s="206">
        <f>Admin!B226</f>
        <v>45642</v>
      </c>
    </row>
    <row r="227" spans="23:23" x14ac:dyDescent="0.15">
      <c r="W227" s="206">
        <f>Admin!B227</f>
        <v>45643</v>
      </c>
    </row>
    <row r="228" spans="23:23" x14ac:dyDescent="0.15">
      <c r="W228" s="206">
        <f>Admin!B228</f>
        <v>45644</v>
      </c>
    </row>
    <row r="229" spans="23:23" x14ac:dyDescent="0.15">
      <c r="W229" s="206">
        <f>Admin!B229</f>
        <v>45645</v>
      </c>
    </row>
    <row r="230" spans="23:23" x14ac:dyDescent="0.15">
      <c r="W230" s="206">
        <f>Admin!B230</f>
        <v>45646</v>
      </c>
    </row>
    <row r="231" spans="23:23" x14ac:dyDescent="0.15">
      <c r="W231" s="206">
        <f>Admin!B231</f>
        <v>45647</v>
      </c>
    </row>
    <row r="232" spans="23:23" x14ac:dyDescent="0.15">
      <c r="W232" s="206">
        <f>Admin!B232</f>
        <v>45648</v>
      </c>
    </row>
    <row r="233" spans="23:23" x14ac:dyDescent="0.15">
      <c r="W233" s="206">
        <f>Admin!B233</f>
        <v>45649</v>
      </c>
    </row>
    <row r="234" spans="23:23" x14ac:dyDescent="0.15">
      <c r="W234" s="206">
        <f>Admin!B234</f>
        <v>45650</v>
      </c>
    </row>
    <row r="235" spans="23:23" x14ac:dyDescent="0.15">
      <c r="W235" s="206">
        <f>Admin!B235</f>
        <v>45651</v>
      </c>
    </row>
    <row r="236" spans="23:23" x14ac:dyDescent="0.15">
      <c r="W236" s="206">
        <f>Admin!B236</f>
        <v>45652</v>
      </c>
    </row>
    <row r="237" spans="23:23" x14ac:dyDescent="0.15">
      <c r="W237" s="206">
        <f>Admin!B237</f>
        <v>45653</v>
      </c>
    </row>
    <row r="238" spans="23:23" x14ac:dyDescent="0.15">
      <c r="W238" s="206">
        <f>Admin!B238</f>
        <v>45654</v>
      </c>
    </row>
    <row r="239" spans="23:23" x14ac:dyDescent="0.15">
      <c r="W239" s="206">
        <f>Admin!B239</f>
        <v>45655</v>
      </c>
    </row>
    <row r="240" spans="23:23" x14ac:dyDescent="0.15">
      <c r="W240" s="206">
        <f>Admin!B240</f>
        <v>45656</v>
      </c>
    </row>
    <row r="241" spans="23:23" x14ac:dyDescent="0.15">
      <c r="W241" s="206">
        <f>Admin!B241</f>
        <v>45657</v>
      </c>
    </row>
    <row r="242" spans="23:23" x14ac:dyDescent="0.15">
      <c r="W242" s="206">
        <f>Admin!B242</f>
        <v>45658</v>
      </c>
    </row>
    <row r="243" spans="23:23" x14ac:dyDescent="0.15">
      <c r="W243" s="206">
        <f>Admin!B243</f>
        <v>45659</v>
      </c>
    </row>
    <row r="244" spans="23:23" x14ac:dyDescent="0.15">
      <c r="W244" s="206">
        <f>Admin!B244</f>
        <v>45660</v>
      </c>
    </row>
    <row r="245" spans="23:23" x14ac:dyDescent="0.15">
      <c r="W245" s="206">
        <f>Admin!B245</f>
        <v>45661</v>
      </c>
    </row>
    <row r="246" spans="23:23" x14ac:dyDescent="0.15">
      <c r="W246" s="206">
        <f>Admin!B246</f>
        <v>45662</v>
      </c>
    </row>
    <row r="247" spans="23:23" x14ac:dyDescent="0.15">
      <c r="W247" s="206">
        <f>Admin!B247</f>
        <v>45663</v>
      </c>
    </row>
    <row r="248" spans="23:23" x14ac:dyDescent="0.15">
      <c r="W248" s="206">
        <f>Admin!B248</f>
        <v>45664</v>
      </c>
    </row>
    <row r="249" spans="23:23" x14ac:dyDescent="0.15">
      <c r="W249" s="206">
        <f>Admin!B249</f>
        <v>45665</v>
      </c>
    </row>
    <row r="250" spans="23:23" x14ac:dyDescent="0.15">
      <c r="W250" s="206">
        <f>Admin!B250</f>
        <v>45666</v>
      </c>
    </row>
    <row r="251" spans="23:23" x14ac:dyDescent="0.15">
      <c r="W251" s="206">
        <f>Admin!B251</f>
        <v>45667</v>
      </c>
    </row>
    <row r="252" spans="23:23" x14ac:dyDescent="0.15">
      <c r="W252" s="206">
        <f>Admin!B252</f>
        <v>45668</v>
      </c>
    </row>
    <row r="253" spans="23:23" x14ac:dyDescent="0.15">
      <c r="W253" s="206">
        <f>Admin!B253</f>
        <v>45669</v>
      </c>
    </row>
    <row r="254" spans="23:23" x14ac:dyDescent="0.15">
      <c r="W254" s="206">
        <f>Admin!B254</f>
        <v>45670</v>
      </c>
    </row>
    <row r="255" spans="23:23" x14ac:dyDescent="0.15">
      <c r="W255" s="206">
        <f>Admin!B255</f>
        <v>45671</v>
      </c>
    </row>
    <row r="256" spans="23:23" x14ac:dyDescent="0.15">
      <c r="W256" s="206">
        <f>Admin!B256</f>
        <v>45672</v>
      </c>
    </row>
    <row r="257" spans="23:23" x14ac:dyDescent="0.15">
      <c r="W257" s="206">
        <f>Admin!B257</f>
        <v>45673</v>
      </c>
    </row>
    <row r="258" spans="23:23" x14ac:dyDescent="0.15">
      <c r="W258" s="206">
        <f>Admin!B258</f>
        <v>45674</v>
      </c>
    </row>
    <row r="259" spans="23:23" x14ac:dyDescent="0.15">
      <c r="W259" s="206">
        <f>Admin!B259</f>
        <v>45675</v>
      </c>
    </row>
    <row r="260" spans="23:23" x14ac:dyDescent="0.15">
      <c r="W260" s="206">
        <f>Admin!B260</f>
        <v>45676</v>
      </c>
    </row>
    <row r="261" spans="23:23" x14ac:dyDescent="0.15">
      <c r="W261" s="206">
        <f>Admin!B261</f>
        <v>45677</v>
      </c>
    </row>
    <row r="262" spans="23:23" x14ac:dyDescent="0.15">
      <c r="W262" s="206">
        <f>Admin!B262</f>
        <v>45678</v>
      </c>
    </row>
    <row r="263" spans="23:23" x14ac:dyDescent="0.15">
      <c r="W263" s="206">
        <f>Admin!B263</f>
        <v>45679</v>
      </c>
    </row>
    <row r="264" spans="23:23" x14ac:dyDescent="0.15">
      <c r="W264" s="206">
        <f>Admin!B264</f>
        <v>45680</v>
      </c>
    </row>
    <row r="265" spans="23:23" x14ac:dyDescent="0.15">
      <c r="W265" s="206">
        <f>Admin!B265</f>
        <v>45681</v>
      </c>
    </row>
    <row r="266" spans="23:23" x14ac:dyDescent="0.15">
      <c r="W266" s="206">
        <f>Admin!B266</f>
        <v>45682</v>
      </c>
    </row>
    <row r="267" spans="23:23" x14ac:dyDescent="0.15">
      <c r="W267" s="206">
        <f>Admin!B267</f>
        <v>45683</v>
      </c>
    </row>
    <row r="268" spans="23:23" x14ac:dyDescent="0.15">
      <c r="W268" s="206">
        <f>Admin!B268</f>
        <v>45684</v>
      </c>
    </row>
    <row r="269" spans="23:23" x14ac:dyDescent="0.15">
      <c r="W269" s="206">
        <f>Admin!B269</f>
        <v>45685</v>
      </c>
    </row>
    <row r="270" spans="23:23" x14ac:dyDescent="0.15">
      <c r="W270" s="206">
        <f>Admin!B270</f>
        <v>45686</v>
      </c>
    </row>
    <row r="271" spans="23:23" x14ac:dyDescent="0.15">
      <c r="W271" s="206">
        <f>Admin!B271</f>
        <v>45687</v>
      </c>
    </row>
    <row r="272" spans="23:23" x14ac:dyDescent="0.15">
      <c r="W272" s="206">
        <f>Admin!B272</f>
        <v>45688</v>
      </c>
    </row>
    <row r="273" spans="23:23" x14ac:dyDescent="0.15">
      <c r="W273" s="206">
        <f>Admin!B273</f>
        <v>45689</v>
      </c>
    </row>
    <row r="274" spans="23:23" x14ac:dyDescent="0.15">
      <c r="W274" s="206">
        <f>Admin!B274</f>
        <v>45690</v>
      </c>
    </row>
    <row r="275" spans="23:23" x14ac:dyDescent="0.15">
      <c r="W275" s="206">
        <f>Admin!B275</f>
        <v>45691</v>
      </c>
    </row>
    <row r="276" spans="23:23" x14ac:dyDescent="0.15">
      <c r="W276" s="206">
        <f>Admin!B276</f>
        <v>45692</v>
      </c>
    </row>
    <row r="277" spans="23:23" x14ac:dyDescent="0.15">
      <c r="W277" s="206">
        <f>Admin!B277</f>
        <v>45693</v>
      </c>
    </row>
    <row r="278" spans="23:23" x14ac:dyDescent="0.15">
      <c r="W278" s="206">
        <f>Admin!B278</f>
        <v>45694</v>
      </c>
    </row>
    <row r="279" spans="23:23" x14ac:dyDescent="0.15">
      <c r="W279" s="206">
        <f>Admin!B279</f>
        <v>45695</v>
      </c>
    </row>
    <row r="280" spans="23:23" x14ac:dyDescent="0.15">
      <c r="W280" s="206">
        <f>Admin!B280</f>
        <v>45696</v>
      </c>
    </row>
    <row r="281" spans="23:23" x14ac:dyDescent="0.15">
      <c r="W281" s="206">
        <f>Admin!B281</f>
        <v>45697</v>
      </c>
    </row>
    <row r="282" spans="23:23" x14ac:dyDescent="0.15">
      <c r="W282" s="206">
        <f>Admin!B282</f>
        <v>45698</v>
      </c>
    </row>
    <row r="283" spans="23:23" x14ac:dyDescent="0.15">
      <c r="W283" s="206">
        <f>Admin!B283</f>
        <v>45699</v>
      </c>
    </row>
    <row r="284" spans="23:23" x14ac:dyDescent="0.15">
      <c r="W284" s="206">
        <f>Admin!B284</f>
        <v>45700</v>
      </c>
    </row>
    <row r="285" spans="23:23" x14ac:dyDescent="0.15">
      <c r="W285" s="206">
        <f>Admin!B285</f>
        <v>45701</v>
      </c>
    </row>
    <row r="286" spans="23:23" x14ac:dyDescent="0.15">
      <c r="W286" s="206">
        <f>Admin!B286</f>
        <v>45702</v>
      </c>
    </row>
    <row r="287" spans="23:23" x14ac:dyDescent="0.15">
      <c r="W287" s="206">
        <f>Admin!B287</f>
        <v>45703</v>
      </c>
    </row>
    <row r="288" spans="23:23" x14ac:dyDescent="0.15">
      <c r="W288" s="206">
        <f>Admin!B288</f>
        <v>45704</v>
      </c>
    </row>
    <row r="289" spans="23:23" x14ac:dyDescent="0.15">
      <c r="W289" s="206">
        <f>Admin!B289</f>
        <v>45705</v>
      </c>
    </row>
    <row r="290" spans="23:23" x14ac:dyDescent="0.15">
      <c r="W290" s="206">
        <f>Admin!B290</f>
        <v>45706</v>
      </c>
    </row>
    <row r="291" spans="23:23" x14ac:dyDescent="0.15">
      <c r="W291" s="206">
        <f>Admin!B291</f>
        <v>45707</v>
      </c>
    </row>
    <row r="292" spans="23:23" x14ac:dyDescent="0.15">
      <c r="W292" s="206">
        <f>Admin!B292</f>
        <v>45708</v>
      </c>
    </row>
    <row r="293" spans="23:23" x14ac:dyDescent="0.15">
      <c r="W293" s="206">
        <f>Admin!B293</f>
        <v>45709</v>
      </c>
    </row>
    <row r="294" spans="23:23" x14ac:dyDescent="0.15">
      <c r="W294" s="206">
        <f>Admin!B294</f>
        <v>45710</v>
      </c>
    </row>
    <row r="295" spans="23:23" x14ac:dyDescent="0.15">
      <c r="W295" s="206">
        <f>Admin!B295</f>
        <v>45711</v>
      </c>
    </row>
    <row r="296" spans="23:23" x14ac:dyDescent="0.15">
      <c r="W296" s="206">
        <f>Admin!B296</f>
        <v>45712</v>
      </c>
    </row>
    <row r="297" spans="23:23" x14ac:dyDescent="0.15">
      <c r="W297" s="206">
        <f>Admin!B297</f>
        <v>45713</v>
      </c>
    </row>
    <row r="298" spans="23:23" x14ac:dyDescent="0.15">
      <c r="W298" s="206">
        <f>Admin!B298</f>
        <v>45714</v>
      </c>
    </row>
    <row r="299" spans="23:23" x14ac:dyDescent="0.15">
      <c r="W299" s="206">
        <f>Admin!B299</f>
        <v>45715</v>
      </c>
    </row>
    <row r="300" spans="23:23" x14ac:dyDescent="0.15">
      <c r="W300" s="206">
        <f>Admin!B300</f>
        <v>45716</v>
      </c>
    </row>
    <row r="301" spans="23:23" x14ac:dyDescent="0.15">
      <c r="W301" s="206">
        <f>Admin!B301</f>
        <v>45717</v>
      </c>
    </row>
    <row r="302" spans="23:23" x14ac:dyDescent="0.15">
      <c r="W302" s="206">
        <f>Admin!B302</f>
        <v>45718</v>
      </c>
    </row>
    <row r="303" spans="23:23" x14ac:dyDescent="0.15">
      <c r="W303" s="206">
        <f>Admin!B303</f>
        <v>45719</v>
      </c>
    </row>
    <row r="304" spans="23:23" x14ac:dyDescent="0.15">
      <c r="W304" s="206">
        <f>Admin!B304</f>
        <v>45720</v>
      </c>
    </row>
    <row r="305" spans="23:23" x14ac:dyDescent="0.15">
      <c r="W305" s="206">
        <f>Admin!B305</f>
        <v>45721</v>
      </c>
    </row>
    <row r="306" spans="23:23" x14ac:dyDescent="0.15">
      <c r="W306" s="206">
        <f>Admin!B306</f>
        <v>45722</v>
      </c>
    </row>
    <row r="307" spans="23:23" x14ac:dyDescent="0.15">
      <c r="W307" s="206">
        <f>Admin!B307</f>
        <v>45723</v>
      </c>
    </row>
    <row r="308" spans="23:23" x14ac:dyDescent="0.15">
      <c r="W308" s="206">
        <f>Admin!B308</f>
        <v>45724</v>
      </c>
    </row>
    <row r="309" spans="23:23" x14ac:dyDescent="0.15">
      <c r="W309" s="206">
        <f>Admin!B309</f>
        <v>45725</v>
      </c>
    </row>
    <row r="310" spans="23:23" x14ac:dyDescent="0.15">
      <c r="W310" s="206">
        <f>Admin!B310</f>
        <v>45726</v>
      </c>
    </row>
    <row r="311" spans="23:23" x14ac:dyDescent="0.15">
      <c r="W311" s="206">
        <f>Admin!B311</f>
        <v>45727</v>
      </c>
    </row>
    <row r="312" spans="23:23" x14ac:dyDescent="0.15">
      <c r="W312" s="206">
        <f>Admin!B312</f>
        <v>45728</v>
      </c>
    </row>
    <row r="313" spans="23:23" x14ac:dyDescent="0.15">
      <c r="W313" s="206">
        <f>Admin!B313</f>
        <v>45729</v>
      </c>
    </row>
    <row r="314" spans="23:23" x14ac:dyDescent="0.15">
      <c r="W314" s="206">
        <f>Admin!B314</f>
        <v>45730</v>
      </c>
    </row>
    <row r="315" spans="23:23" x14ac:dyDescent="0.15">
      <c r="W315" s="206">
        <f>Admin!B315</f>
        <v>45731</v>
      </c>
    </row>
    <row r="316" spans="23:23" x14ac:dyDescent="0.15">
      <c r="W316" s="206">
        <f>Admin!B316</f>
        <v>45732</v>
      </c>
    </row>
    <row r="317" spans="23:23" x14ac:dyDescent="0.15">
      <c r="W317" s="206">
        <f>Admin!B317</f>
        <v>45733</v>
      </c>
    </row>
    <row r="318" spans="23:23" x14ac:dyDescent="0.15">
      <c r="W318" s="206">
        <f>Admin!B318</f>
        <v>45734</v>
      </c>
    </row>
    <row r="319" spans="23:23" x14ac:dyDescent="0.15">
      <c r="W319" s="206">
        <f>Admin!B319</f>
        <v>45735</v>
      </c>
    </row>
    <row r="320" spans="23:23" x14ac:dyDescent="0.15">
      <c r="W320" s="206">
        <f>Admin!B320</f>
        <v>45736</v>
      </c>
    </row>
    <row r="321" spans="23:23" x14ac:dyDescent="0.15">
      <c r="W321" s="206">
        <f>Admin!B321</f>
        <v>45737</v>
      </c>
    </row>
    <row r="322" spans="23:23" x14ac:dyDescent="0.15">
      <c r="W322" s="206">
        <f>Admin!B322</f>
        <v>45738</v>
      </c>
    </row>
    <row r="323" spans="23:23" x14ac:dyDescent="0.15">
      <c r="W323" s="206">
        <f>Admin!B323</f>
        <v>45739</v>
      </c>
    </row>
    <row r="324" spans="23:23" x14ac:dyDescent="0.15">
      <c r="W324" s="206">
        <f>Admin!B324</f>
        <v>45740</v>
      </c>
    </row>
    <row r="325" spans="23:23" x14ac:dyDescent="0.15">
      <c r="W325" s="206">
        <f>Admin!B325</f>
        <v>45741</v>
      </c>
    </row>
    <row r="326" spans="23:23" x14ac:dyDescent="0.15">
      <c r="W326" s="206">
        <f>Admin!B326</f>
        <v>45742</v>
      </c>
    </row>
    <row r="327" spans="23:23" x14ac:dyDescent="0.15">
      <c r="W327" s="206">
        <f>Admin!B327</f>
        <v>45743</v>
      </c>
    </row>
    <row r="328" spans="23:23" x14ac:dyDescent="0.15">
      <c r="W328" s="206">
        <f>Admin!B328</f>
        <v>45744</v>
      </c>
    </row>
    <row r="329" spans="23:23" x14ac:dyDescent="0.15">
      <c r="W329" s="206">
        <f>Admin!B329</f>
        <v>45745</v>
      </c>
    </row>
    <row r="330" spans="23:23" x14ac:dyDescent="0.15">
      <c r="W330" s="206">
        <f>Admin!B330</f>
        <v>45746</v>
      </c>
    </row>
    <row r="331" spans="23:23" x14ac:dyDescent="0.15">
      <c r="W331" s="206">
        <f>Admin!B331</f>
        <v>45747</v>
      </c>
    </row>
    <row r="332" spans="23:23" x14ac:dyDescent="0.15">
      <c r="W332" s="206">
        <f>Admin!B332</f>
        <v>45748</v>
      </c>
    </row>
    <row r="333" spans="23:23" x14ac:dyDescent="0.15">
      <c r="W333" s="206">
        <f>Admin!B333</f>
        <v>45749</v>
      </c>
    </row>
    <row r="334" spans="23:23" x14ac:dyDescent="0.15">
      <c r="W334" s="206">
        <f>Admin!B334</f>
        <v>45750</v>
      </c>
    </row>
    <row r="335" spans="23:23" x14ac:dyDescent="0.15">
      <c r="W335" s="206">
        <f>Admin!B335</f>
        <v>45751</v>
      </c>
    </row>
    <row r="336" spans="23:23" x14ac:dyDescent="0.15">
      <c r="W336" s="206">
        <f>Admin!B336</f>
        <v>45752</v>
      </c>
    </row>
    <row r="337" spans="23:23" x14ac:dyDescent="0.15">
      <c r="W337" s="206">
        <f>Admin!B337</f>
        <v>45753</v>
      </c>
    </row>
    <row r="338" spans="23:23" x14ac:dyDescent="0.15">
      <c r="W338" s="206">
        <f>Admin!B338</f>
        <v>45754</v>
      </c>
    </row>
    <row r="339" spans="23:23" x14ac:dyDescent="0.15">
      <c r="W339" s="206">
        <f>Admin!B339</f>
        <v>45755</v>
      </c>
    </row>
    <row r="340" spans="23:23" x14ac:dyDescent="0.15">
      <c r="W340" s="206">
        <f>Admin!B340</f>
        <v>45756</v>
      </c>
    </row>
    <row r="341" spans="23:23" x14ac:dyDescent="0.15">
      <c r="W341" s="206">
        <f>Admin!B341</f>
        <v>45757</v>
      </c>
    </row>
    <row r="342" spans="23:23" x14ac:dyDescent="0.15">
      <c r="W342" s="206">
        <f>Admin!B342</f>
        <v>45758</v>
      </c>
    </row>
    <row r="343" spans="23:23" x14ac:dyDescent="0.15">
      <c r="W343" s="206">
        <f>Admin!B343</f>
        <v>45759</v>
      </c>
    </row>
    <row r="344" spans="23:23" x14ac:dyDescent="0.15">
      <c r="W344" s="206">
        <f>Admin!B344</f>
        <v>45760</v>
      </c>
    </row>
    <row r="345" spans="23:23" x14ac:dyDescent="0.15">
      <c r="W345" s="206">
        <f>Admin!B345</f>
        <v>45761</v>
      </c>
    </row>
    <row r="346" spans="23:23" x14ac:dyDescent="0.15">
      <c r="W346" s="206">
        <f>Admin!B346</f>
        <v>45762</v>
      </c>
    </row>
    <row r="347" spans="23:23" x14ac:dyDescent="0.15">
      <c r="W347" s="206">
        <f>Admin!B347</f>
        <v>45763</v>
      </c>
    </row>
    <row r="348" spans="23:23" x14ac:dyDescent="0.15">
      <c r="W348" s="206">
        <f>Admin!B348</f>
        <v>45764</v>
      </c>
    </row>
    <row r="349" spans="23:23" x14ac:dyDescent="0.15">
      <c r="W349" s="206">
        <f>Admin!B349</f>
        <v>45765</v>
      </c>
    </row>
    <row r="350" spans="23:23" x14ac:dyDescent="0.15">
      <c r="W350" s="206">
        <f>Admin!B350</f>
        <v>45766</v>
      </c>
    </row>
    <row r="351" spans="23:23" x14ac:dyDescent="0.15">
      <c r="W351" s="206">
        <f>Admin!B351</f>
        <v>45767</v>
      </c>
    </row>
    <row r="352" spans="23:23" x14ac:dyDescent="0.15">
      <c r="W352" s="206">
        <f>Admin!B352</f>
        <v>45768</v>
      </c>
    </row>
    <row r="353" spans="23:23" x14ac:dyDescent="0.15">
      <c r="W353" s="206">
        <f>Admin!B353</f>
        <v>45769</v>
      </c>
    </row>
    <row r="354" spans="23:23" x14ac:dyDescent="0.15">
      <c r="W354" s="206">
        <f>Admin!B354</f>
        <v>45770</v>
      </c>
    </row>
    <row r="355" spans="23:23" x14ac:dyDescent="0.15">
      <c r="W355" s="206">
        <f>Admin!B355</f>
        <v>45771</v>
      </c>
    </row>
    <row r="356" spans="23:23" x14ac:dyDescent="0.15">
      <c r="W356" s="206">
        <f>Admin!B356</f>
        <v>45772</v>
      </c>
    </row>
    <row r="357" spans="23:23" x14ac:dyDescent="0.15">
      <c r="W357" s="206">
        <f>Admin!B357</f>
        <v>45773</v>
      </c>
    </row>
    <row r="358" spans="23:23" x14ac:dyDescent="0.15">
      <c r="W358" s="206">
        <f>Admin!B358</f>
        <v>45774</v>
      </c>
    </row>
    <row r="359" spans="23:23" x14ac:dyDescent="0.15">
      <c r="W359" s="206">
        <f>Admin!B359</f>
        <v>45775</v>
      </c>
    </row>
    <row r="360" spans="23:23" x14ac:dyDescent="0.15">
      <c r="W360" s="206">
        <f>Admin!B360</f>
        <v>45776</v>
      </c>
    </row>
    <row r="361" spans="23:23" x14ac:dyDescent="0.15">
      <c r="W361" s="206">
        <f>Admin!B361</f>
        <v>45777</v>
      </c>
    </row>
    <row r="362" spans="23:23" x14ac:dyDescent="0.15">
      <c r="W362" s="206">
        <f>Admin!B362</f>
        <v>45778</v>
      </c>
    </row>
    <row r="363" spans="23:23" x14ac:dyDescent="0.15">
      <c r="W363" s="206">
        <f>Admin!B363</f>
        <v>45779</v>
      </c>
    </row>
    <row r="364" spans="23:23" x14ac:dyDescent="0.15">
      <c r="W364" s="206">
        <f>Admin!B364</f>
        <v>45780</v>
      </c>
    </row>
    <row r="365" spans="23:23" x14ac:dyDescent="0.15">
      <c r="W365" s="206">
        <f>Admin!B365</f>
        <v>45781</v>
      </c>
    </row>
    <row r="366" spans="23:23" x14ac:dyDescent="0.15">
      <c r="W366" s="206">
        <f>Admin!B366</f>
        <v>45782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2"/>
      <c r="B1" s="424" t="s">
        <v>65</v>
      </c>
      <c r="C1" s="425"/>
      <c r="D1" s="425"/>
      <c r="E1" s="425"/>
      <c r="F1" s="426"/>
      <c r="G1" s="390">
        <f>SUM(AD60:AG60)+SUM(AE62:AG62)</f>
        <v>0</v>
      </c>
      <c r="H1" s="391"/>
      <c r="I1" s="387" t="s">
        <v>4</v>
      </c>
      <c r="J1" s="388"/>
      <c r="K1" s="388"/>
      <c r="L1" s="38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8"/>
    </row>
    <row r="2" spans="1:34" s="179" customFormat="1" ht="14.25" customHeight="1" thickBot="1" x14ac:dyDescent="0.2">
      <c r="A2" s="382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8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">
        <v>104</v>
      </c>
      <c r="I3" s="367" t="s">
        <v>43</v>
      </c>
      <c r="J3" s="367" t="s">
        <v>44</v>
      </c>
      <c r="K3" s="384" t="s">
        <v>48</v>
      </c>
      <c r="L3" s="384" t="s">
        <v>31</v>
      </c>
      <c r="M3" s="373" t="s">
        <v>46</v>
      </c>
      <c r="N3" s="367" t="s">
        <v>1</v>
      </c>
      <c r="O3" s="375" t="s">
        <v>26</v>
      </c>
      <c r="P3" s="367" t="s">
        <v>105</v>
      </c>
      <c r="Q3" s="375" t="s">
        <v>2</v>
      </c>
      <c r="R3" s="373" t="s">
        <v>47</v>
      </c>
      <c r="S3" s="42"/>
      <c r="T3" s="375" t="s">
        <v>27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68"/>
      <c r="J4" s="368"/>
      <c r="K4" s="385"/>
      <c r="L4" s="385"/>
      <c r="M4" s="374"/>
      <c r="N4" s="370"/>
      <c r="O4" s="376"/>
      <c r="P4" s="370"/>
      <c r="Q4" s="376"/>
      <c r="R4" s="374"/>
      <c r="S4" s="42"/>
      <c r="T4" s="376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68"/>
      <c r="J5" s="368"/>
      <c r="K5" s="385"/>
      <c r="L5" s="385"/>
      <c r="M5" s="374"/>
      <c r="N5" s="370"/>
      <c r="O5" s="376"/>
      <c r="P5" s="370"/>
      <c r="Q5" s="376"/>
      <c r="R5" s="374"/>
      <c r="S5" s="42"/>
      <c r="T5" s="376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69"/>
      <c r="J6" s="369"/>
      <c r="K6" s="386"/>
      <c r="L6" s="386"/>
      <c r="M6" s="374"/>
      <c r="N6" s="371"/>
      <c r="O6" s="376"/>
      <c r="P6" s="371"/>
      <c r="Q6" s="376"/>
      <c r="R6" s="374"/>
      <c r="S6" s="41"/>
      <c r="T6" s="376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378"/>
      <c r="S8" s="379"/>
      <c r="T8" s="379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1</v>
      </c>
      <c r="F9" s="35"/>
      <c r="G9" s="35"/>
      <c r="H9" s="362" t="s">
        <v>56</v>
      </c>
      <c r="I9" s="363"/>
      <c r="J9" s="361"/>
      <c r="K9" s="201">
        <f>Admin!B2</f>
        <v>45418</v>
      </c>
      <c r="L9" s="200" t="s">
        <v>75</v>
      </c>
      <c r="M9" s="202">
        <f>K9+4</f>
        <v>45422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">
        <v>138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80" t="s">
        <v>7</v>
      </c>
      <c r="G16" s="381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2</v>
      </c>
      <c r="F19" s="35"/>
      <c r="G19" s="35"/>
      <c r="H19" s="362" t="s">
        <v>28</v>
      </c>
      <c r="I19" s="363"/>
      <c r="J19" s="361"/>
      <c r="K19" s="201">
        <f>M9+1</f>
        <v>45423</v>
      </c>
      <c r="L19" s="200" t="s">
        <v>75</v>
      </c>
      <c r="M19" s="202">
        <f>K19+6</f>
        <v>45429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3</v>
      </c>
      <c r="F29" s="35"/>
      <c r="G29" s="35"/>
      <c r="H29" s="362" t="s">
        <v>28</v>
      </c>
      <c r="I29" s="363"/>
      <c r="J29" s="361"/>
      <c r="K29" s="201">
        <f>M19+1</f>
        <v>45430</v>
      </c>
      <c r="L29" s="200" t="s">
        <v>75</v>
      </c>
      <c r="M29" s="202">
        <f>K29+6</f>
        <v>45436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363"/>
      <c r="D38" s="363"/>
      <c r="E38" s="361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363"/>
      <c r="D39" s="361"/>
      <c r="E39" s="156">
        <v>4</v>
      </c>
      <c r="F39" s="35"/>
      <c r="G39" s="35"/>
      <c r="H39" s="362" t="s">
        <v>28</v>
      </c>
      <c r="I39" s="363"/>
      <c r="J39" s="361"/>
      <c r="K39" s="201">
        <f>M29+1</f>
        <v>45437</v>
      </c>
      <c r="L39" s="200" t="s">
        <v>75</v>
      </c>
      <c r="M39" s="202">
        <f>K39+6</f>
        <v>45443</v>
      </c>
      <c r="N39" s="20"/>
      <c r="O39" s="403" t="s">
        <v>62</v>
      </c>
      <c r="P39" s="404"/>
      <c r="Q39" s="404"/>
      <c r="R39" s="40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361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63"/>
      <c r="D48" s="363"/>
      <c r="E48" s="361"/>
      <c r="F48" s="32"/>
      <c r="G48" s="32"/>
      <c r="H48" s="43"/>
      <c r="I48" s="43"/>
      <c r="J48" s="43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10</v>
      </c>
      <c r="C49" s="363"/>
      <c r="D49" s="361"/>
      <c r="E49" s="156">
        <v>1</v>
      </c>
      <c r="F49" s="35"/>
      <c r="G49" s="35"/>
      <c r="H49" s="362" t="s">
        <v>28</v>
      </c>
      <c r="I49" s="363"/>
      <c r="J49" s="361"/>
      <c r="K49" s="204">
        <f>Admin!B2</f>
        <v>45418</v>
      </c>
      <c r="L49" s="203" t="s">
        <v>75</v>
      </c>
      <c r="M49" s="205">
        <f>Admin!B26</f>
        <v>45442</v>
      </c>
      <c r="N49" s="20"/>
      <c r="O49" s="403" t="s">
        <v>49</v>
      </c>
      <c r="P49" s="404"/>
      <c r="Q49" s="404"/>
      <c r="R49" s="405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361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70</v>
      </c>
      <c r="G59" s="180"/>
      <c r="H59" s="180"/>
      <c r="M59" s="417" t="s">
        <v>73</v>
      </c>
      <c r="N59" s="418"/>
      <c r="O59" s="418"/>
      <c r="P59" s="418"/>
      <c r="Q59" s="418"/>
      <c r="R59" s="41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3"/>
      <c r="B1" s="424" t="s">
        <v>65</v>
      </c>
      <c r="C1" s="425"/>
      <c r="D1" s="425"/>
      <c r="E1" s="425"/>
      <c r="F1" s="426"/>
      <c r="G1" s="390">
        <f>SUM(AD60:AG60)+SUM(AE62:AG62)</f>
        <v>0</v>
      </c>
      <c r="H1" s="391"/>
      <c r="I1" s="387" t="s">
        <v>4</v>
      </c>
      <c r="J1" s="388"/>
      <c r="K1" s="388"/>
      <c r="L1" s="38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8"/>
    </row>
    <row r="2" spans="1:34" s="179" customFormat="1" ht="14.2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8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5</v>
      </c>
      <c r="F9" s="35"/>
      <c r="G9" s="35"/>
      <c r="H9" s="362" t="s">
        <v>28</v>
      </c>
      <c r="I9" s="363"/>
      <c r="J9" s="361"/>
      <c r="K9" s="204">
        <f>Month01!M39+1</f>
        <v>45444</v>
      </c>
      <c r="L9" s="203" t="s">
        <v>75</v>
      </c>
      <c r="M9" s="205">
        <f>K9+6</f>
        <v>45450</v>
      </c>
      <c r="N9" s="20"/>
      <c r="O9" s="403" t="s">
        <v>62</v>
      </c>
      <c r="P9" s="404"/>
      <c r="Q9" s="404"/>
      <c r="R9" s="40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IF(T$9="Y",Month01!H41,0)</f>
        <v>0</v>
      </c>
      <c r="I11" s="89">
        <f>IF(T$9="Y",Month01!I41,0)</f>
        <v>0</v>
      </c>
      <c r="J11" s="89">
        <f>IF(T$9="Y",Month01!J41,0)</f>
        <v>0</v>
      </c>
      <c r="K11" s="89">
        <f>IF(T$9="Y",Month01!K41,I11*J11)</f>
        <v>0</v>
      </c>
      <c r="L11" s="110">
        <f>IF(T$9="Y",Month01!L41,0)</f>
        <v>0</v>
      </c>
      <c r="M11" s="110" t="str">
        <f>IF(E11=" "," ",IF(T$9="Y",Month01!M41,IF((H11+K11+L11)&gt;0,H11+K11+L11,"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IF(Employee!H$34=E$9,Employee!D$34+SUM(M11)+Month01!V41,SUM(M11)+Month01!V41)</f>
        <v>0</v>
      </c>
      <c r="W11" s="49">
        <f>IF(Employee!H$34=E$9,Employee!D$35+SUM(N11)+Month01!W41,SUM(N11)+Month01!W41)</f>
        <v>0</v>
      </c>
      <c r="X11" s="49">
        <f>IF(O11=" ",Month01!X41,O11+Month01!X41)</f>
        <v>0</v>
      </c>
      <c r="Y11" s="49">
        <f>IF(P11=" ",Month01!Y41,P11+Month01!Y41)</f>
        <v>0</v>
      </c>
      <c r="Z11" s="49">
        <f>IF(Q11=" ",Month01!Z41,Q11+Month01!Z41)</f>
        <v>0</v>
      </c>
      <c r="AA11" s="49">
        <f>IF(R11=" ",Month01!AA41,R11+Month01!AA41)</f>
        <v>0</v>
      </c>
      <c r="AC11" s="49">
        <f>IF(T11=" ",Month01!AC41,T11+Month01!AC41)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IF(T$9="Y",Month01!H42,0)</f>
        <v>0</v>
      </c>
      <c r="I12" s="92">
        <f>IF(T$9="Y",Month01!I42,0)</f>
        <v>0</v>
      </c>
      <c r="J12" s="92">
        <f>IF(T$9="Y",Month01!J42,0)</f>
        <v>0</v>
      </c>
      <c r="K12" s="92">
        <f>IF(T$9="Y",Month01!K42,I12*J12)</f>
        <v>0</v>
      </c>
      <c r="L12" s="111">
        <f>IF(T$9="Y",Month01!L42,0)</f>
        <v>0</v>
      </c>
      <c r="M12" s="111" t="str">
        <f>IF(E12=" "," ",IF(T$9="Y",Month01!M42,IF((H12+K12+L12)&gt;0,H12+K12+L12,"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IF(Employee!H$60=E$9,Employee!D$60+SUM(M12)+Month01!V42,SUM(M12)+Month01!V42)</f>
        <v>0</v>
      </c>
      <c r="W12" s="49">
        <f>IF(Employee!H$60=E$9,Employee!D$61+SUM(N12)+Month01!W42,SUM(N12)+Month01!W42)</f>
        <v>0</v>
      </c>
      <c r="X12" s="49">
        <f>IF(O12=" ",Month01!X42,O12+Month01!X42)</f>
        <v>0</v>
      </c>
      <c r="Y12" s="49">
        <f>IF(P12=" ",Month01!Y42,P12+Month01!Y42)</f>
        <v>0</v>
      </c>
      <c r="Z12" s="49">
        <f>IF(Q12=" ",Month01!Z42,Q12+Month01!Z42)</f>
        <v>0</v>
      </c>
      <c r="AA12" s="49">
        <f>IF(R12=" ",Month01!AA42,R12+Month01!AA42)</f>
        <v>0</v>
      </c>
      <c r="AC12" s="49">
        <f>IF(T12=" ",Month01!AC42,T12+Month01!AC42)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IF(T$9="Y",Month01!H43,0)</f>
        <v>0</v>
      </c>
      <c r="I13" s="92">
        <f>IF(T$9="Y",Month01!I43,0)</f>
        <v>0</v>
      </c>
      <c r="J13" s="92">
        <f>IF(T$9="Y",Month01!J43,0)</f>
        <v>0</v>
      </c>
      <c r="K13" s="92">
        <f>IF(T$9="Y",Month01!K43,I13*J13)</f>
        <v>0</v>
      </c>
      <c r="L13" s="111">
        <f>IF(T$9="Y",Month01!L43,0)</f>
        <v>0</v>
      </c>
      <c r="M13" s="111" t="str">
        <f>IF(E13=" "," ",IF(T$9="Y",Month01!M43,IF((H13+K13+L13)&gt;0,H13+K13+L13,"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IF(Employee!H$86=E$9,Employee!D$86+SUM(M13)+Month01!V43,SUM(M13)+Month01!V43)</f>
        <v>0</v>
      </c>
      <c r="W13" s="49">
        <f>IF(Employee!H$86=E$9,Employee!D$87+SUM(N13)+Month01!W43,SUM(N13)+Month01!W43)</f>
        <v>0</v>
      </c>
      <c r="X13" s="49">
        <f>IF(O13=" ",Month01!X43,O13+Month01!X43)</f>
        <v>0</v>
      </c>
      <c r="Y13" s="49">
        <f>IF(P13=" ",Month01!Y43,P13+Month01!Y43)</f>
        <v>0</v>
      </c>
      <c r="Z13" s="49">
        <f>IF(Q13=" ",Month01!Z43,Q13+Month01!Z43)</f>
        <v>0</v>
      </c>
      <c r="AA13" s="49">
        <f>IF(R13=" ",Month01!AA43,R13+Month01!AA43)</f>
        <v>0</v>
      </c>
      <c r="AC13" s="49">
        <f>IF(T13=" ",Month01!AC43,T13+Month01!AC43)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IF(T$9="Y",Month01!H44,0)</f>
        <v>0</v>
      </c>
      <c r="I14" s="92">
        <f>IF(T$9="Y",Month01!I44,0)</f>
        <v>0</v>
      </c>
      <c r="J14" s="92">
        <f>IF(T$9="Y",Month01!J44,0)</f>
        <v>0</v>
      </c>
      <c r="K14" s="92">
        <f>IF(T$9="Y",Month01!K44,I14*J14)</f>
        <v>0</v>
      </c>
      <c r="L14" s="111">
        <f>IF(T$9="Y",Month01!L44,0)</f>
        <v>0</v>
      </c>
      <c r="M14" s="111" t="str">
        <f>IF(E14=" "," ",IF(T$9="Y",Month01!M44,IF((H14+K14+L14)&gt;0,H14+K14+L14,"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IF(Employee!H$112=E$9,Employee!D$112+SUM(M14)+Month01!V44,SUM(M14)+Month01!V44)</f>
        <v>0</v>
      </c>
      <c r="W14" s="49">
        <f>IF(Employee!H$112=E$9,Employee!D$113+SUM(N14)+Month01!W44,SUM(N14)+Month01!W44)</f>
        <v>0</v>
      </c>
      <c r="X14" s="49">
        <f>IF(O14=" ",Month01!X44,O14+Month01!X44)</f>
        <v>0</v>
      </c>
      <c r="Y14" s="49">
        <f>IF(P14=" ",Month01!Y44,P14+Month01!Y44)</f>
        <v>0</v>
      </c>
      <c r="Z14" s="49">
        <f>IF(Q14=" ",Month01!Z44,Q14+Month01!Z44)</f>
        <v>0</v>
      </c>
      <c r="AA14" s="49">
        <f>IF(R14=" ",Month01!AA44,R14+Month01!AA44)</f>
        <v>0</v>
      </c>
      <c r="AC14" s="49">
        <f>IF(T14=" ",Month01!AC44,T14+Month01!AC44)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IF(T$9="Y",Month01!H45,0)</f>
        <v>0</v>
      </c>
      <c r="I15" s="245">
        <f>IF(T$9="Y",Month01!I45,0)</f>
        <v>0</v>
      </c>
      <c r="J15" s="245">
        <f>IF(T$9="Y",Month01!J45,0)</f>
        <v>0</v>
      </c>
      <c r="K15" s="245">
        <f>IF(T$9="Y",Month01!K45,I15*J15)</f>
        <v>0</v>
      </c>
      <c r="L15" s="246">
        <f>IF(T$9="Y",Month01!L45,0)</f>
        <v>0</v>
      </c>
      <c r="M15" s="111" t="str">
        <f>IF(E15=" "," ",IF(T$9="Y",Month01!M45,IF((H15+K15+L15)&gt;0,H15+K15+L15,"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IF(Employee!H$138=E$9,Employee!D$138+SUM(M15)+Month01!V45,SUM(M15)+Month01!V45)</f>
        <v>0</v>
      </c>
      <c r="W15" s="49">
        <f>IF(Employee!H$138=E$9,Employee!D$139+SUM(N15)+Month01!W45,SUM(N15)+Month01!W45)</f>
        <v>0</v>
      </c>
      <c r="X15" s="49">
        <f>IF(O15=" ",Month01!X45,O15+Month01!X45)</f>
        <v>0</v>
      </c>
      <c r="Y15" s="49">
        <f>IF(P15=" ",Month01!Y45,P15+Month01!Y45)</f>
        <v>0</v>
      </c>
      <c r="Z15" s="49">
        <f>IF(Q15=" ",Month01!Z45,Q15+Month01!Z45)</f>
        <v>0</v>
      </c>
      <c r="AA15" s="49">
        <f>IF(R15=" ",Month01!AA45,R15+Month01!AA45)</f>
        <v>0</v>
      </c>
      <c r="AC15" s="49">
        <f>IF(T15=" ",Month01!AC45,T15+Month01!AC45)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36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6</v>
      </c>
      <c r="F19" s="35"/>
      <c r="G19" s="35"/>
      <c r="H19" s="362" t="s">
        <v>28</v>
      </c>
      <c r="I19" s="363"/>
      <c r="J19" s="361"/>
      <c r="K19" s="204">
        <f>M9+1</f>
        <v>45451</v>
      </c>
      <c r="L19" s="203" t="s">
        <v>75</v>
      </c>
      <c r="M19" s="205">
        <f>K19+6</f>
        <v>45457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7</v>
      </c>
      <c r="F29" s="35"/>
      <c r="G29" s="35"/>
      <c r="H29" s="362" t="s">
        <v>28</v>
      </c>
      <c r="I29" s="363"/>
      <c r="J29" s="361"/>
      <c r="K29" s="204">
        <f>M19+1</f>
        <v>45458</v>
      </c>
      <c r="L29" s="203" t="s">
        <v>75</v>
      </c>
      <c r="M29" s="205">
        <f>K29+6</f>
        <v>45464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363"/>
      <c r="D38" s="363"/>
      <c r="E38" s="361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363"/>
      <c r="D39" s="361"/>
      <c r="E39" s="156">
        <v>8</v>
      </c>
      <c r="F39" s="35"/>
      <c r="G39" s="35"/>
      <c r="H39" s="362" t="s">
        <v>28</v>
      </c>
      <c r="I39" s="363"/>
      <c r="J39" s="361"/>
      <c r="K39" s="204">
        <f>M29+1</f>
        <v>45465</v>
      </c>
      <c r="L39" s="203" t="s">
        <v>75</v>
      </c>
      <c r="M39" s="205">
        <f>K39+6</f>
        <v>45471</v>
      </c>
      <c r="N39" s="20"/>
      <c r="O39" s="403" t="s">
        <v>62</v>
      </c>
      <c r="P39" s="404"/>
      <c r="Q39" s="404"/>
      <c r="R39" s="40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361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63"/>
      <c r="D48" s="363"/>
      <c r="E48" s="361"/>
      <c r="F48" s="32"/>
      <c r="G48" s="32"/>
      <c r="H48" s="43"/>
      <c r="I48" s="43"/>
      <c r="J48" s="43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10</v>
      </c>
      <c r="C49" s="363"/>
      <c r="D49" s="361"/>
      <c r="E49" s="156">
        <v>2</v>
      </c>
      <c r="F49" s="35"/>
      <c r="G49" s="35"/>
      <c r="H49" s="362" t="s">
        <v>28</v>
      </c>
      <c r="I49" s="363"/>
      <c r="J49" s="361"/>
      <c r="K49" s="204">
        <f>Admin!B27</f>
        <v>45443</v>
      </c>
      <c r="L49" s="203" t="s">
        <v>75</v>
      </c>
      <c r="M49" s="205">
        <f>Admin!B57</f>
        <v>45473</v>
      </c>
      <c r="N49" s="20"/>
      <c r="O49" s="403" t="s">
        <v>63</v>
      </c>
      <c r="P49" s="404"/>
      <c r="Q49" s="404"/>
      <c r="R49" s="405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IF(T$49="Y",Month01!H51,0)</f>
        <v>0</v>
      </c>
      <c r="I51" s="89">
        <f>IF(T$49="Y",Month01!I51,0)</f>
        <v>0</v>
      </c>
      <c r="J51" s="89">
        <f>IF(T$49="Y",Month01!J51,0)</f>
        <v>0</v>
      </c>
      <c r="K51" s="89">
        <f>IF(T$49="Y",Month01!K51,I51*J51)</f>
        <v>0</v>
      </c>
      <c r="L51" s="110">
        <f>IF(T$49="Y",Month01!L51,0)</f>
        <v>0</v>
      </c>
      <c r="M51" s="99" t="str">
        <f>IF(E51=" "," ",IF(T$49="Y",Month01!M51,IF((H51+K51+L51)&gt;0,H51+K51+L51,"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IF(Employee!H$35=E$49,Employee!D$34+SUM(M51)+Month01!V51,SUM(M51)+Month01!V51)</f>
        <v>0</v>
      </c>
      <c r="W51" s="49">
        <f>IF(Employee!H$35=E$49,Employee!D$35+SUM(N51)+Month01!W51,SUM(N51)+Month01!W51)</f>
        <v>0</v>
      </c>
      <c r="X51" s="49">
        <f>IF(O51=" ",Month01!X51,O51+Month01!X51)</f>
        <v>0</v>
      </c>
      <c r="Y51" s="49">
        <f>IF(P51=" ",Month01!Y51,P51+Month01!Y51)</f>
        <v>0</v>
      </c>
      <c r="Z51" s="49">
        <f>IF(Q51=" ",Month01!Z51,Q51+Month01!Z51)</f>
        <v>0</v>
      </c>
      <c r="AA51" s="49">
        <f>IF(R51=" ",Month01!AA51,R51+Month01!AA51)</f>
        <v>0</v>
      </c>
      <c r="AC51" s="49">
        <f>IF(T51=" ",Month01!AC51,T51+Month01!AC51)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IF(T$49="Y",Month01!H52,0)</f>
        <v>0</v>
      </c>
      <c r="I52" s="92">
        <f>IF(T$49="Y",Month01!I52,0)</f>
        <v>0</v>
      </c>
      <c r="J52" s="92">
        <f>IF(T$49="Y",Month01!J52,0)</f>
        <v>0</v>
      </c>
      <c r="K52" s="92">
        <f>IF(T$49="Y",Month01!K52,I52*J52)</f>
        <v>0</v>
      </c>
      <c r="L52" s="111">
        <f>IF(T$49="Y",Month01!L52,0)</f>
        <v>0</v>
      </c>
      <c r="M52" s="100" t="str">
        <f>IF(E52=" "," ",IF(T$49="Y",Month01!M52,IF((H52+K52+L52)&gt;0,H52+K52+L52,"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IF(Employee!H$61=E$49,Employee!D$60+SUM(M52)+Month01!V52,SUM(M52)+Month01!V52)</f>
        <v>0</v>
      </c>
      <c r="W52" s="49">
        <f>IF(Employee!H$61=E$49,Employee!D$61+SUM(N52)+Month01!W52,SUM(N52)+Month01!W52)</f>
        <v>0</v>
      </c>
      <c r="X52" s="49">
        <f>IF(O52=" ",Month01!X52,O52+Month01!X52)</f>
        <v>0</v>
      </c>
      <c r="Y52" s="49">
        <f>IF(P52=" ",Month01!Y52,P52+Month01!Y52)</f>
        <v>0</v>
      </c>
      <c r="Z52" s="49">
        <f>IF(Q52=" ",Month01!Z52,Q52+Month01!Z52)</f>
        <v>0</v>
      </c>
      <c r="AA52" s="49">
        <f>IF(R52=" ",Month01!AA52,R52+Month01!AA52)</f>
        <v>0</v>
      </c>
      <c r="AC52" s="49">
        <f>IF(T52=" ",Month01!AC52,T52+Month01!AC52)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IF(T$49="Y",Month01!H53,0)</f>
        <v>0</v>
      </c>
      <c r="I53" s="92">
        <f>IF(T$49="Y",Month01!I53,0)</f>
        <v>0</v>
      </c>
      <c r="J53" s="92">
        <f>IF(T$49="Y",Month01!J53,0)</f>
        <v>0</v>
      </c>
      <c r="K53" s="92">
        <f>IF(T$49="Y",Month01!K53,I53*J53)</f>
        <v>0</v>
      </c>
      <c r="L53" s="111">
        <f>IF(T$49="Y",Month01!L53,0)</f>
        <v>0</v>
      </c>
      <c r="M53" s="100" t="str">
        <f>IF(E53=" "," ",IF(T$49="Y",Month01!M53,IF((H53+K53+L53)&gt;0,H53+K53+L53,"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IF(Employee!H$87=E$49,Employee!D$86+SUM(M53)+Month01!V53,SUM(M53)+Month01!V53)</f>
        <v>0</v>
      </c>
      <c r="W53" s="49">
        <f>IF(Employee!H$87=E$49,Employee!D$7+SUM(N53)+Month01!W53,SUM(N53)+Month01!W53)</f>
        <v>0</v>
      </c>
      <c r="X53" s="49">
        <f>IF(O53=" ",Month01!X53,O53+Month01!X53)</f>
        <v>0</v>
      </c>
      <c r="Y53" s="49">
        <f>IF(P53=" ",Month01!Y53,P53+Month01!Y53)</f>
        <v>0</v>
      </c>
      <c r="Z53" s="49">
        <f>IF(Q53=" ",Month01!Z53,Q53+Month01!Z53)</f>
        <v>0</v>
      </c>
      <c r="AA53" s="49">
        <f>IF(R53=" ",Month01!AA53,R53+Month01!AA53)</f>
        <v>0</v>
      </c>
      <c r="AC53" s="49">
        <f>IF(T53=" ",Month01!AC53,T53+Month01!AC53)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IF(T$49="Y",Month01!H54,0)</f>
        <v>0</v>
      </c>
      <c r="I54" s="92">
        <f>IF(T$49="Y",Month01!I54,0)</f>
        <v>0</v>
      </c>
      <c r="J54" s="92">
        <f>IF(T$49="Y",Month01!J54,0)</f>
        <v>0</v>
      </c>
      <c r="K54" s="92">
        <f>IF(T$49="Y",Month01!K54,I54*J54)</f>
        <v>0</v>
      </c>
      <c r="L54" s="111">
        <f>IF(T$49="Y",Month01!L54,0)</f>
        <v>0</v>
      </c>
      <c r="M54" s="100" t="str">
        <f>IF(E54=" "," ",IF(T$49="Y",Month01!M54,IF((H54+K54+L54)&gt;0,H54+K54+L54,"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IF(Employee!H$113=E$49,Employee!D$112+SUM(M54)+Month01!V54,SUM(M54)+Month01!V54)</f>
        <v>0</v>
      </c>
      <c r="W54" s="49">
        <f>IF(Employee!H$113=E$49,Employee!D$113+SUM(N54)+Month01!W54,SUM(N54)+Month01!W54)</f>
        <v>0</v>
      </c>
      <c r="X54" s="49">
        <f>IF(O54=" ",Month01!X54,O54+Month01!X54)</f>
        <v>0</v>
      </c>
      <c r="Y54" s="49">
        <f>IF(P54=" ",Month01!Y54,P54+Month01!Y54)</f>
        <v>0</v>
      </c>
      <c r="Z54" s="49">
        <f>IF(Q54=" ",Month01!Z54,Q54+Month01!Z54)</f>
        <v>0</v>
      </c>
      <c r="AA54" s="49">
        <f>IF(R54=" ",Month01!AA54,R54+Month01!AA54)</f>
        <v>0</v>
      </c>
      <c r="AC54" s="49">
        <f>IF(T54=" ",Month01!AC54,T54+Month01!AC54)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IF(T$49="Y",Month01!H55,0)</f>
        <v>0</v>
      </c>
      <c r="I55" s="245">
        <f>IF(T$49="Y",Month01!I55,0)</f>
        <v>0</v>
      </c>
      <c r="J55" s="245">
        <f>IF(T$49="Y",Month01!J55,0)</f>
        <v>0</v>
      </c>
      <c r="K55" s="245">
        <f>IF(T$49="Y",Month01!K55,I55*J55)</f>
        <v>0</v>
      </c>
      <c r="L55" s="246">
        <f>IF(T$49="Y",Month01!L55,0)</f>
        <v>0</v>
      </c>
      <c r="M55" s="100" t="str">
        <f>IF(E55=" "," ",IF(T$49="Y",Month01!M55,IF((H55+K55+L55)&gt;0,H55+K55+L55,"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IF(Employee!H$139=E$49,Employee!D$138+SUM(M55)+Month01!V55,SUM(M55)+Month01!V55)</f>
        <v>0</v>
      </c>
      <c r="W55" s="49">
        <f>IF(Employee!H$139=E$49,Employee!D$139+SUM(N55)+Month01!W55,SUM(N55)+Month01!W55)</f>
        <v>0</v>
      </c>
      <c r="X55" s="49">
        <f>IF(O55=" ",Month01!X55,O55+Month01!X55)</f>
        <v>0</v>
      </c>
      <c r="Y55" s="49">
        <f>IF(P55=" ",Month01!Y55,P55+Month01!Y55)</f>
        <v>0</v>
      </c>
      <c r="Z55" s="49">
        <f>IF(Q55=" ",Month01!Z55,Q55+Month01!Z55)</f>
        <v>0</v>
      </c>
      <c r="AA55" s="49">
        <f>IF(R55=" ",Month01!AA55,R55+Month01!AA55)</f>
        <v>0</v>
      </c>
      <c r="AC55" s="49">
        <f>IF(T55=" ",Month01!AC55,T55+Month01!AC55)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361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417" t="s">
        <v>73</v>
      </c>
      <c r="N59" s="418"/>
      <c r="O59" s="418"/>
      <c r="P59" s="418"/>
      <c r="Q59" s="418"/>
      <c r="R59" s="41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AD60+Month01!AD65</f>
        <v>0</v>
      </c>
      <c r="AE65" s="158">
        <f>AE60+Month01!AE65</f>
        <v>0</v>
      </c>
      <c r="AF65" s="158">
        <f>AF60+Month01!AF65</f>
        <v>0</v>
      </c>
      <c r="AG65" s="158">
        <f>AG60+Month01!AG65</f>
        <v>0</v>
      </c>
    </row>
    <row r="66" spans="6:33" ht="14" thickTop="1" x14ac:dyDescent="0.15"/>
    <row r="67" spans="6:33" x14ac:dyDescent="0.15">
      <c r="AD67" s="162"/>
      <c r="AE67" s="158">
        <f>AE62+Month01!AE67</f>
        <v>0</v>
      </c>
      <c r="AF67" s="158">
        <f>AF62+Month01!AF67</f>
        <v>0</v>
      </c>
      <c r="AG67" s="158">
        <f>AG62+Month01!AG67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3"/>
      <c r="B1" s="424" t="s">
        <v>65</v>
      </c>
      <c r="C1" s="425"/>
      <c r="D1" s="425"/>
      <c r="E1" s="425"/>
      <c r="F1" s="426"/>
      <c r="G1" s="437">
        <f>SUM(AD70:AG70)+SUM(AE72:AG72)</f>
        <v>0</v>
      </c>
      <c r="H1" s="438"/>
      <c r="I1" s="434" t="s">
        <v>4</v>
      </c>
      <c r="J1" s="435"/>
      <c r="K1" s="435"/>
      <c r="L1" s="436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4"/>
    </row>
    <row r="2" spans="1:34" s="4" customFormat="1" ht="1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4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9</v>
      </c>
      <c r="F9" s="35"/>
      <c r="G9" s="35"/>
      <c r="H9" s="362" t="s">
        <v>28</v>
      </c>
      <c r="I9" s="363"/>
      <c r="J9" s="361"/>
      <c r="K9" s="204">
        <f>Month02!M39+1</f>
        <v>45472</v>
      </c>
      <c r="L9" s="203" t="s">
        <v>75</v>
      </c>
      <c r="M9" s="205">
        <f>K9+6</f>
        <v>45478</v>
      </c>
      <c r="N9" s="20"/>
      <c r="O9" s="403" t="s">
        <v>62</v>
      </c>
      <c r="P9" s="404"/>
      <c r="Q9" s="404"/>
      <c r="R9" s="40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IF(T$9="Y",Month02!H41,0)</f>
        <v>0</v>
      </c>
      <c r="I11" s="89">
        <f>IF(T$9="Y",Month02!I41,0)</f>
        <v>0</v>
      </c>
      <c r="J11" s="89">
        <f>IF(T$9="Y",Month02!J41,0)</f>
        <v>0</v>
      </c>
      <c r="K11" s="89">
        <f>IF(T$9="Y",Month02!K41,I11*J11)</f>
        <v>0</v>
      </c>
      <c r="L11" s="110">
        <f>IF(T$9="Y",Month02!L41,0)</f>
        <v>0</v>
      </c>
      <c r="M11" s="110" t="str">
        <f>IF(E11=" "," ",IF(T$9="Y",Month02!M41,IF((H11+K11+L11)&gt;0,H11+K11+L11,"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IF(Employee!H$34=E$9,Employee!D$34+SUM(M11)+Month02!V41,SUM(M11)+Month02!V41)</f>
        <v>0</v>
      </c>
      <c r="W11" s="49">
        <f>IF(Employee!H$34=E$9,Employee!D$35+SUM(N11)+Month02!W41,SUM(N11)+Month02!W41)</f>
        <v>0</v>
      </c>
      <c r="X11" s="49">
        <f>IF(O11=" ",Month02!X41,O11+Month02!X41)</f>
        <v>0</v>
      </c>
      <c r="Y11" s="49">
        <f>IF(P11=" ",Month02!Y41,P11+Month02!Y41)</f>
        <v>0</v>
      </c>
      <c r="Z11" s="49">
        <f>IF(Q11=" ",Month02!Z41,Q11+Month02!Z41)</f>
        <v>0</v>
      </c>
      <c r="AA11" s="49">
        <f>IF(R11=" ",Month02!AA41,R11+Month02!AA41)</f>
        <v>0</v>
      </c>
      <c r="AC11" s="49">
        <f>IF(T11=" ",Month02!AC41,T11+Month02!AC41)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IF(T$9="Y",Month02!H42,0)</f>
        <v>0</v>
      </c>
      <c r="I12" s="92">
        <f>IF(T$9="Y",Month02!I42,0)</f>
        <v>0</v>
      </c>
      <c r="J12" s="92">
        <f>IF(T$9="Y",Month02!J42,0)</f>
        <v>0</v>
      </c>
      <c r="K12" s="92">
        <f>IF(T$9="Y",Month02!K42,I12*J12)</f>
        <v>0</v>
      </c>
      <c r="L12" s="111">
        <f>IF(T$9="Y",Month02!L42,0)</f>
        <v>0</v>
      </c>
      <c r="M12" s="111" t="str">
        <f>IF(E12=" "," ",IF(T$9="Y",Month02!M42,IF((H12+K12+L12)&gt;0,H12+K12+L12,"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IF(Employee!H$60=E$9,Employee!D$60+SUM(M12)+Month02!V42,SUM(M12)+Month02!V42)</f>
        <v>0</v>
      </c>
      <c r="W12" s="49">
        <f>IF(Employee!H$60=E$9,Employee!D$61+SUM(N12)+Month02!W42,SUM(N12)+Month02!W42)</f>
        <v>0</v>
      </c>
      <c r="X12" s="49">
        <f>IF(O12=" ",Month02!X42,O12+Month02!X42)</f>
        <v>0</v>
      </c>
      <c r="Y12" s="49">
        <f>IF(P12=" ",Month02!Y42,P12+Month02!Y42)</f>
        <v>0</v>
      </c>
      <c r="Z12" s="49">
        <f>IF(Q12=" ",Month02!Z42,Q12+Month02!Z42)</f>
        <v>0</v>
      </c>
      <c r="AA12" s="49">
        <f>IF(R12=" ",Month02!AA42,R12+Month02!AA42)</f>
        <v>0</v>
      </c>
      <c r="AC12" s="49">
        <f>IF(T12=" ",Month02!AC42,T12+Month02!AC42)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IF(T$9="Y",Month02!H43,0)</f>
        <v>0</v>
      </c>
      <c r="I13" s="92">
        <f>IF(T$9="Y",Month02!I43,0)</f>
        <v>0</v>
      </c>
      <c r="J13" s="92">
        <f>IF(T$9="Y",Month02!J43,0)</f>
        <v>0</v>
      </c>
      <c r="K13" s="92">
        <f>IF(T$9="Y",Month02!K43,I13*J13)</f>
        <v>0</v>
      </c>
      <c r="L13" s="111">
        <f>IF(T$9="Y",Month02!L43,0)</f>
        <v>0</v>
      </c>
      <c r="M13" s="111" t="str">
        <f>IF(E13=" "," ",IF(T$9="Y",Month02!M43,IF((H13+K13+L13)&gt;0,H13+K13+L13,"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IF(Employee!H$86=E$9,Employee!D$86+SUM(M13)+Month02!V43,SUM(M13)+Month02!V43)</f>
        <v>0</v>
      </c>
      <c r="W13" s="49">
        <f>IF(Employee!H$86=E$9,Employee!D$87+SUM(N13)+Month02!W43,SUM(N13)+Month02!W43)</f>
        <v>0</v>
      </c>
      <c r="X13" s="49">
        <f>IF(O13=" ",Month02!X43,O13+Month02!X43)</f>
        <v>0</v>
      </c>
      <c r="Y13" s="49">
        <f>IF(P13=" ",Month02!Y43,P13+Month02!Y43)</f>
        <v>0</v>
      </c>
      <c r="Z13" s="49">
        <f>IF(Q13=" ",Month02!Z43,Q13+Month02!Z43)</f>
        <v>0</v>
      </c>
      <c r="AA13" s="49">
        <f>IF(R13=" ",Month02!AA43,R13+Month02!AA43)</f>
        <v>0</v>
      </c>
      <c r="AC13" s="49">
        <f>IF(T13=" ",Month02!AC43,T13+Month02!AC43)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IF(T$9="Y",Month02!H44,0)</f>
        <v>0</v>
      </c>
      <c r="I14" s="92">
        <f>IF(T$9="Y",Month02!I44,0)</f>
        <v>0</v>
      </c>
      <c r="J14" s="92">
        <f>IF(T$9="Y",Month02!J44,0)</f>
        <v>0</v>
      </c>
      <c r="K14" s="92">
        <f>IF(T$9="Y",Month02!K44,I14*J14)</f>
        <v>0</v>
      </c>
      <c r="L14" s="111">
        <f>IF(T$9="Y",Month02!L44,0)</f>
        <v>0</v>
      </c>
      <c r="M14" s="111" t="str">
        <f>IF(E14=" "," ",IF(T$9="Y",Month02!M44,IF((H14+K14+L14)&gt;0,H14+K14+L14,"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IF(Employee!H$112=E$9,Employee!D$112+SUM(M14)+Month02!V44,SUM(M14)+Month02!V44)</f>
        <v>0</v>
      </c>
      <c r="W14" s="49">
        <f>IF(Employee!H$112=E$9,Employee!D$113+SUM(N14)+Month02!W44,SUM(N14)+Month02!W44)</f>
        <v>0</v>
      </c>
      <c r="X14" s="49">
        <f>IF(O14=" ",Month02!X44,O14+Month02!X44)</f>
        <v>0</v>
      </c>
      <c r="Y14" s="49">
        <f>IF(P14=" ",Month02!Y44,P14+Month02!Y44)</f>
        <v>0</v>
      </c>
      <c r="Z14" s="49">
        <f>IF(Q14=" ",Month02!Z44,Q14+Month02!Z44)</f>
        <v>0</v>
      </c>
      <c r="AA14" s="49">
        <f>IF(R14=" ",Month02!AA44,R14+Month02!AA44)</f>
        <v>0</v>
      </c>
      <c r="AC14" s="49">
        <f>IF(T14=" ",Month02!AC44,T14+Month02!AC44)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IF(T$9="Y",Month02!H45,0)</f>
        <v>0</v>
      </c>
      <c r="I15" s="245">
        <f>IF(T$9="Y",Month02!I45,0)</f>
        <v>0</v>
      </c>
      <c r="J15" s="245">
        <f>IF(T$9="Y",Month02!J45,0)</f>
        <v>0</v>
      </c>
      <c r="K15" s="245">
        <f>IF(T$9="Y",Month02!K45,I15*J15)</f>
        <v>0</v>
      </c>
      <c r="L15" s="246">
        <f>IF(T$9="Y",Month02!L45,0)</f>
        <v>0</v>
      </c>
      <c r="M15" s="111" t="str">
        <f>IF(E15=" "," ",IF(T$9="Y",Month02!M45,IF((H15+K15+L15)&gt;0,H15+K15+L15,"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IF(Employee!H$138=E$9,Employee!D$138+SUM(M15)+Month02!V45,SUM(M15)+Month02!V45)</f>
        <v>0</v>
      </c>
      <c r="W15" s="49">
        <f>IF(Employee!H$138=E$9,Employee!D$139+SUM(N15)+Month02!W45,SUM(N15)+Month02!W45)</f>
        <v>0</v>
      </c>
      <c r="X15" s="49">
        <f>IF(O15=" ",Month02!X45,O15+Month02!X45)</f>
        <v>0</v>
      </c>
      <c r="Y15" s="49">
        <f>IF(P15=" ",Month02!Y45,P15+Month02!Y45)</f>
        <v>0</v>
      </c>
      <c r="Z15" s="49">
        <f>IF(Q15=" ",Month02!Z45,Q15+Month02!Z45)</f>
        <v>0</v>
      </c>
      <c r="AA15" s="49">
        <f>IF(R15=" ",Month02!AA45,R15+Month02!AA45)</f>
        <v>0</v>
      </c>
      <c r="AC15" s="49">
        <f>IF(T15=" ",Month02!AC45,T15+Month02!AC45)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36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10</v>
      </c>
      <c r="F19" s="35"/>
      <c r="G19" s="35"/>
      <c r="H19" s="362" t="s">
        <v>28</v>
      </c>
      <c r="I19" s="363"/>
      <c r="J19" s="361"/>
      <c r="K19" s="204">
        <f>M9+1</f>
        <v>45479</v>
      </c>
      <c r="L19" s="203" t="s">
        <v>75</v>
      </c>
      <c r="M19" s="205">
        <f>K19+6</f>
        <v>45485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11</v>
      </c>
      <c r="F29" s="35"/>
      <c r="G29" s="35"/>
      <c r="H29" s="362" t="s">
        <v>28</v>
      </c>
      <c r="I29" s="363"/>
      <c r="J29" s="361"/>
      <c r="K29" s="204">
        <f>M19+1</f>
        <v>45486</v>
      </c>
      <c r="L29" s="203" t="s">
        <v>75</v>
      </c>
      <c r="M29" s="205">
        <f>K29+6</f>
        <v>45492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9"/>
      <c r="D38" s="439"/>
      <c r="E38" s="440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441"/>
      <c r="D39" s="442"/>
      <c r="E39" s="156">
        <v>12</v>
      </c>
      <c r="F39" s="35"/>
      <c r="G39" s="35"/>
      <c r="H39" s="362" t="s">
        <v>28</v>
      </c>
      <c r="I39" s="441"/>
      <c r="J39" s="442"/>
      <c r="K39" s="204">
        <f>M29+1</f>
        <v>45493</v>
      </c>
      <c r="L39" s="203" t="s">
        <v>75</v>
      </c>
      <c r="M39" s="205">
        <f>K39+6</f>
        <v>45499</v>
      </c>
      <c r="N39" s="20"/>
      <c r="O39" s="403" t="s">
        <v>62</v>
      </c>
      <c r="P39" s="443"/>
      <c r="Q39" s="443"/>
      <c r="R39" s="44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44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7" t="s">
        <v>23</v>
      </c>
      <c r="C48" s="439"/>
      <c r="D48" s="439"/>
      <c r="E48" s="440"/>
      <c r="F48" s="32"/>
      <c r="G48" s="32"/>
      <c r="H48" s="32"/>
      <c r="I48" s="32"/>
      <c r="J48" s="32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2" t="s">
        <v>9</v>
      </c>
      <c r="C49" s="441"/>
      <c r="D49" s="442"/>
      <c r="E49" s="156">
        <v>13</v>
      </c>
      <c r="F49" s="35"/>
      <c r="G49" s="35"/>
      <c r="H49" s="362" t="s">
        <v>28</v>
      </c>
      <c r="I49" s="441"/>
      <c r="J49" s="442"/>
      <c r="K49" s="204">
        <f>M39+1</f>
        <v>45500</v>
      </c>
      <c r="L49" s="203" t="s">
        <v>75</v>
      </c>
      <c r="M49" s="205">
        <f>K49+6</f>
        <v>45506</v>
      </c>
      <c r="N49" s="20"/>
      <c r="O49" s="403" t="s">
        <v>62</v>
      </c>
      <c r="P49" s="443"/>
      <c r="Q49" s="443"/>
      <c r="R49" s="444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106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106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106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106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106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445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7" t="s">
        <v>24</v>
      </c>
      <c r="C58" s="363"/>
      <c r="D58" s="363"/>
      <c r="E58" s="361"/>
      <c r="F58" s="32"/>
      <c r="G58" s="32"/>
      <c r="H58" s="43"/>
      <c r="I58" s="43"/>
      <c r="J58" s="43"/>
      <c r="K58" s="46"/>
      <c r="L58" s="46"/>
      <c r="M58" s="43"/>
      <c r="N58" s="32"/>
      <c r="O58" s="364" t="s">
        <v>28</v>
      </c>
      <c r="P58" s="365"/>
      <c r="Q58" s="366"/>
      <c r="R58" s="401"/>
      <c r="S58" s="402"/>
      <c r="T58" s="402"/>
      <c r="U58" s="33"/>
      <c r="AH58" s="35"/>
    </row>
    <row r="59" spans="1:34" ht="18" customHeight="1" thickTop="1" thickBot="1" x14ac:dyDescent="0.2">
      <c r="A59" s="34"/>
      <c r="B59" s="362" t="s">
        <v>10</v>
      </c>
      <c r="C59" s="363"/>
      <c r="D59" s="361"/>
      <c r="E59" s="156">
        <v>3</v>
      </c>
      <c r="F59" s="35"/>
      <c r="G59" s="35"/>
      <c r="H59" s="362" t="s">
        <v>28</v>
      </c>
      <c r="I59" s="363"/>
      <c r="J59" s="361"/>
      <c r="K59" s="204">
        <f>Admin!B58</f>
        <v>45474</v>
      </c>
      <c r="L59" s="203" t="s">
        <v>75</v>
      </c>
      <c r="M59" s="205">
        <f>Admin!B87</f>
        <v>45503</v>
      </c>
      <c r="N59" s="20"/>
      <c r="O59" s="403" t="s">
        <v>63</v>
      </c>
      <c r="P59" s="404"/>
      <c r="Q59" s="404"/>
      <c r="R59" s="405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IF(T$59="Y",Month02!H51,0)</f>
        <v>0</v>
      </c>
      <c r="I61" s="89">
        <f>IF(T$59="Y",Month02!I51,0)</f>
        <v>0</v>
      </c>
      <c r="J61" s="89">
        <f>IF(T$59="Y",Month02!J51,0)</f>
        <v>0</v>
      </c>
      <c r="K61" s="89">
        <f>IF(T$59="Y",Month02!K51,I61*J61)</f>
        <v>0</v>
      </c>
      <c r="L61" s="110">
        <f>IF(T$59="Y",Month02!L51,0)</f>
        <v>0</v>
      </c>
      <c r="M61" s="99" t="str">
        <f>IF(E61=" "," ",IF(T$59="Y",Month02!M51,IF((H61+K61+L61)&gt;0,H61+K61+L61,"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IF(Employee!H$35=E$59,Employee!D$34+SUM(M61)+Month02!V51,SUM(M61)+Month02!V51)</f>
        <v>0</v>
      </c>
      <c r="W61" s="49">
        <f>IF(Employee!H$35=E$59,Employee!D$35+SUM(N61)+Month02!W51,SUM(N61)+Month02!W51)</f>
        <v>0</v>
      </c>
      <c r="X61" s="49">
        <f>IF(O61=" ",Month02!X51,O61+Month02!X51)</f>
        <v>0</v>
      </c>
      <c r="Y61" s="49">
        <f>IF(P61=" ",Month02!Y51,P61+Month02!Y51)</f>
        <v>0</v>
      </c>
      <c r="Z61" s="49">
        <f>IF(Q61=" ",Month02!Z51,Q61+Month02!Z51)</f>
        <v>0</v>
      </c>
      <c r="AA61" s="49">
        <f>IF(R61=" ",Month02!AA51,R61+Month02!AA51)</f>
        <v>0</v>
      </c>
      <c r="AC61" s="49">
        <f>IF(T61=" ",Month02!AC51,T61+Month02!AC51)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IF(T$59="Y",Month02!H52,0)</f>
        <v>0</v>
      </c>
      <c r="I62" s="92">
        <f>IF(T$59="Y",Month02!I52,0)</f>
        <v>0</v>
      </c>
      <c r="J62" s="92">
        <f>IF(T$59="Y",Month02!J52,0)</f>
        <v>0</v>
      </c>
      <c r="K62" s="92">
        <f>IF(T$59="Y",Month02!K52,I62*J62)</f>
        <v>0</v>
      </c>
      <c r="L62" s="111">
        <f>IF(T$59="Y",Month02!L52,0)</f>
        <v>0</v>
      </c>
      <c r="M62" s="100" t="str">
        <f>IF(E62=" "," ",IF(T$59="Y",Month02!M52,IF((H62+K62+L62)&gt;0,H62+K62+L62,"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IF(Employee!H$61=E$59,Employee!D$60+SUM(M62)+Month02!V52,SUM(M62)+Month02!V52)</f>
        <v>0</v>
      </c>
      <c r="W62" s="49">
        <f>IF(Employee!H$61=E$59,Employee!D$61+SUM(N62)+Month02!W52,SUM(N62)+Month02!W52)</f>
        <v>0</v>
      </c>
      <c r="X62" s="49">
        <f>IF(O62=" ",Month02!X52,O62+Month02!X52)</f>
        <v>0</v>
      </c>
      <c r="Y62" s="49">
        <f>IF(P62=" ",Month02!Y52,P62+Month02!Y52)</f>
        <v>0</v>
      </c>
      <c r="Z62" s="49">
        <f>IF(Q62=" ",Month02!Z52,Q62+Month02!Z52)</f>
        <v>0</v>
      </c>
      <c r="AA62" s="49">
        <f>IF(R62=" ",Month02!AA52,R62+Month02!AA52)</f>
        <v>0</v>
      </c>
      <c r="AC62" s="49">
        <f>IF(T62=" ",Month02!AC52,T62+Month02!AC52)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IF(T$59="Y",Month02!H53,0)</f>
        <v>0</v>
      </c>
      <c r="I63" s="92">
        <f>IF(T$59="Y",Month02!I53,0)</f>
        <v>0</v>
      </c>
      <c r="J63" s="92">
        <f>IF(T$59="Y",Month02!J53,0)</f>
        <v>0</v>
      </c>
      <c r="K63" s="92">
        <f>IF(T$59="Y",Month02!K53,I63*J63)</f>
        <v>0</v>
      </c>
      <c r="L63" s="111">
        <f>IF(T$59="Y",Month02!L53,0)</f>
        <v>0</v>
      </c>
      <c r="M63" s="100" t="str">
        <f>IF(E63=" "," ",IF(T$59="Y",Month02!M53,IF((H63+K63+L63)&gt;0,H63+K63+L63,"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IF(Employee!H$87=E$59,Employee!D$86+SUM(M63)+Month02!V53,SUM(M63)+Month02!V53)</f>
        <v>0</v>
      </c>
      <c r="W63" s="49">
        <f>IF(Employee!H$87=E$59,Employee!D$87+SUM(N63)+Month02!W53,SUM(N63)+Month02!W53)</f>
        <v>0</v>
      </c>
      <c r="X63" s="49">
        <f>IF(O63=" ",Month02!X53,O63+Month02!X53)</f>
        <v>0</v>
      </c>
      <c r="Y63" s="49">
        <f>IF(P63=" ",Month02!Y53,P63+Month02!Y53)</f>
        <v>0</v>
      </c>
      <c r="Z63" s="49">
        <f>IF(Q63=" ",Month02!Z53,Q63+Month02!Z53)</f>
        <v>0</v>
      </c>
      <c r="AA63" s="49">
        <f>IF(R63=" ",Month02!AA53,R63+Month02!AA53)</f>
        <v>0</v>
      </c>
      <c r="AC63" s="49">
        <f>IF(T63=" ",Month02!AC53,T63+Month02!AC53)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IF(T$59="Y",Month02!H54,0)</f>
        <v>0</v>
      </c>
      <c r="I64" s="92">
        <f>IF(T$59="Y",Month02!I54,0)</f>
        <v>0</v>
      </c>
      <c r="J64" s="92">
        <f>IF(T$59="Y",Month02!J54,0)</f>
        <v>0</v>
      </c>
      <c r="K64" s="92">
        <f>IF(T$59="Y",Month02!K54,I64*J64)</f>
        <v>0</v>
      </c>
      <c r="L64" s="111">
        <f>IF(T$59="Y",Month02!L54,0)</f>
        <v>0</v>
      </c>
      <c r="M64" s="100" t="str">
        <f>IF(E64=" "," ",IF(T$59="Y",Month02!M54,IF((H64+K64+L64)&gt;0,H64+K64+L64,"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IF(Employee!H$113=E$59,Employee!D$112+SUM(M64)+Month02!V54,SUM(M64)+Month02!V54)</f>
        <v>0</v>
      </c>
      <c r="W64" s="49">
        <f>IF(Employee!H$113=E$59,Employee!D$113+SUM(N64)+Month02!W54,SUM(N64)+Month02!W54)</f>
        <v>0</v>
      </c>
      <c r="X64" s="49">
        <f>IF(O64=" ",Month02!X54,O64+Month02!X54)</f>
        <v>0</v>
      </c>
      <c r="Y64" s="49">
        <f>IF(P64=" ",Month02!Y54,P64+Month02!Y54)</f>
        <v>0</v>
      </c>
      <c r="Z64" s="49">
        <f>IF(Q64=" ",Month02!Z54,Q64+Month02!Z54)</f>
        <v>0</v>
      </c>
      <c r="AA64" s="49">
        <f>IF(R64=" ",Month02!AA54,R64+Month02!AA54)</f>
        <v>0</v>
      </c>
      <c r="AC64" s="49">
        <f>IF(T64=" ",Month02!AC54,T64+Month02!AC54)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IF(T$59="Y",Month02!H55,0)</f>
        <v>0</v>
      </c>
      <c r="I65" s="245">
        <f>IF(T$59="Y",Month02!I55,0)</f>
        <v>0</v>
      </c>
      <c r="J65" s="245">
        <f>IF(T$59="Y",Month02!J55,0)</f>
        <v>0</v>
      </c>
      <c r="K65" s="245">
        <f>IF(T$59="Y",Month02!K55,I65*J65)</f>
        <v>0</v>
      </c>
      <c r="L65" s="246">
        <f>IF(T$59="Y",Month02!L55,0)</f>
        <v>0</v>
      </c>
      <c r="M65" s="100" t="str">
        <f>IF(E65=" "," ",IF(T$59="Y",Month02!M55,IF((H65+K65+L65)&gt;0,H65+K65+L65,"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IF(Employee!H$139=E$59,Employee!D$138+SUM(M65)+Month02!V55,SUM(M65)+Month02!V55)</f>
        <v>0</v>
      </c>
      <c r="W65" s="49">
        <f>IF(Employee!H$139=E$59,Employee!D$139+SUM(N65)+Month02!W55,SUM(N65)+Month02!W55)</f>
        <v>0</v>
      </c>
      <c r="X65" s="49">
        <f>IF(O65=" ",Month02!X55,O65+Month02!X55)</f>
        <v>0</v>
      </c>
      <c r="Y65" s="49">
        <f>IF(P65=" ",Month02!Y55,P65+Month02!Y55)</f>
        <v>0</v>
      </c>
      <c r="Z65" s="49">
        <f>IF(Q65=" ",Month02!Z55,Q65+Month02!Z55)</f>
        <v>0</v>
      </c>
      <c r="AA65" s="49">
        <f>IF(R65=" ",Month02!AA55,R65+Month02!AA55)</f>
        <v>0</v>
      </c>
      <c r="AC65" s="49">
        <f>IF(T65=" ",Month02!AC55,T65+Month02!AC55)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60" t="s">
        <v>7</v>
      </c>
      <c r="G66" s="361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70</v>
      </c>
      <c r="G69" s="180"/>
      <c r="H69" s="180"/>
      <c r="M69" s="417" t="s">
        <v>73</v>
      </c>
      <c r="N69" s="418"/>
      <c r="O69" s="418"/>
      <c r="P69" s="418"/>
      <c r="Q69" s="418"/>
      <c r="R69" s="418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72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AD70+Month02!AD65</f>
        <v>0</v>
      </c>
      <c r="AE75" s="158">
        <f>AE70+Month02!AE65</f>
        <v>0</v>
      </c>
      <c r="AF75" s="158">
        <f>AF70+Month02!AF65</f>
        <v>0</v>
      </c>
      <c r="AG75" s="158">
        <f>AG70+Month02!AG65</f>
        <v>0</v>
      </c>
    </row>
    <row r="76" spans="1:34" ht="14" thickTop="1" x14ac:dyDescent="0.15"/>
    <row r="77" spans="1:34" x14ac:dyDescent="0.15">
      <c r="AD77" s="162"/>
      <c r="AE77" s="158">
        <f>AE72+Month02!AE67</f>
        <v>0</v>
      </c>
      <c r="AF77" s="158">
        <f>AF72+Month02!AF67</f>
        <v>0</v>
      </c>
      <c r="AG77" s="158">
        <f>AG72+Month02!AG67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3"/>
      <c r="B1" s="424" t="s">
        <v>65</v>
      </c>
      <c r="C1" s="425"/>
      <c r="D1" s="425"/>
      <c r="E1" s="425"/>
      <c r="F1" s="426"/>
      <c r="G1" s="390">
        <f>SUM(AD60:AG60)+SUM(AE62:AG62)</f>
        <v>0</v>
      </c>
      <c r="H1" s="391"/>
      <c r="I1" s="387" t="s">
        <v>4</v>
      </c>
      <c r="J1" s="388"/>
      <c r="K1" s="388"/>
      <c r="L1" s="38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8"/>
    </row>
    <row r="2" spans="1:34" s="179" customFormat="1" ht="14.2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8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7" t="s">
        <v>23</v>
      </c>
      <c r="C8" s="439"/>
      <c r="D8" s="439"/>
      <c r="E8" s="440"/>
      <c r="F8" s="32"/>
      <c r="G8" s="32"/>
      <c r="H8" s="32"/>
      <c r="I8" s="32"/>
      <c r="J8" s="32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441"/>
      <c r="D9" s="442"/>
      <c r="E9" s="156">
        <v>14</v>
      </c>
      <c r="F9" s="35"/>
      <c r="G9" s="35"/>
      <c r="H9" s="362" t="s">
        <v>28</v>
      </c>
      <c r="I9" s="441"/>
      <c r="J9" s="442"/>
      <c r="K9" s="204">
        <f>Admin!B91</f>
        <v>45507</v>
      </c>
      <c r="L9" s="203" t="s">
        <v>75</v>
      </c>
      <c r="M9" s="205">
        <f>K9+6</f>
        <v>45513</v>
      </c>
      <c r="N9" s="20"/>
      <c r="O9" s="403" t="s">
        <v>62</v>
      </c>
      <c r="P9" s="443"/>
      <c r="Q9" s="443"/>
      <c r="R9" s="444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IF(T$9="Y",Month03!H41,0)</f>
        <v>0</v>
      </c>
      <c r="I11" s="89">
        <f>IF(T$9="Y",Month03!I41,0)</f>
        <v>0</v>
      </c>
      <c r="J11" s="89">
        <f>IF(T$9="Y",Month03!J41,0)</f>
        <v>0</v>
      </c>
      <c r="K11" s="89">
        <f>IF(T$9="Y",Month03!K41,I11*J11)</f>
        <v>0</v>
      </c>
      <c r="L11" s="89">
        <f>IF(T$9="Y",Month03!L41,0)</f>
        <v>0</v>
      </c>
      <c r="M11" s="99" t="str">
        <f>IF(E11=" "," ",IF(T$9="Y",Month03!M41,IF((H11+K11+L11)&gt;0,H11+K11+L11,"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IF(Employee!H$34=E$9,Employee!D$34+SUM(M11)+Month03!V51,SUM(M11)+Month03!V51)</f>
        <v>0</v>
      </c>
      <c r="W11" s="49">
        <f>IF(Employee!H$34=E$9,Employee!D$35+SUM(N11)+Month03!W51,SUM(N11)+Month03!W51)</f>
        <v>0</v>
      </c>
      <c r="X11" s="49">
        <f>IF(O11=" ",Month03!X51,O11+Month03!X51)</f>
        <v>0</v>
      </c>
      <c r="Y11" s="49">
        <f>IF(P11=" ",Month03!Y51,P11+Month03!Y51)</f>
        <v>0</v>
      </c>
      <c r="Z11" s="49">
        <f>IF(Q11=" ",Month03!Z51,Q11+Month03!Z51)</f>
        <v>0</v>
      </c>
      <c r="AA11" s="49">
        <f>IF(R11=" ",Month03!AA51,R11+Month03!AA51)</f>
        <v>0</v>
      </c>
      <c r="AC11" s="49">
        <f>IF(T11=" ",Month03!AC51,T11+Month03!AC51)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IF(T$9="Y",Month03!H42,0)</f>
        <v>0</v>
      </c>
      <c r="I12" s="92">
        <f>IF(T$9="Y",Month03!I42,0)</f>
        <v>0</v>
      </c>
      <c r="J12" s="92">
        <f>IF(T$9="Y",Month03!J42,0)</f>
        <v>0</v>
      </c>
      <c r="K12" s="92">
        <f>IF(T$9="Y",Month03!K42,I12*J12)</f>
        <v>0</v>
      </c>
      <c r="L12" s="92">
        <f>IF(T$9="Y",Month03!L42,0)</f>
        <v>0</v>
      </c>
      <c r="M12" s="100" t="str">
        <f>IF(E12=" "," ",IF(T$9="Y",Month03!M42,IF((H12+K12+L12)&gt;0,H12+K12+L12,"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IF(Employee!H$60=E$9,Employee!D$60+SUM(M12)+Month03!V52,SUM(M12)+Month03!V52)</f>
        <v>0</v>
      </c>
      <c r="W12" s="49">
        <f>IF(Employee!H$60=E$9,Employee!D$61+SUM(N12)+Month03!W52,SUM(N12)+Month03!W52)</f>
        <v>0</v>
      </c>
      <c r="X12" s="49">
        <f>IF(O12=" ",Month03!X52,O12+Month03!X52)</f>
        <v>0</v>
      </c>
      <c r="Y12" s="49">
        <f>IF(P12=" ",Month03!Y52,P12+Month03!Y52)</f>
        <v>0</v>
      </c>
      <c r="Z12" s="49">
        <f>IF(Q12=" ",Month03!Z52,Q12+Month03!Z52)</f>
        <v>0</v>
      </c>
      <c r="AA12" s="49">
        <f>IF(R12=" ",Month03!AA52,R12+Month03!AA52)</f>
        <v>0</v>
      </c>
      <c r="AC12" s="49">
        <f>IF(T12=" ",Month03!AC52,T12+Month03!AC52)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IF(T$9="Y",Month03!H43,0)</f>
        <v>0</v>
      </c>
      <c r="I13" s="92">
        <f>IF(T$9="Y",Month03!I43,0)</f>
        <v>0</v>
      </c>
      <c r="J13" s="92">
        <f>IF(T$9="Y",Month03!J43,0)</f>
        <v>0</v>
      </c>
      <c r="K13" s="92">
        <f>IF(T$9="Y",Month03!K43,I13*J13)</f>
        <v>0</v>
      </c>
      <c r="L13" s="92">
        <f>IF(T$9="Y",Month03!L43,0)</f>
        <v>0</v>
      </c>
      <c r="M13" s="100" t="str">
        <f>IF(E13=" "," ",IF(T$9="Y",Month03!M43,IF((H13+K13+L13)&gt;0,H13+K13+L13,"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IF(Employee!H$86=E$9,Employee!D$86+SUM(M13)+Month03!V53,SUM(M13)+Month03!V53)</f>
        <v>0</v>
      </c>
      <c r="W13" s="49">
        <f>IF(Employee!H$86=E$9,Employee!D$87+SUM(N13)+Month03!W53,SUM(N13)+Month03!W53)</f>
        <v>0</v>
      </c>
      <c r="X13" s="49">
        <f>IF(O13=" ",Month03!X53,O13+Month03!X53)</f>
        <v>0</v>
      </c>
      <c r="Y13" s="49">
        <f>IF(P13=" ",Month03!Y53,P13+Month03!Y53)</f>
        <v>0</v>
      </c>
      <c r="Z13" s="49">
        <f>IF(Q13=" ",Month03!Z53,Q13+Month03!Z53)</f>
        <v>0</v>
      </c>
      <c r="AA13" s="49">
        <f>IF(R13=" ",Month03!AA53,R13+Month03!AA53)</f>
        <v>0</v>
      </c>
      <c r="AC13" s="49">
        <f>IF(T13=" ",Month03!AC53,T13+Month03!AC53)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IF(T$9="Y",Month03!H44,0)</f>
        <v>0</v>
      </c>
      <c r="I14" s="92">
        <f>IF(T$9="Y",Month03!I44,0)</f>
        <v>0</v>
      </c>
      <c r="J14" s="92">
        <f>IF(T$9="Y",Month03!J44,0)</f>
        <v>0</v>
      </c>
      <c r="K14" s="92">
        <f>IF(T$9="Y",Month03!K44,I14*J14)</f>
        <v>0</v>
      </c>
      <c r="L14" s="92">
        <f>IF(T$9="Y",Month03!L44,0)</f>
        <v>0</v>
      </c>
      <c r="M14" s="100" t="str">
        <f>IF(E14=" "," ",IF(T$9="Y",Month03!M44,IF((H14+K14+L14)&gt;0,H14+K14+L14,"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IF(Employee!H$112=E$9,Employee!D$112+SUM(M14)+Month03!V54,SUM(M14)+Month03!V54)</f>
        <v>0</v>
      </c>
      <c r="W14" s="49">
        <f>IF(Employee!H$112=E$9,Employee!D$113+SUM(N14)+Month03!W54,SUM(N14)+Month03!W54)</f>
        <v>0</v>
      </c>
      <c r="X14" s="49">
        <f>IF(O14=" ",Month03!X54,O14+Month03!X54)</f>
        <v>0</v>
      </c>
      <c r="Y14" s="49">
        <f>IF(P14=" ",Month03!Y54,P14+Month03!Y54)</f>
        <v>0</v>
      </c>
      <c r="Z14" s="49">
        <f>IF(Q14=" ",Month03!Z54,Q14+Month03!Z54)</f>
        <v>0</v>
      </c>
      <c r="AA14" s="49">
        <f>IF(R14=" ",Month03!AA54,R14+Month03!AA54)</f>
        <v>0</v>
      </c>
      <c r="AC14" s="49">
        <f>IF(T14=" ",Month03!AC54,T14+Month03!AC54)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IF(T$9="Y",Month03!H45,0)</f>
        <v>0</v>
      </c>
      <c r="I15" s="245">
        <f>IF(T$9="Y",Month03!I45,0)</f>
        <v>0</v>
      </c>
      <c r="J15" s="245">
        <f>IF(T$9="Y",Month03!J45,0)</f>
        <v>0</v>
      </c>
      <c r="K15" s="245">
        <f>IF(T$9="Y",Month03!K45,I15*J15)</f>
        <v>0</v>
      </c>
      <c r="L15" s="245">
        <f>IF(T$9="Y",Month03!L45,0)</f>
        <v>0</v>
      </c>
      <c r="M15" s="247" t="str">
        <f>IF(E15=" "," ",IF(T$9="Y",Month03!M45,IF((H15+K15+L15)&gt;0,H15+K15+L15,"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IF(Employee!H$138=E$9,Employee!D$138+SUM(M15)+Month03!V55,SUM(M15)+Month03!V55)</f>
        <v>0</v>
      </c>
      <c r="W15" s="49">
        <f>IF(Employee!H$138=E$9,Employee!D$139+SUM(N15)+Month03!W55,SUM(N15)+Month03!W55)</f>
        <v>0</v>
      </c>
      <c r="X15" s="49">
        <f>IF(O15=" ",Month03!X55,O15+Month03!X55)</f>
        <v>0</v>
      </c>
      <c r="Y15" s="49">
        <f>IF(P15=" ",Month03!Y55,P15+Month03!Y55)</f>
        <v>0</v>
      </c>
      <c r="Z15" s="49">
        <f>IF(Q15=" ",Month03!Z55,Q15+Month03!Z55)</f>
        <v>0</v>
      </c>
      <c r="AA15" s="49">
        <f>IF(R15=" ",Month03!AA55,R15+Month03!AA55)</f>
        <v>0</v>
      </c>
      <c r="AC15" s="49">
        <f>IF(T15=" ",Month03!AC55,T15+Month03!AC55)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445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86"/>
      <c r="H18" s="87"/>
      <c r="I18" s="87"/>
      <c r="J18" s="87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15</v>
      </c>
      <c r="F19" s="35"/>
      <c r="G19" s="35"/>
      <c r="H19" s="362" t="s">
        <v>28</v>
      </c>
      <c r="I19" s="363"/>
      <c r="J19" s="361"/>
      <c r="K19" s="204">
        <f>M9+1</f>
        <v>45514</v>
      </c>
      <c r="L19" s="203" t="s">
        <v>75</v>
      </c>
      <c r="M19" s="205">
        <f>K19+6</f>
        <v>45520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3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16</v>
      </c>
      <c r="F29" s="35"/>
      <c r="G29" s="35"/>
      <c r="H29" s="362" t="s">
        <v>28</v>
      </c>
      <c r="I29" s="363"/>
      <c r="J29" s="361"/>
      <c r="K29" s="204">
        <f>M19+1</f>
        <v>45521</v>
      </c>
      <c r="L29" s="203" t="s">
        <v>75</v>
      </c>
      <c r="M29" s="205">
        <f>K29+6</f>
        <v>45527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363"/>
      <c r="D38" s="363"/>
      <c r="E38" s="361"/>
      <c r="F38" s="32"/>
      <c r="G38" s="32"/>
      <c r="H38" s="43"/>
      <c r="I38" s="43"/>
      <c r="J38" s="43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363"/>
      <c r="D39" s="361"/>
      <c r="E39" s="156">
        <v>17</v>
      </c>
      <c r="F39" s="35"/>
      <c r="G39" s="35"/>
      <c r="H39" s="362" t="s">
        <v>28</v>
      </c>
      <c r="I39" s="363"/>
      <c r="J39" s="361"/>
      <c r="K39" s="204">
        <f>M29+1</f>
        <v>45528</v>
      </c>
      <c r="L39" s="203" t="s">
        <v>75</v>
      </c>
      <c r="M39" s="205">
        <f>K39+6</f>
        <v>45534</v>
      </c>
      <c r="N39" s="20"/>
      <c r="O39" s="403" t="s">
        <v>62</v>
      </c>
      <c r="P39" s="404"/>
      <c r="Q39" s="404"/>
      <c r="R39" s="40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361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63"/>
      <c r="D48" s="363"/>
      <c r="E48" s="361"/>
      <c r="F48" s="32"/>
      <c r="G48" s="32"/>
      <c r="H48" s="43"/>
      <c r="I48" s="43"/>
      <c r="J48" s="43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10</v>
      </c>
      <c r="C49" s="363"/>
      <c r="D49" s="361"/>
      <c r="E49" s="156">
        <v>4</v>
      </c>
      <c r="F49" s="35"/>
      <c r="G49" s="35"/>
      <c r="H49" s="362" t="s">
        <v>28</v>
      </c>
      <c r="I49" s="363"/>
      <c r="J49" s="361"/>
      <c r="K49" s="204">
        <f>Admin!B88</f>
        <v>45504</v>
      </c>
      <c r="L49" s="203" t="s">
        <v>75</v>
      </c>
      <c r="M49" s="205">
        <f>Admin!B118</f>
        <v>45534</v>
      </c>
      <c r="N49" s="20"/>
      <c r="O49" s="403" t="s">
        <v>63</v>
      </c>
      <c r="P49" s="404"/>
      <c r="Q49" s="404"/>
      <c r="R49" s="405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IF(T$49="Y",Month03!H61,0)</f>
        <v>0</v>
      </c>
      <c r="I51" s="89">
        <f>IF(T$49="Y",Month03!I61,0)</f>
        <v>0</v>
      </c>
      <c r="J51" s="89">
        <f>IF(T$49="Y",Month03!J61,0)</f>
        <v>0</v>
      </c>
      <c r="K51" s="89">
        <f>IF(T$49="Y",Month03!K61,I51*J51)</f>
        <v>0</v>
      </c>
      <c r="L51" s="110">
        <f>IF(T$49="Y",Month03!L61,0)</f>
        <v>0</v>
      </c>
      <c r="M51" s="99" t="str">
        <f>IF(E51=" "," ",IF(T$49="Y",Month03!M61,IF((H51+K51+L51)&gt;0,H51+K51+L51,"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IF(Employee!H$35=E$49,Employee!D$34+SUM(M51)+Month03!V61,SUM(M51)+Month03!V61)</f>
        <v>0</v>
      </c>
      <c r="W51" s="49">
        <f>IF(Employee!H$35=E$49,Employee!D$35+SUM(N51)+Month03!W61,SUM(N51)+Month03!W61)</f>
        <v>0</v>
      </c>
      <c r="X51" s="49">
        <f>IF(O51=" ",Month03!X61,O51+Month03!X61)</f>
        <v>0</v>
      </c>
      <c r="Y51" s="49">
        <f>IF(P51=" ",Month03!Y61,P51+Month03!Y61)</f>
        <v>0</v>
      </c>
      <c r="Z51" s="49">
        <f>IF(Q51=" ",Month03!Z61,Q51+Month03!Z61)</f>
        <v>0</v>
      </c>
      <c r="AA51" s="49">
        <f>IF(R51=" ",Month03!AA61,R51+Month03!AA61)</f>
        <v>0</v>
      </c>
      <c r="AC51" s="49">
        <f>IF(T51=" ",Month03!AC61,T51+Month03!AC61)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IF(T$49="Y",Month03!H62,0)</f>
        <v>0</v>
      </c>
      <c r="I52" s="92">
        <f>IF(T$49="Y",Month03!I62,0)</f>
        <v>0</v>
      </c>
      <c r="J52" s="92">
        <f>IF(T$49="Y",Month03!J62,0)</f>
        <v>0</v>
      </c>
      <c r="K52" s="92">
        <f>IF(T$49="Y",Month03!K62,I52*J52)</f>
        <v>0</v>
      </c>
      <c r="L52" s="111">
        <f>IF(T$49="Y",Month03!L62,0)</f>
        <v>0</v>
      </c>
      <c r="M52" s="100" t="str">
        <f>IF(E52=" "," ",IF(T$49="Y",Month03!M62,IF((H52+K52+L52)&gt;0,H52+K52+L52,"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IF(Employee!H$61=E$49,Employee!D$60+SUM(M52)+Month03!V62,SUM(M52)+Month03!V62)</f>
        <v>0</v>
      </c>
      <c r="W52" s="49">
        <f>IF(Employee!H$61=E$49,Employee!D$61+SUM(N52)+Month03!W62,SUM(N52)+Month03!W62)</f>
        <v>0</v>
      </c>
      <c r="X52" s="49">
        <f>IF(O52=" ",Month03!X62,O52+Month03!X62)</f>
        <v>0</v>
      </c>
      <c r="Y52" s="49">
        <f>IF(P52=" ",Month03!Y62,P52+Month03!Y62)</f>
        <v>0</v>
      </c>
      <c r="Z52" s="49">
        <f>IF(Q52=" ",Month03!Z62,Q52+Month03!Z62)</f>
        <v>0</v>
      </c>
      <c r="AA52" s="49">
        <f>IF(R52=" ",Month03!AA62,R52+Month03!AA62)</f>
        <v>0</v>
      </c>
      <c r="AC52" s="49">
        <f>IF(T52=" ",Month03!AC62,T52+Month03!AC62)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IF(T$49="Y",Month03!H63,0)</f>
        <v>0</v>
      </c>
      <c r="I53" s="92">
        <f>IF(T$49="Y",Month03!I63,0)</f>
        <v>0</v>
      </c>
      <c r="J53" s="92">
        <f>IF(T$49="Y",Month03!J63,0)</f>
        <v>0</v>
      </c>
      <c r="K53" s="92">
        <f>IF(T$49="Y",Month03!K63,I53*J53)</f>
        <v>0</v>
      </c>
      <c r="L53" s="111">
        <f>IF(T$49="Y",Month03!L63,0)</f>
        <v>0</v>
      </c>
      <c r="M53" s="100" t="str">
        <f>IF(E53=" "," ",IF(T$49="Y",Month03!M63,IF((H53+K53+L53)&gt;0,H53+K53+L53,"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IF(Employee!H$87=E$49,Employee!D$86+SUM(M53)+Month03!V63,SUM(M53)+Month03!V63)</f>
        <v>0</v>
      </c>
      <c r="W53" s="49">
        <f>IF(Employee!H$87=E$49,Employee!D$87+SUM(N53)+Month03!W63,SUM(N53)+Month03!W63)</f>
        <v>0</v>
      </c>
      <c r="X53" s="49">
        <f>IF(O53=" ",Month03!X63,O53+Month03!X63)</f>
        <v>0</v>
      </c>
      <c r="Y53" s="49">
        <f>IF(P53=" ",Month03!Y63,P53+Month03!Y63)</f>
        <v>0</v>
      </c>
      <c r="Z53" s="49">
        <f>IF(Q53=" ",Month03!Z63,Q53+Month03!Z63)</f>
        <v>0</v>
      </c>
      <c r="AA53" s="49">
        <f>IF(R53=" ",Month03!AA63,R53+Month03!AA63)</f>
        <v>0</v>
      </c>
      <c r="AC53" s="49">
        <f>IF(T53=" ",Month03!AC63,T53+Month03!AC63)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IF(T$49="Y",Month03!H64,0)</f>
        <v>0</v>
      </c>
      <c r="I54" s="92">
        <f>IF(T$49="Y",Month03!I64,0)</f>
        <v>0</v>
      </c>
      <c r="J54" s="92">
        <f>IF(T$49="Y",Month03!J64,0)</f>
        <v>0</v>
      </c>
      <c r="K54" s="92">
        <f>IF(T$49="Y",Month03!K64,I54*J54)</f>
        <v>0</v>
      </c>
      <c r="L54" s="111">
        <f>IF(T$49="Y",Month03!L64,0)</f>
        <v>0</v>
      </c>
      <c r="M54" s="100" t="str">
        <f>IF(E54=" "," ",IF(T$49="Y",Month03!M64,IF((H54+K54+L54)&gt;0,H54+K54+L54,"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IF(Employee!H$113=E$49,Employee!D$112+SUM(M54)+Month03!V64,SUM(M54)+Month03!V64)</f>
        <v>0</v>
      </c>
      <c r="W54" s="49">
        <f>IF(Employee!H$113=E$49,Employee!D$113+SUM(N54)+Month03!W64,SUM(N54)+Month03!W64)</f>
        <v>0</v>
      </c>
      <c r="X54" s="49">
        <f>IF(O54=" ",Month03!X64,O54+Month03!X64)</f>
        <v>0</v>
      </c>
      <c r="Y54" s="49">
        <f>IF(P54=" ",Month03!Y64,P54+Month03!Y64)</f>
        <v>0</v>
      </c>
      <c r="Z54" s="49">
        <f>IF(Q54=" ",Month03!Z64,Q54+Month03!Z64)</f>
        <v>0</v>
      </c>
      <c r="AA54" s="49">
        <f>IF(R54=" ",Month03!AA64,R54+Month03!AA64)</f>
        <v>0</v>
      </c>
      <c r="AC54" s="49">
        <f>IF(T54=" ",Month03!AC64,T54+Month03!AC64)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IF(T$49="Y",Month03!H65,0)</f>
        <v>0</v>
      </c>
      <c r="I55" s="245">
        <f>IF(T$49="Y",Month03!I65,0)</f>
        <v>0</v>
      </c>
      <c r="J55" s="245">
        <f>IF(T$49="Y",Month03!J65,0)</f>
        <v>0</v>
      </c>
      <c r="K55" s="245">
        <f>IF(T$49="Y",Month03!K65,I55*J55)</f>
        <v>0</v>
      </c>
      <c r="L55" s="246">
        <f>IF(T$49="Y",Month03!L65,0)</f>
        <v>0</v>
      </c>
      <c r="M55" s="100" t="str">
        <f>IF(E55=" "," ",IF(T$49="Y",Month03!M65,IF((H55+K55+L55)&gt;0,H55+K55+L55,"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IF(Employee!H$139=E$49,Employee!D$138+SUM(M55)+Month03!V65,SUM(M55)+Month03!V65)</f>
        <v>0</v>
      </c>
      <c r="W55" s="49">
        <f>IF(Employee!H$139=E$49,Employee!D$139+SUM(N55)+Month03!W65,SUM(N55)+Month03!W65)</f>
        <v>0</v>
      </c>
      <c r="X55" s="49">
        <f>IF(O55=" ",Month03!X65,O55+Month03!X65)</f>
        <v>0</v>
      </c>
      <c r="Y55" s="49">
        <f>IF(P55=" ",Month03!Y65,P55+Month03!Y65)</f>
        <v>0</v>
      </c>
      <c r="Z55" s="49">
        <f>IF(Q55=" ",Month03!Z65,Q55+Month03!Z65)</f>
        <v>0</v>
      </c>
      <c r="AA55" s="49">
        <f>IF(R55=" ",Month03!AA65,R55+Month03!AA65)</f>
        <v>0</v>
      </c>
      <c r="AC55" s="49">
        <f>IF(T55=" ",Month03!AC65,T55+Month03!AC65)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361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70</v>
      </c>
      <c r="G59" s="180"/>
      <c r="H59" s="180"/>
      <c r="M59" s="417" t="s">
        <v>73</v>
      </c>
      <c r="N59" s="418"/>
      <c r="O59" s="418"/>
      <c r="P59" s="418"/>
      <c r="Q59" s="418"/>
      <c r="R59" s="41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AD60+Month03!AD75</f>
        <v>0</v>
      </c>
      <c r="AE65" s="158">
        <f>AE60+Month03!AE75</f>
        <v>0</v>
      </c>
      <c r="AF65" s="158">
        <f>AF60+Month03!AF75</f>
        <v>0</v>
      </c>
      <c r="AG65" s="158">
        <f>AG60+Month03!AG75</f>
        <v>0</v>
      </c>
    </row>
    <row r="66" spans="6:33" ht="14" thickTop="1" x14ac:dyDescent="0.15"/>
    <row r="67" spans="6:33" x14ac:dyDescent="0.15">
      <c r="AD67" s="162"/>
      <c r="AE67" s="158">
        <f>AE62+Month03!AE77</f>
        <v>0</v>
      </c>
      <c r="AF67" s="158">
        <f>AF62+Month03!AF77</f>
        <v>0</v>
      </c>
      <c r="AG67" s="158">
        <f>AG62+Month03!AG77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3"/>
      <c r="B1" s="424" t="s">
        <v>65</v>
      </c>
      <c r="C1" s="425"/>
      <c r="D1" s="425"/>
      <c r="E1" s="425"/>
      <c r="F1" s="426"/>
      <c r="G1" s="390">
        <f>SUM(AD60:AG60)+SUM(AE62:AG62)</f>
        <v>0</v>
      </c>
      <c r="H1" s="391"/>
      <c r="I1" s="387" t="s">
        <v>4</v>
      </c>
      <c r="J1" s="388"/>
      <c r="K1" s="388"/>
      <c r="L1" s="38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8"/>
    </row>
    <row r="2" spans="1:34" s="179" customFormat="1" ht="14.2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8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18</v>
      </c>
      <c r="F9" s="35"/>
      <c r="G9" s="35"/>
      <c r="H9" s="362" t="s">
        <v>28</v>
      </c>
      <c r="I9" s="363"/>
      <c r="J9" s="361"/>
      <c r="K9" s="204">
        <f>Admin!B119</f>
        <v>45535</v>
      </c>
      <c r="L9" s="203" t="s">
        <v>75</v>
      </c>
      <c r="M9" s="205">
        <f>K9+6</f>
        <v>45541</v>
      </c>
      <c r="N9" s="20"/>
      <c r="O9" s="403" t="s">
        <v>62</v>
      </c>
      <c r="P9" s="404"/>
      <c r="Q9" s="404"/>
      <c r="R9" s="40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IF(T$9="Y",Month04!#REF!,0)</f>
        <v>0</v>
      </c>
      <c r="I11" s="89">
        <f>IF(T$9="Y",Month04!#REF!,0)</f>
        <v>0</v>
      </c>
      <c r="J11" s="89">
        <f>IF(T$9="Y",Month04!#REF!,0)</f>
        <v>0</v>
      </c>
      <c r="K11" s="89">
        <v>0</v>
      </c>
      <c r="L11" s="110">
        <f>IF(T$9="Y",Month04!#REF!,0)</f>
        <v>0</v>
      </c>
      <c r="M11" s="110" t="str">
        <f>IF(E11=" "," ",IF(T$9="Y",Month04!#REF!,IF((H11+K11+L11)&gt;0,H11+K11+L11,"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IF(Employee!H$34=E$9,Employee!D$34+SUM(M11)+Month04!V41,SUM(M11)+Month04!V41)</f>
        <v>0</v>
      </c>
      <c r="W11" s="49">
        <f>IF(Employee!H$34=E$9,Employee!D$35+SUM(N11)+Month04!W41,SUM(N11)+Month04!W41)</f>
        <v>0</v>
      </c>
      <c r="X11" s="49">
        <f>IF(O11=" ",Month04!X41,O11+Month04!X41)</f>
        <v>0</v>
      </c>
      <c r="Y11" s="49">
        <f>IF(P11=" ",Month04!Y41,P11+Month04!Y41)</f>
        <v>0</v>
      </c>
      <c r="Z11" s="49">
        <f>IF(Q11=" ",Month04!Z41,Q11+Month04!Z41)</f>
        <v>0</v>
      </c>
      <c r="AA11" s="49">
        <f>IF(R11=" ",Month04!AA41,R11+Month04!AA41)</f>
        <v>0</v>
      </c>
      <c r="AC11" s="49">
        <f>IF(T11=" ",Month04!AC41,T11+Month04!AC41)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IF(T$9="Y",Month04!#REF!,0)</f>
        <v>0</v>
      </c>
      <c r="I12" s="92">
        <f>IF(T$9="Y",Month04!#REF!,0)</f>
        <v>0</v>
      </c>
      <c r="J12" s="92">
        <f>IF(T$9="Y",Month04!#REF!,0)</f>
        <v>0</v>
      </c>
      <c r="K12" s="92">
        <f>IF(T$9="Y",Month04!#REF!,I12*J12)</f>
        <v>0</v>
      </c>
      <c r="L12" s="111">
        <f>IF(T$9="Y",Month04!#REF!,0)</f>
        <v>0</v>
      </c>
      <c r="M12" s="111" t="str">
        <f>IF(E12=" "," ",IF(T$9="Y",Month04!#REF!,IF((H12+K12+L12)&gt;0,H12+K12+L12,"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IF(Employee!H$60=E$9,Employee!D$60+SUM(M12)+Month04!V42,SUM(M12)+Month04!V42)</f>
        <v>0</v>
      </c>
      <c r="W12" s="49">
        <f>IF(Employee!H$60=E$9,Employee!D$61+SUM(N12)+Month04!W42,SUM(N12)+Month04!W42)</f>
        <v>0</v>
      </c>
      <c r="X12" s="49">
        <f>IF(O12=" ",Month04!X42,O12+Month04!X42)</f>
        <v>0</v>
      </c>
      <c r="Y12" s="49">
        <f>IF(P12=" ",Month04!Y42,P12+Month04!Y42)</f>
        <v>0</v>
      </c>
      <c r="Z12" s="49">
        <f>IF(Q12=" ",Month04!Z42,Q12+Month04!Z42)</f>
        <v>0</v>
      </c>
      <c r="AA12" s="49">
        <f>IF(R12=" ",Month04!AA42,R12+Month04!AA42)</f>
        <v>0</v>
      </c>
      <c r="AC12" s="49">
        <f>IF(T12=" ",Month04!AC42,T12+Month04!AC42)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IF(T$9="Y",Month04!#REF!,0)</f>
        <v>0</v>
      </c>
      <c r="I13" s="92">
        <f>IF(T$9="Y",Month04!#REF!,0)</f>
        <v>0</v>
      </c>
      <c r="J13" s="92">
        <f>IF(T$9="Y",Month04!#REF!,0)</f>
        <v>0</v>
      </c>
      <c r="K13" s="92">
        <f>IF(T$9="Y",Month04!#REF!,I13*J13)</f>
        <v>0</v>
      </c>
      <c r="L13" s="111">
        <f>IF(T$9="Y",Month04!#REF!,0)</f>
        <v>0</v>
      </c>
      <c r="M13" s="111" t="str">
        <f>IF(E13=" "," ",IF(T$9="Y",Month04!#REF!,IF((H13+K13+L13)&gt;0,H13+K13+L13,"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IF(Employee!H$86=E$9,Employee!D$86+SUM(M13)+Month04!V43,SUM(M13)+Month04!V43)</f>
        <v>0</v>
      </c>
      <c r="W13" s="49">
        <f>IF(Employee!H$86=E$9,Employee!D$87+SUM(N13)+Month04!W43,SUM(N13)+Month04!W43)</f>
        <v>0</v>
      </c>
      <c r="X13" s="49">
        <f>IF(O13=" ",Month04!X43,O13+Month04!X43)</f>
        <v>0</v>
      </c>
      <c r="Y13" s="49">
        <f>IF(P13=" ",Month04!Y43,P13+Month04!Y43)</f>
        <v>0</v>
      </c>
      <c r="Z13" s="49">
        <f>IF(Q13=" ",Month04!Z43,Q13+Month04!Z43)</f>
        <v>0</v>
      </c>
      <c r="AA13" s="49">
        <f>IF(R13=" ",Month04!AA43,R13+Month04!AA43)</f>
        <v>0</v>
      </c>
      <c r="AC13" s="49">
        <f>IF(T13=" ",Month04!AC43,T13+Month04!AC43)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IF(T$9="Y",Month04!#REF!,0)</f>
        <v>0</v>
      </c>
      <c r="I14" s="92">
        <f>IF(T$9="Y",Month04!#REF!,0)</f>
        <v>0</v>
      </c>
      <c r="J14" s="92">
        <f>IF(T$9="Y",Month04!#REF!,0)</f>
        <v>0</v>
      </c>
      <c r="K14" s="92">
        <f>IF(T$9="Y",Month04!#REF!,I14*J14)</f>
        <v>0</v>
      </c>
      <c r="L14" s="111">
        <f>IF(T$9="Y",Month04!#REF!,0)</f>
        <v>0</v>
      </c>
      <c r="M14" s="111" t="str">
        <f>IF(E14=" "," ",IF(T$9="Y",Month04!#REF!,IF((H14+K14+L14)&gt;0,H14+K14+L14,"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IF(Employee!H$112=E$9,Employee!D$112+SUM(M14)+Month04!V44,SUM(M14)+Month04!V44)</f>
        <v>0</v>
      </c>
      <c r="W14" s="49">
        <f>IF(Employee!H$112=E$9,Employee!D$113+SUM(N14)+Month04!W44,SUM(N14)+Month04!W44)</f>
        <v>0</v>
      </c>
      <c r="X14" s="49">
        <f>IF(O14=" ",Month04!X44,O14+Month04!X44)</f>
        <v>0</v>
      </c>
      <c r="Y14" s="49">
        <f>IF(P14=" ",Month04!Y44,P14+Month04!Y44)</f>
        <v>0</v>
      </c>
      <c r="Z14" s="49">
        <f>IF(Q14=" ",Month04!Z44,Q14+Month04!Z44)</f>
        <v>0</v>
      </c>
      <c r="AA14" s="49">
        <f>IF(R14=" ",Month04!AA44,R14+Month04!AA44)</f>
        <v>0</v>
      </c>
      <c r="AC14" s="49">
        <f>IF(T14=" ",Month04!AC44,T14+Month04!AC44)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IF(T$9="Y",Month04!#REF!,0)</f>
        <v>0</v>
      </c>
      <c r="I15" s="245">
        <f>IF(T$9="Y",Month04!#REF!,0)</f>
        <v>0</v>
      </c>
      <c r="J15" s="245">
        <f>IF(T$9="Y",Month04!#REF!,0)</f>
        <v>0</v>
      </c>
      <c r="K15" s="245">
        <f>IF(T$9="Y",Month04!#REF!,I15*J15)</f>
        <v>0</v>
      </c>
      <c r="L15" s="246">
        <f>IF(T$9="Y",Month04!#REF!,0)</f>
        <v>0</v>
      </c>
      <c r="M15" s="246" t="str">
        <f>IF(E15=" "," ",IF(T$9="Y",Month04!#REF!,IF((H15+K15+L15)&gt;0,H15+K15+L15,"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IF(Employee!H$138=E$9,Employee!D$138+SUM(M15)+Month04!V45,SUM(M15)+Month04!V45)</f>
        <v>0</v>
      </c>
      <c r="W15" s="49">
        <f>IF(Employee!H$138=E$9,Employee!D$139+SUM(N15)+Month04!W45,SUM(N15)+Month04!W45)</f>
        <v>0</v>
      </c>
      <c r="X15" s="49">
        <f>IF(O15=" ",Month04!X45,O15+Month04!X45)</f>
        <v>0</v>
      </c>
      <c r="Y15" s="49">
        <f>IF(P15=" ",Month04!Y45,P15+Month04!Y45)</f>
        <v>0</v>
      </c>
      <c r="Z15" s="49">
        <f>IF(Q15=" ",Month04!Z45,Q15+Month04!Z45)</f>
        <v>0</v>
      </c>
      <c r="AA15" s="49">
        <f>IF(R15=" ",Month04!AA45,R15+Month04!AA45)</f>
        <v>0</v>
      </c>
      <c r="AC15" s="49">
        <f>IF(T15=" ",Month04!AC45,T15+Month04!AC45)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36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19</v>
      </c>
      <c r="F19" s="35"/>
      <c r="G19" s="35"/>
      <c r="H19" s="362" t="s">
        <v>28</v>
      </c>
      <c r="I19" s="363"/>
      <c r="J19" s="361"/>
      <c r="K19" s="204">
        <f>M9+1</f>
        <v>45542</v>
      </c>
      <c r="L19" s="203" t="s">
        <v>75</v>
      </c>
      <c r="M19" s="205">
        <f>K19+6</f>
        <v>45548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20</v>
      </c>
      <c r="F29" s="35"/>
      <c r="G29" s="35"/>
      <c r="H29" s="362" t="s">
        <v>28</v>
      </c>
      <c r="I29" s="363"/>
      <c r="J29" s="361"/>
      <c r="K29" s="204">
        <f>M19+1</f>
        <v>45549</v>
      </c>
      <c r="L29" s="203" t="s">
        <v>75</v>
      </c>
      <c r="M29" s="205">
        <f>K29+6</f>
        <v>45555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9"/>
      <c r="D38" s="439"/>
      <c r="E38" s="440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441"/>
      <c r="D39" s="442"/>
      <c r="E39" s="156">
        <v>21</v>
      </c>
      <c r="F39" s="35"/>
      <c r="G39" s="35"/>
      <c r="H39" s="362" t="s">
        <v>28</v>
      </c>
      <c r="I39" s="441"/>
      <c r="J39" s="442"/>
      <c r="K39" s="204">
        <f>M29+1</f>
        <v>45556</v>
      </c>
      <c r="L39" s="203" t="s">
        <v>75</v>
      </c>
      <c r="M39" s="205">
        <f>K39+6</f>
        <v>45562</v>
      </c>
      <c r="N39" s="20"/>
      <c r="O39" s="403" t="s">
        <v>62</v>
      </c>
      <c r="P39" s="443"/>
      <c r="Q39" s="443"/>
      <c r="R39" s="44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44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63"/>
      <c r="D48" s="363"/>
      <c r="E48" s="361"/>
      <c r="F48" s="32"/>
      <c r="G48" s="32"/>
      <c r="H48" s="43"/>
      <c r="I48" s="43"/>
      <c r="J48" s="43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10</v>
      </c>
      <c r="C49" s="363"/>
      <c r="D49" s="361"/>
      <c r="E49" s="156">
        <v>5</v>
      </c>
      <c r="F49" s="35"/>
      <c r="G49" s="35"/>
      <c r="H49" s="362" t="s">
        <v>28</v>
      </c>
      <c r="I49" s="363"/>
      <c r="J49" s="361"/>
      <c r="K49" s="204">
        <f>Admin!B119</f>
        <v>45535</v>
      </c>
      <c r="L49" s="203" t="s">
        <v>75</v>
      </c>
      <c r="M49" s="205">
        <f>Admin!B149</f>
        <v>45565</v>
      </c>
      <c r="N49" s="20"/>
      <c r="O49" s="403" t="s">
        <v>63</v>
      </c>
      <c r="P49" s="404"/>
      <c r="Q49" s="404"/>
      <c r="R49" s="405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IF(T$49="Y",Month04!H51,0)</f>
        <v>0</v>
      </c>
      <c r="I51" s="89">
        <f>IF(T$49="Y",Month04!I51,0)</f>
        <v>0</v>
      </c>
      <c r="J51" s="89">
        <f>IF(T$49="Y",Month04!J51,0)</f>
        <v>0</v>
      </c>
      <c r="K51" s="89">
        <f>IF(T$49="Y",Month04!K51,I51*J51)</f>
        <v>0</v>
      </c>
      <c r="L51" s="89">
        <f>IF(T$49="Y",Month04!L51,0)</f>
        <v>0</v>
      </c>
      <c r="M51" s="99" t="str">
        <f>IF(E51=" "," ",IF(T$49="Y",Month04!M51,IF((H51+K51+L51)&gt;0,H51+K51+L51,"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IF(Employee!H$35=E$49,Employee!D$34+SUM(M51)+Month04!V51,SUM(M51)+Month04!V51)</f>
        <v>0</v>
      </c>
      <c r="W51" s="49">
        <f>IF(Employee!H$35=E$49,Employee!D$35+SUM(N51)+Month04!W51,SUM(N51)+Month04!W51)</f>
        <v>0</v>
      </c>
      <c r="X51" s="49">
        <f>IF(O51=" ",Month04!X51,O51+Month04!X51)</f>
        <v>0</v>
      </c>
      <c r="Y51" s="49">
        <f>IF(P51=" ",Month04!Y51,P51+Month04!Y51)</f>
        <v>0</v>
      </c>
      <c r="Z51" s="49">
        <f>IF(Q51=" ",Month04!Z51,Q51+Month04!Z51)</f>
        <v>0</v>
      </c>
      <c r="AA51" s="49">
        <f>IF(R51=" ",Month04!AA51,R51+Month04!AA51)</f>
        <v>0</v>
      </c>
      <c r="AC51" s="49">
        <f>IF(T51=" ",Month04!AC51,T51+Month04!AC51)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IF(T$49="Y",Month04!H52,0)</f>
        <v>0</v>
      </c>
      <c r="I52" s="92">
        <f>IF(T$49="Y",Month04!I52,0)</f>
        <v>0</v>
      </c>
      <c r="J52" s="92">
        <f>IF(T$49="Y",Month04!J52,0)</f>
        <v>0</v>
      </c>
      <c r="K52" s="92">
        <f>IF(T$49="Y",Month04!K52,I52*J52)</f>
        <v>0</v>
      </c>
      <c r="L52" s="92">
        <f>IF(T$49="Y",Month04!L52,0)</f>
        <v>0</v>
      </c>
      <c r="M52" s="100" t="str">
        <f>IF(E52=" "," ",IF(T$49="Y",Month04!M52,IF((H52+K52+L52)&gt;0,H52+K52+L52,"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IF(Employee!H$61=E$49,Employee!D$60+SUM(M52)+Month04!V52,SUM(M52)+Month04!V52)</f>
        <v>0</v>
      </c>
      <c r="W52" s="49">
        <f>IF(Employee!H$61=E$49,Employee!D$61+SUM(N52)+Month04!W52,SUM(N52)+Month04!W52)</f>
        <v>0</v>
      </c>
      <c r="X52" s="49">
        <f>IF(O52=" ",Month04!X52,O52+Month04!X52)</f>
        <v>0</v>
      </c>
      <c r="Y52" s="49">
        <f>IF(P52=" ",Month04!Y52,P52+Month04!Y52)</f>
        <v>0</v>
      </c>
      <c r="Z52" s="49">
        <f>IF(Q52=" ",Month04!Z52,Q52+Month04!Z52)</f>
        <v>0</v>
      </c>
      <c r="AA52" s="49">
        <f>IF(R52=" ",Month04!AA52,R52+Month04!AA52)</f>
        <v>0</v>
      </c>
      <c r="AC52" s="49">
        <f>IF(T52=" ",Month04!AC52,T52+Month04!AC52)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IF(T$49="Y",Month04!H53,0)</f>
        <v>0</v>
      </c>
      <c r="I53" s="92">
        <f>IF(T$49="Y",Month04!I53,0)</f>
        <v>0</v>
      </c>
      <c r="J53" s="92">
        <f>IF(T$49="Y",Month04!J53,0)</f>
        <v>0</v>
      </c>
      <c r="K53" s="92">
        <f>IF(T$49="Y",Month04!K53,I53*J53)</f>
        <v>0</v>
      </c>
      <c r="L53" s="92">
        <f>IF(T$49="Y",Month04!L53,0)</f>
        <v>0</v>
      </c>
      <c r="M53" s="100" t="str">
        <f>IF(E53=" "," ",IF(T$49="Y",Month04!M53,IF((H53+K53+L53)&gt;0,H53+K53+L53,"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IF(Employee!H$87=E$49,Employee!D$86+SUM(M53)+Month04!V53,SUM(M53)+Month04!V53)</f>
        <v>0</v>
      </c>
      <c r="W53" s="49">
        <f>IF(Employee!H$87=E$49,Employee!D$87+SUM(N53)+Month04!W53,SUM(N53)+Month04!W53)</f>
        <v>0</v>
      </c>
      <c r="X53" s="49">
        <f>IF(O53=" ",Month04!X53,O53+Month04!X53)</f>
        <v>0</v>
      </c>
      <c r="Y53" s="49">
        <f>IF(P53=" ",Month04!Y53,P53+Month04!Y53)</f>
        <v>0</v>
      </c>
      <c r="Z53" s="49">
        <f>IF(Q53=" ",Month04!Z53,Q53+Month04!Z53)</f>
        <v>0</v>
      </c>
      <c r="AA53" s="49">
        <f>IF(R53=" ",Month04!AA53,R53+Month04!AA53)</f>
        <v>0</v>
      </c>
      <c r="AC53" s="49">
        <f>IF(T53=" ",Month04!AC53,T53+Month04!AC53)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IF(T$49="Y",Month04!H54,0)</f>
        <v>0</v>
      </c>
      <c r="I54" s="92">
        <f>IF(T$49="Y",Month04!I54,0)</f>
        <v>0</v>
      </c>
      <c r="J54" s="92">
        <f>IF(T$49="Y",Month04!J54,0)</f>
        <v>0</v>
      </c>
      <c r="K54" s="92">
        <f>IF(T$49="Y",Month04!K54,I54*J54)</f>
        <v>0</v>
      </c>
      <c r="L54" s="92">
        <f>IF(T$49="Y",Month04!L54,0)</f>
        <v>0</v>
      </c>
      <c r="M54" s="100" t="str">
        <f>IF(E54=" "," ",IF(T$49="Y",Month04!M54,IF((H54+K54+L54)&gt;0,H54+K54+L54,"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IF(Employee!H$113=E$49,Employee!D$112+SUM(M54)+Month04!V54,SUM(M54)+Month04!V54)</f>
        <v>0</v>
      </c>
      <c r="W54" s="49">
        <f>IF(Employee!H$113=E$49,Employee!D$113+SUM(N54)+Month04!W54,SUM(N54)+Month04!W54)</f>
        <v>0</v>
      </c>
      <c r="X54" s="49">
        <f>IF(O54=" ",Month04!X54,O54+Month04!X54)</f>
        <v>0</v>
      </c>
      <c r="Y54" s="49">
        <f>IF(P54=" ",Month04!Y54,P54+Month04!Y54)</f>
        <v>0</v>
      </c>
      <c r="Z54" s="49">
        <f>IF(Q54=" ",Month04!Z54,Q54+Month04!Z54)</f>
        <v>0</v>
      </c>
      <c r="AA54" s="49">
        <f>IF(R54=" ",Month04!AA54,R54+Month04!AA54)</f>
        <v>0</v>
      </c>
      <c r="AC54" s="49">
        <f>IF(T54=" ",Month04!AC54,T54+Month04!AC54)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IF(T$49="Y",Month04!H55,0)</f>
        <v>0</v>
      </c>
      <c r="I55" s="92">
        <f>IF(T$49="Y",Month04!I55,0)</f>
        <v>0</v>
      </c>
      <c r="J55" s="92">
        <f>IF(T$49="Y",Month04!J55,0)</f>
        <v>0</v>
      </c>
      <c r="K55" s="92">
        <f>IF(T$49="Y",Month04!K55,I55*J55)</f>
        <v>0</v>
      </c>
      <c r="L55" s="92">
        <f>IF(T$49="Y",Month04!L55,0)</f>
        <v>0</v>
      </c>
      <c r="M55" s="100" t="str">
        <f>IF(E55=" "," ",IF(T$49="Y",Month04!M55,IF((H55+K55+L55)&gt;0,H55+K55+L55,"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IF(Employee!H$139=E$49,Employee!D$138+SUM(M55)+Month04!V55,SUM(M55)+Month04!V55)</f>
        <v>0</v>
      </c>
      <c r="W55" s="49">
        <f>IF(Employee!H$139=E$49,Employee!D$139+SUM(N55)+Month04!W55,SUM(N55)+Month04!W55)</f>
        <v>0</v>
      </c>
      <c r="X55" s="49">
        <f>IF(O55=" ",Month04!X55,O55+Month04!X55)</f>
        <v>0</v>
      </c>
      <c r="Y55" s="49">
        <f>IF(P55=" ",Month04!Y55,P55+Month04!Y55)</f>
        <v>0</v>
      </c>
      <c r="Z55" s="49">
        <f>IF(Q55=" ",Month04!Z55,Q55+Month04!Z55)</f>
        <v>0</v>
      </c>
      <c r="AA55" s="49">
        <f>IF(R55=" ",Month04!AA55,R55+Month04!AA55)</f>
        <v>0</v>
      </c>
      <c r="AC55" s="49">
        <f>IF(T55=" ",Month04!AC55,T55+Month04!AC55)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361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417" t="s">
        <v>73</v>
      </c>
      <c r="N59" s="418"/>
      <c r="O59" s="418"/>
      <c r="P59" s="418"/>
      <c r="Q59" s="418"/>
      <c r="R59" s="41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AD60+Month04!AD65</f>
        <v>0</v>
      </c>
      <c r="AE65" s="158">
        <f>AE60+Month04!AE65</f>
        <v>0</v>
      </c>
      <c r="AF65" s="158">
        <f>AF60+Month04!AF65</f>
        <v>0</v>
      </c>
      <c r="AG65" s="158">
        <f>AG60+Month04!AG65</f>
        <v>0</v>
      </c>
    </row>
    <row r="66" spans="6:33" ht="14" thickTop="1" x14ac:dyDescent="0.15"/>
    <row r="67" spans="6:33" x14ac:dyDescent="0.15">
      <c r="AD67" s="162"/>
      <c r="AE67" s="158">
        <f>AE62+Month04!AE67</f>
        <v>0</v>
      </c>
      <c r="AF67" s="158">
        <f>AF62+Month04!AF67</f>
        <v>0</v>
      </c>
      <c r="AG67" s="158">
        <f>AG62+Month04!AG67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3"/>
      <c r="B1" s="424" t="s">
        <v>65</v>
      </c>
      <c r="C1" s="425"/>
      <c r="D1" s="425"/>
      <c r="E1" s="425"/>
      <c r="F1" s="426"/>
      <c r="G1" s="437">
        <f>SUM(AD70:AG70)+SUM(AE72:AG72)</f>
        <v>0</v>
      </c>
      <c r="H1" s="438"/>
      <c r="I1" s="435" t="s">
        <v>4</v>
      </c>
      <c r="J1" s="446"/>
      <c r="K1" s="446"/>
      <c r="L1" s="447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4"/>
    </row>
    <row r="2" spans="1:34" s="4" customFormat="1" ht="14.2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4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22</v>
      </c>
      <c r="F9" s="35"/>
      <c r="G9" s="35"/>
      <c r="H9" s="362" t="s">
        <v>28</v>
      </c>
      <c r="I9" s="363"/>
      <c r="J9" s="361"/>
      <c r="K9" s="204">
        <f>Month05!M39+1</f>
        <v>45563</v>
      </c>
      <c r="L9" s="203" t="s">
        <v>75</v>
      </c>
      <c r="M9" s="205">
        <f>K9+6</f>
        <v>45569</v>
      </c>
      <c r="N9" s="20"/>
      <c r="O9" s="403" t="s">
        <v>62</v>
      </c>
      <c r="P9" s="404"/>
      <c r="Q9" s="404"/>
      <c r="R9" s="40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IF(T$9="Y",Month05!H41,0)</f>
        <v>0</v>
      </c>
      <c r="I11" s="89">
        <f>IF(T$9="Y",Month05!I41,0)</f>
        <v>0</v>
      </c>
      <c r="J11" s="89">
        <f>IF(T$9="Y",Month05!J41,0)</f>
        <v>0</v>
      </c>
      <c r="K11" s="89">
        <f>IF(T$9="Y",Month05!K41,I11*J11)</f>
        <v>0</v>
      </c>
      <c r="L11" s="110">
        <f>IF(T$9="Y",Month05!L41,0)</f>
        <v>0</v>
      </c>
      <c r="M11" s="110" t="str">
        <f>IF(E11=" "," ",IF(T$9="Y",Month05!M41,IF((H11+K11+L11)&gt;0,H11+K11+L11,"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IF(Employee!H$34=E$9,Employee!D$34+SUM(M11)+Month05!V41,SUM(M11)+Month05!V41)</f>
        <v>0</v>
      </c>
      <c r="W11" s="49">
        <f>IF(Employee!H$34=E$9,Employee!D$35+SUM(N11)+Month05!W41,SUM(N11)+Month05!W41)</f>
        <v>0</v>
      </c>
      <c r="X11" s="49">
        <f>IF(O11=" ",Month05!X41,O11+Month05!X41)</f>
        <v>0</v>
      </c>
      <c r="Y11" s="49">
        <f>IF(P11=" ",Month05!Y41,P11+Month05!Y41)</f>
        <v>0</v>
      </c>
      <c r="Z11" s="49">
        <f>IF(Q11=" ",Month05!Z41,Q11+Month05!Z41)</f>
        <v>0</v>
      </c>
      <c r="AA11" s="49">
        <f>IF(R11=" ",Month05!AA41,R11+Month05!AA41)</f>
        <v>0</v>
      </c>
      <c r="AC11" s="49">
        <f>IF(T11=" ",Month05!AC41,T11+Month05!AC41)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IF(T$9="Y",Month05!H42,0)</f>
        <v>0</v>
      </c>
      <c r="I12" s="92">
        <f>IF(T$9="Y",Month05!I42,0)</f>
        <v>0</v>
      </c>
      <c r="J12" s="92">
        <f>IF(T$9="Y",Month05!J42,0)</f>
        <v>0</v>
      </c>
      <c r="K12" s="92">
        <f>IF(T$9="Y",Month05!K42,I12*J12)</f>
        <v>0</v>
      </c>
      <c r="L12" s="111">
        <f>IF(T$9="Y",Month05!L42,0)</f>
        <v>0</v>
      </c>
      <c r="M12" s="111" t="str">
        <f>IF(E12=" "," ",IF(T$9="Y",Month05!M42,IF((H12+K12+L12)&gt;0,H12+K12+L12,"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IF(Employee!H$60=E$9,Employee!D$60+SUM(M12)+Month05!V42,SUM(M12)+Month05!V42)</f>
        <v>0</v>
      </c>
      <c r="W12" s="49">
        <f>IF(Employee!H$60=E$9,Employee!D$61+SUM(N12)+Month05!W42,SUM(N12)+Month05!W42)</f>
        <v>0</v>
      </c>
      <c r="X12" s="49">
        <f>IF(O12=" ",Month05!X42,O12+Month05!X42)</f>
        <v>0</v>
      </c>
      <c r="Y12" s="49">
        <f>IF(P12=" ",Month05!Y42,P12+Month05!Y42)</f>
        <v>0</v>
      </c>
      <c r="Z12" s="49">
        <f>IF(Q12=" ",Month05!Z42,Q12+Month05!Z42)</f>
        <v>0</v>
      </c>
      <c r="AA12" s="49">
        <f>IF(R12=" ",Month05!AA42,R12+Month05!AA42)</f>
        <v>0</v>
      </c>
      <c r="AC12" s="49">
        <f>IF(T12=" ",Month05!AC42,T12+Month05!AC42)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IF(T$9="Y",Month05!H43,0)</f>
        <v>0</v>
      </c>
      <c r="I13" s="92">
        <f>IF(T$9="Y",Month05!I43,0)</f>
        <v>0</v>
      </c>
      <c r="J13" s="92">
        <f>IF(T$9="Y",Month05!J43,0)</f>
        <v>0</v>
      </c>
      <c r="K13" s="92">
        <f>IF(T$9="Y",Month05!K43,I13*J13)</f>
        <v>0</v>
      </c>
      <c r="L13" s="111">
        <f>IF(T$9="Y",Month05!L43,0)</f>
        <v>0</v>
      </c>
      <c r="M13" s="111" t="str">
        <f>IF(E13=" "," ",IF(T$9="Y",Month05!M43,IF((H13+K13+L13)&gt;0,H13+K13+L13,"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IF(Employee!H$86=E$9,Employee!D$86+SUM(M13)+Month05!V43,SUM(M13)+Month05!V43)</f>
        <v>0</v>
      </c>
      <c r="W13" s="49">
        <f>IF(Employee!H$86=E$9,Employee!D$87+SUM(N13)+Month05!W43,SUM(N13)+Month05!W43)</f>
        <v>0</v>
      </c>
      <c r="X13" s="49">
        <f>IF(O13=" ",Month05!X43,O13+Month05!X43)</f>
        <v>0</v>
      </c>
      <c r="Y13" s="49">
        <f>IF(P13=" ",Month05!Y43,P13+Month05!Y43)</f>
        <v>0</v>
      </c>
      <c r="Z13" s="49">
        <f>IF(Q13=" ",Month05!Z43,Q13+Month05!Z43)</f>
        <v>0</v>
      </c>
      <c r="AA13" s="49">
        <f>IF(R13=" ",Month05!AA43,R13+Month05!AA43)</f>
        <v>0</v>
      </c>
      <c r="AC13" s="49">
        <f>IF(T13=" ",Month05!AC43,T13+Month05!AC43)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IF(T$9="Y",Month05!H44,0)</f>
        <v>0</v>
      </c>
      <c r="I14" s="92">
        <f>IF(T$9="Y",Month05!I44,0)</f>
        <v>0</v>
      </c>
      <c r="J14" s="92">
        <f>IF(T$9="Y",Month05!J44,0)</f>
        <v>0</v>
      </c>
      <c r="K14" s="92">
        <f>IF(T$9="Y",Month05!K44,I14*J14)</f>
        <v>0</v>
      </c>
      <c r="L14" s="111">
        <f>IF(T$9="Y",Month05!L44,0)</f>
        <v>0</v>
      </c>
      <c r="M14" s="111" t="str">
        <f>IF(E14=" "," ",IF(T$9="Y",Month05!M44,IF((H14+K14+L14)&gt;0,H14+K14+L14,"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IF(Employee!H$112=E$9,Employee!D$112+SUM(M14)+Month05!V44,SUM(M14)+Month05!V44)</f>
        <v>0</v>
      </c>
      <c r="W14" s="49">
        <f>IF(Employee!H$112=E$9,Employee!D$113+SUM(N14)+Month05!W44,SUM(N14)+Month05!W44)</f>
        <v>0</v>
      </c>
      <c r="X14" s="49">
        <f>IF(O14=" ",Month05!X44,O14+Month05!X44)</f>
        <v>0</v>
      </c>
      <c r="Y14" s="49">
        <f>IF(P14=" ",Month05!Y44,P14+Month05!Y44)</f>
        <v>0</v>
      </c>
      <c r="Z14" s="49">
        <f>IF(Q14=" ",Month05!Z44,Q14+Month05!Z44)</f>
        <v>0</v>
      </c>
      <c r="AA14" s="49">
        <f>IF(R14=" ",Month05!AA44,R14+Month05!AA44)</f>
        <v>0</v>
      </c>
      <c r="AC14" s="49">
        <f>IF(T14=" ",Month05!AC44,T14+Month05!AC44)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IF(T$9="Y",Month05!H45,0)</f>
        <v>0</v>
      </c>
      <c r="I15" s="245">
        <f>IF(T$9="Y",Month05!I45,0)</f>
        <v>0</v>
      </c>
      <c r="J15" s="245">
        <f>IF(T$9="Y",Month05!J45,0)</f>
        <v>0</v>
      </c>
      <c r="K15" s="245">
        <f>IF(T$9="Y",Month05!K45,I15*J15)</f>
        <v>0</v>
      </c>
      <c r="L15" s="246">
        <f>IF(T$9="Y",Month05!L45,0)</f>
        <v>0</v>
      </c>
      <c r="M15" s="111" t="str">
        <f>IF(E15=" "," ",IF(T$9="Y",Month05!M45,IF((H15+K15+L15)&gt;0,H15+K15+L15,"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IF(Employee!H$138=E$9,Employee!D$138+SUM(M15)+Month05!V45,SUM(M15)+Month05!V45)</f>
        <v>0</v>
      </c>
      <c r="W15" s="49">
        <f>IF(Employee!H$138=E$9,Employee!D$139+SUM(N15)+Month05!W45,SUM(N15)+Month05!W45)</f>
        <v>0</v>
      </c>
      <c r="X15" s="49">
        <f>IF(O15=" ",Month05!X45,O15+Month05!X45)</f>
        <v>0</v>
      </c>
      <c r="Y15" s="49">
        <f>IF(P15=" ",Month05!Y45,P15+Month05!Y45)</f>
        <v>0</v>
      </c>
      <c r="Z15" s="49">
        <f>IF(Q15=" ",Month05!Z45,Q15+Month05!Z45)</f>
        <v>0</v>
      </c>
      <c r="AA15" s="49">
        <f>IF(R15=" ",Month05!AA45,R15+Month05!AA45)</f>
        <v>0</v>
      </c>
      <c r="AC15" s="49">
        <f>IF(T15=" ",Month05!AC45,T15+Month05!AC45)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36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23</v>
      </c>
      <c r="F19" s="35"/>
      <c r="G19" s="35"/>
      <c r="H19" s="362" t="s">
        <v>28</v>
      </c>
      <c r="I19" s="363"/>
      <c r="J19" s="361"/>
      <c r="K19" s="204">
        <f>M9+1</f>
        <v>45570</v>
      </c>
      <c r="L19" s="203" t="s">
        <v>75</v>
      </c>
      <c r="M19" s="205">
        <f>K19+6</f>
        <v>45576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24</v>
      </c>
      <c r="F29" s="35"/>
      <c r="G29" s="35"/>
      <c r="H29" s="362" t="s">
        <v>28</v>
      </c>
      <c r="I29" s="363"/>
      <c r="J29" s="361"/>
      <c r="K29" s="204">
        <f>M19+1</f>
        <v>45577</v>
      </c>
      <c r="L29" s="203" t="s">
        <v>75</v>
      </c>
      <c r="M29" s="205">
        <f>K29+6</f>
        <v>45583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9"/>
      <c r="D38" s="439"/>
      <c r="E38" s="440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441"/>
      <c r="D39" s="442"/>
      <c r="E39" s="156">
        <v>25</v>
      </c>
      <c r="F39" s="35"/>
      <c r="G39" s="35"/>
      <c r="H39" s="362" t="s">
        <v>28</v>
      </c>
      <c r="I39" s="441"/>
      <c r="J39" s="442"/>
      <c r="K39" s="204">
        <f>M29+1</f>
        <v>45584</v>
      </c>
      <c r="L39" s="203" t="s">
        <v>75</v>
      </c>
      <c r="M39" s="205">
        <f>K39+6</f>
        <v>45590</v>
      </c>
      <c r="N39" s="20"/>
      <c r="O39" s="403" t="s">
        <v>62</v>
      </c>
      <c r="P39" s="443"/>
      <c r="Q39" s="443"/>
      <c r="R39" s="44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44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23</v>
      </c>
      <c r="C48" s="439"/>
      <c r="D48" s="439"/>
      <c r="E48" s="440"/>
      <c r="F48" s="32"/>
      <c r="G48" s="32"/>
      <c r="H48" s="32"/>
      <c r="I48" s="32"/>
      <c r="J48" s="32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9</v>
      </c>
      <c r="C49" s="441"/>
      <c r="D49" s="442"/>
      <c r="E49" s="156">
        <v>26</v>
      </c>
      <c r="F49" s="35"/>
      <c r="G49" s="35"/>
      <c r="H49" s="362" t="s">
        <v>28</v>
      </c>
      <c r="I49" s="441"/>
      <c r="J49" s="442"/>
      <c r="K49" s="204">
        <f>Admin!B175</f>
        <v>45591</v>
      </c>
      <c r="L49" s="203" t="s">
        <v>75</v>
      </c>
      <c r="M49" s="205">
        <f>K49+6</f>
        <v>45597</v>
      </c>
      <c r="N49" s="20"/>
      <c r="O49" s="403" t="s">
        <v>62</v>
      </c>
      <c r="P49" s="443"/>
      <c r="Q49" s="443"/>
      <c r="R49" s="444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445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7" t="s">
        <v>24</v>
      </c>
      <c r="C58" s="363"/>
      <c r="D58" s="363"/>
      <c r="E58" s="361"/>
      <c r="F58" s="32"/>
      <c r="G58" s="32"/>
      <c r="H58" s="43"/>
      <c r="I58" s="43"/>
      <c r="J58" s="43"/>
      <c r="K58" s="46"/>
      <c r="L58" s="46"/>
      <c r="M58" s="43"/>
      <c r="N58" s="32"/>
      <c r="O58" s="364" t="s">
        <v>28</v>
      </c>
      <c r="P58" s="365"/>
      <c r="Q58" s="366"/>
      <c r="R58" s="401"/>
      <c r="S58" s="402"/>
      <c r="T58" s="402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2" t="s">
        <v>10</v>
      </c>
      <c r="C59" s="363"/>
      <c r="D59" s="361"/>
      <c r="E59" s="156">
        <v>6</v>
      </c>
      <c r="F59" s="35"/>
      <c r="G59" s="35"/>
      <c r="H59" s="362" t="s">
        <v>28</v>
      </c>
      <c r="I59" s="363"/>
      <c r="J59" s="361"/>
      <c r="K59" s="204">
        <f>Admin!B150</f>
        <v>45566</v>
      </c>
      <c r="L59" s="203" t="s">
        <v>75</v>
      </c>
      <c r="M59" s="205">
        <f>Admin!B179</f>
        <v>45595</v>
      </c>
      <c r="N59" s="20"/>
      <c r="O59" s="403" t="s">
        <v>63</v>
      </c>
      <c r="P59" s="404"/>
      <c r="Q59" s="404"/>
      <c r="R59" s="405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IF(T$59="Y",Month05!H51,0)</f>
        <v>0</v>
      </c>
      <c r="I61" s="89">
        <f>IF(T$59="Y",Month05!I51,0)</f>
        <v>0</v>
      </c>
      <c r="J61" s="89">
        <f>IF(T$59="Y",Month05!J51,0)</f>
        <v>0</v>
      </c>
      <c r="K61" s="89">
        <f>IF(T$59="Y",Month05!K51,I61*J61)</f>
        <v>0</v>
      </c>
      <c r="L61" s="110">
        <f>IF(T$59="Y",Month05!L51,0)</f>
        <v>0</v>
      </c>
      <c r="M61" s="99" t="str">
        <f>IF(E61=" "," ",IF(T$59="Y",Month05!M51,IF((H61+K61+L61)&gt;0,H61+K61+L61,"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IF(Employee!H$35=E$59,Employee!D$34+SUM(M61)+Month05!V51,SUM(M61)+Month05!V51)</f>
        <v>0</v>
      </c>
      <c r="W61" s="49">
        <f>IF(Employee!H$35=E$59,Employee!D$35+SUM(N61)+Month05!W51,SUM(N61)+Month05!W51)</f>
        <v>0</v>
      </c>
      <c r="X61" s="49">
        <f>IF(O61=" ",Month05!X51,O61+Month05!X51)</f>
        <v>0</v>
      </c>
      <c r="Y61" s="49">
        <f>IF(P61=" ",Month05!Y51,P61+Month05!Y51)</f>
        <v>0</v>
      </c>
      <c r="Z61" s="49">
        <f>IF(Q61=" ",Month05!Z51,Q61+Month05!Z51)</f>
        <v>0</v>
      </c>
      <c r="AA61" s="49">
        <f>IF(R61=" ",Month05!AA51,R61+Month05!AA51)</f>
        <v>0</v>
      </c>
      <c r="AC61" s="49">
        <f>IF(T61=" ",Month05!AC51,T61+Month05!AC51)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IF(T$59="Y",Month05!H52,0)</f>
        <v>0</v>
      </c>
      <c r="I62" s="92">
        <f>IF(T$59="Y",Month05!I52,0)</f>
        <v>0</v>
      </c>
      <c r="J62" s="92">
        <f>IF(T$59="Y",Month05!J52,0)</f>
        <v>0</v>
      </c>
      <c r="K62" s="92">
        <f>IF(T$59="Y",Month05!K52,I62*J62)</f>
        <v>0</v>
      </c>
      <c r="L62" s="111">
        <f>IF(T$59="Y",Month05!L52,0)</f>
        <v>0</v>
      </c>
      <c r="M62" s="100" t="str">
        <f>IF(E62=" "," ",IF(T$59="Y",Month05!M52,IF((H62+K62+L62)&gt;0,H62+K62+L62,"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IF(Employee!H$61=E$59,Employee!D$60+SUM(M62)+Month05!V52,SUM(M62)+Month05!V52)</f>
        <v>0</v>
      </c>
      <c r="W62" s="49">
        <f>IF(Employee!H$61=E$59,Employee!D$61+SUM(N62)+Month05!W52,SUM(N62)+Month05!W52)</f>
        <v>0</v>
      </c>
      <c r="X62" s="49">
        <f>IF(O62=" ",Month05!X52,O62+Month05!X52)</f>
        <v>0</v>
      </c>
      <c r="Y62" s="49">
        <f>IF(P62=" ",Month05!Y52,P62+Month05!Y52)</f>
        <v>0</v>
      </c>
      <c r="Z62" s="49">
        <f>IF(Q62=" ",Month05!Z52,Q62+Month05!Z52)</f>
        <v>0</v>
      </c>
      <c r="AA62" s="49">
        <f>IF(R62=" ",Month05!AA52,R62+Month05!AA52)</f>
        <v>0</v>
      </c>
      <c r="AC62" s="49">
        <f>IF(T62=" ",Month05!AC52,T62+Month05!AC52)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IF(T$59="Y",Month05!H53,0)</f>
        <v>0</v>
      </c>
      <c r="I63" s="92">
        <f>IF(T$59="Y",Month05!I53,0)</f>
        <v>0</v>
      </c>
      <c r="J63" s="92">
        <f>IF(T$59="Y",Month05!J53,0)</f>
        <v>0</v>
      </c>
      <c r="K63" s="92">
        <f>IF(T$59="Y",Month05!K53,I63*J63)</f>
        <v>0</v>
      </c>
      <c r="L63" s="111">
        <f>IF(T$59="Y",Month05!L53,0)</f>
        <v>0</v>
      </c>
      <c r="M63" s="100" t="str">
        <f>IF(E63=" "," ",IF(T$59="Y",Month05!M53,IF((H63+K63+L63)&gt;0,H63+K63+L63,"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IF(Employee!H$87=E$59,Employee!D$86+SUM(M63)+Month05!V53,SUM(M63)+Month05!V53)</f>
        <v>0</v>
      </c>
      <c r="W63" s="49">
        <f>IF(Employee!H$87=E$59,Employee!D$87+SUM(N63)+Month05!W53,SUM(N63)+Month05!W53)</f>
        <v>0</v>
      </c>
      <c r="X63" s="49">
        <f>IF(O63=" ",Month05!X53,O63+Month05!X53)</f>
        <v>0</v>
      </c>
      <c r="Y63" s="49">
        <f>IF(P63=" ",Month05!Y53,P63+Month05!Y53)</f>
        <v>0</v>
      </c>
      <c r="Z63" s="49">
        <f>IF(Q63=" ",Month05!Z53,Q63+Month05!Z53)</f>
        <v>0</v>
      </c>
      <c r="AA63" s="49">
        <f>IF(R63=" ",Month05!AA53,R63+Month05!AA53)</f>
        <v>0</v>
      </c>
      <c r="AC63" s="49">
        <f>IF(T63=" ",Month05!AC53,T63+Month05!AC53)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IF(T$59="Y",Month05!H54,0)</f>
        <v>0</v>
      </c>
      <c r="I64" s="92">
        <f>IF(T$59="Y",Month05!I54,0)</f>
        <v>0</v>
      </c>
      <c r="J64" s="92">
        <f>IF(T$59="Y",Month05!J54,0)</f>
        <v>0</v>
      </c>
      <c r="K64" s="92">
        <f>IF(T$59="Y",Month05!K54,I64*J64)</f>
        <v>0</v>
      </c>
      <c r="L64" s="111">
        <f>IF(T$59="Y",Month05!L54,0)</f>
        <v>0</v>
      </c>
      <c r="M64" s="100" t="str">
        <f>IF(E64=" "," ",IF(T$59="Y",Month05!M54,IF((H64+K64+L64)&gt;0,H64+K64+L64,"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IF(Employee!H$113=E$59,Employee!D$112+SUM(M64)+Month05!V54,SUM(M64)+Month05!V54)</f>
        <v>0</v>
      </c>
      <c r="W64" s="49">
        <f>IF(Employee!H$113=E$59,Employee!D$113+SUM(N64)+Month05!W54,SUM(N64)+Month05!W54)</f>
        <v>0</v>
      </c>
      <c r="X64" s="49">
        <f>IF(O64=" ",Month05!X54,O64+Month05!X54)</f>
        <v>0</v>
      </c>
      <c r="Y64" s="49">
        <f>IF(P64=" ",Month05!Y54,P64+Month05!Y54)</f>
        <v>0</v>
      </c>
      <c r="Z64" s="49">
        <f>IF(Q64=" ",Month05!Z54,Q64+Month05!Z54)</f>
        <v>0</v>
      </c>
      <c r="AA64" s="49">
        <f>IF(R64=" ",Month05!AA54,R64+Month05!AA54)</f>
        <v>0</v>
      </c>
      <c r="AC64" s="49">
        <f>IF(T64=" ",Month05!AC54,T64+Month05!AC54)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IF(T$59="Y",Month05!H55,0)</f>
        <v>0</v>
      </c>
      <c r="I65" s="245">
        <f>IF(T$59="Y",Month05!I55,0)</f>
        <v>0</v>
      </c>
      <c r="J65" s="245">
        <f>IF(T$59="Y",Month05!J55,0)</f>
        <v>0</v>
      </c>
      <c r="K65" s="245">
        <f>IF(T$59="Y",Month05!K55,I65*J65)</f>
        <v>0</v>
      </c>
      <c r="L65" s="246">
        <f>IF(T$59="Y",Month05!L55,0)</f>
        <v>0</v>
      </c>
      <c r="M65" s="100" t="str">
        <f>IF(E65=" "," ",IF(T$59="Y",Month05!M55,IF((H65+K65+L65)&gt;0,H65+K65+L65,"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IF(Employee!H$139=E$59,Employee!D$138+SUM(M65)+Month05!V55,SUM(M65)+Month05!V55)</f>
        <v>0</v>
      </c>
      <c r="W65" s="49">
        <f>IF(Employee!H$139=E$59,Employee!D$139+SUM(N65)+Month05!W55,SUM(N65)+Month05!W55)</f>
        <v>0</v>
      </c>
      <c r="X65" s="49">
        <f>IF(O65=" ",Month05!X55,O65+Month05!X55)</f>
        <v>0</v>
      </c>
      <c r="Y65" s="49">
        <f>IF(P65=" ",Month05!Y55,P65+Month05!Y55)</f>
        <v>0</v>
      </c>
      <c r="Z65" s="49">
        <f>IF(Q65=" ",Month05!Z55,Q65+Month05!Z55)</f>
        <v>0</v>
      </c>
      <c r="AA65" s="49">
        <f>IF(R65=" ",Month05!AA55,R65+Month05!AA55)</f>
        <v>0</v>
      </c>
      <c r="AC65" s="49">
        <f>IF(T65=" ",Month05!AC55,T65+Month05!AC55)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60" t="s">
        <v>7</v>
      </c>
      <c r="G66" s="361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70</v>
      </c>
      <c r="G69" s="180"/>
      <c r="H69" s="180"/>
      <c r="M69" s="417" t="s">
        <v>73</v>
      </c>
      <c r="N69" s="418"/>
      <c r="O69" s="418"/>
      <c r="P69" s="418"/>
      <c r="Q69" s="418"/>
      <c r="R69" s="418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72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AD70+Month05!AD65</f>
        <v>0</v>
      </c>
      <c r="AE75" s="158">
        <f>AE70+Month05!AE65</f>
        <v>0</v>
      </c>
      <c r="AF75" s="158">
        <f>AF70+Month05!AF65</f>
        <v>0</v>
      </c>
      <c r="AG75" s="158">
        <f>AG70+Month05!AG65</f>
        <v>0</v>
      </c>
    </row>
    <row r="76" spans="1:34" ht="14" thickTop="1" x14ac:dyDescent="0.15"/>
    <row r="77" spans="1:34" x14ac:dyDescent="0.15">
      <c r="AD77" s="162"/>
      <c r="AE77" s="158">
        <f>AE72+Month05!AE67</f>
        <v>0</v>
      </c>
      <c r="AF77" s="158">
        <f>AF72+Month05!AF67</f>
        <v>0</v>
      </c>
      <c r="AG77" s="158">
        <f>AG72+Month05!AG67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3"/>
      <c r="B1" s="424" t="s">
        <v>65</v>
      </c>
      <c r="C1" s="425"/>
      <c r="D1" s="425"/>
      <c r="E1" s="425"/>
      <c r="F1" s="426"/>
      <c r="G1" s="390">
        <f>SUM(AD60:AG60)+SUM(AE62:AG62)</f>
        <v>0</v>
      </c>
      <c r="H1" s="391"/>
      <c r="I1" s="387" t="s">
        <v>4</v>
      </c>
      <c r="J1" s="388"/>
      <c r="K1" s="388"/>
      <c r="L1" s="38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8"/>
    </row>
    <row r="2" spans="1:34" s="179" customFormat="1" ht="14.2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8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0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439"/>
      <c r="D8" s="439"/>
      <c r="E8" s="440"/>
      <c r="F8" s="32"/>
      <c r="G8" s="32"/>
      <c r="H8" s="32"/>
      <c r="I8" s="32"/>
      <c r="J8" s="32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441"/>
      <c r="D9" s="442"/>
      <c r="E9" s="156">
        <v>27</v>
      </c>
      <c r="F9" s="35"/>
      <c r="G9" s="35"/>
      <c r="H9" s="362" t="s">
        <v>28</v>
      </c>
      <c r="I9" s="441"/>
      <c r="J9" s="442"/>
      <c r="K9" s="204">
        <f>Admin!B182</f>
        <v>45598</v>
      </c>
      <c r="L9" s="203" t="s">
        <v>75</v>
      </c>
      <c r="M9" s="205">
        <f>Admin!B188</f>
        <v>45604</v>
      </c>
      <c r="N9" s="20"/>
      <c r="O9" s="403" t="s">
        <v>62</v>
      </c>
      <c r="P9" s="443"/>
      <c r="Q9" s="443"/>
      <c r="R9" s="444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IF(T$9="Y",Month06!H51,0)</f>
        <v>0</v>
      </c>
      <c r="I11" s="89">
        <f>IF(T$9="Y",Month06!I51,0)</f>
        <v>0</v>
      </c>
      <c r="J11" s="89">
        <f>IF(T$9="Y",Month06!J51,0)</f>
        <v>0</v>
      </c>
      <c r="K11" s="89">
        <f>IF(T$9="Y",Month06!K51,I11*J11)</f>
        <v>0</v>
      </c>
      <c r="L11" s="110">
        <f>IF(T$9="Y",Month06!L51,0)</f>
        <v>0</v>
      </c>
      <c r="M11" s="99" t="str">
        <f>IF(E11=" "," ",IF(T$9="Y",Month06!M51,IF((H11+K11+L11)&gt;0,H11+K11+L11,"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IF(Employee!H$34=E$9,Employee!D$34+SUM(M11)+Month06!V51,SUM(M11)+Month06!V51)</f>
        <v>0</v>
      </c>
      <c r="W11" s="49">
        <f>IF(Employee!H$34=E$9,Employee!D$35+SUM(N11)+Month06!W51,SUM(N11)+Month06!W51)</f>
        <v>0</v>
      </c>
      <c r="X11" s="49">
        <f>IF(O11=" ",Month06!X51,O11+Month06!X51)</f>
        <v>0</v>
      </c>
      <c r="Y11" s="49">
        <f>IF(P11=" ",Month06!Y51,P11+Month06!Y51)</f>
        <v>0</v>
      </c>
      <c r="Z11" s="49">
        <f>IF(Q11=" ",Month06!Z51,Q11+Month06!Z51)</f>
        <v>0</v>
      </c>
      <c r="AA11" s="49">
        <f>IF(R11=" ",Month06!AA51,R11+Month06!AA51)</f>
        <v>0</v>
      </c>
      <c r="AC11" s="49">
        <f>IF(T11=" ",Month06!AC51,T11+Month06!AC51)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IF(T$9="Y",Month06!H52,0)</f>
        <v>0</v>
      </c>
      <c r="I12" s="92">
        <f>IF(T$9="Y",Month06!I52,0)</f>
        <v>0</v>
      </c>
      <c r="J12" s="92">
        <f>IF(T$9="Y",Month06!J52,0)</f>
        <v>0</v>
      </c>
      <c r="K12" s="92">
        <f>IF(T$9="Y",Month06!K52,I12*J12)</f>
        <v>0</v>
      </c>
      <c r="L12" s="111">
        <f>IF(T$9="Y",Month06!L52,0)</f>
        <v>0</v>
      </c>
      <c r="M12" s="100" t="str">
        <f>IF(E12=" "," ",IF(T$9="Y",Month06!M52,IF((H12+K12+L12)&gt;0,H12+K12+L12,"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IF(Employee!H$60=E$9,Employee!D$60+SUM(M12)+Month06!V52,SUM(M12)+Month06!V52)</f>
        <v>0</v>
      </c>
      <c r="W12" s="49">
        <f>IF(Employee!H$60=E$9,Employee!D$61+SUM(N12)+Month06!W52,SUM(N12)+Month06!W52)</f>
        <v>0</v>
      </c>
      <c r="X12" s="49">
        <f>IF(O12=" ",Month06!X52,O12+Month06!X52)</f>
        <v>0</v>
      </c>
      <c r="Y12" s="49">
        <f>IF(P12=" ",Month06!Y52,P12+Month06!Y52)</f>
        <v>0</v>
      </c>
      <c r="Z12" s="49">
        <f>IF(Q12=" ",Month06!Z52,Q12+Month06!Z52)</f>
        <v>0</v>
      </c>
      <c r="AA12" s="49">
        <f>IF(R12=" ",Month06!AA52,R12+Month06!AA52)</f>
        <v>0</v>
      </c>
      <c r="AC12" s="49">
        <f>IF(T12=" ",Month06!AC52,T12+Month06!AC52)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IF(T$9="Y",Month06!H53,0)</f>
        <v>0</v>
      </c>
      <c r="I13" s="92">
        <f>IF(T$9="Y",Month06!I53,0)</f>
        <v>0</v>
      </c>
      <c r="J13" s="92">
        <f>IF(T$9="Y",Month06!J53,0)</f>
        <v>0</v>
      </c>
      <c r="K13" s="92">
        <f>IF(T$9="Y",Month06!K53,I13*J13)</f>
        <v>0</v>
      </c>
      <c r="L13" s="111">
        <f>IF(T$9="Y",Month06!L53,0)</f>
        <v>0</v>
      </c>
      <c r="M13" s="100" t="str">
        <f>IF(E13=" "," ",IF(T$9="Y",Month06!M53,IF((H13+K13+L13)&gt;0,H13+K13+L13,"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IF(Employee!H$86=E$9,Employee!D$86+SUM(M13)+Month06!V53,SUM(M13)+Month06!V53)</f>
        <v>0</v>
      </c>
      <c r="W13" s="49">
        <f>IF(Employee!H$86=E$9,Employee!D$87+SUM(N13)+Month06!W53,SUM(N13)+Month06!W53)</f>
        <v>0</v>
      </c>
      <c r="X13" s="49">
        <f>IF(O13=" ",Month06!X53,O13+Month06!X53)</f>
        <v>0</v>
      </c>
      <c r="Y13" s="49">
        <f>IF(P13=" ",Month06!Y53,P13+Month06!Y53)</f>
        <v>0</v>
      </c>
      <c r="Z13" s="49">
        <f>IF(Q13=" ",Month06!Z53,Q13+Month06!Z53)</f>
        <v>0</v>
      </c>
      <c r="AA13" s="49">
        <f>IF(R13=" ",Month06!AA53,R13+Month06!AA53)</f>
        <v>0</v>
      </c>
      <c r="AC13" s="49">
        <f>IF(T13=" ",Month06!AC53,T13+Month06!AC53)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IF(T$9="Y",Month06!H54,0)</f>
        <v>0</v>
      </c>
      <c r="I14" s="92">
        <f>IF(T$9="Y",Month06!I54,0)</f>
        <v>0</v>
      </c>
      <c r="J14" s="92">
        <f>IF(T$9="Y",Month06!J54,0)</f>
        <v>0</v>
      </c>
      <c r="K14" s="92">
        <f>IF(T$9="Y",Month06!K54,I14*J14)</f>
        <v>0</v>
      </c>
      <c r="L14" s="111">
        <f>IF(T$9="Y",Month06!L54,0)</f>
        <v>0</v>
      </c>
      <c r="M14" s="100" t="str">
        <f>IF(E14=" "," ",IF(T$9="Y",Month06!M54,IF((H14+K14+L14)&gt;0,H14+K14+L14,"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IF(Employee!H$112=E$9,Employee!D$112+SUM(M14)+Month06!V54,SUM(M14)+Month06!V54)</f>
        <v>0</v>
      </c>
      <c r="W14" s="49">
        <f>IF(Employee!H$112=E$9,Employee!D$113+SUM(N14)+Month06!W54,SUM(N14)+Month06!W54)</f>
        <v>0</v>
      </c>
      <c r="X14" s="49">
        <f>IF(O14=" ",Month06!X54,O14+Month06!X54)</f>
        <v>0</v>
      </c>
      <c r="Y14" s="49">
        <f>IF(P14=" ",Month06!Y54,P14+Month06!Y54)</f>
        <v>0</v>
      </c>
      <c r="Z14" s="49">
        <f>IF(Q14=" ",Month06!Z54,Q14+Month06!Z54)</f>
        <v>0</v>
      </c>
      <c r="AA14" s="49">
        <f>IF(R14=" ",Month06!AA54,R14+Month06!AA54)</f>
        <v>0</v>
      </c>
      <c r="AC14" s="49">
        <f>IF(T14=" ",Month06!AC54,T14+Month06!AC54)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IF(T$9="Y",Month06!H55,0)</f>
        <v>0</v>
      </c>
      <c r="I15" s="245">
        <f>IF(T$9="Y",Month06!I55,0)</f>
        <v>0</v>
      </c>
      <c r="J15" s="245">
        <f>IF(T$9="Y",Month06!J55,0)</f>
        <v>0</v>
      </c>
      <c r="K15" s="245">
        <f>IF(T$9="Y",Month06!K55,I15*J15)</f>
        <v>0</v>
      </c>
      <c r="L15" s="246">
        <f>IF(T$9="Y",Month06!L55,0)</f>
        <v>0</v>
      </c>
      <c r="M15" s="247" t="str">
        <f>IF(E15=" "," ",IF(T$9="Y",Month06!M55,IF((H15+K15+L15)&gt;0,H15+K15+L15,"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IF(Employee!H$138=E$9,Employee!D$138+SUM(M15)+Month06!V55,SUM(M15)+Month06!V55)</f>
        <v>0</v>
      </c>
      <c r="W15" s="49">
        <f>IF(Employee!H$138=E$9,Employee!D$139+SUM(N15)+Month06!W55,SUM(N15)+Month06!W55)</f>
        <v>0</v>
      </c>
      <c r="X15" s="49">
        <f>IF(O15=" ",Month06!X55,O15+Month06!X55)</f>
        <v>0</v>
      </c>
      <c r="Y15" s="49">
        <f>IF(P15=" ",Month06!Y55,P15+Month06!Y55)</f>
        <v>0</v>
      </c>
      <c r="Z15" s="49">
        <f>IF(Q15=" ",Month06!Z55,Q15+Month06!Z55)</f>
        <v>0</v>
      </c>
      <c r="AA15" s="49">
        <f>IF(R15=" ",Month06!AA55,R15+Month06!AA55)</f>
        <v>0</v>
      </c>
      <c r="AC15" s="49">
        <f>IF(T15=" ",Month06!AC55,T15+Month06!AC55)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445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86"/>
      <c r="H18" s="87"/>
      <c r="I18" s="87"/>
      <c r="J18" s="87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28</v>
      </c>
      <c r="F19" s="35"/>
      <c r="G19" s="35"/>
      <c r="H19" s="362" t="s">
        <v>28</v>
      </c>
      <c r="I19" s="363"/>
      <c r="J19" s="361"/>
      <c r="K19" s="204">
        <f>M9+1</f>
        <v>45605</v>
      </c>
      <c r="L19" s="203" t="s">
        <v>75</v>
      </c>
      <c r="M19" s="205">
        <f>K19+6</f>
        <v>45611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3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29</v>
      </c>
      <c r="F29" s="35"/>
      <c r="G29" s="35"/>
      <c r="H29" s="362" t="s">
        <v>28</v>
      </c>
      <c r="I29" s="363"/>
      <c r="J29" s="361"/>
      <c r="K29" s="204">
        <f>M19+1</f>
        <v>45612</v>
      </c>
      <c r="L29" s="203" t="s">
        <v>75</v>
      </c>
      <c r="M29" s="205">
        <f>K29+6</f>
        <v>45618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363"/>
      <c r="D38" s="363"/>
      <c r="E38" s="361"/>
      <c r="F38" s="32"/>
      <c r="G38" s="32"/>
      <c r="H38" s="43"/>
      <c r="I38" s="43"/>
      <c r="J38" s="43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363"/>
      <c r="D39" s="361"/>
      <c r="E39" s="156">
        <v>30</v>
      </c>
      <c r="F39" s="35"/>
      <c r="G39" s="35"/>
      <c r="H39" s="362" t="s">
        <v>28</v>
      </c>
      <c r="I39" s="363"/>
      <c r="J39" s="361"/>
      <c r="K39" s="204">
        <f>M29+1</f>
        <v>45619</v>
      </c>
      <c r="L39" s="203" t="s">
        <v>75</v>
      </c>
      <c r="M39" s="205">
        <f>K39+6</f>
        <v>45625</v>
      </c>
      <c r="N39" s="20"/>
      <c r="O39" s="403" t="s">
        <v>62</v>
      </c>
      <c r="P39" s="404"/>
      <c r="Q39" s="404"/>
      <c r="R39" s="40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361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63"/>
      <c r="D48" s="363"/>
      <c r="E48" s="361"/>
      <c r="F48" s="32"/>
      <c r="G48" s="32"/>
      <c r="H48" s="43"/>
      <c r="I48" s="43"/>
      <c r="J48" s="43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10</v>
      </c>
      <c r="C49" s="363"/>
      <c r="D49" s="361"/>
      <c r="E49" s="156">
        <v>7</v>
      </c>
      <c r="F49" s="35"/>
      <c r="G49" s="35"/>
      <c r="H49" s="362" t="s">
        <v>28</v>
      </c>
      <c r="I49" s="363"/>
      <c r="J49" s="361"/>
      <c r="K49" s="204">
        <f>Admin!B180</f>
        <v>45596</v>
      </c>
      <c r="L49" s="203" t="s">
        <v>75</v>
      </c>
      <c r="M49" s="205">
        <f>Admin!B210</f>
        <v>45626</v>
      </c>
      <c r="N49" s="20"/>
      <c r="O49" s="403" t="s">
        <v>63</v>
      </c>
      <c r="P49" s="404"/>
      <c r="Q49" s="404"/>
      <c r="R49" s="405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IF(T$49="Y",Month06!H61,0)</f>
        <v>0</v>
      </c>
      <c r="I51" s="89">
        <f>IF(T$49="Y",Month06!I61,0)</f>
        <v>0</v>
      </c>
      <c r="J51" s="89">
        <f>IF(T$49="Y",Month06!J61,0)</f>
        <v>0</v>
      </c>
      <c r="K51" s="89">
        <f>IF(T$49="Y",Month06!K61,I51*J51)</f>
        <v>0</v>
      </c>
      <c r="L51" s="110">
        <f>IF(T$49="Y",Month06!L61,0)</f>
        <v>0</v>
      </c>
      <c r="M51" s="99" t="str">
        <f>IF(E51=" "," ",IF(T$49="Y",Month06!M61,IF((H51+K51+L51)&gt;0,H51+K51+L51,"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IF(Employee!H$35=E$49,Employee!D$34+SUM(M51)+Month06!V61,SUM(M51)+Month06!V61)</f>
        <v>0</v>
      </c>
      <c r="W51" s="49">
        <f>IF(Employee!H$35=E$49,Employee!D$35+SUM(N51)+Month06!W61,SUM(N51)+Month06!W61)</f>
        <v>0</v>
      </c>
      <c r="X51" s="49">
        <f>IF(O51=" ",Month06!X61,O51+Month06!X61)</f>
        <v>0</v>
      </c>
      <c r="Y51" s="49">
        <f>IF(P51=" ",Month06!Y61,P51+Month06!Y61)</f>
        <v>0</v>
      </c>
      <c r="Z51" s="49">
        <f>IF(Q51=" ",Month06!Z61,Q51+Month06!Z61)</f>
        <v>0</v>
      </c>
      <c r="AA51" s="49">
        <f>IF(R51=" ",Month06!AA61,R51+Month06!AA61)</f>
        <v>0</v>
      </c>
      <c r="AC51" s="49">
        <f>IF(T51=" ",Month06!AC61,T51+Month06!AC61)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IF(T$49="Y",Month06!H62,0)</f>
        <v>0</v>
      </c>
      <c r="I52" s="92">
        <f>IF(T$49="Y",Month06!I62,0)</f>
        <v>0</v>
      </c>
      <c r="J52" s="92">
        <f>IF(T$49="Y",Month06!J62,0)</f>
        <v>0</v>
      </c>
      <c r="K52" s="92">
        <f>IF(T$49="Y",Month06!K62,I52*J52)</f>
        <v>0</v>
      </c>
      <c r="L52" s="111">
        <f>IF(T$49="Y",Month06!L62,0)</f>
        <v>0</v>
      </c>
      <c r="M52" s="100" t="str">
        <f>IF(E52=" "," ",IF(T$49="Y",Month06!M62,IF((H52+K52+L52)&gt;0,H52+K52+L52,"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IF(Employee!H$61=E$49,Employee!D$60+SUM(M52)+Month06!V62,SUM(M52)+Month06!V62)</f>
        <v>0</v>
      </c>
      <c r="W52" s="49">
        <f>IF(Employee!H$61=E$49,Employee!D$61+SUM(N52)+Month06!W62,SUM(N52)+Month06!W62)</f>
        <v>0</v>
      </c>
      <c r="X52" s="49">
        <f>IF(O52=" ",Month06!X62,O52+Month06!X62)</f>
        <v>0</v>
      </c>
      <c r="Y52" s="49">
        <f>IF(P52=" ",Month06!Y62,P52+Month06!Y62)</f>
        <v>0</v>
      </c>
      <c r="Z52" s="49">
        <f>IF(Q52=" ",Month06!Z62,Q52+Month06!Z62)</f>
        <v>0</v>
      </c>
      <c r="AA52" s="49">
        <f>IF(R52=" ",Month06!AA62,R52+Month06!AA62)</f>
        <v>0</v>
      </c>
      <c r="AC52" s="49">
        <f>IF(T52=" ",Month06!AC62,T52+Month06!AC62)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IF(T$49="Y",Month06!H63,0)</f>
        <v>0</v>
      </c>
      <c r="I53" s="92">
        <f>IF(T$49="Y",Month06!I63,0)</f>
        <v>0</v>
      </c>
      <c r="J53" s="92">
        <f>IF(T$49="Y",Month06!J63,0)</f>
        <v>0</v>
      </c>
      <c r="K53" s="92">
        <f>IF(T$49="Y",Month06!K63,I53*J53)</f>
        <v>0</v>
      </c>
      <c r="L53" s="111">
        <f>IF(T$49="Y",Month06!L63,0)</f>
        <v>0</v>
      </c>
      <c r="M53" s="100" t="str">
        <f>IF(E53=" "," ",IF(T$49="Y",Month06!M63,IF((H53+K53+L53)&gt;0,H53+K53+L53,"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IF(Employee!H$87=E$49,Employee!D$86+SUM(M53)+Month06!V63,SUM(M53)+Month06!V63)</f>
        <v>0</v>
      </c>
      <c r="W53" s="49">
        <f>IF(Employee!H$87=E$49,Employee!D$87+SUM(N53)+Month06!W63,SUM(N53)+Month06!W63)</f>
        <v>0</v>
      </c>
      <c r="X53" s="49">
        <f>IF(O53=" ",Month06!X63,O53+Month06!X63)</f>
        <v>0</v>
      </c>
      <c r="Y53" s="49">
        <f>IF(P53=" ",Month06!Y63,P53+Month06!Y63)</f>
        <v>0</v>
      </c>
      <c r="Z53" s="49">
        <f>IF(Q53=" ",Month06!Z63,Q53+Month06!Z63)</f>
        <v>0</v>
      </c>
      <c r="AA53" s="49">
        <f>IF(R53=" ",Month06!AA63,R53+Month06!AA63)</f>
        <v>0</v>
      </c>
      <c r="AC53" s="49">
        <f>IF(T53=" ",Month06!AC63,T53+Month06!AC63)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IF(T$49="Y",Month06!H64,0)</f>
        <v>0</v>
      </c>
      <c r="I54" s="92">
        <f>IF(T$49="Y",Month06!I64,0)</f>
        <v>0</v>
      </c>
      <c r="J54" s="92">
        <f>IF(T$49="Y",Month06!J64,0)</f>
        <v>0</v>
      </c>
      <c r="K54" s="92">
        <f>IF(T$49="Y",Month06!K64,I54*J54)</f>
        <v>0</v>
      </c>
      <c r="L54" s="111">
        <f>IF(T$49="Y",Month06!L64,0)</f>
        <v>0</v>
      </c>
      <c r="M54" s="100" t="str">
        <f>IF(E54=" "," ",IF(T$49="Y",Month06!M64,IF((H54+K54+L54)&gt;0,H54+K54+L54,"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IF(Employee!H$113=E$49,Employee!D$112+SUM(M54)+Month06!V64,SUM(M54)+Month06!V64)</f>
        <v>0</v>
      </c>
      <c r="W54" s="49">
        <f>IF(Employee!H$113=E$49,Employee!D$113+SUM(N54)+Month06!W64,SUM(N54)+Month06!W64)</f>
        <v>0</v>
      </c>
      <c r="X54" s="49">
        <f>IF(O54=" ",Month06!X64,O54+Month06!X64)</f>
        <v>0</v>
      </c>
      <c r="Y54" s="49">
        <f>IF(P54=" ",Month06!Y64,P54+Month06!Y64)</f>
        <v>0</v>
      </c>
      <c r="Z54" s="49">
        <f>IF(Q54=" ",Month06!Z64,Q54+Month06!Z64)</f>
        <v>0</v>
      </c>
      <c r="AA54" s="49">
        <f>IF(R54=" ",Month06!AA64,R54+Month06!AA64)</f>
        <v>0</v>
      </c>
      <c r="AC54" s="49">
        <f>IF(T54=" ",Month06!AC64,T54+Month06!AC64)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IF(T$49="Y",Month06!H65,0)</f>
        <v>0</v>
      </c>
      <c r="I55" s="245">
        <f>IF(T$49="Y",Month06!I65,0)</f>
        <v>0</v>
      </c>
      <c r="J55" s="245">
        <f>IF(T$49="Y",Month06!J65,0)</f>
        <v>0</v>
      </c>
      <c r="K55" s="245">
        <f>IF(T$49="Y",Month06!K65,I55*J55)</f>
        <v>0</v>
      </c>
      <c r="L55" s="246">
        <f>IF(T$49="Y",Month06!L65,0)</f>
        <v>0</v>
      </c>
      <c r="M55" s="100" t="str">
        <f>IF(E55=" "," ",IF(T$49="Y",Month06!M65,IF((H55+K55+L55)&gt;0,H55+K55+L55,"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IF(Employee!H$139=E$49,Employee!D$138+SUM(M55)+Month06!V65,SUM(M55)+Month06!V65)</f>
        <v>0</v>
      </c>
      <c r="W55" s="49">
        <f>IF(Employee!H$139=E$49,Employee!D$139+SUM(N55)+Month06!W65,SUM(N55)+Month06!W65)</f>
        <v>0</v>
      </c>
      <c r="X55" s="49">
        <f>IF(O55=" ",Month06!X65,O55+Month06!X65)</f>
        <v>0</v>
      </c>
      <c r="Y55" s="49">
        <f>IF(P55=" ",Month06!Y65,P55+Month06!Y65)</f>
        <v>0</v>
      </c>
      <c r="Z55" s="49">
        <f>IF(Q55=" ",Month06!Z65,Q55+Month06!Z65)</f>
        <v>0</v>
      </c>
      <c r="AA55" s="49">
        <f>IF(R55=" ",Month06!AA65,R55+Month06!AA65)</f>
        <v>0</v>
      </c>
      <c r="AC55" s="49">
        <f>IF(T55=" ",Month06!AC65,T55+Month06!AC65)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361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70</v>
      </c>
      <c r="G59" s="180"/>
      <c r="H59" s="180"/>
      <c r="M59" s="417" t="s">
        <v>73</v>
      </c>
      <c r="N59" s="418"/>
      <c r="O59" s="418"/>
      <c r="P59" s="418"/>
      <c r="Q59" s="418"/>
      <c r="R59" s="41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AD60+Month06!AD75</f>
        <v>0</v>
      </c>
      <c r="AE65" s="158">
        <f>AE60+Month06!AE75</f>
        <v>0</v>
      </c>
      <c r="AF65" s="158">
        <f>AF60+Month06!AF75</f>
        <v>0</v>
      </c>
      <c r="AG65" s="158">
        <f>AG60+Month06!AG75</f>
        <v>0</v>
      </c>
    </row>
    <row r="66" spans="6:33" ht="14" thickTop="1" x14ac:dyDescent="0.15"/>
    <row r="67" spans="6:33" x14ac:dyDescent="0.15">
      <c r="AD67" s="162"/>
      <c r="AE67" s="158">
        <f>AE62+Month06!AE77</f>
        <v>0</v>
      </c>
      <c r="AF67" s="158">
        <f>AF62+Month06!AF77</f>
        <v>0</v>
      </c>
      <c r="AG67" s="158">
        <f>AG62+Month06!AG77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3"/>
      <c r="B1" s="424" t="s">
        <v>65</v>
      </c>
      <c r="C1" s="425"/>
      <c r="D1" s="425"/>
      <c r="E1" s="425"/>
      <c r="F1" s="426"/>
      <c r="G1" s="390">
        <f>SUM(AD60:AG60)+SUM(AE62:AG62)</f>
        <v>0</v>
      </c>
      <c r="H1" s="391"/>
      <c r="I1" s="387" t="s">
        <v>4</v>
      </c>
      <c r="J1" s="388"/>
      <c r="K1" s="388"/>
      <c r="L1" s="38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8"/>
    </row>
    <row r="2" spans="1:34" s="179" customFormat="1" ht="14.2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8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31</v>
      </c>
      <c r="F9" s="35"/>
      <c r="G9" s="35"/>
      <c r="H9" s="362" t="s">
        <v>28</v>
      </c>
      <c r="I9" s="363"/>
      <c r="J9" s="361"/>
      <c r="K9" s="204">
        <f>Admin!B210</f>
        <v>45626</v>
      </c>
      <c r="L9" s="203" t="s">
        <v>75</v>
      </c>
      <c r="M9" s="205">
        <f>K9+6</f>
        <v>45632</v>
      </c>
      <c r="N9" s="20"/>
      <c r="O9" s="403" t="s">
        <v>62</v>
      </c>
      <c r="P9" s="404"/>
      <c r="Q9" s="404"/>
      <c r="R9" s="40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IF(T$9="Y",Month07!H41,0)</f>
        <v>0</v>
      </c>
      <c r="I11" s="89">
        <f>IF(T$9="Y",Month07!I41,0)</f>
        <v>0</v>
      </c>
      <c r="J11" s="89">
        <f>IF(T$9="Y",Month07!J41,0)</f>
        <v>0</v>
      </c>
      <c r="K11" s="89">
        <f>IF(T$9="Y",Month07!K41,I11*J11)</f>
        <v>0</v>
      </c>
      <c r="L11" s="110">
        <f>IF(T$9="Y",Month07!L41,0)</f>
        <v>0</v>
      </c>
      <c r="M11" s="99" t="str">
        <f>IF(E11=" "," ",IF(T$9="Y",Month07!M41,IF((H11+K11+L11)&gt;0,H11+K11+L11,"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IF(Employee!H$34=E$9,Employee!D$34+SUM(M11)+Month07!V41,SUM(M11)+Month07!V41)</f>
        <v>0</v>
      </c>
      <c r="W11" s="49">
        <f>IF(Employee!H$34=E$9,Employee!D$35+SUM(N11)+Month07!W41,SUM(N11)+Month07!W41)</f>
        <v>0</v>
      </c>
      <c r="X11" s="49">
        <f>IF(O11=" ",Month07!X41,O11+Month07!X41)</f>
        <v>0</v>
      </c>
      <c r="Y11" s="49">
        <f>IF(P11=" ",Month07!Y41,P11+Month07!Y41)</f>
        <v>0</v>
      </c>
      <c r="Z11" s="49">
        <f>IF(Q11=" ",Month07!Z41,Q11+Month07!Z41)</f>
        <v>0</v>
      </c>
      <c r="AA11" s="49">
        <f>IF(R11=" ",Month07!AA41,R11+Month07!AA41)</f>
        <v>0</v>
      </c>
      <c r="AC11" s="49">
        <f>IF(T11=" ",Month07!AC41,T11+Month07!AC41)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IF(T$9="Y",Month07!H42,0)</f>
        <v>0</v>
      </c>
      <c r="I12" s="92">
        <f>IF(T$9="Y",Month07!I42,0)</f>
        <v>0</v>
      </c>
      <c r="J12" s="92">
        <f>IF(T$9="Y",Month07!J42,0)</f>
        <v>0</v>
      </c>
      <c r="K12" s="92">
        <f>IF(T$9="Y",Month07!K42,I12*J12)</f>
        <v>0</v>
      </c>
      <c r="L12" s="111">
        <f>IF(T$9="Y",Month07!L42,0)</f>
        <v>0</v>
      </c>
      <c r="M12" s="100" t="str">
        <f>IF(E12=" "," ",IF(T$9="Y",Month07!M42,IF((H12+K12+L12)&gt;0,H12+K12+L12,"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IF(Employee!H$60=E$9,Employee!D$60+SUM(M12)+Month07!V42,SUM(M12)+Month07!V42)</f>
        <v>0</v>
      </c>
      <c r="W12" s="49">
        <f>IF(Employee!H$60=E$9,Employee!D$61+SUM(N12)+Month07!W42,SUM(N12)+Month07!W42)</f>
        <v>0</v>
      </c>
      <c r="X12" s="49">
        <f>IF(O12=" ",Month07!X42,O12+Month07!X42)</f>
        <v>0</v>
      </c>
      <c r="Y12" s="49">
        <f>IF(P12=" ",Month07!Y42,P12+Month07!Y42)</f>
        <v>0</v>
      </c>
      <c r="Z12" s="49">
        <f>IF(Q12=" ",Month07!Z42,Q12+Month07!Z42)</f>
        <v>0</v>
      </c>
      <c r="AA12" s="49">
        <f>IF(R12=" ",Month07!AA42,R12+Month07!AA42)</f>
        <v>0</v>
      </c>
      <c r="AC12" s="49">
        <f>IF(T12=" ",Month07!AC42,T12+Month07!AC42)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IF(T$9="Y",Month07!H43,0)</f>
        <v>0</v>
      </c>
      <c r="I13" s="92">
        <f>IF(T$9="Y",Month07!I43,0)</f>
        <v>0</v>
      </c>
      <c r="J13" s="92">
        <f>IF(T$9="Y",Month07!J43,0)</f>
        <v>0</v>
      </c>
      <c r="K13" s="92">
        <f>IF(T$9="Y",Month07!K43,I13*J13)</f>
        <v>0</v>
      </c>
      <c r="L13" s="111">
        <f>IF(T$9="Y",Month07!L43,0)</f>
        <v>0</v>
      </c>
      <c r="M13" s="100" t="str">
        <f>IF(E13=" "," ",IF(T$9="Y",Month07!M43,IF((H13+K13+L13)&gt;0,H13+K13+L13,"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IF(Employee!H$86=E$9,Employee!D$86+SUM(M13)+Month07!V43,SUM(M13)+Month07!V43)</f>
        <v>0</v>
      </c>
      <c r="W13" s="49">
        <f>IF(Employee!H$86=E$9,Employee!D$87+SUM(N13)+Month07!W43,SUM(N13)+Month07!W43)</f>
        <v>0</v>
      </c>
      <c r="X13" s="49">
        <f>IF(O13=" ",Month07!X43,O13+Month07!X43)</f>
        <v>0</v>
      </c>
      <c r="Y13" s="49">
        <f>IF(P13=" ",Month07!Y43,P13+Month07!Y43)</f>
        <v>0</v>
      </c>
      <c r="Z13" s="49">
        <f>IF(Q13=" ",Month07!Z43,Q13+Month07!Z43)</f>
        <v>0</v>
      </c>
      <c r="AA13" s="49">
        <f>IF(R13=" ",Month07!AA43,R13+Month07!AA43)</f>
        <v>0</v>
      </c>
      <c r="AC13" s="49">
        <f>IF(T13=" ",Month07!AC43,T13+Month07!AC43)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IF(T$9="Y",Month07!H44,0)</f>
        <v>0</v>
      </c>
      <c r="I14" s="92">
        <f>IF(T$9="Y",Month07!I44,0)</f>
        <v>0</v>
      </c>
      <c r="J14" s="92">
        <f>IF(T$9="Y",Month07!J44,0)</f>
        <v>0</v>
      </c>
      <c r="K14" s="92">
        <f>IF(T$9="Y",Month07!K44,I14*J14)</f>
        <v>0</v>
      </c>
      <c r="L14" s="111">
        <f>IF(T$9="Y",Month07!L44,0)</f>
        <v>0</v>
      </c>
      <c r="M14" s="100" t="str">
        <f>IF(E14=" "," ",IF(T$9="Y",Month07!M44,IF((H14+K14+L14)&gt;0,H14+K14+L14,"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IF(Employee!H$112=E$9,Employee!D$112+SUM(M14)+Month07!V44,SUM(M14)+Month07!V44)</f>
        <v>0</v>
      </c>
      <c r="W14" s="49">
        <f>IF(Employee!H$112=E$9,Employee!D$113+SUM(N14)+Month07!W44,SUM(N14)+Month07!W44)</f>
        <v>0</v>
      </c>
      <c r="X14" s="49">
        <f>IF(O14=" ",Month07!X44,O14+Month07!X44)</f>
        <v>0</v>
      </c>
      <c r="Y14" s="49">
        <f>IF(P14=" ",Month07!Y44,P14+Month07!Y44)</f>
        <v>0</v>
      </c>
      <c r="Z14" s="49">
        <f>IF(Q14=" ",Month07!Z44,Q14+Month07!Z44)</f>
        <v>0</v>
      </c>
      <c r="AA14" s="49">
        <f>IF(R14=" ",Month07!AA44,R14+Month07!AA44)</f>
        <v>0</v>
      </c>
      <c r="AC14" s="49">
        <f>IF(T14=" ",Month07!AC44,T14+Month07!AC44)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IF(T$9="Y",Month07!H45,0)</f>
        <v>0</v>
      </c>
      <c r="I15" s="245">
        <f>IF(T$9="Y",Month07!I45,0)</f>
        <v>0</v>
      </c>
      <c r="J15" s="245">
        <f>IF(T$9="Y",Month07!J45,0)</f>
        <v>0</v>
      </c>
      <c r="K15" s="245">
        <f>IF(T$9="Y",Month07!K45,I15*J15)</f>
        <v>0</v>
      </c>
      <c r="L15" s="246">
        <f>IF(T$9="Y",Month07!L45,0)</f>
        <v>0</v>
      </c>
      <c r="M15" s="247" t="str">
        <f>IF(E15=" "," ",IF(T$9="Y",Month07!M45,IF((H15+K15+L15)&gt;0,H15+K15+L15,"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IF(Employee!H$138=E$9,Employee!D$138+SUM(M15)+Month07!V45,SUM(M15)+Month07!V45)</f>
        <v>0</v>
      </c>
      <c r="W15" s="49">
        <f>IF(Employee!H$138=E$9,Employee!D$139+SUM(N15)+Month07!W45,SUM(N15)+Month07!W45)</f>
        <v>0</v>
      </c>
      <c r="X15" s="49">
        <f>IF(O15=" ",Month07!X45,O15+Month07!X45)</f>
        <v>0</v>
      </c>
      <c r="Y15" s="49">
        <f>IF(P15=" ",Month07!Y45,P15+Month07!Y45)</f>
        <v>0</v>
      </c>
      <c r="Z15" s="49">
        <f>IF(Q15=" ",Month07!Z45,Q15+Month07!Z45)</f>
        <v>0</v>
      </c>
      <c r="AA15" s="49">
        <f>IF(R15=" ",Month07!AA45,R15+Month07!AA45)</f>
        <v>0</v>
      </c>
      <c r="AC15" s="49">
        <f>IF(T15=" ",Month07!AC45,T15+Month07!AC45)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36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32</v>
      </c>
      <c r="F19" s="35"/>
      <c r="G19" s="35"/>
      <c r="H19" s="362" t="s">
        <v>28</v>
      </c>
      <c r="I19" s="363"/>
      <c r="J19" s="361"/>
      <c r="K19" s="204">
        <f>M9+1</f>
        <v>45633</v>
      </c>
      <c r="L19" s="203" t="s">
        <v>75</v>
      </c>
      <c r="M19" s="205">
        <f>K19+6</f>
        <v>45639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33</v>
      </c>
      <c r="F29" s="35"/>
      <c r="G29" s="35"/>
      <c r="H29" s="362" t="s">
        <v>28</v>
      </c>
      <c r="I29" s="363"/>
      <c r="J29" s="361"/>
      <c r="K29" s="204">
        <f>M19+1</f>
        <v>45640</v>
      </c>
      <c r="L29" s="203" t="s">
        <v>75</v>
      </c>
      <c r="M29" s="205">
        <f>K29+6</f>
        <v>45646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9"/>
      <c r="D38" s="439"/>
      <c r="E38" s="440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441"/>
      <c r="D39" s="442"/>
      <c r="E39" s="156">
        <v>34</v>
      </c>
      <c r="F39" s="35"/>
      <c r="G39" s="35"/>
      <c r="H39" s="362" t="s">
        <v>28</v>
      </c>
      <c r="I39" s="441"/>
      <c r="J39" s="442"/>
      <c r="K39" s="204">
        <f>M29+1</f>
        <v>45647</v>
      </c>
      <c r="L39" s="203" t="s">
        <v>75</v>
      </c>
      <c r="M39" s="205">
        <f>K39+6</f>
        <v>45653</v>
      </c>
      <c r="N39" s="20"/>
      <c r="O39" s="403" t="s">
        <v>62</v>
      </c>
      <c r="P39" s="443"/>
      <c r="Q39" s="443"/>
      <c r="R39" s="44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44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63"/>
      <c r="D48" s="363"/>
      <c r="E48" s="361"/>
      <c r="F48" s="32"/>
      <c r="G48" s="32"/>
      <c r="H48" s="43"/>
      <c r="I48" s="43"/>
      <c r="J48" s="43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10</v>
      </c>
      <c r="C49" s="363"/>
      <c r="D49" s="361"/>
      <c r="E49" s="156">
        <v>8</v>
      </c>
      <c r="F49" s="35"/>
      <c r="G49" s="35"/>
      <c r="H49" s="362" t="s">
        <v>28</v>
      </c>
      <c r="I49" s="363"/>
      <c r="J49" s="361"/>
      <c r="K49" s="204">
        <f>Admin!B211</f>
        <v>45627</v>
      </c>
      <c r="L49" s="203" t="s">
        <v>75</v>
      </c>
      <c r="M49" s="205">
        <f>Admin!B240</f>
        <v>45656</v>
      </c>
      <c r="N49" s="20"/>
      <c r="O49" s="403" t="s">
        <v>63</v>
      </c>
      <c r="P49" s="404"/>
      <c r="Q49" s="404"/>
      <c r="R49" s="405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IF(T$49="Y",Month07!H51,0)</f>
        <v>0</v>
      </c>
      <c r="I51" s="89">
        <f>IF(T$49="Y",Month07!I51,0)</f>
        <v>0</v>
      </c>
      <c r="J51" s="89">
        <f>IF(T$49="Y",Month07!J51,0)</f>
        <v>0</v>
      </c>
      <c r="K51" s="89">
        <f>IF(T$49="Y",Month07!K51,I51*J51)</f>
        <v>0</v>
      </c>
      <c r="L51" s="110">
        <f>IF(T$49="Y",Month07!L51,0)</f>
        <v>0</v>
      </c>
      <c r="M51" s="99" t="str">
        <f>IF(E51=" "," ",IF(T$49="Y",Month07!M51,IF((H51+K51+L51)&gt;0,H51+K51+L51,"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IF(Employee!H$35=E$49,Employee!D$34+SUM(M51)+Month07!V51,SUM(M51)+Month07!V51)</f>
        <v>0</v>
      </c>
      <c r="W51" s="49">
        <f>IF(Employee!H$35=E$49,Employee!D$35+SUM(N51)+Month07!W51,SUM(N51)+Month07!W51)</f>
        <v>0</v>
      </c>
      <c r="X51" s="49">
        <f>IF(O51=" ",Month07!X51,O51+Month07!X51)</f>
        <v>0</v>
      </c>
      <c r="Y51" s="49">
        <f>IF(P51=" ",Month07!Y51,P51+Month07!Y51)</f>
        <v>0</v>
      </c>
      <c r="Z51" s="49">
        <f>IF(Q51=" ",Month07!Z51,Q51+Month07!Z51)</f>
        <v>0</v>
      </c>
      <c r="AA51" s="49">
        <f>IF(R51=" ",Month07!AA51,R51+Month07!AA51)</f>
        <v>0</v>
      </c>
      <c r="AC51" s="49">
        <f>IF(T51=" ",Month07!AC51,T51+Month07!AC51)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IF(T$49="Y",Month07!H52,0)</f>
        <v>0</v>
      </c>
      <c r="I52" s="92">
        <f>IF(T$49="Y",Month07!I52,0)</f>
        <v>0</v>
      </c>
      <c r="J52" s="92">
        <f>IF(T$49="Y",Month07!J52,0)</f>
        <v>0</v>
      </c>
      <c r="K52" s="92">
        <f>IF(T$49="Y",Month07!K52,I52*J52)</f>
        <v>0</v>
      </c>
      <c r="L52" s="111">
        <f>IF(T$49="Y",Month07!L52,0)</f>
        <v>0</v>
      </c>
      <c r="M52" s="100" t="str">
        <f>IF(E52=" "," ",IF(T$49="Y",Month07!M52,IF((H52+K52+L52)&gt;0,H52+K52+L52,"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IF(Employee!H$61=E$49,Employee!D$60+SUM(M52)+Month07!V52,SUM(M52)+Month07!V52)</f>
        <v>0</v>
      </c>
      <c r="W52" s="49">
        <f>IF(Employee!H$61=E$49,Employee!D$61+SUM(N52)+Month07!W52,SUM(N52)+Month07!W52)</f>
        <v>0</v>
      </c>
      <c r="X52" s="49">
        <f>IF(O52=" ",Month07!X52,O52+Month07!X52)</f>
        <v>0</v>
      </c>
      <c r="Y52" s="49">
        <f>IF(P52=" ",Month07!Y52,P52+Month07!Y52)</f>
        <v>0</v>
      </c>
      <c r="Z52" s="49">
        <f>IF(Q52=" ",Month07!Z52,Q52+Month07!Z52)</f>
        <v>0</v>
      </c>
      <c r="AA52" s="49">
        <f>IF(R52=" ",Month07!AA52,R52+Month07!AA52)</f>
        <v>0</v>
      </c>
      <c r="AC52" s="49">
        <f>IF(T52=" ",Month07!AC52,T52+Month07!AC52)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IF(T$49="Y",Month07!H53,0)</f>
        <v>0</v>
      </c>
      <c r="I53" s="92">
        <f>IF(T$49="Y",Month07!I53,0)</f>
        <v>0</v>
      </c>
      <c r="J53" s="92">
        <f>IF(T$49="Y",Month07!J53,0)</f>
        <v>0</v>
      </c>
      <c r="K53" s="92">
        <f>IF(T$49="Y",Month07!K53,I53*J53)</f>
        <v>0</v>
      </c>
      <c r="L53" s="111">
        <f>IF(T$49="Y",Month07!L53,0)</f>
        <v>0</v>
      </c>
      <c r="M53" s="100" t="str">
        <f>IF(E53=" "," ",IF(T$49="Y",Month07!M53,IF((H53+K53+L53)&gt;0,H53+K53+L53,"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IF(Employee!H$87=E$49,Employee!D$86+SUM(M53)+Month07!V53,SUM(M53)+Month07!V53)</f>
        <v>0</v>
      </c>
      <c r="W53" s="49">
        <f>IF(Employee!H$87=E$49,Employee!D$87+SUM(N53)+Month07!W53,SUM(N53)+Month07!W53)</f>
        <v>0</v>
      </c>
      <c r="X53" s="49">
        <f>IF(O53=" ",Month07!X53,O53+Month07!X53)</f>
        <v>0</v>
      </c>
      <c r="Y53" s="49">
        <f>IF(P53=" ",Month07!Y53,P53+Month07!Y53)</f>
        <v>0</v>
      </c>
      <c r="Z53" s="49">
        <f>IF(Q53=" ",Month07!Z53,Q53+Month07!Z53)</f>
        <v>0</v>
      </c>
      <c r="AA53" s="49">
        <f>IF(R53=" ",Month07!AA53,R53+Month07!AA53)</f>
        <v>0</v>
      </c>
      <c r="AC53" s="49">
        <f>IF(T53=" ",Month07!AC53,T53+Month07!AC53)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IF(T$49="Y",Month07!H54,0)</f>
        <v>0</v>
      </c>
      <c r="I54" s="92">
        <f>IF(T$49="Y",Month07!I54,0)</f>
        <v>0</v>
      </c>
      <c r="J54" s="92">
        <f>IF(T$49="Y",Month07!J54,0)</f>
        <v>0</v>
      </c>
      <c r="K54" s="92">
        <f>IF(T$49="Y",Month07!K54,I54*J54)</f>
        <v>0</v>
      </c>
      <c r="L54" s="111">
        <f>IF(T$49="Y",Month07!L54,0)</f>
        <v>0</v>
      </c>
      <c r="M54" s="100" t="str">
        <f>IF(E54=" "," ",IF(T$49="Y",Month07!M54,IF((H54+K54+L54)&gt;0,H54+K54+L54,"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IF(Employee!H$113=E$49,Employee!D$112+SUM(M54)+Month07!V54,SUM(M54)+Month07!V54)</f>
        <v>0</v>
      </c>
      <c r="W54" s="49">
        <f>IF(Employee!H$113=E$49,Employee!D$113+SUM(N54)+Month07!W54,SUM(N54)+Month07!W54)</f>
        <v>0</v>
      </c>
      <c r="X54" s="49">
        <f>IF(O54=" ",Month07!X54,O54+Month07!X54)</f>
        <v>0</v>
      </c>
      <c r="Y54" s="49">
        <f>IF(P54=" ",Month07!Y54,P54+Month07!Y54)</f>
        <v>0</v>
      </c>
      <c r="Z54" s="49">
        <f>IF(Q54=" ",Month07!Z54,Q54+Month07!Z54)</f>
        <v>0</v>
      </c>
      <c r="AA54" s="49">
        <f>IF(R54=" ",Month07!AA54,R54+Month07!AA54)</f>
        <v>0</v>
      </c>
      <c r="AC54" s="49">
        <f>IF(T54=" ",Month07!AC54,T54+Month07!AC54)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IF(T$49="Y",Month07!H55,0)</f>
        <v>0</v>
      </c>
      <c r="I55" s="245">
        <f>IF(T$49="Y",Month07!I55,0)</f>
        <v>0</v>
      </c>
      <c r="J55" s="245">
        <f>IF(T$49="Y",Month07!J55,0)</f>
        <v>0</v>
      </c>
      <c r="K55" s="245">
        <f>IF(T$49="Y",Month07!K55,I55*J55)</f>
        <v>0</v>
      </c>
      <c r="L55" s="246">
        <f>IF(T$49="Y",Month07!L55,0)</f>
        <v>0</v>
      </c>
      <c r="M55" s="100" t="str">
        <f>IF(E55=" "," ",IF(T$49="Y",Month07!M55,IF((H55+K55+L55)&gt;0,H55+K55+L55,"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IF(Employee!H$139=E$49,Employee!D$138+SUM(M55)+Month07!V55,SUM(M55)+Month07!V55)</f>
        <v>0</v>
      </c>
      <c r="W55" s="49">
        <f>IF(Employee!H$139=E$49,Employee!D$139+SUM(N55)+Month07!W55,SUM(N55)+Month07!W55)</f>
        <v>0</v>
      </c>
      <c r="X55" s="49">
        <f>IF(O55=" ",Month07!X55,O55+Month07!X55)</f>
        <v>0</v>
      </c>
      <c r="Y55" s="49">
        <f>IF(P55=" ",Month07!Y55,P55+Month07!Y55)</f>
        <v>0</v>
      </c>
      <c r="Z55" s="49">
        <f>IF(Q55=" ",Month07!Z55,Q55+Month07!Z55)</f>
        <v>0</v>
      </c>
      <c r="AA55" s="49">
        <f>IF(R55=" ",Month07!AA55,R55+Month07!AA55)</f>
        <v>0</v>
      </c>
      <c r="AC55" s="49">
        <f>IF(T55=" ",Month07!AC55,T55+Month07!AC55)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361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417" t="s">
        <v>73</v>
      </c>
      <c r="N59" s="418"/>
      <c r="O59" s="418"/>
      <c r="P59" s="418"/>
      <c r="Q59" s="418"/>
      <c r="R59" s="41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AD60+Month07!AD65</f>
        <v>0</v>
      </c>
      <c r="AE65" s="158">
        <f>AE60+Month07!AE65</f>
        <v>0</v>
      </c>
      <c r="AF65" s="158">
        <f>AF60+Month07!AF65</f>
        <v>0</v>
      </c>
      <c r="AG65" s="158">
        <f>AG60+Month07!AG65</f>
        <v>0</v>
      </c>
    </row>
    <row r="66" spans="6:33" ht="14" thickTop="1" x14ac:dyDescent="0.15"/>
    <row r="67" spans="6:33" x14ac:dyDescent="0.15">
      <c r="AD67" s="162"/>
      <c r="AE67" s="158">
        <f>AE62+Month07!AE67</f>
        <v>0</v>
      </c>
      <c r="AF67" s="158">
        <f>AF62+Month07!AF67</f>
        <v>0</v>
      </c>
      <c r="AG67" s="158">
        <f>AG62+Month07!AG67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3"/>
      <c r="B1" s="424" t="s">
        <v>65</v>
      </c>
      <c r="C1" s="425"/>
      <c r="D1" s="425"/>
      <c r="E1" s="425"/>
      <c r="F1" s="426"/>
      <c r="G1" s="437">
        <f>SUM(AD70:AG70)+SUM(AE72:AG72)</f>
        <v>0</v>
      </c>
      <c r="H1" s="438"/>
      <c r="I1" s="435" t="s">
        <v>4</v>
      </c>
      <c r="J1" s="446"/>
      <c r="K1" s="446"/>
      <c r="L1" s="447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4"/>
    </row>
    <row r="2" spans="1:34" s="4" customFormat="1" ht="1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4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35</v>
      </c>
      <c r="F9" s="35"/>
      <c r="G9" s="35"/>
      <c r="H9" s="362" t="s">
        <v>28</v>
      </c>
      <c r="I9" s="363"/>
      <c r="J9" s="361"/>
      <c r="K9" s="204">
        <f>Month08!M39+1</f>
        <v>45654</v>
      </c>
      <c r="L9" s="203" t="s">
        <v>75</v>
      </c>
      <c r="M9" s="205">
        <f>K9+6</f>
        <v>45660</v>
      </c>
      <c r="N9" s="20"/>
      <c r="O9" s="403" t="s">
        <v>62</v>
      </c>
      <c r="P9" s="404"/>
      <c r="Q9" s="404"/>
      <c r="R9" s="40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IF(T$9="Y",Month08!H41,0)</f>
        <v>0</v>
      </c>
      <c r="I11" s="89">
        <f>IF(T$9="Y",Month08!I41,0)</f>
        <v>0</v>
      </c>
      <c r="J11" s="89">
        <f>IF(T$9="Y",Month08!J41,0)</f>
        <v>0</v>
      </c>
      <c r="K11" s="89">
        <f>IF(T$9="Y",Month08!K41,I11*J11)</f>
        <v>0</v>
      </c>
      <c r="L11" s="110">
        <f>IF(T$9="Y",Month08!L41,0)</f>
        <v>0</v>
      </c>
      <c r="M11" s="110" t="str">
        <f>IF(E11=" "," ",IF(T$9="Y",Month08!M41,IF((H11+K11+L11)&gt;0,H11+K11+L11,"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IF(Employee!H$34=E$9,Employee!D$34+SUM(M11)+Month08!V41,SUM(M11)+Month08!V41)</f>
        <v>0</v>
      </c>
      <c r="W11" s="49">
        <f>IF(Employee!H$34=E$9,Employee!D$35+SUM(N11)+Month08!W41,SUM(N11)+Month08!W41)</f>
        <v>0</v>
      </c>
      <c r="X11" s="49">
        <f>IF(O11=" ",Month08!X41,O11+Month08!X41)</f>
        <v>0</v>
      </c>
      <c r="Y11" s="49">
        <f>IF(P11=" ",Month08!Y41,P11+Month08!Y41)</f>
        <v>0</v>
      </c>
      <c r="Z11" s="49">
        <f>IF(Q11=" ",Month08!Z41,Q11+Month08!Z41)</f>
        <v>0</v>
      </c>
      <c r="AA11" s="49">
        <f>IF(R11=" ",Month08!AA41,R11+Month08!AA41)</f>
        <v>0</v>
      </c>
      <c r="AC11" s="49">
        <f>IF(T11=" ",Month08!AC41,T11+Month08!AC41)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IF(T$9="Y",Month08!H42,0)</f>
        <v>0</v>
      </c>
      <c r="I12" s="92">
        <f>IF(T$9="Y",Month08!I42,0)</f>
        <v>0</v>
      </c>
      <c r="J12" s="92">
        <f>IF(T$9="Y",Month08!J42,0)</f>
        <v>0</v>
      </c>
      <c r="K12" s="92">
        <f>IF(T$9="Y",Month08!K42,I12*J12)</f>
        <v>0</v>
      </c>
      <c r="L12" s="111">
        <f>IF(T$9="Y",Month08!L42,0)</f>
        <v>0</v>
      </c>
      <c r="M12" s="111" t="str">
        <f>IF(E12=" "," ",IF(T$9="Y",Month08!M42,IF((H12+K12+L12)&gt;0,H12+K12+L12,"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IF(Employee!H$60=E$9,Employee!D$60+SUM(M12)+Month08!V42,SUM(M12)+Month08!V42)</f>
        <v>0</v>
      </c>
      <c r="W12" s="49">
        <f>IF(Employee!H$60=E$9,Employee!D$61+SUM(N12)+Month08!W42,SUM(N12)+Month08!W42)</f>
        <v>0</v>
      </c>
      <c r="X12" s="49">
        <f>IF(O12=" ",Month08!X42,O12+Month08!X42)</f>
        <v>0</v>
      </c>
      <c r="Y12" s="49">
        <f>IF(P12=" ",Month08!Y42,P12+Month08!Y42)</f>
        <v>0</v>
      </c>
      <c r="Z12" s="49">
        <f>IF(Q12=" ",Month08!Z42,Q12+Month08!Z42)</f>
        <v>0</v>
      </c>
      <c r="AA12" s="49">
        <f>IF(R12=" ",Month08!AA42,R12+Month08!AA42)</f>
        <v>0</v>
      </c>
      <c r="AC12" s="49">
        <f>IF(T12=" ",Month08!AC42,T12+Month08!AC42)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IF(T$9="Y",Month08!H43,0)</f>
        <v>0</v>
      </c>
      <c r="I13" s="92">
        <f>IF(T$9="Y",Month08!I43,0)</f>
        <v>0</v>
      </c>
      <c r="J13" s="92">
        <f>IF(T$9="Y",Month08!J43,0)</f>
        <v>0</v>
      </c>
      <c r="K13" s="92">
        <f>IF(T$9="Y",Month08!K43,I13*J13)</f>
        <v>0</v>
      </c>
      <c r="L13" s="111">
        <f>IF(T$9="Y",Month08!L43,0)</f>
        <v>0</v>
      </c>
      <c r="M13" s="111" t="str">
        <f>IF(E13=" "," ",IF(T$9="Y",Month08!M43,IF((H13+K13+L13)&gt;0,H13+K13+L13,"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IF(Employee!H$86=E$9,Employee!D$86+SUM(M13)+Month08!V43,SUM(M13)+Month08!V43)</f>
        <v>0</v>
      </c>
      <c r="W13" s="49">
        <f>IF(Employee!H$86=E$9,Employee!D$87+SUM(N13)+Month08!W43,SUM(N13)+Month08!W43)</f>
        <v>0</v>
      </c>
      <c r="X13" s="49">
        <f>IF(O13=" ",Month08!X43,O13+Month08!X43)</f>
        <v>0</v>
      </c>
      <c r="Y13" s="49">
        <f>IF(P13=" ",Month08!Y43,P13+Month08!Y43)</f>
        <v>0</v>
      </c>
      <c r="Z13" s="49">
        <f>IF(Q13=" ",Month08!Z43,Q13+Month08!Z43)</f>
        <v>0</v>
      </c>
      <c r="AA13" s="49">
        <f>IF(R13=" ",Month08!AA43,R13+Month08!AA43)</f>
        <v>0</v>
      </c>
      <c r="AC13" s="49">
        <f>IF(T13=" ",Month08!AC43,T13+Month08!AC43)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IF(T$9="Y",Month08!H44,0)</f>
        <v>0</v>
      </c>
      <c r="I14" s="92">
        <f>IF(T$9="Y",Month08!I44,0)</f>
        <v>0</v>
      </c>
      <c r="J14" s="92">
        <f>IF(T$9="Y",Month08!J44,0)</f>
        <v>0</v>
      </c>
      <c r="K14" s="92">
        <f>IF(T$9="Y",Month08!K44,I14*J14)</f>
        <v>0</v>
      </c>
      <c r="L14" s="111">
        <f>IF(T$9="Y",Month08!L44,0)</f>
        <v>0</v>
      </c>
      <c r="M14" s="111" t="str">
        <f>IF(E14=" "," ",IF(T$9="Y",Month08!M44,IF((H14+K14+L14)&gt;0,H14+K14+L14,"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IF(Employee!H$112=E$9,Employee!D$112+SUM(M14)+Month08!V44,SUM(M14)+Month08!V44)</f>
        <v>0</v>
      </c>
      <c r="W14" s="49">
        <f>IF(Employee!H$112=E$9,Employee!D$113+SUM(N14)+Month08!W44,SUM(N14)+Month08!W44)</f>
        <v>0</v>
      </c>
      <c r="X14" s="49">
        <f>IF(O14=" ",Month08!X44,O14+Month08!X44)</f>
        <v>0</v>
      </c>
      <c r="Y14" s="49">
        <f>IF(P14=" ",Month08!Y44,P14+Month08!Y44)</f>
        <v>0</v>
      </c>
      <c r="Z14" s="49">
        <f>IF(Q14=" ",Month08!Z44,Q14+Month08!Z44)</f>
        <v>0</v>
      </c>
      <c r="AA14" s="49">
        <f>IF(R14=" ",Month08!AA44,R14+Month08!AA44)</f>
        <v>0</v>
      </c>
      <c r="AC14" s="49">
        <f>IF(T14=" ",Month08!AC44,T14+Month08!AC44)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IF(T$9="Y",Month08!H45,0)</f>
        <v>0</v>
      </c>
      <c r="I15" s="245">
        <f>IF(T$9="Y",Month08!I45,0)</f>
        <v>0</v>
      </c>
      <c r="J15" s="245">
        <f>IF(T$9="Y",Month08!J45,0)</f>
        <v>0</v>
      </c>
      <c r="K15" s="245">
        <f>IF(T$9="Y",Month08!K45,I15*J15)</f>
        <v>0</v>
      </c>
      <c r="L15" s="246">
        <f>IF(T$9="Y",Month08!L45,0)</f>
        <v>0</v>
      </c>
      <c r="M15" s="111" t="str">
        <f>IF(E15=" "," ",IF(T$9="Y",Month08!M45,IF((H15+K15+L15)&gt;0,H15+K15+L15,"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IF(Employee!H$138=E$9,Employee!D$138+SUM(M15)+Month08!V45,SUM(M15)+Month08!V45)</f>
        <v>0</v>
      </c>
      <c r="W15" s="49">
        <f>IF(Employee!H$138=E$9,Employee!D$139+SUM(N15)+Month08!W45,SUM(N15)+Month08!W45)</f>
        <v>0</v>
      </c>
      <c r="X15" s="49">
        <f>IF(O15=" ",Month08!X45,O15+Month08!X45)</f>
        <v>0</v>
      </c>
      <c r="Y15" s="49">
        <f>IF(P15=" ",Month08!Y45,P15+Month08!Y45)</f>
        <v>0</v>
      </c>
      <c r="Z15" s="49">
        <f>IF(Q15=" ",Month08!Z45,Q15+Month08!Z45)</f>
        <v>0</v>
      </c>
      <c r="AA15" s="49">
        <f>IF(R15=" ",Month08!AA45,R15+Month08!AA45)</f>
        <v>0</v>
      </c>
      <c r="AC15" s="49">
        <f>IF(T15=" ",Month08!AC45,T15+Month08!AC45)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36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36</v>
      </c>
      <c r="F19" s="35"/>
      <c r="G19" s="35"/>
      <c r="H19" s="362" t="s">
        <v>28</v>
      </c>
      <c r="I19" s="363"/>
      <c r="J19" s="361"/>
      <c r="K19" s="204">
        <f>M9+1</f>
        <v>45661</v>
      </c>
      <c r="L19" s="203" t="s">
        <v>75</v>
      </c>
      <c r="M19" s="205">
        <f>K19+6</f>
        <v>45667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37</v>
      </c>
      <c r="F29" s="35"/>
      <c r="G29" s="35"/>
      <c r="H29" s="362" t="s">
        <v>28</v>
      </c>
      <c r="I29" s="363"/>
      <c r="J29" s="361"/>
      <c r="K29" s="204">
        <f>M19+1</f>
        <v>45668</v>
      </c>
      <c r="L29" s="203" t="s">
        <v>75</v>
      </c>
      <c r="M29" s="205">
        <f>K29+6</f>
        <v>45674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9"/>
      <c r="D38" s="439"/>
      <c r="E38" s="440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441"/>
      <c r="D39" s="442"/>
      <c r="E39" s="156">
        <v>38</v>
      </c>
      <c r="F39" s="35"/>
      <c r="G39" s="35"/>
      <c r="H39" s="362" t="s">
        <v>28</v>
      </c>
      <c r="I39" s="441"/>
      <c r="J39" s="442"/>
      <c r="K39" s="204">
        <f>M29+1</f>
        <v>45675</v>
      </c>
      <c r="L39" s="203" t="s">
        <v>75</v>
      </c>
      <c r="M39" s="205">
        <f>K39+6</f>
        <v>45681</v>
      </c>
      <c r="N39" s="20"/>
      <c r="O39" s="403" t="s">
        <v>62</v>
      </c>
      <c r="P39" s="443"/>
      <c r="Q39" s="443"/>
      <c r="R39" s="44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44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23</v>
      </c>
      <c r="C48" s="439"/>
      <c r="D48" s="439"/>
      <c r="E48" s="440"/>
      <c r="F48" s="32"/>
      <c r="G48" s="32"/>
      <c r="H48" s="32"/>
      <c r="I48" s="32"/>
      <c r="J48" s="32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9</v>
      </c>
      <c r="C49" s="441"/>
      <c r="D49" s="442"/>
      <c r="E49" s="156">
        <v>39</v>
      </c>
      <c r="F49" s="35"/>
      <c r="G49" s="35"/>
      <c r="H49" s="362" t="s">
        <v>28</v>
      </c>
      <c r="I49" s="441"/>
      <c r="J49" s="442"/>
      <c r="K49" s="204">
        <f>M39+1</f>
        <v>45682</v>
      </c>
      <c r="L49" s="203" t="s">
        <v>75</v>
      </c>
      <c r="M49" s="205">
        <f>K49+6</f>
        <v>45688</v>
      </c>
      <c r="N49" s="20"/>
      <c r="O49" s="403" t="s">
        <v>62</v>
      </c>
      <c r="P49" s="443"/>
      <c r="Q49" s="443"/>
      <c r="R49" s="444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445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7" t="s">
        <v>24</v>
      </c>
      <c r="C58" s="363"/>
      <c r="D58" s="363"/>
      <c r="E58" s="361"/>
      <c r="F58" s="32"/>
      <c r="G58" s="32"/>
      <c r="H58" s="43"/>
      <c r="I58" s="43"/>
      <c r="J58" s="43"/>
      <c r="K58" s="46"/>
      <c r="L58" s="46"/>
      <c r="M58" s="43"/>
      <c r="N58" s="32"/>
      <c r="O58" s="364" t="s">
        <v>28</v>
      </c>
      <c r="P58" s="365"/>
      <c r="Q58" s="366"/>
      <c r="R58" s="401"/>
      <c r="S58" s="402"/>
      <c r="T58" s="402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2" t="s">
        <v>10</v>
      </c>
      <c r="C59" s="363"/>
      <c r="D59" s="361"/>
      <c r="E59" s="156">
        <v>9</v>
      </c>
      <c r="F59" s="35"/>
      <c r="G59" s="35"/>
      <c r="H59" s="362" t="s">
        <v>28</v>
      </c>
      <c r="I59" s="363"/>
      <c r="J59" s="361"/>
      <c r="K59" s="204">
        <f>Admin!B241</f>
        <v>45657</v>
      </c>
      <c r="L59" s="203" t="s">
        <v>75</v>
      </c>
      <c r="M59" s="205">
        <f>Admin!B271</f>
        <v>45687</v>
      </c>
      <c r="N59" s="20"/>
      <c r="O59" s="403" t="s">
        <v>63</v>
      </c>
      <c r="P59" s="404"/>
      <c r="Q59" s="404"/>
      <c r="R59" s="405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IF(T$59="Y",Month08!H51,0)</f>
        <v>0</v>
      </c>
      <c r="I61" s="89">
        <f>IF(T$59="Y",Month08!I51,0)</f>
        <v>0</v>
      </c>
      <c r="J61" s="89">
        <f>IF(T$59="Y",Month08!J51,0)</f>
        <v>0</v>
      </c>
      <c r="K61" s="89">
        <f>IF(T$59="Y",Month08!K51,I61*J61)</f>
        <v>0</v>
      </c>
      <c r="L61" s="110">
        <f>IF(T$59="Y",Month08!L51,0)</f>
        <v>0</v>
      </c>
      <c r="M61" s="99" t="str">
        <f>IF(E61=" "," ",IF(T$59="Y",Month08!M51,IF((H61+K61+L61)&gt;0,H61+K61+L61,"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IF(Employee!H$35=E$59,Employee!D$34+SUM(M61)+Month08!V51,SUM(M61)+Month08!V51)</f>
        <v>0</v>
      </c>
      <c r="W61" s="49">
        <f>IF(Employee!H$35=E$59,Employee!D$35+SUM(N61)+Month08!W51,SUM(N61)+Month08!W51)</f>
        <v>0</v>
      </c>
      <c r="X61" s="49">
        <f>IF(O61=" ",Month08!X51,O61+Month08!X51)</f>
        <v>0</v>
      </c>
      <c r="Y61" s="49">
        <f>IF(P61=" ",Month08!Y51,P61+Month08!Y51)</f>
        <v>0</v>
      </c>
      <c r="Z61" s="49">
        <f>IF(Q61=" ",Month08!Z51,Q61+Month08!Z51)</f>
        <v>0</v>
      </c>
      <c r="AA61" s="49">
        <f>IF(R61=" ",Month08!AA51,R61+Month08!AA51)</f>
        <v>0</v>
      </c>
      <c r="AC61" s="49">
        <f>IF(T61=" ",Month08!AC51,T61+Month08!AC51)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IF(T$59="Y",Month08!H52,0)</f>
        <v>0</v>
      </c>
      <c r="I62" s="92">
        <f>IF(T$59="Y",Month08!I52,0)</f>
        <v>0</v>
      </c>
      <c r="J62" s="92">
        <f>IF(T$59="Y",Month08!J52,0)</f>
        <v>0</v>
      </c>
      <c r="K62" s="92">
        <f>IF(T$59="Y",Month08!K52,I62*J62)</f>
        <v>0</v>
      </c>
      <c r="L62" s="111">
        <f>IF(T$59="Y",Month08!L52,0)</f>
        <v>0</v>
      </c>
      <c r="M62" s="100" t="str">
        <f>IF(E62=" "," ",IF(T$59="Y",Month08!M52,IF((H62+K62+L62)&gt;0,H62+K62+L62,"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IF(Employee!H$61=E$59,Employee!D$60+SUM(M62)+Month08!V52,SUM(M62)+Month08!V52)</f>
        <v>0</v>
      </c>
      <c r="W62" s="49">
        <f>IF(Employee!H$61=E$59,Employee!D$61+SUM(N62)+Month08!W52,SUM(N62)+Month08!W52)</f>
        <v>0</v>
      </c>
      <c r="X62" s="49">
        <f>IF(O62=" ",Month08!X52,O62+Month08!X52)</f>
        <v>0</v>
      </c>
      <c r="Y62" s="49">
        <f>IF(P62=" ",Month08!Y52,P62+Month08!Y52)</f>
        <v>0</v>
      </c>
      <c r="Z62" s="49">
        <f>IF(Q62=" ",Month08!Z52,Q62+Month08!Z52)</f>
        <v>0</v>
      </c>
      <c r="AA62" s="49">
        <f>IF(R62=" ",Month08!AA52,R62+Month08!AA52)</f>
        <v>0</v>
      </c>
      <c r="AC62" s="49">
        <f>IF(T62=" ",Month08!AC52,T62+Month08!AC52)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IF(T$59="Y",Month08!H53,0)</f>
        <v>0</v>
      </c>
      <c r="I63" s="92">
        <f>IF(T$59="Y",Month08!I53,0)</f>
        <v>0</v>
      </c>
      <c r="J63" s="92">
        <f>IF(T$59="Y",Month08!J53,0)</f>
        <v>0</v>
      </c>
      <c r="K63" s="92">
        <f>IF(T$59="Y",Month08!K53,I63*J63)</f>
        <v>0</v>
      </c>
      <c r="L63" s="111">
        <f>IF(T$59="Y",Month08!L53,0)</f>
        <v>0</v>
      </c>
      <c r="M63" s="100" t="str">
        <f>IF(E63=" "," ",IF(T$59="Y",Month08!M53,IF((H63+K63+L63)&gt;0,H63+K63+L63,"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IF(Employee!H$87=E$59,Employee!D$86+SUM(M63)+Month08!V53,SUM(M63)+Month08!V53)</f>
        <v>0</v>
      </c>
      <c r="W63" s="49">
        <f>IF(Employee!H$87=E$59,Employee!D$87+SUM(N63)+Month08!W53,SUM(N63)+Month08!W53)</f>
        <v>0</v>
      </c>
      <c r="X63" s="49">
        <f>IF(O63=" ",Month08!X53,O63+Month08!X53)</f>
        <v>0</v>
      </c>
      <c r="Y63" s="49">
        <f>IF(P63=" ",Month08!Y53,P63+Month08!Y53)</f>
        <v>0</v>
      </c>
      <c r="Z63" s="49">
        <f>IF(Q63=" ",Month08!Z53,Q63+Month08!Z53)</f>
        <v>0</v>
      </c>
      <c r="AA63" s="49">
        <f>IF(R63=" ",Month08!AA53,R63+Month08!AA53)</f>
        <v>0</v>
      </c>
      <c r="AC63" s="49">
        <f>IF(T63=" ",Month08!AC53,T63+Month08!AC53)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IF(T$59="Y",Month08!H54,0)</f>
        <v>0</v>
      </c>
      <c r="I64" s="92">
        <f>IF(T$59="Y",Month08!I54,0)</f>
        <v>0</v>
      </c>
      <c r="J64" s="92">
        <f>IF(T$59="Y",Month08!J54,0)</f>
        <v>0</v>
      </c>
      <c r="K64" s="92">
        <f>IF(T$59="Y",Month08!K54,I64*J64)</f>
        <v>0</v>
      </c>
      <c r="L64" s="111">
        <f>IF(T$59="Y",Month08!L54,0)</f>
        <v>0</v>
      </c>
      <c r="M64" s="100" t="str">
        <f>IF(E64=" "," ",IF(T$59="Y",Month08!M54,IF((H64+K64+L64)&gt;0,H64+K64+L64,"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IF(Employee!H$113=E$59,Employee!D$112+SUM(M64)+Month08!V54,SUM(M64)+Month08!V54)</f>
        <v>0</v>
      </c>
      <c r="W64" s="49">
        <f>IF(Employee!H$113=E$59,Employee!D$113+SUM(N64)+Month08!W54,SUM(N64)+Month08!W54)</f>
        <v>0</v>
      </c>
      <c r="X64" s="49">
        <f>IF(O64=" ",Month08!X54,O64+Month08!X54)</f>
        <v>0</v>
      </c>
      <c r="Y64" s="49">
        <f>IF(P64=" ",Month08!Y54,P64+Month08!Y54)</f>
        <v>0</v>
      </c>
      <c r="Z64" s="49">
        <f>IF(Q64=" ",Month08!Z54,Q64+Month08!Z54)</f>
        <v>0</v>
      </c>
      <c r="AA64" s="49">
        <f>IF(R64=" ",Month08!AA54,R64+Month08!AA54)</f>
        <v>0</v>
      </c>
      <c r="AC64" s="49">
        <f>IF(T64=" ",Month08!AC54,T64+Month08!AC54)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IF(T$59="Y",Month08!H55,0)</f>
        <v>0</v>
      </c>
      <c r="I65" s="245">
        <f>IF(T$59="Y",Month08!I55,0)</f>
        <v>0</v>
      </c>
      <c r="J65" s="245">
        <f>IF(T$59="Y",Month08!J55,0)</f>
        <v>0</v>
      </c>
      <c r="K65" s="245">
        <f>IF(T$59="Y",Month08!K55,I65*J65)</f>
        <v>0</v>
      </c>
      <c r="L65" s="246">
        <f>IF(T$59="Y",Month08!L55,0)</f>
        <v>0</v>
      </c>
      <c r="M65" s="100" t="str">
        <f>IF(E65=" "," ",IF(T$59="Y",Month08!M55,IF((H65+K65+L65)&gt;0,H65+K65+L65,"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IF(Employee!H$139=E$59,Employee!D$138+SUM(M65)+Month08!V55,SUM(M65)+Month08!V55)</f>
        <v>0</v>
      </c>
      <c r="W65" s="49">
        <f>IF(Employee!H$139=E$59,Employee!D$139+SUM(N65)+Month08!W55,SUM(N65)+Month08!W55)</f>
        <v>0</v>
      </c>
      <c r="X65" s="49">
        <f>IF(O65=" ",Month08!X55,O65+Month08!X55)</f>
        <v>0</v>
      </c>
      <c r="Y65" s="49">
        <f>IF(P65=" ",Month08!Y55,P65+Month08!Y55)</f>
        <v>0</v>
      </c>
      <c r="Z65" s="49">
        <f>IF(Q65=" ",Month08!Z55,Q65+Month08!Z55)</f>
        <v>0</v>
      </c>
      <c r="AA65" s="49">
        <f>IF(R65=" ",Month08!AA55,R65+Month08!AA55)</f>
        <v>0</v>
      </c>
      <c r="AC65" s="49">
        <f>IF(T65=" ",Month08!AC55,T65+Month08!AC55)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60" t="s">
        <v>7</v>
      </c>
      <c r="G66" s="361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70</v>
      </c>
      <c r="G69" s="180"/>
      <c r="H69" s="180"/>
      <c r="M69" s="417" t="s">
        <v>73</v>
      </c>
      <c r="N69" s="418"/>
      <c r="O69" s="418"/>
      <c r="P69" s="418"/>
      <c r="Q69" s="418"/>
      <c r="R69" s="418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72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AD70+Month08!AD65</f>
        <v>0</v>
      </c>
      <c r="AE75" s="158">
        <f>AE70+Month08!AE65</f>
        <v>0</v>
      </c>
      <c r="AF75" s="158">
        <f>AF70+Month08!AF65</f>
        <v>0</v>
      </c>
      <c r="AG75" s="158">
        <f>AG70+Month08!AG65</f>
        <v>0</v>
      </c>
    </row>
    <row r="76" spans="1:34" ht="14" thickTop="1" x14ac:dyDescent="0.15"/>
    <row r="77" spans="1:34" x14ac:dyDescent="0.15">
      <c r="AD77" s="162"/>
      <c r="AE77" s="158">
        <f>AE72+Month08!AE67</f>
        <v>0</v>
      </c>
      <c r="AF77" s="158">
        <f>AF72+Month08!AF67</f>
        <v>0</v>
      </c>
      <c r="AG77" s="158">
        <f>AG72+Month08!AG67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3"/>
      <c r="B1" s="424" t="s">
        <v>65</v>
      </c>
      <c r="C1" s="425"/>
      <c r="D1" s="425"/>
      <c r="E1" s="425"/>
      <c r="F1" s="426"/>
      <c r="G1" s="390">
        <f>SUM(AD60:AG60)+SUM(AE62:AG62)</f>
        <v>0</v>
      </c>
      <c r="H1" s="391"/>
      <c r="I1" s="387" t="s">
        <v>4</v>
      </c>
      <c r="J1" s="388"/>
      <c r="K1" s="388"/>
      <c r="L1" s="38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8"/>
    </row>
    <row r="2" spans="1:34" s="179" customFormat="1" ht="14.2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8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40</v>
      </c>
      <c r="F9" s="35"/>
      <c r="G9" s="35"/>
      <c r="H9" s="362" t="s">
        <v>28</v>
      </c>
      <c r="I9" s="363"/>
      <c r="J9" s="361"/>
      <c r="K9" s="204">
        <f>Month09!M49+1</f>
        <v>45689</v>
      </c>
      <c r="L9" s="203" t="s">
        <v>75</v>
      </c>
      <c r="M9" s="205">
        <f>K9+6</f>
        <v>45695</v>
      </c>
      <c r="N9" s="20"/>
      <c r="O9" s="403" t="s">
        <v>62</v>
      </c>
      <c r="P9" s="404"/>
      <c r="Q9" s="404"/>
      <c r="R9" s="40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IF(T$9="Y",Month09!H51,0)</f>
        <v>0</v>
      </c>
      <c r="I11" s="89">
        <f>IF(T$9="Y",Month09!I51,0)</f>
        <v>0</v>
      </c>
      <c r="J11" s="89">
        <f>IF(T$9="Y",Month09!J51,0)</f>
        <v>0</v>
      </c>
      <c r="K11" s="89">
        <f>IF(T$9="Y",Month09!K51,I11*J11)</f>
        <v>0</v>
      </c>
      <c r="L11" s="110">
        <f>IF(T$9="Y",Month09!L51,0)</f>
        <v>0</v>
      </c>
      <c r="M11" s="110" t="str">
        <f>IF(E11=" "," ",IF(T$9="Y",Month09!M51,IF((H11+K11+L11)&gt;0,H11+K11+L11,"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IF(Employee!H$34=E$9,Employee!D$34+SUM(M11)+Month09!V51,SUM(M11)+Month09!V51)</f>
        <v>0</v>
      </c>
      <c r="W11" s="49">
        <f>IF(Employee!H$34=E$9,Employee!D$35+SUM(N11)+Month09!W51,SUM(N11)+Month09!W51)</f>
        <v>0</v>
      </c>
      <c r="X11" s="49">
        <f>IF(O11=" ",Month09!X51,O11+Month09!X51)</f>
        <v>0</v>
      </c>
      <c r="Y11" s="49">
        <f>IF(P11=" ",Month09!Y51,P11+Month09!Y51)</f>
        <v>0</v>
      </c>
      <c r="Z11" s="49">
        <f>IF(Q11=" ",Month09!Z51,Q11+Month09!Z51)</f>
        <v>0</v>
      </c>
      <c r="AA11" s="49">
        <f>IF(R11=" ",Month09!AA51,R11+Month09!AA51)</f>
        <v>0</v>
      </c>
      <c r="AC11" s="49">
        <f>IF(T11=" ",Month09!AC51,T11+Month09!AC51)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IF(T$9="Y",Month09!H52,0)</f>
        <v>0</v>
      </c>
      <c r="I12" s="92">
        <f>IF(T$9="Y",Month09!I52,0)</f>
        <v>0</v>
      </c>
      <c r="J12" s="92">
        <f>IF(T$9="Y",Month09!J52,0)</f>
        <v>0</v>
      </c>
      <c r="K12" s="92">
        <f>IF(T$9="Y",Month09!K52,I12*J12)</f>
        <v>0</v>
      </c>
      <c r="L12" s="111">
        <f>IF(T$9="Y",Month09!L52,0)</f>
        <v>0</v>
      </c>
      <c r="M12" s="111" t="str">
        <f>IF(E12=" "," ",IF(T$9="Y",Month09!M52,IF((H12+K12+L12)&gt;0,H12+K12+L12,"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IF(Employee!H$60=E$9,Employee!D$60+SUM(M12)+Month09!V52,SUM(M12)+Month09!V52)</f>
        <v>0</v>
      </c>
      <c r="W12" s="49">
        <f>IF(Employee!H$60=E$9,Employee!D$61+SUM(N12)+Month09!W52,SUM(N12)+Month09!W52)</f>
        <v>0</v>
      </c>
      <c r="X12" s="49">
        <f>IF(O12=" ",Month09!X52,O12+Month09!X52)</f>
        <v>0</v>
      </c>
      <c r="Y12" s="49">
        <f>IF(P12=" ",Month09!Y52,P12+Month09!Y52)</f>
        <v>0</v>
      </c>
      <c r="Z12" s="49">
        <f>IF(Q12=" ",Month09!Z52,Q12+Month09!Z52)</f>
        <v>0</v>
      </c>
      <c r="AA12" s="49">
        <f>IF(R12=" ",Month09!AA52,R12+Month09!AA52)</f>
        <v>0</v>
      </c>
      <c r="AC12" s="49">
        <f>IF(T12=" ",Month09!AC52,T12+Month09!AC52)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IF(T$9="Y",Month09!H53,0)</f>
        <v>0</v>
      </c>
      <c r="I13" s="92">
        <f>IF(T$9="Y",Month09!I53,0)</f>
        <v>0</v>
      </c>
      <c r="J13" s="92">
        <f>IF(T$9="Y",Month09!J53,0)</f>
        <v>0</v>
      </c>
      <c r="K13" s="92">
        <f>IF(T$9="Y",Month09!K53,I13*J13)</f>
        <v>0</v>
      </c>
      <c r="L13" s="111">
        <f>IF(T$9="Y",Month09!L53,0)</f>
        <v>0</v>
      </c>
      <c r="M13" s="111" t="str">
        <f>IF(E13=" "," ",IF(T$9="Y",Month09!M53,IF((H13+K13+L13)&gt;0,H13+K13+L13,"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IF(Employee!H$86=E$9,Employee!D$86+SUM(M13)+Month09!V53,SUM(M13)+Month09!V53)</f>
        <v>0</v>
      </c>
      <c r="W13" s="49">
        <f>IF(Employee!H$86=E$9,Employee!D$87+SUM(N13)+Month09!W53,SUM(N13)+Month09!W53)</f>
        <v>0</v>
      </c>
      <c r="X13" s="49">
        <f>IF(O13=" ",Month09!X53,O13+Month09!X53)</f>
        <v>0</v>
      </c>
      <c r="Y13" s="49">
        <f>IF(P13=" ",Month09!Y53,P13+Month09!Y53)</f>
        <v>0</v>
      </c>
      <c r="Z13" s="49">
        <f>IF(Q13=" ",Month09!Z53,Q13+Month09!Z53)</f>
        <v>0</v>
      </c>
      <c r="AA13" s="49">
        <f>IF(R13=" ",Month09!AA53,R13+Month09!AA53)</f>
        <v>0</v>
      </c>
      <c r="AC13" s="49">
        <f>IF(T13=" ",Month09!AC53,T13+Month09!AC53)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IF(T$9="Y",Month09!H54,0)</f>
        <v>0</v>
      </c>
      <c r="I14" s="92">
        <f>IF(T$9="Y",Month09!I54,0)</f>
        <v>0</v>
      </c>
      <c r="J14" s="92">
        <f>IF(T$9="Y",Month09!J54,0)</f>
        <v>0</v>
      </c>
      <c r="K14" s="92">
        <f>IF(T$9="Y",Month09!K54,I14*J14)</f>
        <v>0</v>
      </c>
      <c r="L14" s="111">
        <f>IF(T$9="Y",Month09!L54,0)</f>
        <v>0</v>
      </c>
      <c r="M14" s="111" t="str">
        <f>IF(E14=" "," ",IF(T$9="Y",Month09!M54,IF((H14+K14+L14)&gt;0,H14+K14+L14,"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IF(Employee!H$112=E$9,Employee!D$112+SUM(M14)+Month09!V54,SUM(M14)+Month09!V54)</f>
        <v>0</v>
      </c>
      <c r="W14" s="49">
        <f>IF(Employee!H$112=E$9,Employee!D$113+SUM(N14)+Month09!W54,SUM(N14)+Month09!W54)</f>
        <v>0</v>
      </c>
      <c r="X14" s="49">
        <f>IF(O14=" ",Month09!X54,O14+Month09!X54)</f>
        <v>0</v>
      </c>
      <c r="Y14" s="49">
        <f>IF(P14=" ",Month09!Y54,P14+Month09!Y54)</f>
        <v>0</v>
      </c>
      <c r="Z14" s="49">
        <f>IF(Q14=" ",Month09!Z54,Q14+Month09!Z54)</f>
        <v>0</v>
      </c>
      <c r="AA14" s="49">
        <f>IF(R14=" ",Month09!AA54,R14+Month09!AA54)</f>
        <v>0</v>
      </c>
      <c r="AC14" s="49">
        <f>IF(T14=" ",Month09!AC54,T14+Month09!AC54)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IF(T$9="Y",Month09!H55,0)</f>
        <v>0</v>
      </c>
      <c r="I15" s="245">
        <f>IF(T$9="Y",Month09!I55,0)</f>
        <v>0</v>
      </c>
      <c r="J15" s="245">
        <f>IF(T$9="Y",Month09!J55,0)</f>
        <v>0</v>
      </c>
      <c r="K15" s="245">
        <f>IF(T$9="Y",Month09!K55,I15*J15)</f>
        <v>0</v>
      </c>
      <c r="L15" s="246">
        <f>IF(T$9="Y",Month09!L55,0)</f>
        <v>0</v>
      </c>
      <c r="M15" s="111" t="str">
        <f>IF(E15=" "," ",IF(T$9="Y",Month09!M55,IF((H15+K15+L15)&gt;0,H15+K15+L15,"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IF(Employee!H$138=E$9,Employee!D$138+SUM(M15)+Month09!V55,SUM(M15)+Month09!V55)</f>
        <v>0</v>
      </c>
      <c r="W15" s="49">
        <f>IF(Employee!H$138=E$9,Employee!D$139+SUM(N15)+Month09!W55,SUM(N15)+Month09!W55)</f>
        <v>0</v>
      </c>
      <c r="X15" s="49">
        <f>IF(O15=" ",Month09!X55,O15+Month09!X55)</f>
        <v>0</v>
      </c>
      <c r="Y15" s="49">
        <f>IF(P15=" ",Month09!Y55,P15+Month09!Y55)</f>
        <v>0</v>
      </c>
      <c r="Z15" s="49">
        <f>IF(Q15=" ",Month09!Z55,Q15+Month09!Z55)</f>
        <v>0</v>
      </c>
      <c r="AA15" s="49">
        <f>IF(R15=" ",Month09!AA55,R15+Month09!AA55)</f>
        <v>0</v>
      </c>
      <c r="AC15" s="49">
        <f>IF(T15=" ",Month09!AC55,T15+Month09!AC55)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36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41</v>
      </c>
      <c r="F19" s="35"/>
      <c r="G19" s="35"/>
      <c r="H19" s="362" t="s">
        <v>28</v>
      </c>
      <c r="I19" s="363"/>
      <c r="J19" s="361"/>
      <c r="K19" s="204">
        <f>M9+1</f>
        <v>45696</v>
      </c>
      <c r="L19" s="203" t="s">
        <v>75</v>
      </c>
      <c r="M19" s="205">
        <f>K19+6</f>
        <v>45702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42</v>
      </c>
      <c r="F29" s="35"/>
      <c r="G29" s="35"/>
      <c r="H29" s="362" t="s">
        <v>28</v>
      </c>
      <c r="I29" s="363"/>
      <c r="J29" s="361"/>
      <c r="K29" s="204">
        <f>M19+1</f>
        <v>45703</v>
      </c>
      <c r="L29" s="203" t="s">
        <v>75</v>
      </c>
      <c r="M29" s="205">
        <f>K29+6</f>
        <v>45709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9"/>
      <c r="D38" s="439"/>
      <c r="E38" s="440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441"/>
      <c r="D39" s="442"/>
      <c r="E39" s="156">
        <v>43</v>
      </c>
      <c r="F39" s="35"/>
      <c r="G39" s="35"/>
      <c r="H39" s="362" t="s">
        <v>28</v>
      </c>
      <c r="I39" s="441"/>
      <c r="J39" s="442"/>
      <c r="K39" s="204">
        <f>M29+1</f>
        <v>45710</v>
      </c>
      <c r="L39" s="203" t="s">
        <v>75</v>
      </c>
      <c r="M39" s="205">
        <f>K39+6</f>
        <v>45716</v>
      </c>
      <c r="N39" s="20"/>
      <c r="O39" s="403" t="s">
        <v>62</v>
      </c>
      <c r="P39" s="443"/>
      <c r="Q39" s="443"/>
      <c r="R39" s="44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44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63"/>
      <c r="D48" s="363"/>
      <c r="E48" s="361"/>
      <c r="F48" s="32"/>
      <c r="G48" s="32"/>
      <c r="H48" s="43"/>
      <c r="I48" s="43"/>
      <c r="J48" s="43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10</v>
      </c>
      <c r="C49" s="363"/>
      <c r="D49" s="361"/>
      <c r="E49" s="156">
        <v>10</v>
      </c>
      <c r="F49" s="35"/>
      <c r="G49" s="35"/>
      <c r="H49" s="362" t="s">
        <v>28</v>
      </c>
      <c r="I49" s="363"/>
      <c r="J49" s="361"/>
      <c r="K49" s="204">
        <f>Admin!B272</f>
        <v>45688</v>
      </c>
      <c r="L49" s="203" t="s">
        <v>75</v>
      </c>
      <c r="M49" s="205">
        <f>Admin!B302</f>
        <v>45718</v>
      </c>
      <c r="N49" s="20"/>
      <c r="O49" s="403" t="s">
        <v>63</v>
      </c>
      <c r="P49" s="404"/>
      <c r="Q49" s="404"/>
      <c r="R49" s="405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IF(T$49="Y",Month09!H61,0)</f>
        <v>0</v>
      </c>
      <c r="I51" s="89">
        <f>IF(T$49="Y",Month09!I61,0)</f>
        <v>0</v>
      </c>
      <c r="J51" s="89">
        <f>IF(T$49="Y",Month09!J61,0)</f>
        <v>0</v>
      </c>
      <c r="K51" s="89">
        <f>IF(T$49="Y",Month09!K61,I51*J51)</f>
        <v>0</v>
      </c>
      <c r="L51" s="110">
        <f>IF(T$49="Y",Month09!L61,0)</f>
        <v>0</v>
      </c>
      <c r="M51" s="99" t="str">
        <f>IF(E51=" "," ",IF(T$49="Y",Month09!M61,IF((H51+K51+L51)&gt;0,H51+K51+L51,"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IF(Employee!H$35=E$49,Employee!D$34+SUM(M51)+Month09!V61,SUM(M51)+Month09!V61)</f>
        <v>0</v>
      </c>
      <c r="W51" s="49">
        <f>IF(Employee!H$35=E$49,Employee!D$35+SUM(N51)+Month09!W61,SUM(N51)+Month09!W61)</f>
        <v>0</v>
      </c>
      <c r="X51" s="49">
        <f>IF(O51=" ",Month09!X61,O51+Month09!X61)</f>
        <v>0</v>
      </c>
      <c r="Y51" s="49">
        <f>IF(P51=" ",Month09!Y61,P51+Month09!Y61)</f>
        <v>0</v>
      </c>
      <c r="Z51" s="49">
        <f>IF(Q51=" ",Month09!Z61,Q51+Month09!Z61)</f>
        <v>0</v>
      </c>
      <c r="AA51" s="49">
        <f>IF(R51=" ",Month09!AA61,R51+Month09!AA61)</f>
        <v>0</v>
      </c>
      <c r="AC51" s="49">
        <f>IF(T51=" ",Month09!AC61,T51+Month09!AC61)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IF(T$49="Y",Month09!H62,0)</f>
        <v>0</v>
      </c>
      <c r="I52" s="92">
        <f>IF(T$49="Y",Month09!I62,0)</f>
        <v>0</v>
      </c>
      <c r="J52" s="92">
        <f>IF(T$49="Y",Month09!J62,0)</f>
        <v>0</v>
      </c>
      <c r="K52" s="92">
        <f>IF(T$49="Y",Month09!K62,I52*J52)</f>
        <v>0</v>
      </c>
      <c r="L52" s="111">
        <f>IF(T$49="Y",Month09!L62,0)</f>
        <v>0</v>
      </c>
      <c r="M52" s="100" t="str">
        <f>IF(E52=" "," ",IF(T$49="Y",Month09!M62,IF((H52+K52+L52)&gt;0,H52+K52+L52,"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IF(Employee!H$61=E$49,Employee!D$60+SUM(M52)+Month09!V62,SUM(M52)+Month09!V62)</f>
        <v>0</v>
      </c>
      <c r="W52" s="49">
        <f>IF(Employee!H$61=E$49,Employee!D$61+SUM(N52)+Month09!W62,SUM(N52)+Month09!W62)</f>
        <v>0</v>
      </c>
      <c r="X52" s="49">
        <f>IF(O52=" ",Month09!X62,O52+Month09!X62)</f>
        <v>0</v>
      </c>
      <c r="Y52" s="49">
        <f>IF(P52=" ",Month09!Y62,P52+Month09!Y62)</f>
        <v>0</v>
      </c>
      <c r="Z52" s="49">
        <f>IF(Q52=" ",Month09!Z62,Q52+Month09!Z62)</f>
        <v>0</v>
      </c>
      <c r="AA52" s="49">
        <f>IF(R52=" ",Month09!AA62,R52+Month09!AA62)</f>
        <v>0</v>
      </c>
      <c r="AC52" s="49">
        <f>IF(T52=" ",Month09!AC62,T52+Month09!AC62)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IF(T$49="Y",Month09!H63,0)</f>
        <v>0</v>
      </c>
      <c r="I53" s="92">
        <f>IF(T$49="Y",Month09!I63,0)</f>
        <v>0</v>
      </c>
      <c r="J53" s="92">
        <f>IF(T$49="Y",Month09!J63,0)</f>
        <v>0</v>
      </c>
      <c r="K53" s="92">
        <f>IF(T$49="Y",Month09!K63,I53*J53)</f>
        <v>0</v>
      </c>
      <c r="L53" s="111">
        <f>IF(T$49="Y",Month09!L63,0)</f>
        <v>0</v>
      </c>
      <c r="M53" s="100" t="str">
        <f>IF(E53=" "," ",IF(T$49="Y",Month09!M63,IF((H53+K53+L53)&gt;0,H53+K53+L53,"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IF(Employee!H$87=E$49,Employee!D$86+SUM(M53)+Month09!V63,SUM(M53)+Month09!V63)</f>
        <v>0</v>
      </c>
      <c r="W53" s="49">
        <f>IF(Employee!H$87=E$49,Employee!D$87+SUM(N53)+Month09!W63,SUM(N53)+Month09!W63)</f>
        <v>0</v>
      </c>
      <c r="X53" s="49">
        <f>IF(O53=" ",Month09!X63,O53+Month09!X63)</f>
        <v>0</v>
      </c>
      <c r="Y53" s="49">
        <f>IF(P53=" ",Month09!Y63,P53+Month09!Y63)</f>
        <v>0</v>
      </c>
      <c r="Z53" s="49">
        <f>IF(Q53=" ",Month09!Z63,Q53+Month09!Z63)</f>
        <v>0</v>
      </c>
      <c r="AA53" s="49">
        <f>IF(R53=" ",Month09!AA63,R53+Month09!AA63)</f>
        <v>0</v>
      </c>
      <c r="AC53" s="49">
        <f>IF(T53=" ",Month09!AC63,T53+Month09!AC63)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IF(T$49="Y",Month09!H64,0)</f>
        <v>0</v>
      </c>
      <c r="I54" s="92">
        <f>IF(T$49="Y",Month09!I64,0)</f>
        <v>0</v>
      </c>
      <c r="J54" s="92">
        <f>IF(T$49="Y",Month09!J64,0)</f>
        <v>0</v>
      </c>
      <c r="K54" s="92">
        <f>IF(T$49="Y",Month09!K64,I54*J54)</f>
        <v>0</v>
      </c>
      <c r="L54" s="111">
        <f>IF(T$49="Y",Month09!L64,0)</f>
        <v>0</v>
      </c>
      <c r="M54" s="100" t="str">
        <f>IF(E54=" "," ",IF(T$49="Y",Month09!M64,IF((H54+K54+L54)&gt;0,H54+K54+L54,"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IF(Employee!H$113=E$49,Employee!D$112+SUM(M54)+Month09!V64,SUM(M54)+Month09!V64)</f>
        <v>0</v>
      </c>
      <c r="W54" s="49">
        <f>IF(Employee!H$113=E$49,Employee!D$113+SUM(N54)+Month09!W64,SUM(N54)+Month09!W64)</f>
        <v>0</v>
      </c>
      <c r="X54" s="49">
        <f>IF(O54=" ",Month09!X64,O54+Month09!X64)</f>
        <v>0</v>
      </c>
      <c r="Y54" s="49">
        <f>IF(P54=" ",Month09!Y64,P54+Month09!Y64)</f>
        <v>0</v>
      </c>
      <c r="Z54" s="49">
        <f>IF(Q54=" ",Month09!Z64,Q54+Month09!Z64)</f>
        <v>0</v>
      </c>
      <c r="AA54" s="49">
        <f>IF(R54=" ",Month09!AA64,R54+Month09!AA64)</f>
        <v>0</v>
      </c>
      <c r="AC54" s="49">
        <f>IF(T54=" ",Month09!AC64,T54+Month09!AC64)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IF(T$49="Y",Month09!H65,0)</f>
        <v>0</v>
      </c>
      <c r="I55" s="245">
        <f>IF(T$49="Y",Month09!I65,0)</f>
        <v>0</v>
      </c>
      <c r="J55" s="245">
        <f>IF(T$49="Y",Month09!J65,0)</f>
        <v>0</v>
      </c>
      <c r="K55" s="245">
        <f>IF(T$49="Y",Month09!K65,I55*J55)</f>
        <v>0</v>
      </c>
      <c r="L55" s="246">
        <f>IF(T$49="Y",Month09!L65,0)</f>
        <v>0</v>
      </c>
      <c r="M55" s="100" t="str">
        <f>IF(E55=" "," ",IF(T$49="Y",Month09!M65,IF((H55+K55+L55)&gt;0,H55+K55+L55,"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IF(Employee!H$139=E$49,Employee!D$138+SUM(M55)+Month09!V65,SUM(M55)+Month09!V65)</f>
        <v>0</v>
      </c>
      <c r="W55" s="49">
        <f>IF(Employee!H$139=E$49,Employee!D$139+SUM(N55)+Month09!W65,SUM(N55)+Month09!W65)</f>
        <v>0</v>
      </c>
      <c r="X55" s="49">
        <f>IF(O55=" ",Month09!X65,O55+Month09!X65)</f>
        <v>0</v>
      </c>
      <c r="Y55" s="49">
        <f>IF(P55=" ",Month09!Y65,P55+Month09!Y65)</f>
        <v>0</v>
      </c>
      <c r="Z55" s="49">
        <f>IF(Q55=" ",Month09!Z65,Q55+Month09!Z65)</f>
        <v>0</v>
      </c>
      <c r="AA55" s="49">
        <f>IF(R55=" ",Month09!AA65,R55+Month09!AA65)</f>
        <v>0</v>
      </c>
      <c r="AC55" s="49">
        <f>IF(T55=" ",Month09!AC65,T55+Month09!AC65)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361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417" t="s">
        <v>73</v>
      </c>
      <c r="N59" s="418"/>
      <c r="O59" s="418"/>
      <c r="P59" s="418"/>
      <c r="Q59" s="418"/>
      <c r="R59" s="41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AD60+Month09!AD75</f>
        <v>0</v>
      </c>
      <c r="AE65" s="158">
        <f>AE60+Month09!AE75</f>
        <v>0</v>
      </c>
      <c r="AF65" s="158">
        <f>AF60+Month09!AF75</f>
        <v>0</v>
      </c>
      <c r="AG65" s="158">
        <f>AG60+Month09!AG75</f>
        <v>0</v>
      </c>
    </row>
    <row r="66" spans="6:33" ht="14" thickTop="1" x14ac:dyDescent="0.15"/>
    <row r="67" spans="6:33" x14ac:dyDescent="0.15">
      <c r="AD67" s="162"/>
      <c r="AE67" s="158">
        <f>AE62+Month09!AE77</f>
        <v>0</v>
      </c>
      <c r="AF67" s="158">
        <f>AF62+Month09!AF77</f>
        <v>0</v>
      </c>
      <c r="AG67" s="158">
        <f>AG62+Month09!AG77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3"/>
      <c r="B1" s="448" t="s">
        <v>65</v>
      </c>
      <c r="C1" s="449"/>
      <c r="D1" s="449"/>
      <c r="E1" s="449"/>
      <c r="F1" s="450"/>
      <c r="G1" s="390">
        <f>SUM(AD60:AG60)+SUM(AE62:AG62)</f>
        <v>0</v>
      </c>
      <c r="H1" s="391"/>
      <c r="I1" s="387" t="s">
        <v>4</v>
      </c>
      <c r="J1" s="388"/>
      <c r="K1" s="388"/>
      <c r="L1" s="389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8"/>
    </row>
    <row r="2" spans="1:34" s="179" customFormat="1" ht="14.25" customHeight="1" thickBot="1" x14ac:dyDescent="0.2">
      <c r="A2" s="433"/>
      <c r="B2" s="451"/>
      <c r="C2" s="452"/>
      <c r="D2" s="452"/>
      <c r="E2" s="452"/>
      <c r="F2" s="453"/>
      <c r="G2" s="390"/>
      <c r="H2" s="391"/>
      <c r="I2" s="395" t="s">
        <v>69</v>
      </c>
      <c r="J2" s="395"/>
      <c r="K2" s="395"/>
      <c r="L2" s="396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8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44</v>
      </c>
      <c r="F9" s="35"/>
      <c r="G9" s="35"/>
      <c r="H9" s="362" t="s">
        <v>28</v>
      </c>
      <c r="I9" s="363"/>
      <c r="J9" s="361"/>
      <c r="K9" s="204">
        <f>Month10!M39+1</f>
        <v>45717</v>
      </c>
      <c r="L9" s="203" t="s">
        <v>75</v>
      </c>
      <c r="M9" s="205">
        <f>K9+6</f>
        <v>45723</v>
      </c>
      <c r="N9" s="20"/>
      <c r="O9" s="403" t="s">
        <v>62</v>
      </c>
      <c r="P9" s="404"/>
      <c r="Q9" s="404"/>
      <c r="R9" s="40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IF(T$9="Y",Month10!H41,0)</f>
        <v>0</v>
      </c>
      <c r="I11" s="89">
        <f>IF(T$9="Y",Month10!I41,0)</f>
        <v>0</v>
      </c>
      <c r="J11" s="89">
        <f>IF(T$9="Y",Month10!J41,0)</f>
        <v>0</v>
      </c>
      <c r="K11" s="89">
        <f>IF(T$9="Y",Month10!K41,I11*J11)</f>
        <v>0</v>
      </c>
      <c r="L11" s="110">
        <f>IF(T$9="Y",Month10!L41,0)</f>
        <v>0</v>
      </c>
      <c r="M11" s="110" t="str">
        <f>IF(E11=" "," ",IF(T$9="Y",Month10!M41,IF((H11+K11+L11)&gt;0,H11+K11+L11,"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IF(Employee!H$34=E$9,Employee!D$34+SUM(M11)+Month10!V41,SUM(M11)+Month10!V41)</f>
        <v>0</v>
      </c>
      <c r="W11" s="49">
        <f>IF(Employee!H$34=E$9,Employee!D$35+SUM(N11)+Month10!W41,SUM(N11)+Month10!W41)</f>
        <v>0</v>
      </c>
      <c r="X11" s="49">
        <f>IF(O11=" ",Month10!X41,O11+Month10!X41)</f>
        <v>0</v>
      </c>
      <c r="Y11" s="49">
        <f>IF(P11=" ",Month10!Y41,P11+Month10!Y41)</f>
        <v>0</v>
      </c>
      <c r="Z11" s="49">
        <f>IF(Q11=" ",Month10!Z41,Q11+Month10!Z41)</f>
        <v>0</v>
      </c>
      <c r="AA11" s="49">
        <f>IF(R11=" ",Month10!AA41,R11+Month10!AA41)</f>
        <v>0</v>
      </c>
      <c r="AC11" s="49">
        <f>IF(T11=" ",Month10!AC41,T11+Month10!AC41)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IF(T$9="Y",Month10!H42,0)</f>
        <v>0</v>
      </c>
      <c r="I12" s="92">
        <f>IF(T$9="Y",Month10!I42,0)</f>
        <v>0</v>
      </c>
      <c r="J12" s="92">
        <f>IF(T$9="Y",Month10!J42,0)</f>
        <v>0</v>
      </c>
      <c r="K12" s="92">
        <f>IF(T$9="Y",Month10!K42,I12*J12)</f>
        <v>0</v>
      </c>
      <c r="L12" s="111">
        <f>IF(T$9="Y",Month10!L42,0)</f>
        <v>0</v>
      </c>
      <c r="M12" s="111" t="str">
        <f>IF(E12=" "," ",IF(T$9="Y",Month10!M42,IF((H12+K12+L12)&gt;0,H12+K12+L12,"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IF(Employee!H$60=E$9,Employee!D$60+SUM(M12)+Month10!V42,SUM(M12)+Month10!V42)</f>
        <v>0</v>
      </c>
      <c r="W12" s="49">
        <f>IF(Employee!H$60=E$9,Employee!D$61+SUM(N12)+Month10!W42,SUM(N12)+Month10!W42)</f>
        <v>0</v>
      </c>
      <c r="X12" s="49">
        <f>IF(O12=" ",Month10!X42,O12+Month10!X42)</f>
        <v>0</v>
      </c>
      <c r="Y12" s="49">
        <f>IF(P12=" ",Month10!Y42,P12+Month10!Y42)</f>
        <v>0</v>
      </c>
      <c r="Z12" s="49">
        <f>IF(Q12=" ",Month10!Z42,Q12+Month10!Z42)</f>
        <v>0</v>
      </c>
      <c r="AA12" s="49">
        <f>IF(R12=" ",Month10!AA42,R12+Month10!AA42)</f>
        <v>0</v>
      </c>
      <c r="AC12" s="49">
        <f>IF(T12=" ",Month10!AC42,T12+Month10!AC42)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IF(T$9="Y",Month10!H43,0)</f>
        <v>0</v>
      </c>
      <c r="I13" s="92">
        <f>IF(T$9="Y",Month10!I43,0)</f>
        <v>0</v>
      </c>
      <c r="J13" s="92">
        <f>IF(T$9="Y",Month10!J43,0)</f>
        <v>0</v>
      </c>
      <c r="K13" s="92">
        <f>IF(T$9="Y",Month10!K43,I13*J13)</f>
        <v>0</v>
      </c>
      <c r="L13" s="111">
        <f>IF(T$9="Y",Month10!L43,0)</f>
        <v>0</v>
      </c>
      <c r="M13" s="111" t="str">
        <f>IF(E13=" "," ",IF(T$9="Y",Month10!M43,IF((H13+K13+L13)&gt;0,H13+K13+L13,"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IF(Employee!H$86=E$9,Employee!D$86+SUM(M13)+Month10!V43,SUM(M13)+Month10!V43)</f>
        <v>0</v>
      </c>
      <c r="W13" s="49">
        <f>IF(Employee!H$86=E$9,Employee!D$87+SUM(N13)+Month10!W43,SUM(N13)+Month10!W43)</f>
        <v>0</v>
      </c>
      <c r="X13" s="49">
        <f>IF(O13=" ",Month10!X43,O13+Month10!X43)</f>
        <v>0</v>
      </c>
      <c r="Y13" s="49">
        <f>IF(P13=" ",Month10!Y43,P13+Month10!Y43)</f>
        <v>0</v>
      </c>
      <c r="Z13" s="49">
        <f>IF(Q13=" ",Month10!Z43,Q13+Month10!Z43)</f>
        <v>0</v>
      </c>
      <c r="AA13" s="49">
        <f>IF(R13=" ",Month10!AA43,R13+Month10!AA43)</f>
        <v>0</v>
      </c>
      <c r="AC13" s="49">
        <f>IF(T13=" ",Month10!AC43,T13+Month10!AC43)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IF(T$9="Y",Month10!H44,0)</f>
        <v>0</v>
      </c>
      <c r="I14" s="92">
        <f>IF(T$9="Y",Month10!I44,0)</f>
        <v>0</v>
      </c>
      <c r="J14" s="92">
        <f>IF(T$9="Y",Month10!J44,0)</f>
        <v>0</v>
      </c>
      <c r="K14" s="92">
        <f>IF(T$9="Y",Month10!K44,I14*J14)</f>
        <v>0</v>
      </c>
      <c r="L14" s="111">
        <f>IF(T$9="Y",Month10!L44,0)</f>
        <v>0</v>
      </c>
      <c r="M14" s="111" t="str">
        <f>IF(E14=" "," ",IF(T$9="Y",Month10!M44,IF((H14+K14+L14)&gt;0,H14+K14+L14,"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IF(Employee!H$112=E$9,Employee!D$112+SUM(M14)+Month10!V44,SUM(M14)+Month10!V44)</f>
        <v>0</v>
      </c>
      <c r="W14" s="49">
        <f>IF(Employee!H$112=E$9,Employee!D$113+SUM(N14)+Month10!W44,SUM(N14)+Month10!W44)</f>
        <v>0</v>
      </c>
      <c r="X14" s="49">
        <f>IF(O14=" ",Month10!X44,O14+Month10!X44)</f>
        <v>0</v>
      </c>
      <c r="Y14" s="49">
        <f>IF(P14=" ",Month10!Y44,P14+Month10!Y44)</f>
        <v>0</v>
      </c>
      <c r="Z14" s="49">
        <f>IF(Q14=" ",Month10!Z44,Q14+Month10!Z44)</f>
        <v>0</v>
      </c>
      <c r="AA14" s="49">
        <f>IF(R14=" ",Month10!AA44,R14+Month10!AA44)</f>
        <v>0</v>
      </c>
      <c r="AC14" s="49">
        <f>IF(T14=" ",Month10!AC44,T14+Month10!AC44)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IF(T$9="Y",Month10!H45,0)</f>
        <v>0</v>
      </c>
      <c r="I15" s="245">
        <f>IF(T$9="Y",Month10!I45,0)</f>
        <v>0</v>
      </c>
      <c r="J15" s="245">
        <f>IF(T$9="Y",Month10!J45,0)</f>
        <v>0</v>
      </c>
      <c r="K15" s="245">
        <f>IF(T$9="Y",Month10!K45,I15*J15)</f>
        <v>0</v>
      </c>
      <c r="L15" s="246">
        <f>IF(T$19="Y",Month10!L45,0)</f>
        <v>0</v>
      </c>
      <c r="M15" s="111" t="str">
        <f>IF(E15=" "," ",IF(T$9="Y",Month10!M45,IF((H15+K15+L15)&gt;0,H15+K15+L15,"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IF(Employee!H$138=E$9,Employee!D$138+SUM(M15)+Month10!V45,SUM(M15)+Month10!V45)</f>
        <v>0</v>
      </c>
      <c r="W15" s="49">
        <f>IF(Employee!H$138=E$9,Employee!D$139+SUM(N15)+Month10!W45,SUM(N15)+Month10!W45)</f>
        <v>0</v>
      </c>
      <c r="X15" s="49">
        <f>IF(O15=" ",Month10!X45,O15+Month10!X45)</f>
        <v>0</v>
      </c>
      <c r="Y15" s="49">
        <f>IF(P15=" ",Month10!Y45,P15+Month10!Y45)</f>
        <v>0</v>
      </c>
      <c r="Z15" s="49">
        <f>IF(Q15=" ",Month10!Z45,Q15+Month10!Z45)</f>
        <v>0</v>
      </c>
      <c r="AA15" s="49">
        <f>IF(R15=" ",Month10!AA45,R15+Month10!AA45)</f>
        <v>0</v>
      </c>
      <c r="AC15" s="49">
        <f>IF(T15=" ",Month10!AC45,T15+Month10!AC45)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36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45</v>
      </c>
      <c r="F19" s="35"/>
      <c r="G19" s="35"/>
      <c r="H19" s="362" t="s">
        <v>28</v>
      </c>
      <c r="I19" s="363"/>
      <c r="J19" s="361"/>
      <c r="K19" s="204">
        <f>M9+1</f>
        <v>45724</v>
      </c>
      <c r="L19" s="203" t="s">
        <v>75</v>
      </c>
      <c r="M19" s="205">
        <f>K19+6</f>
        <v>45730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46</v>
      </c>
      <c r="F29" s="35"/>
      <c r="G29" s="35"/>
      <c r="H29" s="362" t="s">
        <v>28</v>
      </c>
      <c r="I29" s="363"/>
      <c r="J29" s="361"/>
      <c r="K29" s="204">
        <f>M19+1</f>
        <v>45731</v>
      </c>
      <c r="L29" s="203" t="s">
        <v>75</v>
      </c>
      <c r="M29" s="205">
        <f>K29+6</f>
        <v>45737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9"/>
      <c r="D38" s="439"/>
      <c r="E38" s="440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441"/>
      <c r="D39" s="442"/>
      <c r="E39" s="156">
        <v>47</v>
      </c>
      <c r="F39" s="35"/>
      <c r="G39" s="35"/>
      <c r="H39" s="362" t="s">
        <v>28</v>
      </c>
      <c r="I39" s="441"/>
      <c r="J39" s="442"/>
      <c r="K39" s="204">
        <f>M29+1</f>
        <v>45738</v>
      </c>
      <c r="L39" s="203" t="s">
        <v>75</v>
      </c>
      <c r="M39" s="205">
        <f>K39+6</f>
        <v>45744</v>
      </c>
      <c r="N39" s="20"/>
      <c r="O39" s="403" t="s">
        <v>62</v>
      </c>
      <c r="P39" s="443"/>
      <c r="Q39" s="443"/>
      <c r="R39" s="44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44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24</v>
      </c>
      <c r="C48" s="363"/>
      <c r="D48" s="363"/>
      <c r="E48" s="361"/>
      <c r="F48" s="32"/>
      <c r="G48" s="32"/>
      <c r="H48" s="43"/>
      <c r="I48" s="43"/>
      <c r="J48" s="43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10</v>
      </c>
      <c r="C49" s="363"/>
      <c r="D49" s="361"/>
      <c r="E49" s="156">
        <v>11</v>
      </c>
      <c r="F49" s="35"/>
      <c r="G49" s="35"/>
      <c r="H49" s="362" t="s">
        <v>28</v>
      </c>
      <c r="I49" s="363"/>
      <c r="J49" s="361"/>
      <c r="K49" s="204">
        <f>Admin!B303</f>
        <v>45719</v>
      </c>
      <c r="L49" s="203" t="s">
        <v>75</v>
      </c>
      <c r="M49" s="205">
        <f>Admin!B330</f>
        <v>45746</v>
      </c>
      <c r="N49" s="20"/>
      <c r="O49" s="403" t="s">
        <v>63</v>
      </c>
      <c r="P49" s="404"/>
      <c r="Q49" s="404"/>
      <c r="R49" s="405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IF(T$49="Y",Month10!H51,0)</f>
        <v>0</v>
      </c>
      <c r="I51" s="89">
        <f>IF(T$49="Y",Month10!I51,0)</f>
        <v>0</v>
      </c>
      <c r="J51" s="89">
        <f>IF(T$49="Y",Month10!J51,0)</f>
        <v>0</v>
      </c>
      <c r="K51" s="89">
        <f>IF(T$49="Y",Month10!K51,I51*J51)</f>
        <v>0</v>
      </c>
      <c r="L51" s="110">
        <f>IF(T$49="Y",Month10!L51,0)</f>
        <v>0</v>
      </c>
      <c r="M51" s="99" t="str">
        <f>IF(E51=" "," ",IF(T$49="Y",Month10!M51,IF((H51+K51+L51)&gt;0,H51+K51+L51,"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IF(Employee!H$35=E$49,Employee!D$34+SUM(M51)+Month10!V51,SUM(M51)+Month10!V51)</f>
        <v>0</v>
      </c>
      <c r="W51" s="49">
        <f>IF(Employee!H$35=E$49,Employee!D$35+SUM(N51)+Month10!W51,SUM(N51)+Month10!W51)</f>
        <v>0</v>
      </c>
      <c r="X51" s="49">
        <f>IF(O51=" ",Month10!X51,O51+Month10!X51)</f>
        <v>0</v>
      </c>
      <c r="Y51" s="49">
        <f>IF(P51=" ",Month10!Y51,P51+Month10!Y51)</f>
        <v>0</v>
      </c>
      <c r="Z51" s="49">
        <f>IF(Q51=" ",Month10!Z51,Q51+Month10!Z51)</f>
        <v>0</v>
      </c>
      <c r="AA51" s="49">
        <f>IF(R51=" ",Month10!AA51,R51+Month10!AA51)</f>
        <v>0</v>
      </c>
      <c r="AC51" s="49">
        <f>IF(T51=" ",Month10!AC51,T51+Month10!AC51)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IF(T$49="Y",Month10!H52,0)</f>
        <v>0</v>
      </c>
      <c r="I52" s="92">
        <f>IF(T$49="Y",Month10!I52,0)</f>
        <v>0</v>
      </c>
      <c r="J52" s="92">
        <f>IF(T$49="Y",Month10!J52,0)</f>
        <v>0</v>
      </c>
      <c r="K52" s="92">
        <f>IF(T$49="Y",Month10!K52,I52*J52)</f>
        <v>0</v>
      </c>
      <c r="L52" s="111">
        <f>IF(T$49="Y",Month10!L52,0)</f>
        <v>0</v>
      </c>
      <c r="M52" s="100" t="str">
        <f>IF(E52=" "," ",IF(T$49="Y",Month10!M52,IF((H52+K52+L52)&gt;0,H52+K52+L52,"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IF(Employee!H$61=E$49,Employee!D$60+SUM(M52)+Month10!V52,SUM(M52)+Month10!V52)</f>
        <v>0</v>
      </c>
      <c r="W52" s="49">
        <f>IF(Employee!H$61=E$49,Employee!D$61+SUM(N52)+Month10!W52,SUM(N52)+Month10!W52)</f>
        <v>0</v>
      </c>
      <c r="X52" s="49">
        <f>IF(O52=" ",Month10!X52,O52+Month10!X52)</f>
        <v>0</v>
      </c>
      <c r="Y52" s="49">
        <f>IF(P52=" ",Month10!Y52,P52+Month10!Y52)</f>
        <v>0</v>
      </c>
      <c r="Z52" s="49">
        <f>IF(Q52=" ",Month10!Z52,Q52+Month10!Z52)</f>
        <v>0</v>
      </c>
      <c r="AA52" s="49">
        <f>IF(R52=" ",Month10!AA52,R52+Month10!AA52)</f>
        <v>0</v>
      </c>
      <c r="AC52" s="49">
        <f>IF(T52=" ",Month10!AC52,T52+Month10!AC52)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IF(T$49="Y",Month10!H53,0)</f>
        <v>0</v>
      </c>
      <c r="I53" s="92">
        <f>IF(T$49="Y",Month10!I53,0)</f>
        <v>0</v>
      </c>
      <c r="J53" s="92">
        <f>IF(T$49="Y",Month10!J53,0)</f>
        <v>0</v>
      </c>
      <c r="K53" s="92">
        <f>IF(T$49="Y",Month10!K53,I53*J53)</f>
        <v>0</v>
      </c>
      <c r="L53" s="111">
        <f>IF(T$49="Y",Month10!L53,0)</f>
        <v>0</v>
      </c>
      <c r="M53" s="100" t="str">
        <f>IF(E53=" "," ",IF(T$49="Y",Month10!M53,IF((H53+K53+L53)&gt;0,H53+K53+L53,"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IF(Employee!H$87=E$49,Employee!D$86+SUM(M53)+Month10!V53,SUM(M53)+Month10!V53)</f>
        <v>0</v>
      </c>
      <c r="W53" s="49">
        <f>IF(Employee!H$87=E$49,Employee!D$87+SUM(N53)+Month10!W53,SUM(N53)+Month10!W53)</f>
        <v>0</v>
      </c>
      <c r="X53" s="49">
        <f>IF(O53=" ",Month10!X53,O53+Month10!X53)</f>
        <v>0</v>
      </c>
      <c r="Y53" s="49">
        <f>IF(P53=" ",Month10!Y53,P53+Month10!Y53)</f>
        <v>0</v>
      </c>
      <c r="Z53" s="49">
        <f>IF(Q53=" ",Month10!Z53,Q53+Month10!Z53)</f>
        <v>0</v>
      </c>
      <c r="AA53" s="49">
        <f>IF(R53=" ",Month10!AA53,R53+Month10!AA53)</f>
        <v>0</v>
      </c>
      <c r="AC53" s="49">
        <f>IF(T53=" ",Month10!AC53,T53+Month10!AC53)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IF(T$49="Y",Month10!H54,0)</f>
        <v>0</v>
      </c>
      <c r="I54" s="92">
        <f>IF(T$49="Y",Month10!I54,0)</f>
        <v>0</v>
      </c>
      <c r="J54" s="92">
        <f>IF(T$49="Y",Month10!J54,0)</f>
        <v>0</v>
      </c>
      <c r="K54" s="92">
        <f>IF(T$49="Y",Month10!K54,I54*J54)</f>
        <v>0</v>
      </c>
      <c r="L54" s="111">
        <f>IF(T$49="Y",Month10!L54,0)</f>
        <v>0</v>
      </c>
      <c r="M54" s="100" t="str">
        <f>IF(E54=" "," ",IF(T$49="Y",Month10!M54,IF((H54+K54+L54)&gt;0,H54+K54+L54,"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IF(Employee!H$113=E$49,Employee!D$112+SUM(M54)+Month10!V54,SUM(M54)+Month10!V54)</f>
        <v>0</v>
      </c>
      <c r="W54" s="49">
        <f>IF(Employee!H$113=E$49,Employee!D$113+SUM(N54)+Month10!W54,SUM(N54)+Month10!W54)</f>
        <v>0</v>
      </c>
      <c r="X54" s="49">
        <f>IF(O54=" ",Month10!X54,O54+Month10!X54)</f>
        <v>0</v>
      </c>
      <c r="Y54" s="49">
        <f>IF(P54=" ",Month10!Y54,P54+Month10!Y54)</f>
        <v>0</v>
      </c>
      <c r="Z54" s="49">
        <f>IF(Q54=" ",Month10!Z54,Q54+Month10!Z54)</f>
        <v>0</v>
      </c>
      <c r="AA54" s="49">
        <f>IF(R54=" ",Month10!AA54,R54+Month10!AA54)</f>
        <v>0</v>
      </c>
      <c r="AC54" s="49">
        <f>IF(T54=" ",Month10!AC54,T54+Month10!AC54)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IF(T$49="Y",Month10!H55,0)</f>
        <v>0</v>
      </c>
      <c r="I55" s="245">
        <f>IF(T$49="Y",Month10!I55,0)</f>
        <v>0</v>
      </c>
      <c r="J55" s="245">
        <f>IF(T$49="Y",Month10!J55,0)</f>
        <v>0</v>
      </c>
      <c r="K55" s="245">
        <f>IF(T$49="Y",Month10!K55,I55*J55)</f>
        <v>0</v>
      </c>
      <c r="L55" s="246">
        <f>IF(T$49="Y",Month10!L55,0)</f>
        <v>0</v>
      </c>
      <c r="M55" s="100" t="str">
        <f>IF(E55=" "," ",IF(T$49="Y",Month10!M55,IF((H55+K55+L55)&gt;0,H55+K55+L55,"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IF(Employee!H$139=E$49,Employee!D$138+SUM(M55)+Month10!V55,SUM(M55)+Month10!V55)</f>
        <v>0</v>
      </c>
      <c r="W55" s="49">
        <f>IF(Employee!H$139=E$49,Employee!D$139+SUM(N55)+Month10!W55,SUM(N55)+Month10!W55)</f>
        <v>0</v>
      </c>
      <c r="X55" s="49">
        <f>IF(O55=" ",Month10!X55,O55+Month10!X55)</f>
        <v>0</v>
      </c>
      <c r="Y55" s="49">
        <f>IF(P55=" ",Month10!Y55,P55+Month10!Y55)</f>
        <v>0</v>
      </c>
      <c r="Z55" s="49">
        <f>IF(Q55=" ",Month10!Z55,Q55+Month10!Z55)</f>
        <v>0</v>
      </c>
      <c r="AA55" s="49">
        <f>IF(R55=" ",Month10!AA55,R55+Month10!AA55)</f>
        <v>0</v>
      </c>
      <c r="AC55" s="49">
        <f>IF(T55=" ",Month10!AC55,T55+Month10!AC55)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361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70</v>
      </c>
      <c r="G59" s="180"/>
      <c r="H59" s="180"/>
      <c r="M59" s="417" t="s">
        <v>73</v>
      </c>
      <c r="N59" s="418"/>
      <c r="O59" s="418"/>
      <c r="P59" s="418"/>
      <c r="Q59" s="418"/>
      <c r="R59" s="418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72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AD60+Month10!AD65</f>
        <v>0</v>
      </c>
      <c r="AE65" s="158">
        <f>AE60+Month10!AE65</f>
        <v>0</v>
      </c>
      <c r="AF65" s="158">
        <f>AF60+Month10!AF65</f>
        <v>0</v>
      </c>
      <c r="AG65" s="158">
        <f>AG60+Month10!AG65</f>
        <v>0</v>
      </c>
    </row>
    <row r="66" spans="6:33" ht="14" thickTop="1" x14ac:dyDescent="0.15"/>
    <row r="67" spans="6:33" x14ac:dyDescent="0.15">
      <c r="AD67" s="162"/>
      <c r="AE67" s="158">
        <f>AE62+Month10!AE67</f>
        <v>0</v>
      </c>
      <c r="AF67" s="158">
        <f>AF62+Month10!AF67</f>
        <v>0</v>
      </c>
      <c r="AG67" s="158">
        <f>AG62+Month10!AG67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3"/>
      <c r="B1" s="424" t="s">
        <v>65</v>
      </c>
      <c r="C1" s="425"/>
      <c r="D1" s="425"/>
      <c r="E1" s="425"/>
      <c r="F1" s="426"/>
      <c r="G1" s="437">
        <f>SUM(AD80:AG80)+SUM(AE82:AG82)</f>
        <v>0</v>
      </c>
      <c r="H1" s="438"/>
      <c r="I1" s="435" t="s">
        <v>4</v>
      </c>
      <c r="J1" s="446"/>
      <c r="K1" s="446"/>
      <c r="L1" s="447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5"/>
      <c r="V1" s="419" t="s">
        <v>25</v>
      </c>
      <c r="W1" s="420"/>
      <c r="X1" s="420"/>
      <c r="Y1" s="420"/>
      <c r="Z1" s="420"/>
      <c r="AA1" s="420"/>
      <c r="AB1" s="420"/>
      <c r="AC1" s="421"/>
      <c r="AD1" s="406" t="s">
        <v>61</v>
      </c>
      <c r="AE1" s="406"/>
      <c r="AF1" s="406"/>
      <c r="AG1" s="406"/>
      <c r="AH1" s="24"/>
    </row>
    <row r="2" spans="1:34" s="4" customFormat="1" ht="15" customHeight="1" thickBot="1" x14ac:dyDescent="0.2">
      <c r="A2" s="433"/>
      <c r="B2" s="427"/>
      <c r="C2" s="428"/>
      <c r="D2" s="428"/>
      <c r="E2" s="428"/>
      <c r="F2" s="429"/>
      <c r="G2" s="390"/>
      <c r="H2" s="391"/>
      <c r="I2" s="395" t="s">
        <v>69</v>
      </c>
      <c r="J2" s="395"/>
      <c r="K2" s="395"/>
      <c r="L2" s="396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5"/>
      <c r="V2" s="422"/>
      <c r="W2" s="407"/>
      <c r="X2" s="407"/>
      <c r="Y2" s="407"/>
      <c r="Z2" s="407"/>
      <c r="AA2" s="407"/>
      <c r="AB2" s="407"/>
      <c r="AC2" s="423"/>
      <c r="AD2" s="407"/>
      <c r="AE2" s="407"/>
      <c r="AF2" s="407"/>
      <c r="AG2" s="407"/>
      <c r="AH2" s="24"/>
    </row>
    <row r="3" spans="1:34" s="7" customFormat="1" ht="15" customHeight="1" thickTop="1" x14ac:dyDescent="0.15">
      <c r="A3" s="383"/>
      <c r="B3" s="392" t="s">
        <v>71</v>
      </c>
      <c r="C3" s="392" t="s">
        <v>45</v>
      </c>
      <c r="D3" s="392" t="s">
        <v>6</v>
      </c>
      <c r="E3" s="397" t="s">
        <v>38</v>
      </c>
      <c r="F3" s="400" t="s">
        <v>0</v>
      </c>
      <c r="G3" s="105" t="s">
        <v>39</v>
      </c>
      <c r="H3" s="367" t="str">
        <f>Month01!H3:H6</f>
        <v>Statutory Pay</v>
      </c>
      <c r="I3" s="367" t="str">
        <f>Month01!I3:I6</f>
        <v>Basic hours</v>
      </c>
      <c r="J3" s="367" t="str">
        <f>Month01!J3:J6</f>
        <v>Hourly rate</v>
      </c>
      <c r="K3" s="367" t="str">
        <f>Month01!K3:K6</f>
        <v>Basic    wages</v>
      </c>
      <c r="L3" s="367" t="str">
        <f>Month01!L3:L6</f>
        <v>Overtime Bonus Gratuities</v>
      </c>
      <c r="M3" s="430" t="str">
        <f>Month01!M3:M6</f>
        <v>GROSS WAGES</v>
      </c>
      <c r="N3" s="367" t="str">
        <f>Month01!N3:N6</f>
        <v>Income Tax</v>
      </c>
      <c r="O3" s="367" t="str">
        <f>Month01!O3:O6</f>
        <v>Employees National Insurance</v>
      </c>
      <c r="P3" s="367" t="str">
        <f>Month01!P3:P6</f>
        <v>Student Loans</v>
      </c>
      <c r="Q3" s="367" t="str">
        <f>Month01!Q3:Q6</f>
        <v>Other Deductions</v>
      </c>
      <c r="R3" s="430" t="str">
        <f>Month01!R3:R6</f>
        <v>NET      PAY</v>
      </c>
      <c r="S3" s="42"/>
      <c r="T3" s="367" t="str">
        <f>Month01!T3:T6</f>
        <v>Employers National Insurance</v>
      </c>
      <c r="U3" s="416"/>
      <c r="V3" s="411" t="s">
        <v>5</v>
      </c>
      <c r="W3" s="411" t="s">
        <v>1</v>
      </c>
      <c r="X3" s="411" t="s">
        <v>26</v>
      </c>
      <c r="Y3" s="412" t="s">
        <v>22</v>
      </c>
      <c r="Z3" s="411" t="s">
        <v>2</v>
      </c>
      <c r="AA3" s="411" t="s">
        <v>3</v>
      </c>
      <c r="AB3" s="42"/>
      <c r="AC3" s="411" t="s">
        <v>27</v>
      </c>
      <c r="AD3" s="408" t="s">
        <v>57</v>
      </c>
      <c r="AE3" s="408" t="s">
        <v>58</v>
      </c>
      <c r="AF3" s="408" t="s">
        <v>59</v>
      </c>
      <c r="AG3" s="408" t="s">
        <v>60</v>
      </c>
      <c r="AH3" s="160"/>
    </row>
    <row r="4" spans="1:34" s="7" customFormat="1" ht="15" customHeight="1" x14ac:dyDescent="0.15">
      <c r="A4" s="383"/>
      <c r="B4" s="393"/>
      <c r="C4" s="393"/>
      <c r="D4" s="393"/>
      <c r="E4" s="398"/>
      <c r="F4" s="376"/>
      <c r="G4" s="106" t="s">
        <v>40</v>
      </c>
      <c r="H4" s="370"/>
      <c r="I4" s="370"/>
      <c r="J4" s="370"/>
      <c r="K4" s="370"/>
      <c r="L4" s="370"/>
      <c r="M4" s="431"/>
      <c r="N4" s="370"/>
      <c r="O4" s="370"/>
      <c r="P4" s="370"/>
      <c r="Q4" s="370"/>
      <c r="R4" s="431"/>
      <c r="S4" s="42"/>
      <c r="T4" s="370"/>
      <c r="U4" s="416"/>
      <c r="V4" s="376"/>
      <c r="W4" s="376"/>
      <c r="X4" s="376"/>
      <c r="Y4" s="413"/>
      <c r="Z4" s="376"/>
      <c r="AA4" s="376"/>
      <c r="AB4" s="42"/>
      <c r="AC4" s="376"/>
      <c r="AD4" s="409"/>
      <c r="AE4" s="409"/>
      <c r="AF4" s="409"/>
      <c r="AG4" s="409"/>
      <c r="AH4" s="160"/>
    </row>
    <row r="5" spans="1:34" s="7" customFormat="1" ht="15" customHeight="1" x14ac:dyDescent="0.15">
      <c r="A5" s="383"/>
      <c r="B5" s="393"/>
      <c r="C5" s="393"/>
      <c r="D5" s="393"/>
      <c r="E5" s="398"/>
      <c r="F5" s="376"/>
      <c r="G5" s="106" t="s">
        <v>41</v>
      </c>
      <c r="H5" s="370"/>
      <c r="I5" s="370"/>
      <c r="J5" s="370"/>
      <c r="K5" s="370"/>
      <c r="L5" s="370"/>
      <c r="M5" s="431"/>
      <c r="N5" s="370"/>
      <c r="O5" s="370"/>
      <c r="P5" s="370"/>
      <c r="Q5" s="370"/>
      <c r="R5" s="431"/>
      <c r="S5" s="42"/>
      <c r="T5" s="370"/>
      <c r="U5" s="416"/>
      <c r="V5" s="376"/>
      <c r="W5" s="376"/>
      <c r="X5" s="376"/>
      <c r="Y5" s="413"/>
      <c r="Z5" s="376"/>
      <c r="AA5" s="376"/>
      <c r="AB5" s="42"/>
      <c r="AC5" s="376"/>
      <c r="AD5" s="409"/>
      <c r="AE5" s="409"/>
      <c r="AF5" s="409"/>
      <c r="AG5" s="409"/>
      <c r="AH5" s="160"/>
    </row>
    <row r="6" spans="1:34" s="8" customFormat="1" ht="15" customHeight="1" x14ac:dyDescent="0.15">
      <c r="A6" s="383"/>
      <c r="B6" s="394"/>
      <c r="C6" s="394"/>
      <c r="D6" s="394"/>
      <c r="E6" s="399"/>
      <c r="F6" s="376"/>
      <c r="G6" s="107" t="s">
        <v>42</v>
      </c>
      <c r="H6" s="371"/>
      <c r="I6" s="371"/>
      <c r="J6" s="371"/>
      <c r="K6" s="371"/>
      <c r="L6" s="371"/>
      <c r="M6" s="432"/>
      <c r="N6" s="371"/>
      <c r="O6" s="371"/>
      <c r="P6" s="371"/>
      <c r="Q6" s="371"/>
      <c r="R6" s="432"/>
      <c r="S6" s="41"/>
      <c r="T6" s="371"/>
      <c r="U6" s="416"/>
      <c r="V6" s="376"/>
      <c r="W6" s="376"/>
      <c r="X6" s="376"/>
      <c r="Y6" s="414"/>
      <c r="Z6" s="376"/>
      <c r="AA6" s="376"/>
      <c r="AB6" s="41"/>
      <c r="AC6" s="376"/>
      <c r="AD6" s="410"/>
      <c r="AE6" s="410"/>
      <c r="AF6" s="410"/>
      <c r="AG6" s="410"/>
      <c r="AH6" s="128"/>
    </row>
    <row r="7" spans="1:34" s="8" customFormat="1" ht="24" customHeight="1" thickBot="1" x14ac:dyDescent="0.2">
      <c r="A7" s="128"/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2"/>
      <c r="M7" s="372"/>
      <c r="N7" s="372"/>
      <c r="O7" s="372"/>
      <c r="P7" s="372"/>
      <c r="Q7" s="372"/>
      <c r="R7" s="372"/>
      <c r="S7" s="372"/>
      <c r="T7" s="372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7" t="s">
        <v>23</v>
      </c>
      <c r="C8" s="363"/>
      <c r="D8" s="363"/>
      <c r="E8" s="361"/>
      <c r="F8" s="32"/>
      <c r="G8" s="86"/>
      <c r="H8" s="87"/>
      <c r="I8" s="87"/>
      <c r="J8" s="87"/>
      <c r="K8" s="46"/>
      <c r="L8" s="46"/>
      <c r="M8" s="43"/>
      <c r="N8" s="32"/>
      <c r="O8" s="364" t="s">
        <v>28</v>
      </c>
      <c r="P8" s="365"/>
      <c r="Q8" s="366"/>
      <c r="R8" s="401"/>
      <c r="S8" s="402"/>
      <c r="T8" s="402"/>
      <c r="U8" s="33"/>
      <c r="AH8" s="35"/>
    </row>
    <row r="9" spans="1:34" ht="18" customHeight="1" thickTop="1" thickBot="1" x14ac:dyDescent="0.2">
      <c r="A9" s="34"/>
      <c r="B9" s="362" t="s">
        <v>9</v>
      </c>
      <c r="C9" s="363"/>
      <c r="D9" s="361"/>
      <c r="E9" s="156">
        <v>48</v>
      </c>
      <c r="F9" s="35"/>
      <c r="G9" s="35"/>
      <c r="H9" s="362" t="s">
        <v>28</v>
      </c>
      <c r="I9" s="363"/>
      <c r="J9" s="361"/>
      <c r="K9" s="204">
        <f>Month11!M39+1</f>
        <v>45745</v>
      </c>
      <c r="L9" s="203" t="s">
        <v>75</v>
      </c>
      <c r="M9" s="205">
        <f>K9+6</f>
        <v>45751</v>
      </c>
      <c r="N9" s="20"/>
      <c r="O9" s="403" t="s">
        <v>62</v>
      </c>
      <c r="P9" s="404"/>
      <c r="Q9" s="404"/>
      <c r="R9" s="405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106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IF(T$9="Y",Month11!H41,0)</f>
        <v>0</v>
      </c>
      <c r="I11" s="89">
        <f>IF(T$9="Y",Month11!I41,0)</f>
        <v>0</v>
      </c>
      <c r="J11" s="89">
        <f>IF(T$9="Y",Month11!J41,0)</f>
        <v>0</v>
      </c>
      <c r="K11" s="89">
        <f>IF(T$9="Y",Month11!K41,I11*J11)</f>
        <v>0</v>
      </c>
      <c r="L11" s="110">
        <f>IF(T$9="Y",Month11!L41,0)</f>
        <v>0</v>
      </c>
      <c r="M11" s="110" t="str">
        <f>IF(E11=" "," ",IF(T$9="Y",Month11!M41,IF((H11+K11+L11)&gt;0,H11+K11+L11,"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IF(Employee!H$34=E$9,Employee!D$34+SUM(M11)+Month11!V41,SUM(M11)+Month11!V41)</f>
        <v>0</v>
      </c>
      <c r="W11" s="49">
        <f>IF(Employee!H$34=E$9,Employee!D$35+SUM(N11)+Month11!W41,SUM(N11)+Month11!W41)</f>
        <v>0</v>
      </c>
      <c r="X11" s="49">
        <f>IF(O11=" ",Month11!X41,O11+Month11!X41)</f>
        <v>0</v>
      </c>
      <c r="Y11" s="49">
        <f>IF(P11=" ",Month11!Y41,P11+Month11!Y41)</f>
        <v>0</v>
      </c>
      <c r="Z11" s="49">
        <f>IF(Q11=" ",Month11!Z41,Q11+Month11!Z41)</f>
        <v>0</v>
      </c>
      <c r="AA11" s="49">
        <f>IF(R11=" ",Month11!AA41,R11+Month11!AA41)</f>
        <v>0</v>
      </c>
      <c r="AC11" s="49">
        <f>IF(T11=" ",Month11!AC41,T11+Month11!AC41)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106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IF(T$9="Y",Month11!H42,0)</f>
        <v>0</v>
      </c>
      <c r="I12" s="92">
        <f>IF(T$9="Y",Month11!I42,0)</f>
        <v>0</v>
      </c>
      <c r="J12" s="92">
        <f>IF(T$9="Y",Month11!J42,0)</f>
        <v>0</v>
      </c>
      <c r="K12" s="92">
        <f>IF(T$9="Y",Month11!K42,I12*J12)</f>
        <v>0</v>
      </c>
      <c r="L12" s="111">
        <f>IF(T$9="Y",Month11!L42,0)</f>
        <v>0</v>
      </c>
      <c r="M12" s="111" t="str">
        <f>IF(E12=" "," ",IF(T$9="Y",Month11!M42,IF((H12+K12+L12)&gt;0,H12+K12+L12,"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IF(Employee!H$60=E$9,Employee!D$60+SUM(M12)+Month11!V42,SUM(M12)+Month11!V42)</f>
        <v>0</v>
      </c>
      <c r="W12" s="49">
        <f>IF(Employee!H$60=E$9,Employee!D$61+SUM(N12)+Month11!W42,SUM(N12)+Month11!W42)</f>
        <v>0</v>
      </c>
      <c r="X12" s="49">
        <f>IF(O12=" ",Month11!X42,O12+Month11!X42)</f>
        <v>0</v>
      </c>
      <c r="Y12" s="49">
        <f>IF(P12=" ",Month11!Y42,P12+Month11!Y42)</f>
        <v>0</v>
      </c>
      <c r="Z12" s="49">
        <f>IF(Q12=" ",Month11!Z42,Q12+Month11!Z42)</f>
        <v>0</v>
      </c>
      <c r="AA12" s="49">
        <f>IF(R12=" ",Month11!AA42,R12+Month11!AA42)</f>
        <v>0</v>
      </c>
      <c r="AC12" s="49">
        <f>IF(T12=" ",Month11!AC42,T12+Month11!AC42)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106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IF(T$9="Y",Month11!H43,0)</f>
        <v>0</v>
      </c>
      <c r="I13" s="92">
        <f>IF(T$9="Y",Month11!I43,0)</f>
        <v>0</v>
      </c>
      <c r="J13" s="92">
        <f>IF(T$9="Y",Month11!J43,0)</f>
        <v>0</v>
      </c>
      <c r="K13" s="92">
        <f>IF(T$9="Y",Month11!K43,I13*J13)</f>
        <v>0</v>
      </c>
      <c r="L13" s="111">
        <f>IF(T$9="Y",Month11!L43,0)</f>
        <v>0</v>
      </c>
      <c r="M13" s="111" t="str">
        <f>IF(E13=" "," ",IF(T$9="Y",Month11!M43,IF((H13+K13+L13)&gt;0,H13+K13+L13,"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IF(Employee!H$86=E$9,Employee!D$86+SUM(M13)+Month11!V43,SUM(M13)+Month11!V43)</f>
        <v>0</v>
      </c>
      <c r="W13" s="49">
        <f>IF(Employee!H$86=E$9,Employee!D$87+SUM(N13)+Month11!W43,SUM(N13)+Month11!W43)</f>
        <v>0</v>
      </c>
      <c r="X13" s="49">
        <f>IF(O13=" ",Month11!X43,O13+Month11!X43)</f>
        <v>0</v>
      </c>
      <c r="Y13" s="49">
        <f>IF(P13=" ",Month11!Y43,P13+Month11!Y43)</f>
        <v>0</v>
      </c>
      <c r="Z13" s="49">
        <f>IF(Q13=" ",Month11!Z43,Q13+Month11!Z43)</f>
        <v>0</v>
      </c>
      <c r="AA13" s="49">
        <f>IF(R13=" ",Month11!AA43,R13+Month11!AA43)</f>
        <v>0</v>
      </c>
      <c r="AC13" s="49">
        <f>IF(T13=" ",Month11!AC43,T13+Month11!AC43)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106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IF(T$9="Y",Month11!H44,0)</f>
        <v>0</v>
      </c>
      <c r="I14" s="92">
        <f>IF(T$9="Y",Month11!I44,0)</f>
        <v>0</v>
      </c>
      <c r="J14" s="92">
        <f>IF(T$9="Y",Month11!J44,0)</f>
        <v>0</v>
      </c>
      <c r="K14" s="92">
        <f>IF(T$9="Y",Month11!K44,I14*J14)</f>
        <v>0</v>
      </c>
      <c r="L14" s="111">
        <f>IF(T$9="Y",Month11!L44,0)</f>
        <v>0</v>
      </c>
      <c r="M14" s="111" t="str">
        <f>IF(E14=" "," ",IF(T$9="Y",Month11!M44,IF((H14+K14+L14)&gt;0,H14+K14+L14,"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IF(Employee!H$112=E$9,Employee!D$112+SUM(M14)+Month11!V44,SUM(M14)+Month11!V44)</f>
        <v>0</v>
      </c>
      <c r="W14" s="49">
        <f>IF(Employee!H$112=E$9,Employee!D$113+SUM(N14)+Month11!W44,SUM(N14)+Month11!W44)</f>
        <v>0</v>
      </c>
      <c r="X14" s="49">
        <f>IF(O14=" ",Month11!X44,O14+Month11!X44)</f>
        <v>0</v>
      </c>
      <c r="Y14" s="49">
        <f>IF(P14=" ",Month11!Y44,P14+Month11!Y44)</f>
        <v>0</v>
      </c>
      <c r="Z14" s="49">
        <f>IF(Q14=" ",Month11!Z44,Q14+Month11!Z44)</f>
        <v>0</v>
      </c>
      <c r="AA14" s="49">
        <f>IF(R14=" ",Month11!AA44,R14+Month11!AA44)</f>
        <v>0</v>
      </c>
      <c r="AC14" s="49">
        <f>IF(T14=" ",Month11!AC44,T14+Month11!AC44)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106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IF(T$9="Y",Month11!H45,0)</f>
        <v>0</v>
      </c>
      <c r="I15" s="245">
        <f>IF(T$9="Y",Month11!I45,0)</f>
        <v>0</v>
      </c>
      <c r="J15" s="245">
        <f>IF(T$9="Y",Month11!J45,0)</f>
        <v>0</v>
      </c>
      <c r="K15" s="245">
        <f>IF(T$9="Y",Month11!K45,I15*J15)</f>
        <v>0</v>
      </c>
      <c r="L15" s="246">
        <f>IF(T$9="Y",Month11!L45,0)</f>
        <v>0</v>
      </c>
      <c r="M15" s="111" t="str">
        <f>IF(E15=" "," ",IF(T$9="Y",Month11!M45,IF((H15+K15+L15)&gt;0,H15+K15+L15,"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IF(Employee!H$138=E$9,Employee!D$138+SUM(M15)+Month11!V45,SUM(M15)+Month11!V45)</f>
        <v>0</v>
      </c>
      <c r="W15" s="49">
        <f>IF(Employee!H$138=E$9,Employee!D$139+SUM(N15)+Month11!W45,SUM(N15)+Month11!W45)</f>
        <v>0</v>
      </c>
      <c r="X15" s="49">
        <f>IF(O15=" ",Month11!X45,O15+Month11!X45)</f>
        <v>0</v>
      </c>
      <c r="Y15" s="49">
        <f>IF(P15=" ",Month11!Y45,P15+Month11!Y45)</f>
        <v>0</v>
      </c>
      <c r="Z15" s="49">
        <f>IF(Q15=" ",Month11!Z45,Q15+Month11!Z45)</f>
        <v>0</v>
      </c>
      <c r="AA15" s="49">
        <f>IF(R15=" ",Month11!AA45,R15+Month11!AA45)</f>
        <v>0</v>
      </c>
      <c r="AC15" s="49">
        <f>IF(T15=" ",Month11!AC45,T15+Month11!AC45)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60" t="s">
        <v>7</v>
      </c>
      <c r="G16" s="363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2"/>
      <c r="C17" s="372"/>
      <c r="D17" s="372"/>
      <c r="E17" s="372"/>
      <c r="F17" s="372"/>
      <c r="G17" s="372"/>
      <c r="H17" s="372"/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7" t="s">
        <v>23</v>
      </c>
      <c r="C18" s="363"/>
      <c r="D18" s="363"/>
      <c r="E18" s="361"/>
      <c r="F18" s="32"/>
      <c r="G18" s="32"/>
      <c r="H18" s="43"/>
      <c r="I18" s="43"/>
      <c r="J18" s="43"/>
      <c r="K18" s="46"/>
      <c r="L18" s="46"/>
      <c r="M18" s="43"/>
      <c r="N18" s="32"/>
      <c r="O18" s="364" t="s">
        <v>28</v>
      </c>
      <c r="P18" s="365"/>
      <c r="Q18" s="366"/>
      <c r="R18" s="401"/>
      <c r="S18" s="402"/>
      <c r="T18" s="402"/>
      <c r="U18" s="33"/>
      <c r="AH18" s="35"/>
    </row>
    <row r="19" spans="1:34" ht="18" customHeight="1" thickTop="1" thickBot="1" x14ac:dyDescent="0.2">
      <c r="A19" s="34"/>
      <c r="B19" s="362" t="s">
        <v>9</v>
      </c>
      <c r="C19" s="363"/>
      <c r="D19" s="361"/>
      <c r="E19" s="156">
        <v>49</v>
      </c>
      <c r="F19" s="35"/>
      <c r="G19" s="35"/>
      <c r="H19" s="362" t="s">
        <v>28</v>
      </c>
      <c r="I19" s="363"/>
      <c r="J19" s="361"/>
      <c r="K19" s="204">
        <f>M9+1</f>
        <v>45752</v>
      </c>
      <c r="L19" s="203" t="s">
        <v>75</v>
      </c>
      <c r="M19" s="205">
        <f>K19+6</f>
        <v>45758</v>
      </c>
      <c r="N19" s="20"/>
      <c r="O19" s="403" t="s">
        <v>62</v>
      </c>
      <c r="P19" s="404"/>
      <c r="Q19" s="404"/>
      <c r="R19" s="405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106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106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106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106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106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60" t="s">
        <v>7</v>
      </c>
      <c r="G26" s="361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2"/>
      <c r="C27" s="372"/>
      <c r="D27" s="372"/>
      <c r="E27" s="372"/>
      <c r="F27" s="372"/>
      <c r="G27" s="372"/>
      <c r="H27" s="372"/>
      <c r="I27" s="372"/>
      <c r="J27" s="372"/>
      <c r="K27" s="372"/>
      <c r="L27" s="372"/>
      <c r="M27" s="372"/>
      <c r="N27" s="372"/>
      <c r="O27" s="372"/>
      <c r="P27" s="372"/>
      <c r="Q27" s="372"/>
      <c r="R27" s="372"/>
      <c r="S27" s="372"/>
      <c r="T27" s="372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7" t="s">
        <v>23</v>
      </c>
      <c r="C28" s="363"/>
      <c r="D28" s="363"/>
      <c r="E28" s="361"/>
      <c r="F28" s="32"/>
      <c r="G28" s="32"/>
      <c r="H28" s="43"/>
      <c r="I28" s="43"/>
      <c r="J28" s="43"/>
      <c r="K28" s="46"/>
      <c r="L28" s="46"/>
      <c r="M28" s="43"/>
      <c r="N28" s="32"/>
      <c r="O28" s="364" t="s">
        <v>28</v>
      </c>
      <c r="P28" s="365"/>
      <c r="Q28" s="366"/>
      <c r="R28" s="401"/>
      <c r="S28" s="402"/>
      <c r="T28" s="402"/>
      <c r="U28" s="33"/>
      <c r="AH28" s="35"/>
    </row>
    <row r="29" spans="1:34" ht="18" customHeight="1" thickTop="1" thickBot="1" x14ac:dyDescent="0.2">
      <c r="A29" s="34"/>
      <c r="B29" s="362" t="s">
        <v>9</v>
      </c>
      <c r="C29" s="363"/>
      <c r="D29" s="361"/>
      <c r="E29" s="156">
        <v>50</v>
      </c>
      <c r="F29" s="35"/>
      <c r="G29" s="35"/>
      <c r="H29" s="362" t="s">
        <v>28</v>
      </c>
      <c r="I29" s="363"/>
      <c r="J29" s="361"/>
      <c r="K29" s="204">
        <f>M19+1</f>
        <v>45759</v>
      </c>
      <c r="L29" s="203" t="s">
        <v>75</v>
      </c>
      <c r="M29" s="205">
        <f>K29+6</f>
        <v>45765</v>
      </c>
      <c r="N29" s="20"/>
      <c r="O29" s="403" t="s">
        <v>62</v>
      </c>
      <c r="P29" s="404"/>
      <c r="Q29" s="404"/>
      <c r="R29" s="405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106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106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106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106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106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60" t="s">
        <v>7</v>
      </c>
      <c r="G36" s="361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2"/>
      <c r="P37" s="372"/>
      <c r="Q37" s="372"/>
      <c r="R37" s="372"/>
      <c r="S37" s="372"/>
      <c r="T37" s="372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7" t="s">
        <v>23</v>
      </c>
      <c r="C38" s="439"/>
      <c r="D38" s="439"/>
      <c r="E38" s="440"/>
      <c r="F38" s="32"/>
      <c r="G38" s="32"/>
      <c r="H38" s="32"/>
      <c r="I38" s="32"/>
      <c r="J38" s="32"/>
      <c r="K38" s="46"/>
      <c r="L38" s="46"/>
      <c r="M38" s="43"/>
      <c r="N38" s="32"/>
      <c r="O38" s="364" t="s">
        <v>28</v>
      </c>
      <c r="P38" s="365"/>
      <c r="Q38" s="366"/>
      <c r="R38" s="401"/>
      <c r="S38" s="402"/>
      <c r="T38" s="402"/>
      <c r="U38" s="33"/>
      <c r="AH38" s="35"/>
    </row>
    <row r="39" spans="1:34" ht="18" customHeight="1" thickTop="1" thickBot="1" x14ac:dyDescent="0.2">
      <c r="A39" s="34"/>
      <c r="B39" s="362" t="s">
        <v>9</v>
      </c>
      <c r="C39" s="441"/>
      <c r="D39" s="442"/>
      <c r="E39" s="156">
        <v>51</v>
      </c>
      <c r="F39" s="35"/>
      <c r="G39" s="35"/>
      <c r="H39" s="362" t="s">
        <v>28</v>
      </c>
      <c r="I39" s="441"/>
      <c r="J39" s="442"/>
      <c r="K39" s="204">
        <f>M29+1</f>
        <v>45766</v>
      </c>
      <c r="L39" s="203" t="s">
        <v>75</v>
      </c>
      <c r="M39" s="205">
        <f>K39+6</f>
        <v>45772</v>
      </c>
      <c r="N39" s="20"/>
      <c r="O39" s="403" t="s">
        <v>62</v>
      </c>
      <c r="P39" s="443"/>
      <c r="Q39" s="443"/>
      <c r="R39" s="444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106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106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106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106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106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60" t="s">
        <v>7</v>
      </c>
      <c r="G46" s="445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  <c r="O47" s="372"/>
      <c r="P47" s="372"/>
      <c r="Q47" s="372"/>
      <c r="R47" s="372"/>
      <c r="S47" s="372"/>
      <c r="T47" s="372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7" t="s">
        <v>23</v>
      </c>
      <c r="C48" s="439"/>
      <c r="D48" s="439"/>
      <c r="E48" s="440"/>
      <c r="F48" s="32"/>
      <c r="G48" s="32"/>
      <c r="H48" s="32"/>
      <c r="I48" s="32"/>
      <c r="J48" s="32"/>
      <c r="K48" s="46"/>
      <c r="L48" s="46"/>
      <c r="M48" s="43"/>
      <c r="N48" s="32"/>
      <c r="O48" s="364" t="s">
        <v>28</v>
      </c>
      <c r="P48" s="365"/>
      <c r="Q48" s="366"/>
      <c r="R48" s="401"/>
      <c r="S48" s="402"/>
      <c r="T48" s="402"/>
      <c r="U48" s="33"/>
      <c r="AH48" s="35"/>
    </row>
    <row r="49" spans="1:34" ht="18" customHeight="1" thickTop="1" thickBot="1" x14ac:dyDescent="0.2">
      <c r="A49" s="34"/>
      <c r="B49" s="362" t="s">
        <v>9</v>
      </c>
      <c r="C49" s="441"/>
      <c r="D49" s="442"/>
      <c r="E49" s="156">
        <v>52</v>
      </c>
      <c r="F49" s="35"/>
      <c r="G49" s="35"/>
      <c r="H49" s="362" t="s">
        <v>28</v>
      </c>
      <c r="I49" s="441"/>
      <c r="J49" s="442"/>
      <c r="K49" s="204">
        <f>M39+1</f>
        <v>45773</v>
      </c>
      <c r="L49" s="203" t="s">
        <v>75</v>
      </c>
      <c r="M49" s="205">
        <f>K49+6</f>
        <v>45779</v>
      </c>
      <c r="N49" s="20"/>
      <c r="O49" s="403" t="s">
        <v>62</v>
      </c>
      <c r="P49" s="443"/>
      <c r="Q49" s="443"/>
      <c r="R49" s="444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106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106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106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106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106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60" t="s">
        <v>7</v>
      </c>
      <c r="G56" s="445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  <c r="O57" s="372"/>
      <c r="P57" s="372"/>
      <c r="Q57" s="372"/>
      <c r="R57" s="372"/>
      <c r="S57" s="372"/>
      <c r="T57" s="372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7" t="s">
        <v>23</v>
      </c>
      <c r="C58" s="439"/>
      <c r="D58" s="439"/>
      <c r="E58" s="440"/>
      <c r="F58" s="32"/>
      <c r="G58" s="32"/>
      <c r="H58" s="32"/>
      <c r="I58" s="32"/>
      <c r="J58" s="32"/>
      <c r="K58" s="46"/>
      <c r="L58" s="46"/>
      <c r="M58" s="43"/>
      <c r="N58" s="32"/>
      <c r="O58" s="364" t="s">
        <v>28</v>
      </c>
      <c r="P58" s="365"/>
      <c r="Q58" s="366"/>
      <c r="R58" s="401"/>
      <c r="S58" s="402"/>
      <c r="T58" s="402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2" t="s">
        <v>9</v>
      </c>
      <c r="C59" s="441"/>
      <c r="D59" s="442"/>
      <c r="E59" s="156">
        <v>53</v>
      </c>
      <c r="F59" s="35"/>
      <c r="G59" s="35"/>
      <c r="H59" s="362" t="s">
        <v>28</v>
      </c>
      <c r="I59" s="441"/>
      <c r="J59" s="442"/>
      <c r="K59" s="204">
        <f>M49+1</f>
        <v>45780</v>
      </c>
      <c r="L59" s="203" t="s">
        <v>75</v>
      </c>
      <c r="M59" s="205">
        <f>K59+4</f>
        <v>45784</v>
      </c>
      <c r="N59" s="20"/>
      <c r="O59" s="403" t="s">
        <v>62</v>
      </c>
      <c r="P59" s="443"/>
      <c r="Q59" s="443"/>
      <c r="R59" s="444"/>
      <c r="S59" s="35"/>
      <c r="T59" s="164"/>
      <c r="U59" s="37"/>
      <c r="AH59" s="35"/>
    </row>
    <row r="60" spans="1:34" ht="18" customHeight="1" thickTop="1" x14ac:dyDescent="0.15">
      <c r="A60" s="34"/>
      <c r="B60" s="454" t="s">
        <v>64</v>
      </c>
      <c r="C60" s="455"/>
      <c r="D60" s="455"/>
      <c r="E60" s="455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106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106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106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106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106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60" t="s">
        <v>7</v>
      </c>
      <c r="G66" s="445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2"/>
      <c r="R67" s="372"/>
      <c r="S67" s="372"/>
      <c r="T67" s="372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7" t="s">
        <v>24</v>
      </c>
      <c r="C68" s="363"/>
      <c r="D68" s="363"/>
      <c r="E68" s="361"/>
      <c r="F68" s="32"/>
      <c r="G68" s="32"/>
      <c r="H68" s="43"/>
      <c r="I68" s="43"/>
      <c r="J68" s="43"/>
      <c r="K68" s="46"/>
      <c r="L68" s="46"/>
      <c r="M68" s="43"/>
      <c r="N68" s="32"/>
      <c r="O68" s="364" t="s">
        <v>28</v>
      </c>
      <c r="P68" s="365"/>
      <c r="Q68" s="366"/>
      <c r="R68" s="401"/>
      <c r="S68" s="402"/>
      <c r="T68" s="402"/>
      <c r="U68" s="33"/>
      <c r="AH68" s="35"/>
    </row>
    <row r="69" spans="1:34" ht="18" customHeight="1" thickTop="1" thickBot="1" x14ac:dyDescent="0.2">
      <c r="A69" s="34"/>
      <c r="B69" s="362" t="s">
        <v>10</v>
      </c>
      <c r="C69" s="363"/>
      <c r="D69" s="361"/>
      <c r="E69" s="156">
        <v>12</v>
      </c>
      <c r="F69" s="35"/>
      <c r="G69" s="35"/>
      <c r="H69" s="362" t="s">
        <v>28</v>
      </c>
      <c r="I69" s="363"/>
      <c r="J69" s="361"/>
      <c r="K69" s="204">
        <f>Admin!B331</f>
        <v>45747</v>
      </c>
      <c r="L69" s="203" t="s">
        <v>75</v>
      </c>
      <c r="M69" s="205">
        <f>Admin!B361</f>
        <v>45777</v>
      </c>
      <c r="N69" s="20"/>
      <c r="O69" s="403" t="s">
        <v>63</v>
      </c>
      <c r="P69" s="404"/>
      <c r="Q69" s="404"/>
      <c r="R69" s="405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106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IF(T$69="Y",Month11!H51,0)</f>
        <v>0</v>
      </c>
      <c r="I71" s="89">
        <f>IF(T$69="Y",Month11!I51,0)</f>
        <v>0</v>
      </c>
      <c r="J71" s="89">
        <f>IF(T$69="Y",Month11!J51,0)</f>
        <v>0</v>
      </c>
      <c r="K71" s="89">
        <f>IF(T$69="Y",Month11!K51,I71*J71)</f>
        <v>0</v>
      </c>
      <c r="L71" s="110">
        <f>IF(T$69="Y",Month11!L51,0)</f>
        <v>0</v>
      </c>
      <c r="M71" s="99" t="str">
        <f>IF(E71=" "," ",IF(T$69="Y",Month11!M51,IF((H71+K71+L71)&gt;0,H71+K71+L71,"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IF(Employee!H$35=E$69,Employee!D$34+SUM(M71)+Month11!V51,SUM(M71)+Month11!V51)</f>
        <v>0</v>
      </c>
      <c r="W71" s="49">
        <f>IF(Employee!H$35=E$69,Employee!D$35+SUM(N71)+Month11!W51,SUM(N71)+Month11!W51)</f>
        <v>0</v>
      </c>
      <c r="X71" s="49">
        <f>IF(O71=" ",Month11!X51,O71+Month11!X51)</f>
        <v>0</v>
      </c>
      <c r="Y71" s="49">
        <f>IF(P71=" ",Month11!Y51,P71+Month11!Y51)</f>
        <v>0</v>
      </c>
      <c r="Z71" s="49">
        <f>IF(Q71=" ",Month11!Z51,Q71+Month11!Z51)</f>
        <v>0</v>
      </c>
      <c r="AA71" s="49">
        <f>IF(R71=" ",Month11!AA51,R71+Month11!AA51)</f>
        <v>0</v>
      </c>
      <c r="AC71" s="49">
        <f>IF(T71=" ",Month11!AC51,T71+Month11!AC51)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106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IF(T$69="Y",Month11!H52,0)</f>
        <v>0</v>
      </c>
      <c r="I72" s="92">
        <f>IF(T$69="Y",Month11!I52,0)</f>
        <v>0</v>
      </c>
      <c r="J72" s="92">
        <f>IF(T$69="Y",Month11!J52,0)</f>
        <v>0</v>
      </c>
      <c r="K72" s="92">
        <f>IF(T$69="Y",Month11!K52,I72*J72)</f>
        <v>0</v>
      </c>
      <c r="L72" s="111">
        <f>IF(T$69="Y",Month11!L52,0)</f>
        <v>0</v>
      </c>
      <c r="M72" s="100" t="str">
        <f>IF(E72=" "," ",IF(T$69="Y",Month11!M52,IF((H72+K72+L72)&gt;0,H72+K72+L72,"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IF(Employee!H$61=E$69,Employee!D$60+SUM(M72)+Month11!V52,SUM(M72)+Month11!V52)</f>
        <v>0</v>
      </c>
      <c r="W72" s="49">
        <f>IF(Employee!H$61=E$69,Employee!D$61+SUM(N72)+Month11!W52,SUM(N72)+Month11!W52)</f>
        <v>0</v>
      </c>
      <c r="X72" s="49">
        <f>IF(O72=" ",Month11!X52,O72+Month11!X52)</f>
        <v>0</v>
      </c>
      <c r="Y72" s="49">
        <f>IF(P72=" ",Month11!Y52,P72+Month11!Y52)</f>
        <v>0</v>
      </c>
      <c r="Z72" s="49">
        <f>IF(Q72=" ",Month11!Z52,Q72+Month11!Z52)</f>
        <v>0</v>
      </c>
      <c r="AA72" s="49">
        <f>IF(R72=" ",Month11!AA52,R72+Month11!AA52)</f>
        <v>0</v>
      </c>
      <c r="AC72" s="49">
        <f>IF(T72=" ",Month11!AC52,T72+Month11!AC52)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106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IF(T$69="Y",Month11!H53,0)</f>
        <v>0</v>
      </c>
      <c r="I73" s="92">
        <f>IF(T$69="Y",Month11!I53,0)</f>
        <v>0</v>
      </c>
      <c r="J73" s="92">
        <f>IF(T$69="Y",Month11!J53,0)</f>
        <v>0</v>
      </c>
      <c r="K73" s="92">
        <f>IF(T$69="Y",Month11!K53,I73*J73)</f>
        <v>0</v>
      </c>
      <c r="L73" s="111">
        <f>IF(T$69="Y",Month11!L53,0)</f>
        <v>0</v>
      </c>
      <c r="M73" s="100" t="str">
        <f>IF(E73=" "," ",IF(T$69="Y",Month11!M53,IF((H73+K73+L73)&gt;0,H73+K73+L73,"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IF(Employee!H$87=E$69,Employee!D$86+SUM(M73)+Month11!V53,SUM(M73)+Month11!V53)</f>
        <v>0</v>
      </c>
      <c r="W73" s="49">
        <f>IF(Employee!H$87=E$69,Employee!D$87+SUM(N73)+Month11!W53,SUM(N73)+Month11!W53)</f>
        <v>0</v>
      </c>
      <c r="X73" s="49">
        <f>IF(O73=" ",Month11!X53,O73+Month11!X53)</f>
        <v>0</v>
      </c>
      <c r="Y73" s="49">
        <f>IF(P73=" ",Month11!Y53,P73+Month11!Y53)</f>
        <v>0</v>
      </c>
      <c r="Z73" s="49">
        <f>IF(Q73=" ",Month11!Z53,Q73+Month11!Z53)</f>
        <v>0</v>
      </c>
      <c r="AA73" s="49">
        <f>IF(R73=" ",Month11!AA53,R73+Month11!AA53)</f>
        <v>0</v>
      </c>
      <c r="AC73" s="49">
        <f>IF(T73=" ",Month11!AC53,T73+Month11!AC53)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106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IF(T$69="Y",Month11!H54,0)</f>
        <v>0</v>
      </c>
      <c r="I74" s="92">
        <f>IF(T$69="Y",Month11!I54,0)</f>
        <v>0</v>
      </c>
      <c r="J74" s="92">
        <f>IF(T$69="Y",Month11!J54,0)</f>
        <v>0</v>
      </c>
      <c r="K74" s="92">
        <f>IF(T$69="Y",Month11!K54,I74*J74)</f>
        <v>0</v>
      </c>
      <c r="L74" s="111">
        <f>IF(T$69="Y",Month11!L54,0)</f>
        <v>0</v>
      </c>
      <c r="M74" s="100" t="str">
        <f>IF(E74=" "," ",IF(T$69="Y",Month11!M54,IF((H74+K74+L74)&gt;0,H74+K74+L74,"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IF(Employee!H$113=E$69,Employee!D$112+SUM(M74)+Month11!V54,SUM(M74)+Month11!V54)</f>
        <v>0</v>
      </c>
      <c r="W74" s="49">
        <f>IF(Employee!H$113=E$69,Employee!D$113+SUM(N74)+Month11!W54,SUM(N74)+Month11!W54)</f>
        <v>0</v>
      </c>
      <c r="X74" s="49">
        <f>IF(O74=" ",Month11!X54,O74+Month11!X54)</f>
        <v>0</v>
      </c>
      <c r="Y74" s="49">
        <f>IF(P74=" ",Month11!Y54,P74+Month11!Y54)</f>
        <v>0</v>
      </c>
      <c r="Z74" s="49">
        <f>IF(Q74=" ",Month11!Z54,Q74+Month11!Z54)</f>
        <v>0</v>
      </c>
      <c r="AA74" s="49">
        <f>IF(R74=" ",Month11!AA54,R74+Month11!AA54)</f>
        <v>0</v>
      </c>
      <c r="AC74" s="49">
        <f>IF(T74=" ",Month11!AC54,T74+Month11!AC54)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106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IF(T$69="Y",Month11!H55,0)</f>
        <v>0</v>
      </c>
      <c r="I75" s="245">
        <f>IF(T$69="Y",Month11!I55,0)</f>
        <v>0</v>
      </c>
      <c r="J75" s="245">
        <f>IF(T$69="Y",Month11!J55,0)</f>
        <v>0</v>
      </c>
      <c r="K75" s="245">
        <f>IF(T$69="Y",Month11!K55,I75*J75)</f>
        <v>0</v>
      </c>
      <c r="L75" s="246">
        <f>IF(T$69="Y",Month11!L55,0)</f>
        <v>0</v>
      </c>
      <c r="M75" s="100" t="str">
        <f>IF(E75=" "," ",IF(T$69="Y",Month11!M55,IF((H75+K75+L75)&gt;0,H75+K75+L75,"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IF(Employee!H$139=E$69,Employee!D$138+SUM(M75)+Month11!V55,SUM(M75)+Month11!V55)</f>
        <v>0</v>
      </c>
      <c r="W75" s="49">
        <f>IF(Employee!H$139=E$69,Employee!D$139+SUM(N75)+Month11!W55,SUM(N75)+Month11!W55)</f>
        <v>0</v>
      </c>
      <c r="X75" s="49">
        <f>IF(O75=" ",Month11!X55,O75+Month11!X55)</f>
        <v>0</v>
      </c>
      <c r="Y75" s="49">
        <f>IF(P75=" ",Month11!Y55,P75+Month11!Y55)</f>
        <v>0</v>
      </c>
      <c r="Z75" s="49">
        <f>IF(Q75=" ",Month11!Z55,Q75+Month11!Z55)</f>
        <v>0</v>
      </c>
      <c r="AA75" s="49">
        <f>IF(R75=" ",Month11!AA55,R75+Month11!AA55)</f>
        <v>0</v>
      </c>
      <c r="AC75" s="49">
        <f>IF(T75=" ",Month11!AC55,T75+Month11!AC55)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60" t="s">
        <v>7</v>
      </c>
      <c r="G76" s="361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2"/>
      <c r="C77" s="372"/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2"/>
      <c r="P77" s="372"/>
      <c r="Q77" s="372"/>
      <c r="R77" s="372"/>
      <c r="S77" s="372"/>
      <c r="T77" s="372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70</v>
      </c>
      <c r="G79" s="180"/>
      <c r="H79" s="180"/>
      <c r="M79" s="417" t="s">
        <v>73</v>
      </c>
      <c r="N79" s="418"/>
      <c r="O79" s="418"/>
      <c r="P79" s="418"/>
      <c r="Q79" s="418"/>
      <c r="R79" s="418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72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AD80+Month11!AD65</f>
        <v>0</v>
      </c>
      <c r="AE85" s="158">
        <f>AE80+Month11!AE65</f>
        <v>0</v>
      </c>
      <c r="AF85" s="158">
        <f>AF80+Month11!AF65</f>
        <v>0</v>
      </c>
      <c r="AG85" s="158">
        <f>AG80+Month11!AG65</f>
        <v>0</v>
      </c>
    </row>
    <row r="86" spans="6:33" ht="14" thickTop="1" x14ac:dyDescent="0.15"/>
    <row r="87" spans="6:33" x14ac:dyDescent="0.15">
      <c r="AD87" s="162"/>
      <c r="AE87" s="158">
        <f>AE82+Month11!AE67</f>
        <v>0</v>
      </c>
      <c r="AF87" s="158">
        <f>AF82+Month11!AF67</f>
        <v>0</v>
      </c>
      <c r="AG87" s="158">
        <f>AG82+Month11!AG67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L7" sqref="L7:M7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128</v>
      </c>
      <c r="C3" s="264"/>
      <c r="D3" s="264"/>
      <c r="E3" s="264"/>
      <c r="F3" s="211" t="s">
        <v>135</v>
      </c>
      <c r="G3" s="297" t="s">
        <v>130</v>
      </c>
      <c r="H3" s="297" t="str">
        <f>LOOKUP(F4,IF(F3="W",Admin!C2:C381,IF(F3="M",Admin!D2:D381," ")),Admin!A2:A381)</f>
        <v>Month01</v>
      </c>
      <c r="I3" s="480" t="str">
        <f>IF(M3="ERROR","Enter W or M in cell F3"," ")</f>
        <v xml:space="preserve"> </v>
      </c>
      <c r="J3" s="480"/>
      <c r="K3" s="480"/>
      <c r="L3" s="480"/>
      <c r="M3" s="296" t="b">
        <f>IF(ISERROR(H3),"ERROR")</f>
        <v>0</v>
      </c>
    </row>
    <row r="4" spans="1:14" s="255" customFormat="1" ht="13" x14ac:dyDescent="0.15">
      <c r="B4" s="294" t="s">
        <v>129</v>
      </c>
      <c r="C4" s="264"/>
      <c r="D4" s="264"/>
      <c r="E4" s="264"/>
      <c r="F4" s="210">
        <v>1</v>
      </c>
      <c r="G4" s="297" t="s">
        <v>131</v>
      </c>
      <c r="H4" s="297">
        <f>IF(F$3="W",8+10*(LOOKUP(F4,Admin!C2:C381,Admin!F2:F381)-1),8+10*LOOKUP(F4,Admin!H8:H19,Admin!I8:I19))</f>
        <v>8</v>
      </c>
      <c r="I4" s="480" t="str">
        <f>IF(M3="ERROR","Enter 1 to 53 in cell F4"," ")</f>
        <v xml:space="preserve"> </v>
      </c>
      <c r="J4" s="480"/>
      <c r="K4" s="480"/>
      <c r="L4" s="480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6"/>
      <c r="B6" s="456"/>
      <c r="C6" s="456"/>
      <c r="D6" s="456"/>
      <c r="E6" s="456"/>
      <c r="F6" s="456"/>
      <c r="G6" s="456"/>
      <c r="H6" s="456"/>
      <c r="I6" s="456"/>
      <c r="J6" s="456"/>
      <c r="K6" s="456"/>
      <c r="L6" s="456"/>
      <c r="M6" s="456"/>
      <c r="N6" s="456"/>
    </row>
    <row r="7" spans="1:14" ht="25" customHeight="1" x14ac:dyDescent="0.2">
      <c r="A7" s="256"/>
      <c r="B7" s="474" t="str">
        <f ca="1">IF(M14=" "," ",Employee!$D$5)</f>
        <v xml:space="preserve"> </v>
      </c>
      <c r="C7" s="474"/>
      <c r="D7" s="474"/>
      <c r="E7" s="474"/>
      <c r="F7" s="474"/>
      <c r="G7" s="469" t="str">
        <f ca="1">IF(G14=" "," ",Employee!$D$15)</f>
        <v xml:space="preserve"> </v>
      </c>
      <c r="H7" s="470"/>
      <c r="I7" s="481" t="str">
        <f ca="1">IF(G14=" "," ",Employee!$D$16)</f>
        <v xml:space="preserve"> </v>
      </c>
      <c r="J7" s="482"/>
      <c r="K7" s="482"/>
      <c r="L7" s="461" t="str">
        <f ca="1">INDIRECT($H$3 &amp; "!B" &amp; $H$4)</f>
        <v>WEEKLY PAYROLL</v>
      </c>
      <c r="M7" s="461"/>
      <c r="N7" s="257"/>
    </row>
    <row r="8" spans="1:14" ht="18" customHeight="1" x14ac:dyDescent="0.15">
      <c r="A8" s="258"/>
      <c r="B8" s="465" t="str">
        <f ca="1">IF(M14=" "," ",Employee!$D$6)</f>
        <v xml:space="preserve"> </v>
      </c>
      <c r="C8" s="465"/>
      <c r="D8" s="466"/>
      <c r="E8" s="467"/>
      <c r="F8" s="468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5" t="str">
        <f ca="1">IF(M14=" "," ",Employee!$D$7)</f>
        <v xml:space="preserve"> </v>
      </c>
      <c r="C9" s="465"/>
      <c r="D9" s="465"/>
      <c r="E9" s="263" t="str">
        <f ca="1">IF(M14=" "," ",Employee!$D$9)</f>
        <v xml:space="preserve"> </v>
      </c>
      <c r="F9" s="264"/>
      <c r="G9" s="265"/>
      <c r="H9" s="249" t="s">
        <v>126</v>
      </c>
      <c r="I9" s="266">
        <f ca="1">INDIRECT($H$3 &amp; "!M" &amp; $H$4+1)</f>
        <v>45422</v>
      </c>
      <c r="J9" s="483" t="s">
        <v>6</v>
      </c>
      <c r="K9" s="483"/>
      <c r="L9" s="249" t="s">
        <v>125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124</v>
      </c>
      <c r="C10" s="267">
        <f>Employee!$D$29</f>
        <v>1</v>
      </c>
      <c r="D10" s="489"/>
      <c r="E10" s="490"/>
      <c r="F10" s="487"/>
      <c r="G10" s="487"/>
      <c r="H10" s="253" t="str">
        <f>"Tax "&amp;IF($F$3="W","Week","Month")</f>
        <v>Tax Week</v>
      </c>
      <c r="I10" s="268">
        <f ca="1">INDIRECT($H$3 &amp; "!E" &amp; $H$4+1)</f>
        <v>1</v>
      </c>
      <c r="J10" s="479" t="str">
        <f ca="1">IF(M8=" "," ",INDIRECT($H$3 &amp; "!D" &amp; $H$4+2+C10))</f>
        <v xml:space="preserve"> </v>
      </c>
      <c r="K10" s="479"/>
      <c r="L10" s="249" t="s">
        <v>122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60"/>
      <c r="C11" s="460"/>
      <c r="D11" s="460"/>
      <c r="E11" s="460"/>
      <c r="F11" s="460"/>
      <c r="G11" s="460"/>
      <c r="H11" s="460"/>
      <c r="I11" s="460"/>
      <c r="J11" s="460"/>
      <c r="K11" s="460"/>
      <c r="L11" s="460"/>
      <c r="M11" s="460"/>
      <c r="N11" s="262"/>
    </row>
    <row r="12" spans="1:14" ht="21" customHeight="1" x14ac:dyDescent="0.15">
      <c r="A12" s="258"/>
      <c r="B12" s="475" t="s">
        <v>121</v>
      </c>
      <c r="C12" s="476"/>
      <c r="D12" s="476"/>
      <c r="E12" s="476"/>
      <c r="F12" s="476"/>
      <c r="G12" s="477" t="s">
        <v>120</v>
      </c>
      <c r="H12" s="484" t="s">
        <v>119</v>
      </c>
      <c r="I12" s="484"/>
      <c r="J12" s="484"/>
      <c r="K12" s="484"/>
      <c r="L12" s="484"/>
      <c r="M12" s="488" t="s">
        <v>118</v>
      </c>
      <c r="N12" s="262"/>
    </row>
    <row r="13" spans="1:14" s="269" customFormat="1" ht="21" customHeight="1" x14ac:dyDescent="0.15">
      <c r="A13" s="258"/>
      <c r="B13" s="252" t="s">
        <v>117</v>
      </c>
      <c r="C13" s="252" t="s">
        <v>116</v>
      </c>
      <c r="D13" s="252" t="s">
        <v>115</v>
      </c>
      <c r="E13" s="252" t="s">
        <v>114</v>
      </c>
      <c r="F13" s="248" t="s">
        <v>113</v>
      </c>
      <c r="G13" s="478"/>
      <c r="H13" s="251" t="s">
        <v>127</v>
      </c>
      <c r="I13" s="252" t="s">
        <v>111</v>
      </c>
      <c r="J13" s="464" t="s">
        <v>110</v>
      </c>
      <c r="K13" s="464"/>
      <c r="L13" s="248" t="s">
        <v>2</v>
      </c>
      <c r="M13" s="477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9" t="str">
        <f ca="1">IF(M8=" "," ",INDIRECT($H$3 &amp; "!P" &amp; $H$4+2+C10))</f>
        <v xml:space="preserve"> </v>
      </c>
      <c r="K14" s="459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3" t="s">
        <v>109</v>
      </c>
      <c r="C15" s="47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7" t="s">
        <v>108</v>
      </c>
      <c r="F16" s="458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9" t="str">
        <f ca="1">IF(M8=" "," ",INDIRECT($H$3 &amp; "!Y" &amp; $H$4+2+C10))</f>
        <v xml:space="preserve"> </v>
      </c>
      <c r="K16" s="459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60"/>
      <c r="K17" s="46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1" t="s">
        <v>107</v>
      </c>
      <c r="K18" s="472"/>
      <c r="L18" s="472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65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6"/>
      <c r="B20" s="456"/>
      <c r="C20" s="456"/>
      <c r="D20" s="456"/>
      <c r="E20" s="456"/>
      <c r="F20" s="456"/>
      <c r="G20" s="456"/>
      <c r="H20" s="456"/>
      <c r="I20" s="456"/>
      <c r="J20" s="456"/>
      <c r="K20" s="456"/>
      <c r="L20" s="456"/>
      <c r="M20" s="456"/>
      <c r="N20" s="456"/>
    </row>
    <row r="21" spans="1:14" ht="25" customHeight="1" x14ac:dyDescent="0.2">
      <c r="A21" s="256"/>
      <c r="B21" s="474" t="str">
        <f ca="1">IF(M28=" "," ",Employee!$D$5)</f>
        <v xml:space="preserve"> </v>
      </c>
      <c r="C21" s="474"/>
      <c r="D21" s="474"/>
      <c r="E21" s="474"/>
      <c r="F21" s="474"/>
      <c r="G21" s="469" t="str">
        <f ca="1">IF(G28=" "," ",Employee!$D$41)</f>
        <v xml:space="preserve"> </v>
      </c>
      <c r="H21" s="470"/>
      <c r="I21" s="481" t="str">
        <f ca="1">IF(G28=" "," ",Employee!$D$42)</f>
        <v xml:space="preserve"> </v>
      </c>
      <c r="J21" s="482"/>
      <c r="K21" s="482"/>
      <c r="L21" s="461" t="s">
        <v>23</v>
      </c>
      <c r="M21" s="461"/>
      <c r="N21" s="257"/>
    </row>
    <row r="22" spans="1:14" ht="18" customHeight="1" x14ac:dyDescent="0.15">
      <c r="A22" s="258"/>
      <c r="B22" s="465" t="str">
        <f ca="1">IF(M28=" "," ",Employee!$D$6)</f>
        <v xml:space="preserve"> </v>
      </c>
      <c r="C22" s="465"/>
      <c r="D22" s="466"/>
      <c r="E22" s="467"/>
      <c r="F22" s="468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5" t="str">
        <f ca="1">IF(M28=" "," ",Employee!$D$7)</f>
        <v xml:space="preserve"> </v>
      </c>
      <c r="C23" s="465"/>
      <c r="D23" s="465"/>
      <c r="E23" s="263" t="str">
        <f ca="1">IF(M28=" "," ",Employee!$D$9)</f>
        <v xml:space="preserve"> </v>
      </c>
      <c r="F23" s="264"/>
      <c r="G23" s="265"/>
      <c r="H23" s="249" t="s">
        <v>126</v>
      </c>
      <c r="I23" s="266">
        <f ca="1">I9</f>
        <v>45422</v>
      </c>
      <c r="J23" s="483" t="s">
        <v>6</v>
      </c>
      <c r="K23" s="483"/>
      <c r="L23" s="249" t="s">
        <v>125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124</v>
      </c>
      <c r="C24" s="267">
        <f>Employee!$D$55</f>
        <v>2</v>
      </c>
      <c r="D24" s="250"/>
      <c r="E24" s="286"/>
      <c r="F24" s="460"/>
      <c r="G24" s="460"/>
      <c r="H24" s="253" t="s">
        <v>123</v>
      </c>
      <c r="I24" s="268">
        <f ca="1">I10</f>
        <v>1</v>
      </c>
      <c r="J24" s="479" t="str">
        <f ca="1">IF(M22=" "," ",INDIRECT($H$3 &amp; "!D" &amp; $H$4+2+C24))</f>
        <v xml:space="preserve"> </v>
      </c>
      <c r="K24" s="479"/>
      <c r="L24" s="249" t="s">
        <v>122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60"/>
      <c r="C25" s="460"/>
      <c r="D25" s="460"/>
      <c r="E25" s="460"/>
      <c r="F25" s="460"/>
      <c r="G25" s="460"/>
      <c r="H25" s="460"/>
      <c r="I25" s="460"/>
      <c r="J25" s="460"/>
      <c r="K25" s="460"/>
      <c r="L25" s="460"/>
      <c r="M25" s="460"/>
      <c r="N25" s="262"/>
    </row>
    <row r="26" spans="1:14" ht="21" customHeight="1" x14ac:dyDescent="0.15">
      <c r="A26" s="258"/>
      <c r="B26" s="475" t="s">
        <v>121</v>
      </c>
      <c r="C26" s="476"/>
      <c r="D26" s="476"/>
      <c r="E26" s="476"/>
      <c r="F26" s="476"/>
      <c r="G26" s="477" t="s">
        <v>120</v>
      </c>
      <c r="H26" s="475" t="s">
        <v>119</v>
      </c>
      <c r="I26" s="484"/>
      <c r="J26" s="484"/>
      <c r="K26" s="484"/>
      <c r="L26" s="484"/>
      <c r="M26" s="462" t="s">
        <v>118</v>
      </c>
      <c r="N26" s="262"/>
    </row>
    <row r="27" spans="1:14" s="269" customFormat="1" ht="21" customHeight="1" x14ac:dyDescent="0.15">
      <c r="A27" s="258"/>
      <c r="B27" s="252" t="s">
        <v>117</v>
      </c>
      <c r="C27" s="252" t="s">
        <v>116</v>
      </c>
      <c r="D27" s="252" t="s">
        <v>115</v>
      </c>
      <c r="E27" s="252" t="s">
        <v>114</v>
      </c>
      <c r="F27" s="248" t="s">
        <v>113</v>
      </c>
      <c r="G27" s="478"/>
      <c r="H27" s="252" t="s">
        <v>127</v>
      </c>
      <c r="I27" s="252" t="s">
        <v>111</v>
      </c>
      <c r="J27" s="464" t="s">
        <v>110</v>
      </c>
      <c r="K27" s="464"/>
      <c r="L27" s="248" t="s">
        <v>2</v>
      </c>
      <c r="M27" s="463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9" t="str">
        <f ca="1">IF(M22=" "," ",INDIRECT($H$3 &amp; "!P" &amp; $H$4+2+C24))</f>
        <v xml:space="preserve"> </v>
      </c>
      <c r="K28" s="459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3" t="s">
        <v>109</v>
      </c>
      <c r="C29" s="47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7" t="s">
        <v>108</v>
      </c>
      <c r="F30" s="458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9" t="str">
        <f ca="1">IF(M22=" "," ",INDIRECT($H$3 &amp; "!Y" &amp; $H$4+2+C24))</f>
        <v xml:space="preserve"> </v>
      </c>
      <c r="K30" s="459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60"/>
      <c r="K31" s="46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1" t="s">
        <v>107</v>
      </c>
      <c r="K32" s="472"/>
      <c r="L32" s="472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65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56"/>
      <c r="B35" s="456"/>
      <c r="C35" s="456"/>
      <c r="D35" s="456"/>
      <c r="E35" s="456"/>
      <c r="F35" s="456"/>
      <c r="G35" s="456"/>
      <c r="H35" s="456"/>
      <c r="I35" s="456"/>
      <c r="J35" s="456"/>
      <c r="K35" s="456"/>
      <c r="L35" s="456"/>
      <c r="M35" s="456"/>
      <c r="N35" s="456"/>
    </row>
    <row r="36" spans="1:14" ht="25" customHeight="1" x14ac:dyDescent="0.2">
      <c r="A36" s="256"/>
      <c r="B36" s="474" t="str">
        <f ca="1">IF(M43=" "," ",Employee!$D$5)</f>
        <v xml:space="preserve"> </v>
      </c>
      <c r="C36" s="474"/>
      <c r="D36" s="474"/>
      <c r="E36" s="474"/>
      <c r="F36" s="474"/>
      <c r="G36" s="469" t="str">
        <f ca="1">IF(G43=" "," ",Employee!$D$67)</f>
        <v xml:space="preserve"> </v>
      </c>
      <c r="H36" s="470"/>
      <c r="I36" s="481" t="str">
        <f ca="1">IF(G43=" "," ",Employee!$D$68)</f>
        <v xml:space="preserve"> </v>
      </c>
      <c r="J36" s="482"/>
      <c r="K36" s="482"/>
      <c r="L36" s="461" t="s">
        <v>23</v>
      </c>
      <c r="M36" s="461"/>
      <c r="N36" s="257"/>
    </row>
    <row r="37" spans="1:14" ht="18" customHeight="1" x14ac:dyDescent="0.15">
      <c r="A37" s="258"/>
      <c r="B37" s="465" t="str">
        <f ca="1">IF(M43=" "," ",Employee!$D$6)</f>
        <v xml:space="preserve"> </v>
      </c>
      <c r="C37" s="465"/>
      <c r="D37" s="466"/>
      <c r="E37" s="467"/>
      <c r="F37" s="468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5" t="str">
        <f ca="1">IF(M43=" "," ",Employee!$D$7)</f>
        <v xml:space="preserve"> </v>
      </c>
      <c r="C38" s="465"/>
      <c r="D38" s="465"/>
      <c r="E38" s="263" t="str">
        <f ca="1">IF(M43=" "," ",Employee!$D$9)</f>
        <v xml:space="preserve"> </v>
      </c>
      <c r="F38" s="264"/>
      <c r="G38" s="265"/>
      <c r="H38" s="249" t="s">
        <v>126</v>
      </c>
      <c r="I38" s="266">
        <f ca="1">I23</f>
        <v>45422</v>
      </c>
      <c r="J38" s="483" t="s">
        <v>6</v>
      </c>
      <c r="K38" s="483"/>
      <c r="L38" s="249" t="s">
        <v>125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124</v>
      </c>
      <c r="C39" s="267">
        <f>Employee!$D$81</f>
        <v>3</v>
      </c>
      <c r="D39" s="250"/>
      <c r="E39" s="286"/>
      <c r="F39" s="460"/>
      <c r="G39" s="460"/>
      <c r="H39" s="253" t="s">
        <v>123</v>
      </c>
      <c r="I39" s="268">
        <f ca="1">I24</f>
        <v>1</v>
      </c>
      <c r="J39" s="479" t="str">
        <f ca="1">IF(M37=" "," ",INDIRECT($H$3 &amp; "!D" &amp; $H$4+2+C39))</f>
        <v xml:space="preserve"> </v>
      </c>
      <c r="K39" s="479"/>
      <c r="L39" s="249" t="s">
        <v>122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60"/>
      <c r="C40" s="460"/>
      <c r="D40" s="460"/>
      <c r="E40" s="460"/>
      <c r="F40" s="460"/>
      <c r="G40" s="460"/>
      <c r="H40" s="460"/>
      <c r="I40" s="460"/>
      <c r="J40" s="460"/>
      <c r="K40" s="460"/>
      <c r="L40" s="460"/>
      <c r="M40" s="460"/>
      <c r="N40" s="262"/>
    </row>
    <row r="41" spans="1:14" ht="21" customHeight="1" x14ac:dyDescent="0.15">
      <c r="A41" s="258"/>
      <c r="B41" s="475" t="s">
        <v>121</v>
      </c>
      <c r="C41" s="476"/>
      <c r="D41" s="476"/>
      <c r="E41" s="476"/>
      <c r="F41" s="476"/>
      <c r="G41" s="477" t="s">
        <v>120</v>
      </c>
      <c r="H41" s="475" t="s">
        <v>119</v>
      </c>
      <c r="I41" s="484"/>
      <c r="J41" s="484"/>
      <c r="K41" s="484"/>
      <c r="L41" s="484"/>
      <c r="M41" s="462" t="s">
        <v>118</v>
      </c>
      <c r="N41" s="262"/>
    </row>
    <row r="42" spans="1:14" s="269" customFormat="1" ht="21" customHeight="1" x14ac:dyDescent="0.15">
      <c r="A42" s="258"/>
      <c r="B42" s="252" t="s">
        <v>117</v>
      </c>
      <c r="C42" s="252" t="s">
        <v>116</v>
      </c>
      <c r="D42" s="252" t="s">
        <v>115</v>
      </c>
      <c r="E42" s="252" t="s">
        <v>114</v>
      </c>
      <c r="F42" s="248" t="s">
        <v>113</v>
      </c>
      <c r="G42" s="478"/>
      <c r="H42" s="252" t="s">
        <v>127</v>
      </c>
      <c r="I42" s="252" t="s">
        <v>111</v>
      </c>
      <c r="J42" s="464" t="s">
        <v>110</v>
      </c>
      <c r="K42" s="464"/>
      <c r="L42" s="248" t="s">
        <v>2</v>
      </c>
      <c r="M42" s="463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9" t="str">
        <f ca="1">IF(M37=" "," ",INDIRECT($H$3 &amp; "!P" &amp; $H$4+2+C39))</f>
        <v xml:space="preserve"> </v>
      </c>
      <c r="K43" s="459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3" t="s">
        <v>109</v>
      </c>
      <c r="C44" s="47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7" t="s">
        <v>108</v>
      </c>
      <c r="F45" s="458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9" t="str">
        <f ca="1">IF(M37=" "," ",INDIRECT($H$3 &amp; "!Y" &amp; $H$4+2+C39))</f>
        <v xml:space="preserve"> </v>
      </c>
      <c r="K45" s="459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60"/>
      <c r="K46" s="46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1" t="s">
        <v>107</v>
      </c>
      <c r="K47" s="472"/>
      <c r="L47" s="472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65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6"/>
      <c r="B49" s="456"/>
      <c r="C49" s="456"/>
      <c r="D49" s="456"/>
      <c r="E49" s="456"/>
      <c r="F49" s="456"/>
      <c r="G49" s="456"/>
      <c r="H49" s="456"/>
      <c r="I49" s="456"/>
      <c r="J49" s="456"/>
      <c r="K49" s="456"/>
      <c r="L49" s="456"/>
      <c r="M49" s="456"/>
      <c r="N49" s="456"/>
    </row>
    <row r="50" spans="1:14" ht="25" customHeight="1" x14ac:dyDescent="0.2">
      <c r="A50" s="256"/>
      <c r="B50" s="474" t="str">
        <f ca="1">IF(M57=" "," ",Employee!$D$5)</f>
        <v xml:space="preserve"> </v>
      </c>
      <c r="C50" s="474"/>
      <c r="D50" s="474"/>
      <c r="E50" s="474"/>
      <c r="F50" s="474"/>
      <c r="G50" s="469" t="str">
        <f ca="1">IF(G57=" "," ",Employee!$D$93)</f>
        <v xml:space="preserve"> </v>
      </c>
      <c r="H50" s="470"/>
      <c r="I50" s="481" t="str">
        <f ca="1">IF(G57=" "," ",Employee!$D$94)</f>
        <v xml:space="preserve"> </v>
      </c>
      <c r="J50" s="482"/>
      <c r="K50" s="482"/>
      <c r="L50" s="461" t="s">
        <v>23</v>
      </c>
      <c r="M50" s="461"/>
      <c r="N50" s="257"/>
    </row>
    <row r="51" spans="1:14" ht="18" customHeight="1" x14ac:dyDescent="0.15">
      <c r="A51" s="258"/>
      <c r="B51" s="465" t="str">
        <f ca="1">IF(M57=" "," ",Employee!$D$6)</f>
        <v xml:space="preserve"> </v>
      </c>
      <c r="C51" s="465"/>
      <c r="D51" s="466"/>
      <c r="E51" s="467"/>
      <c r="F51" s="468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5" t="str">
        <f ca="1">IF(M57=" "," ",Employee!$D$7)</f>
        <v xml:space="preserve"> </v>
      </c>
      <c r="C52" s="465"/>
      <c r="D52" s="465"/>
      <c r="E52" s="263" t="str">
        <f ca="1">IF(M57=" "," ",Employee!$D$9)</f>
        <v xml:space="preserve"> </v>
      </c>
      <c r="F52" s="264"/>
      <c r="G52" s="265"/>
      <c r="H52" s="249" t="s">
        <v>126</v>
      </c>
      <c r="I52" s="266">
        <f ca="1">I38</f>
        <v>45422</v>
      </c>
      <c r="J52" s="483" t="s">
        <v>6</v>
      </c>
      <c r="K52" s="483"/>
      <c r="L52" s="249" t="s">
        <v>125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124</v>
      </c>
      <c r="C53" s="267">
        <f>Employee!$D$107</f>
        <v>4</v>
      </c>
      <c r="D53" s="250"/>
      <c r="E53" s="286"/>
      <c r="F53" s="460"/>
      <c r="G53" s="460"/>
      <c r="H53" s="253" t="s">
        <v>123</v>
      </c>
      <c r="I53" s="268">
        <f ca="1">I39</f>
        <v>1</v>
      </c>
      <c r="J53" s="479" t="str">
        <f ca="1">IF(M51=" "," ",INDIRECT($H$3 &amp; "!D" &amp; $H$4+2+C53))</f>
        <v xml:space="preserve"> </v>
      </c>
      <c r="K53" s="479"/>
      <c r="L53" s="249" t="s">
        <v>122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60"/>
      <c r="C54" s="460"/>
      <c r="D54" s="460"/>
      <c r="E54" s="460"/>
      <c r="F54" s="460"/>
      <c r="G54" s="460"/>
      <c r="H54" s="460"/>
      <c r="I54" s="460"/>
      <c r="J54" s="460"/>
      <c r="K54" s="460"/>
      <c r="L54" s="460"/>
      <c r="M54" s="460"/>
      <c r="N54" s="262"/>
    </row>
    <row r="55" spans="1:14" ht="21" customHeight="1" x14ac:dyDescent="0.15">
      <c r="A55" s="258"/>
      <c r="B55" s="475" t="s">
        <v>121</v>
      </c>
      <c r="C55" s="476"/>
      <c r="D55" s="476"/>
      <c r="E55" s="476"/>
      <c r="F55" s="476"/>
      <c r="G55" s="477" t="s">
        <v>120</v>
      </c>
      <c r="H55" s="475" t="s">
        <v>119</v>
      </c>
      <c r="I55" s="484"/>
      <c r="J55" s="484"/>
      <c r="K55" s="484"/>
      <c r="L55" s="484"/>
      <c r="M55" s="462" t="s">
        <v>118</v>
      </c>
      <c r="N55" s="262"/>
    </row>
    <row r="56" spans="1:14" s="269" customFormat="1" ht="21" customHeight="1" x14ac:dyDescent="0.15">
      <c r="A56" s="258"/>
      <c r="B56" s="252" t="s">
        <v>117</v>
      </c>
      <c r="C56" s="252" t="s">
        <v>116</v>
      </c>
      <c r="D56" s="252" t="s">
        <v>115</v>
      </c>
      <c r="E56" s="252" t="s">
        <v>114</v>
      </c>
      <c r="F56" s="248" t="s">
        <v>113</v>
      </c>
      <c r="G56" s="478"/>
      <c r="H56" s="252" t="s">
        <v>127</v>
      </c>
      <c r="I56" s="252" t="s">
        <v>111</v>
      </c>
      <c r="J56" s="464" t="s">
        <v>110</v>
      </c>
      <c r="K56" s="464"/>
      <c r="L56" s="248" t="s">
        <v>2</v>
      </c>
      <c r="M56" s="463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9" t="str">
        <f ca="1">IF(M51=" "," ",INDIRECT($H$3 &amp; "!P" &amp; $H$4+2+C53))</f>
        <v xml:space="preserve"> </v>
      </c>
      <c r="K57" s="459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3" t="s">
        <v>109</v>
      </c>
      <c r="C58" s="47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7" t="s">
        <v>108</v>
      </c>
      <c r="F59" s="458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9" t="str">
        <f ca="1">IF(M51=" "," ",INDIRECT($H$3 &amp; "!Y" &amp; $H$4+2+C53))</f>
        <v xml:space="preserve"> </v>
      </c>
      <c r="K59" s="459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60"/>
      <c r="K60" s="46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1" t="s">
        <v>107</v>
      </c>
      <c r="K61" s="472"/>
      <c r="L61" s="472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65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56"/>
      <c r="B64" s="456"/>
      <c r="C64" s="456"/>
      <c r="D64" s="456"/>
      <c r="E64" s="456"/>
      <c r="F64" s="456"/>
      <c r="G64" s="456"/>
      <c r="H64" s="456"/>
      <c r="I64" s="456"/>
      <c r="J64" s="456"/>
      <c r="K64" s="456"/>
      <c r="L64" s="456"/>
      <c r="M64" s="456"/>
      <c r="N64" s="456"/>
    </row>
    <row r="65" spans="1:14" ht="25" customHeight="1" x14ac:dyDescent="0.2">
      <c r="A65" s="256"/>
      <c r="B65" s="474" t="str">
        <f ca="1">IF(M72=" "," ",Employee!$D$5)</f>
        <v xml:space="preserve"> </v>
      </c>
      <c r="C65" s="474"/>
      <c r="D65" s="474"/>
      <c r="E65" s="474"/>
      <c r="F65" s="474"/>
      <c r="G65" s="469" t="str">
        <f ca="1">IF(G72=" "," ",Employee!$D$119)</f>
        <v xml:space="preserve"> </v>
      </c>
      <c r="H65" s="470"/>
      <c r="I65" s="481" t="str">
        <f ca="1">IF(G72=" "," ",Employee!$D$120)</f>
        <v xml:space="preserve"> </v>
      </c>
      <c r="J65" s="482"/>
      <c r="K65" s="482"/>
      <c r="L65" s="461" t="s">
        <v>23</v>
      </c>
      <c r="M65" s="461"/>
      <c r="N65" s="257"/>
    </row>
    <row r="66" spans="1:14" ht="18" customHeight="1" x14ac:dyDescent="0.15">
      <c r="A66" s="258"/>
      <c r="B66" s="465" t="str">
        <f ca="1">IF(M72=" "," ",Employee!$D$6)</f>
        <v xml:space="preserve"> </v>
      </c>
      <c r="C66" s="465"/>
      <c r="D66" s="466"/>
      <c r="E66" s="467"/>
      <c r="F66" s="468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5" t="str">
        <f ca="1">IF(M72=" "," ",Employee!$D$7)</f>
        <v xml:space="preserve"> </v>
      </c>
      <c r="C67" s="465"/>
      <c r="D67" s="465"/>
      <c r="E67" s="263" t="str">
        <f ca="1">IF(M72=" "," ",Employee!$D$9)</f>
        <v xml:space="preserve"> </v>
      </c>
      <c r="F67" s="264"/>
      <c r="G67" s="265"/>
      <c r="H67" s="249" t="s">
        <v>126</v>
      </c>
      <c r="I67" s="266">
        <f ca="1">I52</f>
        <v>45422</v>
      </c>
      <c r="J67" s="483" t="s">
        <v>6</v>
      </c>
      <c r="K67" s="483"/>
      <c r="L67" s="249" t="s">
        <v>125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124</v>
      </c>
      <c r="C68" s="267">
        <f>Employee!$D$133</f>
        <v>5</v>
      </c>
      <c r="D68" s="250"/>
      <c r="E68" s="286"/>
      <c r="F68" s="460"/>
      <c r="G68" s="460"/>
      <c r="H68" s="253" t="s">
        <v>123</v>
      </c>
      <c r="I68" s="268">
        <f ca="1">I53</f>
        <v>1</v>
      </c>
      <c r="J68" s="479" t="str">
        <f ca="1">IF(M66=" "," ",INDIRECT($H$3 &amp; "!D" &amp; $H$4+2+C68))</f>
        <v xml:space="preserve"> </v>
      </c>
      <c r="K68" s="479"/>
      <c r="L68" s="249" t="s">
        <v>122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60"/>
      <c r="C69" s="460"/>
      <c r="D69" s="460"/>
      <c r="E69" s="460"/>
      <c r="F69" s="460"/>
      <c r="G69" s="460"/>
      <c r="H69" s="460"/>
      <c r="I69" s="460"/>
      <c r="J69" s="460"/>
      <c r="K69" s="460"/>
      <c r="L69" s="460"/>
      <c r="M69" s="460"/>
      <c r="N69" s="262"/>
    </row>
    <row r="70" spans="1:14" ht="21" customHeight="1" x14ac:dyDescent="0.15">
      <c r="A70" s="258"/>
      <c r="B70" s="475" t="s">
        <v>121</v>
      </c>
      <c r="C70" s="476"/>
      <c r="D70" s="476"/>
      <c r="E70" s="476"/>
      <c r="F70" s="476"/>
      <c r="G70" s="477" t="s">
        <v>120</v>
      </c>
      <c r="H70" s="475" t="s">
        <v>119</v>
      </c>
      <c r="I70" s="484"/>
      <c r="J70" s="484"/>
      <c r="K70" s="484"/>
      <c r="L70" s="484"/>
      <c r="M70" s="462" t="s">
        <v>118</v>
      </c>
      <c r="N70" s="262"/>
    </row>
    <row r="71" spans="1:14" s="269" customFormat="1" ht="21" customHeight="1" x14ac:dyDescent="0.15">
      <c r="A71" s="258"/>
      <c r="B71" s="252" t="s">
        <v>117</v>
      </c>
      <c r="C71" s="252" t="s">
        <v>116</v>
      </c>
      <c r="D71" s="252" t="s">
        <v>115</v>
      </c>
      <c r="E71" s="252" t="s">
        <v>114</v>
      </c>
      <c r="F71" s="248" t="s">
        <v>113</v>
      </c>
      <c r="G71" s="478"/>
      <c r="H71" s="252" t="s">
        <v>112</v>
      </c>
      <c r="I71" s="252" t="s">
        <v>111</v>
      </c>
      <c r="J71" s="464" t="s">
        <v>110</v>
      </c>
      <c r="K71" s="464"/>
      <c r="L71" s="248" t="s">
        <v>2</v>
      </c>
      <c r="M71" s="463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9" t="str">
        <f ca="1">IF(M66=" "," ",INDIRECT($H$3 &amp; "!P" &amp; $H$4+2+C68))</f>
        <v xml:space="preserve"> </v>
      </c>
      <c r="K72" s="459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3" t="s">
        <v>109</v>
      </c>
      <c r="C73" s="47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7" t="s">
        <v>108</v>
      </c>
      <c r="F74" s="458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9" t="str">
        <f ca="1">IF(M66=" "," ",INDIRECT($H$3 &amp; "!Y" &amp; $H$4+2+C68))</f>
        <v xml:space="preserve"> </v>
      </c>
      <c r="K74" s="459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60"/>
      <c r="K75" s="46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1" t="s">
        <v>107</v>
      </c>
      <c r="K76" s="472"/>
      <c r="L76" s="472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65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6"/>
      <c r="B78" s="456"/>
      <c r="C78" s="456"/>
      <c r="D78" s="456"/>
      <c r="E78" s="456"/>
      <c r="F78" s="456"/>
      <c r="G78" s="456"/>
      <c r="H78" s="456"/>
      <c r="I78" s="456"/>
      <c r="J78" s="456"/>
      <c r="K78" s="456"/>
      <c r="L78" s="456"/>
      <c r="M78" s="456"/>
      <c r="N78" s="456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102</v>
      </c>
      <c r="C2" s="238" t="s">
        <v>101</v>
      </c>
      <c r="D2" s="237" t="s">
        <v>100</v>
      </c>
      <c r="E2" s="237" t="s">
        <v>99</v>
      </c>
      <c r="F2" s="237" t="s">
        <v>98</v>
      </c>
      <c r="G2" s="237" t="s">
        <v>97</v>
      </c>
      <c r="H2" s="237" t="s">
        <v>96</v>
      </c>
      <c r="I2" s="237" t="s">
        <v>95</v>
      </c>
      <c r="J2" s="237" t="s">
        <v>94</v>
      </c>
      <c r="K2" s="237" t="s">
        <v>93</v>
      </c>
      <c r="L2" s="238" t="s">
        <v>92</v>
      </c>
      <c r="M2" s="238" t="s">
        <v>103</v>
      </c>
      <c r="N2" s="237" t="s">
        <v>91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45442</v>
      </c>
      <c r="C4" s="229">
        <f>Admin!$B$45</f>
        <v>45461</v>
      </c>
      <c r="D4" s="227">
        <f>Month01!T1+Month01!O1</f>
        <v>0</v>
      </c>
      <c r="E4" s="228">
        <f>Month01!N1</f>
        <v>0</v>
      </c>
      <c r="F4" s="228">
        <f>Month01!AD60+Month01!AE60+Month01!AF60+Month01!AG60</f>
        <v>0</v>
      </c>
      <c r="G4" s="228">
        <f>Month01!AE62+Month01!AF62+Month01!AG62</f>
        <v>0</v>
      </c>
      <c r="H4" s="228">
        <f>Month01!P1</f>
        <v>0</v>
      </c>
      <c r="I4" s="227">
        <f t="shared" ref="I4:I15" si="0">D4+E4-F4-G4+H4</f>
        <v>0</v>
      </c>
      <c r="M4" s="212">
        <f>(YEAR(Admin!B2)-1999)*100+1</f>
        <v>2501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45473</v>
      </c>
      <c r="C5" s="229">
        <f>Admin!$B$76</f>
        <v>45492</v>
      </c>
      <c r="D5" s="227">
        <f>Month02!T1+Month02!O1</f>
        <v>0</v>
      </c>
      <c r="E5" s="228">
        <f>Month02!N1</f>
        <v>0</v>
      </c>
      <c r="F5" s="228">
        <f>Month02!AD60+Month02!AE60+Month02!AF60+Month02!AG60</f>
        <v>0</v>
      </c>
      <c r="G5" s="228">
        <f>Month02!AE62+Month02!AF62+Month02!AG62</f>
        <v>0</v>
      </c>
      <c r="H5" s="228">
        <f>Month02!P1</f>
        <v>0</v>
      </c>
      <c r="I5" s="227">
        <f t="shared" si="0"/>
        <v>0</v>
      </c>
      <c r="M5" s="212">
        <f>M4+1</f>
        <v>2502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45503</v>
      </c>
      <c r="C6" s="229">
        <f>Admin!$B$106</f>
        <v>45522</v>
      </c>
      <c r="D6" s="227">
        <f>Month03!T1+Month03!O1</f>
        <v>0</v>
      </c>
      <c r="E6" s="228">
        <f>Month03!N1</f>
        <v>0</v>
      </c>
      <c r="F6" s="228">
        <f>Month03!AD70+Month03!AE70+Month03!AF70+Month03!AG70</f>
        <v>0</v>
      </c>
      <c r="G6" s="228">
        <f>Month03!AE72+Month03!AF72+Month03!AG72</f>
        <v>0</v>
      </c>
      <c r="H6" s="228">
        <f>Month03!P1</f>
        <v>0</v>
      </c>
      <c r="I6" s="227">
        <f t="shared" si="0"/>
        <v>0</v>
      </c>
      <c r="M6" s="212">
        <f t="shared" ref="M6:M15" si="2">M5+1</f>
        <v>2503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45534</v>
      </c>
      <c r="C7" s="229">
        <f>Admin!$B$137</f>
        <v>45553</v>
      </c>
      <c r="D7" s="227">
        <f>Month04!T1+Month04!O1</f>
        <v>0</v>
      </c>
      <c r="E7" s="228">
        <f>Month04!N1</f>
        <v>0</v>
      </c>
      <c r="F7" s="228">
        <f>Month04!AD60+Month04!AE60+Month04!AF60+Month04!AG60</f>
        <v>0</v>
      </c>
      <c r="G7" s="228">
        <f>Month04!AE62+Month04!AF62+Month04!AG62</f>
        <v>0</v>
      </c>
      <c r="H7" s="228">
        <f>Month04!P1</f>
        <v>0</v>
      </c>
      <c r="I7" s="227">
        <f t="shared" si="0"/>
        <v>0</v>
      </c>
      <c r="M7" s="212">
        <f t="shared" si="2"/>
        <v>2504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45565</v>
      </c>
      <c r="C8" s="229">
        <f>Admin!$B$168</f>
        <v>45584</v>
      </c>
      <c r="D8" s="227">
        <f>Month05!T1+Month05!O1</f>
        <v>0</v>
      </c>
      <c r="E8" s="228">
        <f>Month05!N1</f>
        <v>0</v>
      </c>
      <c r="F8" s="228">
        <f>Month05!AD60+Month05!AE60+Month05!AF60+Month05!AG60</f>
        <v>0</v>
      </c>
      <c r="G8" s="228">
        <f>Month05!AE62+Month05!AF62+Month05!AG62</f>
        <v>0</v>
      </c>
      <c r="H8" s="228">
        <f>Month05!P1</f>
        <v>0</v>
      </c>
      <c r="I8" s="227">
        <f t="shared" si="0"/>
        <v>0</v>
      </c>
      <c r="M8" s="212">
        <f t="shared" si="2"/>
        <v>2505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45595</v>
      </c>
      <c r="C9" s="229">
        <f>Admin!$B$198</f>
        <v>45614</v>
      </c>
      <c r="D9" s="227">
        <f>Month06!T1+Month06!O1</f>
        <v>0</v>
      </c>
      <c r="E9" s="228">
        <f>Month06!N1</f>
        <v>0</v>
      </c>
      <c r="F9" s="228">
        <f>Month06!AD70+Month06!AE70+Month06!AF70+Month06!AG70</f>
        <v>0</v>
      </c>
      <c r="G9" s="228">
        <f>Month06!AE72+Month06!AF72+Month06!AG72</f>
        <v>0</v>
      </c>
      <c r="H9" s="228">
        <f>Month06!P1</f>
        <v>0</v>
      </c>
      <c r="I9" s="227">
        <f t="shared" si="0"/>
        <v>0</v>
      </c>
      <c r="M9" s="212">
        <f t="shared" si="2"/>
        <v>2506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45626</v>
      </c>
      <c r="C10" s="229">
        <f>Admin!$B$229</f>
        <v>45645</v>
      </c>
      <c r="D10" s="227">
        <f>Month07!T1+Month07!O1</f>
        <v>0</v>
      </c>
      <c r="E10" s="228">
        <f>Month07!N1</f>
        <v>0</v>
      </c>
      <c r="F10" s="228">
        <f>Month07!AD60+Month07!AE60+Month07!AF60+Month07!AG60</f>
        <v>0</v>
      </c>
      <c r="G10" s="228">
        <f>Month07!AE62+Month07!AF62+Month07!AG62</f>
        <v>0</v>
      </c>
      <c r="H10" s="228">
        <f>Month07!P1</f>
        <v>0</v>
      </c>
      <c r="I10" s="227">
        <f t="shared" si="0"/>
        <v>0</v>
      </c>
      <c r="M10" s="212">
        <f t="shared" si="2"/>
        <v>2507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45656</v>
      </c>
      <c r="C11" s="229">
        <f>Admin!$B$259</f>
        <v>45675</v>
      </c>
      <c r="D11" s="227">
        <f>Month08!T1+Month08!O1</f>
        <v>0</v>
      </c>
      <c r="E11" s="228">
        <f>Month08!N1</f>
        <v>0</v>
      </c>
      <c r="F11" s="228">
        <f>Month08!AD60+Month08!AE60+Month08!AF60+Month08!AG60</f>
        <v>0</v>
      </c>
      <c r="G11" s="228">
        <f>Month08!AE62+Month08!AF62+Month08!AG62</f>
        <v>0</v>
      </c>
      <c r="H11" s="228">
        <f>Month08!P1</f>
        <v>0</v>
      </c>
      <c r="I11" s="227">
        <f t="shared" si="0"/>
        <v>0</v>
      </c>
      <c r="M11" s="212">
        <f t="shared" si="2"/>
        <v>2508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45687</v>
      </c>
      <c r="C12" s="229">
        <f>Admin!$B$290</f>
        <v>45706</v>
      </c>
      <c r="D12" s="227">
        <f>Month09!T1+Month09!O1</f>
        <v>0</v>
      </c>
      <c r="E12" s="228">
        <f>Month09!N1</f>
        <v>0</v>
      </c>
      <c r="F12" s="228">
        <f>Month09!AD70+Month09!AE70+Month09!AF70+Month09!AG70</f>
        <v>0</v>
      </c>
      <c r="G12" s="228">
        <f>Month09!AE72+Month09!AF72+Month09!AG72</f>
        <v>0</v>
      </c>
      <c r="H12" s="228">
        <f>Month09!P1</f>
        <v>0</v>
      </c>
      <c r="I12" s="227">
        <f t="shared" si="0"/>
        <v>0</v>
      </c>
      <c r="M12" s="212">
        <f t="shared" si="2"/>
        <v>2509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45718</v>
      </c>
      <c r="C13" s="229">
        <f>Admin!$B$321</f>
        <v>45737</v>
      </c>
      <c r="D13" s="227">
        <f>Month10!T1+Month10!O1</f>
        <v>0</v>
      </c>
      <c r="E13" s="228">
        <f>Month10!N1</f>
        <v>0</v>
      </c>
      <c r="F13" s="228">
        <f>Month10!AD60+Month10!AE60+Month10!AF60+Month10!AG60</f>
        <v>0</v>
      </c>
      <c r="G13" s="228">
        <f>Month10!AE62+Month10!AF62+Month10!AG62</f>
        <v>0</v>
      </c>
      <c r="H13" s="228">
        <f>Month10!P1</f>
        <v>0</v>
      </c>
      <c r="I13" s="227">
        <f t="shared" si="0"/>
        <v>0</v>
      </c>
      <c r="M13" s="212">
        <f t="shared" si="2"/>
        <v>2510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45746</v>
      </c>
      <c r="C14" s="229">
        <f>Admin!$B$350</f>
        <v>45766</v>
      </c>
      <c r="D14" s="227">
        <f>Month11!T1+Month11!O1</f>
        <v>0</v>
      </c>
      <c r="E14" s="228">
        <f>Month11!N1</f>
        <v>0</v>
      </c>
      <c r="F14" s="228">
        <f>Month11!AD60+Month11!AE60+Month11!AF60+Month11!AG60</f>
        <v>0</v>
      </c>
      <c r="G14" s="228">
        <f>Month11!AE62+Month11!AF62+Month11!AG62</f>
        <v>0</v>
      </c>
      <c r="H14" s="228">
        <f>Month11!P1</f>
        <v>0</v>
      </c>
      <c r="I14" s="227">
        <f t="shared" si="0"/>
        <v>0</v>
      </c>
      <c r="M14" s="212">
        <f t="shared" si="2"/>
        <v>2511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45777</v>
      </c>
      <c r="C15" s="229">
        <f>Admin!$B$381</f>
        <v>45797</v>
      </c>
      <c r="D15" s="227">
        <f>Month12!T1+Month12!O1</f>
        <v>0</v>
      </c>
      <c r="E15" s="228">
        <f>Month12!N1</f>
        <v>0</v>
      </c>
      <c r="F15" s="228">
        <f>Month12!AD80+Month12!AE80+Month12!AF80+Month12!AG80</f>
        <v>0</v>
      </c>
      <c r="G15" s="228">
        <f>Month12!AE82+Month12!AF82+Month12!AG82</f>
        <v>0</v>
      </c>
      <c r="H15" s="228">
        <f>Month12!P1</f>
        <v>0</v>
      </c>
      <c r="I15" s="227">
        <f t="shared" si="0"/>
        <v>0</v>
      </c>
      <c r="M15" s="212">
        <f t="shared" si="2"/>
        <v>2512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91"/>
      <c r="C17" s="491"/>
      <c r="D17" s="491"/>
      <c r="E17" s="491"/>
      <c r="F17" s="491"/>
      <c r="G17" s="491"/>
      <c r="H17" s="491"/>
      <c r="I17" s="491"/>
      <c r="J17" s="491"/>
      <c r="K17" s="491"/>
      <c r="L17" s="491"/>
      <c r="M17" s="491"/>
      <c r="N17" s="491"/>
      <c r="O17" s="215"/>
    </row>
    <row r="18" spans="1:15" x14ac:dyDescent="0.15">
      <c r="B18" s="214" t="s">
        <v>90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83</v>
      </c>
      <c r="B1" s="301" t="s">
        <v>8</v>
      </c>
      <c r="C1" s="300" t="s">
        <v>9</v>
      </c>
      <c r="D1" s="300" t="s">
        <v>10</v>
      </c>
      <c r="E1" s="302" t="s">
        <v>86</v>
      </c>
      <c r="F1" s="302" t="s">
        <v>85</v>
      </c>
      <c r="G1" s="493" t="s">
        <v>76</v>
      </c>
      <c r="H1" s="494"/>
      <c r="I1" s="495">
        <f>B366</f>
        <v>45782</v>
      </c>
      <c r="J1" s="496"/>
      <c r="K1" s="303"/>
      <c r="L1" s="303"/>
      <c r="M1" s="304"/>
      <c r="N1" s="305" t="str">
        <f>TEXT(YEAR(I1)-1,"0") &amp; "-" &amp; TEXT(YEAR(I1)-2000,"0")</f>
        <v>2024-25</v>
      </c>
      <c r="O1" s="304"/>
      <c r="P1" s="304"/>
      <c r="Q1" s="304"/>
      <c r="R1" s="304"/>
      <c r="S1" s="303"/>
    </row>
    <row r="2" spans="1:19" ht="12" x14ac:dyDescent="0.15">
      <c r="A2" s="307" t="str">
        <f>"Month" &amp; TEXT(D2,"00")</f>
        <v>Month01</v>
      </c>
      <c r="B2" s="308">
        <f>Employee!M9</f>
        <v>45418</v>
      </c>
      <c r="C2" s="309">
        <v>1</v>
      </c>
      <c r="D2" s="309">
        <v>1</v>
      </c>
      <c r="E2" s="310">
        <f>B2</f>
        <v>45418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"Month" &amp; TEXT(D3,"00")</f>
        <v>Month01</v>
      </c>
      <c r="B3" s="308">
        <f>B2+1</f>
        <v>45419</v>
      </c>
      <c r="C3" s="309">
        <v>1</v>
      </c>
      <c r="D3" s="309">
        <v>1</v>
      </c>
      <c r="E3" s="311"/>
      <c r="F3" s="312">
        <v>1</v>
      </c>
      <c r="G3" s="303"/>
      <c r="H3" s="497" t="s">
        <v>87</v>
      </c>
      <c r="I3" s="498"/>
      <c r="J3" s="498"/>
      <c r="K3" s="498"/>
      <c r="L3" s="498"/>
      <c r="M3" s="499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Month01</v>
      </c>
      <c r="B4" s="308">
        <f t="shared" ref="B4:B67" si="1">B3+1</f>
        <v>45420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Month01</v>
      </c>
      <c r="B5" s="308">
        <f t="shared" si="1"/>
        <v>45421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Month01</v>
      </c>
      <c r="B6" s="308">
        <f t="shared" si="1"/>
        <v>45422</v>
      </c>
      <c r="C6" s="309">
        <v>1</v>
      </c>
      <c r="D6" s="309">
        <v>1</v>
      </c>
      <c r="E6" s="311"/>
      <c r="F6" s="312">
        <v>1</v>
      </c>
      <c r="G6" s="303"/>
      <c r="H6" s="314" t="s">
        <v>84</v>
      </c>
      <c r="I6" s="314" t="s">
        <v>88</v>
      </c>
      <c r="J6" s="313"/>
      <c r="K6" s="314" t="s">
        <v>89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Month01</v>
      </c>
      <c r="B7" s="308">
        <f t="shared" si="1"/>
        <v>45423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Month01</v>
      </c>
      <c r="B8" s="308">
        <f t="shared" si="1"/>
        <v>45424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Month01</v>
      </c>
      <c r="B9" s="308">
        <f t="shared" si="1"/>
        <v>45425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Month01</v>
      </c>
      <c r="B10" s="308">
        <f t="shared" si="1"/>
        <v>45426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Month01</v>
      </c>
      <c r="B11" s="308">
        <f t="shared" si="1"/>
        <v>45427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132</v>
      </c>
      <c r="L11" s="309" t="s">
        <v>79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Month01</v>
      </c>
      <c r="B12" s="308">
        <f t="shared" si="1"/>
        <v>45428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133</v>
      </c>
      <c r="L12" s="309" t="s">
        <v>77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Month01</v>
      </c>
      <c r="B13" s="308">
        <f t="shared" si="1"/>
        <v>45429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Month01</v>
      </c>
      <c r="B14" s="308">
        <f t="shared" si="1"/>
        <v>45430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Month01</v>
      </c>
      <c r="B15" s="308">
        <f t="shared" si="1"/>
        <v>45431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3" customHeight="1" x14ac:dyDescent="0.15">
      <c r="A16" s="307" t="str">
        <f t="shared" si="0"/>
        <v>Month01</v>
      </c>
      <c r="B16" s="308">
        <f t="shared" si="1"/>
        <v>45432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492" t="s">
        <v>139</v>
      </c>
      <c r="L16" s="492"/>
      <c r="M16" s="492"/>
      <c r="N16" s="492"/>
      <c r="O16" s="492"/>
      <c r="P16" s="492"/>
      <c r="Q16" s="492"/>
      <c r="R16" s="492"/>
      <c r="S16" s="303"/>
    </row>
    <row r="17" spans="1:19" ht="12" customHeight="1" x14ac:dyDescent="0.15">
      <c r="A17" s="307" t="str">
        <f t="shared" si="0"/>
        <v>Month01</v>
      </c>
      <c r="B17" s="308">
        <f t="shared" si="1"/>
        <v>45433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492"/>
      <c r="L17" s="492"/>
      <c r="M17" s="492"/>
      <c r="N17" s="492"/>
      <c r="O17" s="492"/>
      <c r="P17" s="492"/>
      <c r="Q17" s="492"/>
      <c r="R17" s="492"/>
      <c r="S17" s="303"/>
    </row>
    <row r="18" spans="1:19" ht="12" x14ac:dyDescent="0.15">
      <c r="A18" s="307" t="str">
        <f t="shared" si="0"/>
        <v>Month01</v>
      </c>
      <c r="B18" s="308">
        <f t="shared" si="1"/>
        <v>45434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customHeight="1" x14ac:dyDescent="0.15">
      <c r="A19" s="307" t="str">
        <f t="shared" si="0"/>
        <v>Month01</v>
      </c>
      <c r="B19" s="308">
        <f t="shared" si="1"/>
        <v>45435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492" t="s">
        <v>140</v>
      </c>
      <c r="L19" s="492"/>
      <c r="M19" s="492"/>
      <c r="N19" s="492"/>
      <c r="O19" s="303"/>
      <c r="P19" s="500">
        <f>B2</f>
        <v>45418</v>
      </c>
      <c r="Q19" s="501"/>
      <c r="R19" s="502"/>
      <c r="S19" s="303"/>
    </row>
    <row r="20" spans="1:19" ht="12" customHeight="1" x14ac:dyDescent="0.15">
      <c r="A20" s="307" t="str">
        <f t="shared" si="0"/>
        <v>Month01</v>
      </c>
      <c r="B20" s="308">
        <f t="shared" si="1"/>
        <v>45436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492"/>
      <c r="L20" s="492"/>
      <c r="M20" s="492"/>
      <c r="N20" s="492"/>
      <c r="O20" s="303"/>
      <c r="P20" s="503"/>
      <c r="Q20" s="504"/>
      <c r="R20" s="505"/>
      <c r="S20" s="303"/>
    </row>
    <row r="21" spans="1:19" ht="12" x14ac:dyDescent="0.15">
      <c r="A21" s="307" t="str">
        <f t="shared" si="0"/>
        <v>Month01</v>
      </c>
      <c r="B21" s="308">
        <f t="shared" si="1"/>
        <v>45437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customHeight="1" x14ac:dyDescent="0.15">
      <c r="A22" s="307" t="str">
        <f t="shared" si="0"/>
        <v>Month01</v>
      </c>
      <c r="B22" s="308">
        <f t="shared" si="1"/>
        <v>45438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492" t="s">
        <v>141</v>
      </c>
      <c r="L22" s="492"/>
      <c r="M22" s="492"/>
      <c r="N22" s="492"/>
      <c r="O22" s="492"/>
      <c r="P22" s="492"/>
      <c r="Q22" s="492"/>
      <c r="R22" s="492"/>
      <c r="S22" s="303"/>
    </row>
    <row r="23" spans="1:19" ht="12" customHeight="1" x14ac:dyDescent="0.15">
      <c r="A23" s="307" t="str">
        <f t="shared" si="0"/>
        <v>Month01</v>
      </c>
      <c r="B23" s="308">
        <f t="shared" si="1"/>
        <v>45439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492"/>
      <c r="L23" s="492"/>
      <c r="M23" s="492"/>
      <c r="N23" s="492"/>
      <c r="O23" s="492"/>
      <c r="P23" s="492"/>
      <c r="Q23" s="492"/>
      <c r="R23" s="492"/>
      <c r="S23" s="303"/>
    </row>
    <row r="24" spans="1:19" ht="12" customHeight="1" x14ac:dyDescent="0.15">
      <c r="A24" s="307" t="str">
        <f t="shared" si="0"/>
        <v>Month01</v>
      </c>
      <c r="B24" s="308">
        <f t="shared" si="1"/>
        <v>45440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customHeight="1" x14ac:dyDescent="0.15">
      <c r="A25" s="307" t="str">
        <f t="shared" si="0"/>
        <v>Month01</v>
      </c>
      <c r="B25" s="308">
        <f t="shared" si="1"/>
        <v>45441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Month01</v>
      </c>
      <c r="B26" s="308">
        <f t="shared" si="1"/>
        <v>45442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Month01</v>
      </c>
      <c r="B27" s="308">
        <f t="shared" si="1"/>
        <v>45443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Month02</v>
      </c>
      <c r="B28" s="308">
        <f t="shared" si="1"/>
        <v>45444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Month02</v>
      </c>
      <c r="B29" s="308">
        <f t="shared" si="1"/>
        <v>45445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Month02</v>
      </c>
      <c r="B30" s="308">
        <f t="shared" si="1"/>
        <v>45446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Month02</v>
      </c>
      <c r="B31" s="308">
        <f t="shared" si="1"/>
        <v>45447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Month02</v>
      </c>
      <c r="B32" s="308">
        <f t="shared" si="1"/>
        <v>45448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Month02</v>
      </c>
      <c r="B33" s="308">
        <f t="shared" si="1"/>
        <v>45449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Month02</v>
      </c>
      <c r="B34" s="308">
        <f t="shared" si="1"/>
        <v>45450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Month02</v>
      </c>
      <c r="B35" s="308">
        <f t="shared" si="1"/>
        <v>45451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Month02</v>
      </c>
      <c r="B36" s="308">
        <f t="shared" si="1"/>
        <v>45452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Month02</v>
      </c>
      <c r="B37" s="308">
        <f t="shared" si="1"/>
        <v>45453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Month02</v>
      </c>
      <c r="B38" s="308">
        <f t="shared" si="1"/>
        <v>45454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Month02</v>
      </c>
      <c r="B39" s="308">
        <f t="shared" si="1"/>
        <v>45455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Month02</v>
      </c>
      <c r="B40" s="308">
        <f t="shared" si="1"/>
        <v>45456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Month02</v>
      </c>
      <c r="B41" s="308">
        <f t="shared" si="1"/>
        <v>45457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Month02</v>
      </c>
      <c r="B42" s="308">
        <f t="shared" si="1"/>
        <v>45458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Month02</v>
      </c>
      <c r="B43" s="308">
        <f t="shared" si="1"/>
        <v>45459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Month02</v>
      </c>
      <c r="B44" s="308">
        <f t="shared" si="1"/>
        <v>45460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Month02</v>
      </c>
      <c r="B45" s="308">
        <f t="shared" si="1"/>
        <v>45461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Month02</v>
      </c>
      <c r="B46" s="308">
        <f t="shared" si="1"/>
        <v>45462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Month02</v>
      </c>
      <c r="B47" s="308">
        <f t="shared" si="1"/>
        <v>45463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Month02</v>
      </c>
      <c r="B48" s="308">
        <f t="shared" si="1"/>
        <v>45464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Month02</v>
      </c>
      <c r="B49" s="308">
        <f t="shared" si="1"/>
        <v>45465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Month02</v>
      </c>
      <c r="B50" s="308">
        <f t="shared" si="1"/>
        <v>45466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Month02</v>
      </c>
      <c r="B51" s="308">
        <f t="shared" si="1"/>
        <v>45467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Month02</v>
      </c>
      <c r="B52" s="308">
        <f t="shared" si="1"/>
        <v>45468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Month02</v>
      </c>
      <c r="B53" s="308">
        <f t="shared" si="1"/>
        <v>45469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Month02</v>
      </c>
      <c r="B54" s="308">
        <f t="shared" si="1"/>
        <v>45470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Month02</v>
      </c>
      <c r="B55" s="308">
        <f t="shared" si="1"/>
        <v>45471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Month03</v>
      </c>
      <c r="B56" s="308">
        <f t="shared" si="1"/>
        <v>45472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Month03</v>
      </c>
      <c r="B57" s="308">
        <f t="shared" si="1"/>
        <v>45473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Month03</v>
      </c>
      <c r="B58" s="308">
        <f t="shared" si="1"/>
        <v>45474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Month03</v>
      </c>
      <c r="B59" s="308">
        <f t="shared" si="1"/>
        <v>45475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Month03</v>
      </c>
      <c r="B60" s="308">
        <f t="shared" si="1"/>
        <v>45476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Month03</v>
      </c>
      <c r="B61" s="308">
        <f t="shared" si="1"/>
        <v>45477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Month03</v>
      </c>
      <c r="B62" s="308">
        <f t="shared" si="1"/>
        <v>45478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Month03</v>
      </c>
      <c r="B63" s="308">
        <f t="shared" si="1"/>
        <v>45479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Month03</v>
      </c>
      <c r="B64" s="308">
        <f t="shared" si="1"/>
        <v>45480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Month03</v>
      </c>
      <c r="B65" s="308">
        <f t="shared" si="1"/>
        <v>45481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Month03</v>
      </c>
      <c r="B66" s="308">
        <f t="shared" si="1"/>
        <v>45482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"Month" &amp; TEXT(D67,"00")</f>
        <v>Month03</v>
      </c>
      <c r="B67" s="308">
        <f t="shared" si="1"/>
        <v>45483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Month03</v>
      </c>
      <c r="B68" s="308">
        <f t="shared" ref="B68:B131" si="3">B67+1</f>
        <v>45484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Month03</v>
      </c>
      <c r="B69" s="308">
        <f t="shared" si="3"/>
        <v>45485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Month03</v>
      </c>
      <c r="B70" s="308">
        <f t="shared" si="3"/>
        <v>45486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Month03</v>
      </c>
      <c r="B71" s="308">
        <f t="shared" si="3"/>
        <v>45487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Month03</v>
      </c>
      <c r="B72" s="308">
        <f t="shared" si="3"/>
        <v>45488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Month03</v>
      </c>
      <c r="B73" s="308">
        <f t="shared" si="3"/>
        <v>45489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Month03</v>
      </c>
      <c r="B74" s="308">
        <f t="shared" si="3"/>
        <v>45490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Month03</v>
      </c>
      <c r="B75" s="308">
        <f t="shared" si="3"/>
        <v>45491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Month03</v>
      </c>
      <c r="B76" s="308">
        <f t="shared" si="3"/>
        <v>45492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Month03</v>
      </c>
      <c r="B77" s="308">
        <f t="shared" si="3"/>
        <v>45493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Month03</v>
      </c>
      <c r="B78" s="308">
        <f t="shared" si="3"/>
        <v>45494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Month03</v>
      </c>
      <c r="B79" s="308">
        <f t="shared" si="3"/>
        <v>45495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Month03</v>
      </c>
      <c r="B80" s="308">
        <f t="shared" si="3"/>
        <v>45496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Month03</v>
      </c>
      <c r="B81" s="308">
        <f t="shared" si="3"/>
        <v>45497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Month03</v>
      </c>
      <c r="B82" s="308">
        <f t="shared" si="3"/>
        <v>45498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Month03</v>
      </c>
      <c r="B83" s="308">
        <f t="shared" si="3"/>
        <v>45499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Month03</v>
      </c>
      <c r="B84" s="308">
        <f t="shared" si="3"/>
        <v>45500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Month03</v>
      </c>
      <c r="B85" s="308">
        <f t="shared" si="3"/>
        <v>45501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Month03</v>
      </c>
      <c r="B86" s="308">
        <f t="shared" si="3"/>
        <v>45502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Month03</v>
      </c>
      <c r="B87" s="308">
        <f t="shared" si="3"/>
        <v>45503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Month03</v>
      </c>
      <c r="B88" s="308">
        <f t="shared" si="3"/>
        <v>45504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Month03</v>
      </c>
      <c r="B89" s="308">
        <f t="shared" si="3"/>
        <v>45505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Month03</v>
      </c>
      <c r="B90" s="308">
        <f t="shared" si="3"/>
        <v>45506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Month04</v>
      </c>
      <c r="B91" s="308">
        <f t="shared" si="3"/>
        <v>45507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Month04</v>
      </c>
      <c r="B92" s="308">
        <f t="shared" si="3"/>
        <v>45508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Month04</v>
      </c>
      <c r="B93" s="308">
        <f t="shared" si="3"/>
        <v>45509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Month04</v>
      </c>
      <c r="B94" s="308">
        <f t="shared" si="3"/>
        <v>45510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Month04</v>
      </c>
      <c r="B95" s="308">
        <f t="shared" si="3"/>
        <v>45511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Month04</v>
      </c>
      <c r="B96" s="308">
        <f t="shared" si="3"/>
        <v>45512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Month04</v>
      </c>
      <c r="B97" s="308">
        <f t="shared" si="3"/>
        <v>45513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Month04</v>
      </c>
      <c r="B98" s="308">
        <f t="shared" si="3"/>
        <v>45514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Month04</v>
      </c>
      <c r="B99" s="308">
        <f t="shared" si="3"/>
        <v>45515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Month04</v>
      </c>
      <c r="B100" s="308">
        <f t="shared" si="3"/>
        <v>45516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Month04</v>
      </c>
      <c r="B101" s="308">
        <f t="shared" si="3"/>
        <v>45517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Month04</v>
      </c>
      <c r="B102" s="308">
        <f t="shared" si="3"/>
        <v>45518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Month04</v>
      </c>
      <c r="B103" s="308">
        <f t="shared" si="3"/>
        <v>45519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Month04</v>
      </c>
      <c r="B104" s="308">
        <f t="shared" si="3"/>
        <v>45520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Month04</v>
      </c>
      <c r="B105" s="308">
        <f t="shared" si="3"/>
        <v>45521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Month04</v>
      </c>
      <c r="B106" s="308">
        <f t="shared" si="3"/>
        <v>45522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Month04</v>
      </c>
      <c r="B107" s="308">
        <f t="shared" si="3"/>
        <v>45523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Month04</v>
      </c>
      <c r="B108" s="308">
        <f t="shared" si="3"/>
        <v>45524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Month04</v>
      </c>
      <c r="B109" s="308">
        <f t="shared" si="3"/>
        <v>45525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Month04</v>
      </c>
      <c r="B110" s="308">
        <f t="shared" si="3"/>
        <v>45526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Month04</v>
      </c>
      <c r="B111" s="308">
        <f t="shared" si="3"/>
        <v>45527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Month04</v>
      </c>
      <c r="B112" s="308">
        <f t="shared" si="3"/>
        <v>45528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Month04</v>
      </c>
      <c r="B113" s="308">
        <f t="shared" si="3"/>
        <v>45529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Month04</v>
      </c>
      <c r="B114" s="308">
        <f t="shared" si="3"/>
        <v>45530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Month04</v>
      </c>
      <c r="B115" s="308">
        <f t="shared" si="3"/>
        <v>45531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Month04</v>
      </c>
      <c r="B116" s="308">
        <f t="shared" si="3"/>
        <v>45532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Month04</v>
      </c>
      <c r="B117" s="308">
        <f t="shared" si="3"/>
        <v>45533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Month04</v>
      </c>
      <c r="B118" s="308">
        <f t="shared" si="3"/>
        <v>45534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Month05</v>
      </c>
      <c r="B119" s="308">
        <f t="shared" si="3"/>
        <v>45535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Month05</v>
      </c>
      <c r="B120" s="308">
        <f t="shared" si="3"/>
        <v>45536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Month05</v>
      </c>
      <c r="B121" s="308">
        <f t="shared" si="3"/>
        <v>45537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Month05</v>
      </c>
      <c r="B122" s="308">
        <f t="shared" si="3"/>
        <v>45538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Month05</v>
      </c>
      <c r="B123" s="308">
        <f t="shared" si="3"/>
        <v>45539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Month05</v>
      </c>
      <c r="B124" s="308">
        <f t="shared" si="3"/>
        <v>45540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Month05</v>
      </c>
      <c r="B125" s="308">
        <f t="shared" si="3"/>
        <v>45541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Month05</v>
      </c>
      <c r="B126" s="308">
        <f t="shared" si="3"/>
        <v>45542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Month05</v>
      </c>
      <c r="B127" s="308">
        <f t="shared" si="3"/>
        <v>45543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Month05</v>
      </c>
      <c r="B128" s="308">
        <f t="shared" si="3"/>
        <v>45544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Month05</v>
      </c>
      <c r="B129" s="308">
        <f t="shared" si="3"/>
        <v>45545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Month05</v>
      </c>
      <c r="B130" s="308">
        <f t="shared" si="3"/>
        <v>45546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"Month" &amp; TEXT(D131,"00")</f>
        <v>Month05</v>
      </c>
      <c r="B131" s="308">
        <f t="shared" si="3"/>
        <v>45547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Month05</v>
      </c>
      <c r="B132" s="308">
        <f t="shared" ref="B132:B195" si="5">B131+1</f>
        <v>45548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Month05</v>
      </c>
      <c r="B133" s="308">
        <f t="shared" si="5"/>
        <v>45549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Month05</v>
      </c>
      <c r="B134" s="308">
        <f t="shared" si="5"/>
        <v>45550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Month05</v>
      </c>
      <c r="B135" s="308">
        <f t="shared" si="5"/>
        <v>45551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Month05</v>
      </c>
      <c r="B136" s="308">
        <f t="shared" si="5"/>
        <v>45552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Month05</v>
      </c>
      <c r="B137" s="308">
        <f t="shared" si="5"/>
        <v>45553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Month05</v>
      </c>
      <c r="B138" s="308">
        <f t="shared" si="5"/>
        <v>45554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Month05</v>
      </c>
      <c r="B139" s="308">
        <f t="shared" si="5"/>
        <v>45555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Month05</v>
      </c>
      <c r="B140" s="308">
        <f t="shared" si="5"/>
        <v>45556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Month05</v>
      </c>
      <c r="B141" s="308">
        <f t="shared" si="5"/>
        <v>45557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Month05</v>
      </c>
      <c r="B142" s="308">
        <f t="shared" si="5"/>
        <v>45558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Month05</v>
      </c>
      <c r="B143" s="308">
        <f t="shared" si="5"/>
        <v>45559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Month05</v>
      </c>
      <c r="B144" s="308">
        <f t="shared" si="5"/>
        <v>45560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Month05</v>
      </c>
      <c r="B145" s="308">
        <f t="shared" si="5"/>
        <v>45561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Month05</v>
      </c>
      <c r="B146" s="308">
        <f t="shared" si="5"/>
        <v>45562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Month06</v>
      </c>
      <c r="B147" s="308">
        <f t="shared" si="5"/>
        <v>45563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Month06</v>
      </c>
      <c r="B148" s="308">
        <f t="shared" si="5"/>
        <v>45564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Month06</v>
      </c>
      <c r="B149" s="308">
        <f t="shared" si="5"/>
        <v>45565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Month06</v>
      </c>
      <c r="B150" s="308">
        <f t="shared" si="5"/>
        <v>45566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Month06</v>
      </c>
      <c r="B151" s="308">
        <f t="shared" si="5"/>
        <v>45567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Month06</v>
      </c>
      <c r="B152" s="308">
        <f t="shared" si="5"/>
        <v>45568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Month06</v>
      </c>
      <c r="B153" s="308">
        <f t="shared" si="5"/>
        <v>45569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Month06</v>
      </c>
      <c r="B154" s="308">
        <f t="shared" si="5"/>
        <v>45570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Month06</v>
      </c>
      <c r="B155" s="321">
        <f t="shared" si="5"/>
        <v>45571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Month06</v>
      </c>
      <c r="B156" s="308">
        <f t="shared" si="5"/>
        <v>45572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Month06</v>
      </c>
      <c r="B157" s="308">
        <f t="shared" si="5"/>
        <v>45573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Month06</v>
      </c>
      <c r="B158" s="308">
        <f t="shared" si="5"/>
        <v>45574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Month06</v>
      </c>
      <c r="B159" s="308">
        <f t="shared" si="5"/>
        <v>45575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Month06</v>
      </c>
      <c r="B160" s="308">
        <f t="shared" si="5"/>
        <v>45576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Month06</v>
      </c>
      <c r="B161" s="308">
        <f t="shared" si="5"/>
        <v>45577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Month06</v>
      </c>
      <c r="B162" s="308">
        <f t="shared" si="5"/>
        <v>45578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Month06</v>
      </c>
      <c r="B163" s="308">
        <f t="shared" si="5"/>
        <v>45579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Month06</v>
      </c>
      <c r="B164" s="308">
        <f t="shared" si="5"/>
        <v>45580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Month06</v>
      </c>
      <c r="B165" s="308">
        <f t="shared" si="5"/>
        <v>45581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Month06</v>
      </c>
      <c r="B166" s="308">
        <f t="shared" si="5"/>
        <v>45582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Month06</v>
      </c>
      <c r="B167" s="308">
        <f t="shared" si="5"/>
        <v>45583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Month06</v>
      </c>
      <c r="B168" s="308">
        <f t="shared" si="5"/>
        <v>45584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Month06</v>
      </c>
      <c r="B169" s="308">
        <f t="shared" si="5"/>
        <v>45585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Month06</v>
      </c>
      <c r="B170" s="308">
        <f t="shared" si="5"/>
        <v>45586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Month06</v>
      </c>
      <c r="B171" s="308">
        <f t="shared" si="5"/>
        <v>45587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Month06</v>
      </c>
      <c r="B172" s="308">
        <f t="shared" si="5"/>
        <v>45588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Month06</v>
      </c>
      <c r="B173" s="308">
        <f t="shared" si="5"/>
        <v>45589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Month06</v>
      </c>
      <c r="B174" s="308">
        <f t="shared" si="5"/>
        <v>45590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Month06</v>
      </c>
      <c r="B175" s="308">
        <f t="shared" si="5"/>
        <v>45591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Month06</v>
      </c>
      <c r="B176" s="308">
        <f t="shared" si="5"/>
        <v>45592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Month06</v>
      </c>
      <c r="B177" s="308">
        <f t="shared" si="5"/>
        <v>45593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Month06</v>
      </c>
      <c r="B178" s="308">
        <f t="shared" si="5"/>
        <v>45594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Month06</v>
      </c>
      <c r="B179" s="308">
        <f t="shared" si="5"/>
        <v>45595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Month06</v>
      </c>
      <c r="B180" s="308">
        <f t="shared" si="5"/>
        <v>45596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Month06</v>
      </c>
      <c r="B181" s="308">
        <f t="shared" si="5"/>
        <v>45597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Month07</v>
      </c>
      <c r="B182" s="308">
        <f t="shared" si="5"/>
        <v>45598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Month07</v>
      </c>
      <c r="B183" s="308">
        <f t="shared" si="5"/>
        <v>45599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Month07</v>
      </c>
      <c r="B184" s="308">
        <f t="shared" si="5"/>
        <v>45600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Month07</v>
      </c>
      <c r="B185" s="321">
        <f t="shared" si="5"/>
        <v>45601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Month07</v>
      </c>
      <c r="B186" s="308">
        <f t="shared" si="5"/>
        <v>45602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Month07</v>
      </c>
      <c r="B187" s="308">
        <f t="shared" si="5"/>
        <v>45603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Month07</v>
      </c>
      <c r="B188" s="308">
        <f t="shared" si="5"/>
        <v>45604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Month07</v>
      </c>
      <c r="B189" s="308">
        <f t="shared" si="5"/>
        <v>45605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Month07</v>
      </c>
      <c r="B190" s="308">
        <f t="shared" si="5"/>
        <v>45606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Month07</v>
      </c>
      <c r="B191" s="308">
        <f t="shared" si="5"/>
        <v>45607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Month07</v>
      </c>
      <c r="B192" s="308">
        <f t="shared" si="5"/>
        <v>45608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Month07</v>
      </c>
      <c r="B193" s="308">
        <f t="shared" si="5"/>
        <v>45609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Month07</v>
      </c>
      <c r="B194" s="308">
        <f t="shared" si="5"/>
        <v>45610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"Month" &amp; TEXT(D195,"00")</f>
        <v>Month07</v>
      </c>
      <c r="B195" s="308">
        <f t="shared" si="5"/>
        <v>45611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Month07</v>
      </c>
      <c r="B196" s="308">
        <f t="shared" ref="B196:B259" si="7">B195+1</f>
        <v>45612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Month07</v>
      </c>
      <c r="B197" s="308">
        <f t="shared" si="7"/>
        <v>45613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Month07</v>
      </c>
      <c r="B198" s="308">
        <f t="shared" si="7"/>
        <v>45614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Month07</v>
      </c>
      <c r="B199" s="308">
        <f t="shared" si="7"/>
        <v>45615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Month07</v>
      </c>
      <c r="B200" s="308">
        <f t="shared" si="7"/>
        <v>45616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Month07</v>
      </c>
      <c r="B201" s="308">
        <f t="shared" si="7"/>
        <v>45617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Month07</v>
      </c>
      <c r="B202" s="308">
        <f t="shared" si="7"/>
        <v>45618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Month07</v>
      </c>
      <c r="B203" s="308">
        <f t="shared" si="7"/>
        <v>45619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Month07</v>
      </c>
      <c r="B204" s="308">
        <f t="shared" si="7"/>
        <v>45620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Month07</v>
      </c>
      <c r="B205" s="308">
        <f t="shared" si="7"/>
        <v>45621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Month07</v>
      </c>
      <c r="B206" s="308">
        <f t="shared" si="7"/>
        <v>45622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Month07</v>
      </c>
      <c r="B207" s="308">
        <f t="shared" si="7"/>
        <v>45623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Month07</v>
      </c>
      <c r="B208" s="308">
        <f t="shared" si="7"/>
        <v>45624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Month07</v>
      </c>
      <c r="B209" s="308">
        <f t="shared" si="7"/>
        <v>45625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Month08</v>
      </c>
      <c r="B210" s="308">
        <f t="shared" si="7"/>
        <v>45626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Month08</v>
      </c>
      <c r="B211" s="308">
        <f t="shared" si="7"/>
        <v>45627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Month08</v>
      </c>
      <c r="B212" s="308">
        <f t="shared" si="7"/>
        <v>45628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Month08</v>
      </c>
      <c r="B213" s="308">
        <f t="shared" si="7"/>
        <v>45629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Month08</v>
      </c>
      <c r="B214" s="308">
        <f t="shared" si="7"/>
        <v>45630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Month08</v>
      </c>
      <c r="B215" s="308">
        <f t="shared" si="7"/>
        <v>45631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Month08</v>
      </c>
      <c r="B216" s="321">
        <f t="shared" si="7"/>
        <v>45632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Month08</v>
      </c>
      <c r="B217" s="308">
        <f t="shared" si="7"/>
        <v>45633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Month08</v>
      </c>
      <c r="B218" s="308">
        <f t="shared" si="7"/>
        <v>45634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Month08</v>
      </c>
      <c r="B219" s="308">
        <f t="shared" si="7"/>
        <v>45635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Month08</v>
      </c>
      <c r="B220" s="308">
        <f t="shared" si="7"/>
        <v>45636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Month08</v>
      </c>
      <c r="B221" s="308">
        <f t="shared" si="7"/>
        <v>45637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Month08</v>
      </c>
      <c r="B222" s="308">
        <f t="shared" si="7"/>
        <v>45638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Month08</v>
      </c>
      <c r="B223" s="308">
        <f t="shared" si="7"/>
        <v>45639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Month08</v>
      </c>
      <c r="B224" s="308">
        <f t="shared" si="7"/>
        <v>45640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Month08</v>
      </c>
      <c r="B225" s="308">
        <f t="shared" si="7"/>
        <v>45641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Month08</v>
      </c>
      <c r="B226" s="308">
        <f t="shared" si="7"/>
        <v>45642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Month08</v>
      </c>
      <c r="B227" s="308">
        <f t="shared" si="7"/>
        <v>45643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Month08</v>
      </c>
      <c r="B228" s="308">
        <f t="shared" si="7"/>
        <v>45644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Month08</v>
      </c>
      <c r="B229" s="308">
        <f t="shared" si="7"/>
        <v>45645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Month08</v>
      </c>
      <c r="B230" s="308">
        <f t="shared" si="7"/>
        <v>45646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Month08</v>
      </c>
      <c r="B231" s="308">
        <f t="shared" si="7"/>
        <v>45647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Month08</v>
      </c>
      <c r="B232" s="308">
        <f t="shared" si="7"/>
        <v>45648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Month08</v>
      </c>
      <c r="B233" s="308">
        <f t="shared" si="7"/>
        <v>45649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Month08</v>
      </c>
      <c r="B234" s="308">
        <f t="shared" si="7"/>
        <v>45650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Month08</v>
      </c>
      <c r="B235" s="308">
        <f t="shared" si="7"/>
        <v>45651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Month08</v>
      </c>
      <c r="B236" s="308">
        <f t="shared" si="7"/>
        <v>45652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Month08</v>
      </c>
      <c r="B237" s="308">
        <f t="shared" si="7"/>
        <v>45653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Month09</v>
      </c>
      <c r="B238" s="308">
        <f t="shared" si="7"/>
        <v>45654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Month09</v>
      </c>
      <c r="B239" s="308">
        <f t="shared" si="7"/>
        <v>45655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Month09</v>
      </c>
      <c r="B240" s="308">
        <f t="shared" si="7"/>
        <v>45656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Month09</v>
      </c>
      <c r="B241" s="308">
        <f t="shared" si="7"/>
        <v>45657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Month09</v>
      </c>
      <c r="B242" s="308">
        <f t="shared" si="7"/>
        <v>45658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Month09</v>
      </c>
      <c r="B243" s="308">
        <f t="shared" si="7"/>
        <v>45659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Month09</v>
      </c>
      <c r="B244" s="308">
        <f t="shared" si="7"/>
        <v>45660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Month09</v>
      </c>
      <c r="B245" s="308">
        <f t="shared" si="7"/>
        <v>45661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Month09</v>
      </c>
      <c r="B246" s="321">
        <f t="shared" si="7"/>
        <v>45662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Month09</v>
      </c>
      <c r="B247" s="308">
        <f t="shared" si="7"/>
        <v>45663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Month09</v>
      </c>
      <c r="B248" s="308">
        <f t="shared" si="7"/>
        <v>45664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Month09</v>
      </c>
      <c r="B249" s="308">
        <f t="shared" si="7"/>
        <v>45665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Month09</v>
      </c>
      <c r="B250" s="308">
        <f t="shared" si="7"/>
        <v>45666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Month09</v>
      </c>
      <c r="B251" s="308">
        <f t="shared" si="7"/>
        <v>45667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Month09</v>
      </c>
      <c r="B252" s="308">
        <f t="shared" si="7"/>
        <v>45668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Month09</v>
      </c>
      <c r="B253" s="308">
        <f t="shared" si="7"/>
        <v>45669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Month09</v>
      </c>
      <c r="B254" s="308">
        <f t="shared" si="7"/>
        <v>45670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Month09</v>
      </c>
      <c r="B255" s="308">
        <f t="shared" si="7"/>
        <v>45671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Month09</v>
      </c>
      <c r="B256" s="308">
        <f t="shared" si="7"/>
        <v>45672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Month09</v>
      </c>
      <c r="B257" s="308">
        <f t="shared" si="7"/>
        <v>45673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Month09</v>
      </c>
      <c r="B258" s="308">
        <f t="shared" si="7"/>
        <v>45674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"Month" &amp; TEXT(D259,"00")</f>
        <v>Month09</v>
      </c>
      <c r="B259" s="308">
        <f t="shared" si="7"/>
        <v>45675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Month09</v>
      </c>
      <c r="B260" s="308">
        <f t="shared" ref="B260:B323" si="9">B259+1</f>
        <v>45676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Month09</v>
      </c>
      <c r="B261" s="308">
        <f t="shared" si="9"/>
        <v>45677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Month09</v>
      </c>
      <c r="B262" s="308">
        <f t="shared" si="9"/>
        <v>45678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Month09</v>
      </c>
      <c r="B263" s="308">
        <f t="shared" si="9"/>
        <v>45679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Month09</v>
      </c>
      <c r="B264" s="308">
        <f t="shared" si="9"/>
        <v>45680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Month09</v>
      </c>
      <c r="B265" s="308">
        <f t="shared" si="9"/>
        <v>45681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Month09</v>
      </c>
      <c r="B266" s="308">
        <f t="shared" si="9"/>
        <v>45682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Month09</v>
      </c>
      <c r="B267" s="308">
        <f t="shared" si="9"/>
        <v>45683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Month09</v>
      </c>
      <c r="B268" s="308">
        <f t="shared" si="9"/>
        <v>45684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Month09</v>
      </c>
      <c r="B269" s="308">
        <f t="shared" si="9"/>
        <v>45685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Month09</v>
      </c>
      <c r="B270" s="308">
        <f t="shared" si="9"/>
        <v>45686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Month09</v>
      </c>
      <c r="B271" s="308">
        <f t="shared" si="9"/>
        <v>45687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Month09</v>
      </c>
      <c r="B272" s="308">
        <f t="shared" si="9"/>
        <v>45688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Month10</v>
      </c>
      <c r="B273" s="308">
        <f t="shared" si="9"/>
        <v>45689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Month10</v>
      </c>
      <c r="B274" s="308">
        <f t="shared" si="9"/>
        <v>45690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Month10</v>
      </c>
      <c r="B275" s="308">
        <f t="shared" si="9"/>
        <v>45691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Month10</v>
      </c>
      <c r="B276" s="321">
        <f t="shared" si="9"/>
        <v>45692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Month10</v>
      </c>
      <c r="B277" s="321">
        <f t="shared" si="9"/>
        <v>45693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Month10</v>
      </c>
      <c r="B278" s="308">
        <f t="shared" si="9"/>
        <v>45694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Month10</v>
      </c>
      <c r="B279" s="308">
        <f t="shared" si="9"/>
        <v>45695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Month10</v>
      </c>
      <c r="B280" s="308">
        <f t="shared" si="9"/>
        <v>45696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Month10</v>
      </c>
      <c r="B281" s="308">
        <f t="shared" si="9"/>
        <v>45697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Month10</v>
      </c>
      <c r="B282" s="308">
        <f t="shared" si="9"/>
        <v>45698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Month10</v>
      </c>
      <c r="B283" s="308">
        <f t="shared" si="9"/>
        <v>45699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Month10</v>
      </c>
      <c r="B284" s="308">
        <f t="shared" si="9"/>
        <v>45700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Month10</v>
      </c>
      <c r="B285" s="308">
        <f t="shared" si="9"/>
        <v>45701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Month10</v>
      </c>
      <c r="B286" s="308">
        <f t="shared" si="9"/>
        <v>45702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Month10</v>
      </c>
      <c r="B287" s="308">
        <f t="shared" si="9"/>
        <v>45703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Month10</v>
      </c>
      <c r="B288" s="308">
        <f t="shared" si="9"/>
        <v>45704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Month10</v>
      </c>
      <c r="B289" s="308">
        <f t="shared" si="9"/>
        <v>45705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Month10</v>
      </c>
      <c r="B290" s="308">
        <f t="shared" si="9"/>
        <v>45706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Month10</v>
      </c>
      <c r="B291" s="308">
        <f t="shared" si="9"/>
        <v>45707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Month10</v>
      </c>
      <c r="B292" s="308">
        <f t="shared" si="9"/>
        <v>45708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Month10</v>
      </c>
      <c r="B293" s="308">
        <f t="shared" si="9"/>
        <v>45709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Month10</v>
      </c>
      <c r="B294" s="308">
        <f t="shared" si="9"/>
        <v>45710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Month10</v>
      </c>
      <c r="B295" s="308">
        <f t="shared" si="9"/>
        <v>45711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Month10</v>
      </c>
      <c r="B296" s="308">
        <f t="shared" si="9"/>
        <v>45712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Month10</v>
      </c>
      <c r="B297" s="308">
        <f t="shared" si="9"/>
        <v>45713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Month10</v>
      </c>
      <c r="B298" s="308">
        <f t="shared" si="9"/>
        <v>45714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Month10</v>
      </c>
      <c r="B299" s="308">
        <f t="shared" si="9"/>
        <v>45715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Month10</v>
      </c>
      <c r="B300" s="308">
        <f t="shared" si="9"/>
        <v>45716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Month11</v>
      </c>
      <c r="B301" s="308">
        <f t="shared" si="9"/>
        <v>45717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Month11</v>
      </c>
      <c r="B302" s="308">
        <f t="shared" si="9"/>
        <v>45718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Month11</v>
      </c>
      <c r="B303" s="308">
        <f t="shared" si="9"/>
        <v>45719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Month11</v>
      </c>
      <c r="B304" s="308">
        <f t="shared" si="9"/>
        <v>45720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Month11</v>
      </c>
      <c r="B305" s="308">
        <f t="shared" si="9"/>
        <v>45721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Month11</v>
      </c>
      <c r="B306" s="308">
        <f t="shared" si="9"/>
        <v>45722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Month11</v>
      </c>
      <c r="B307" s="308">
        <f t="shared" si="9"/>
        <v>45723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Month11</v>
      </c>
      <c r="B308" s="321">
        <f t="shared" si="9"/>
        <v>45724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Month11</v>
      </c>
      <c r="B309" s="308">
        <f t="shared" si="9"/>
        <v>45725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Month11</v>
      </c>
      <c r="B310" s="308">
        <f t="shared" si="9"/>
        <v>45726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Month11</v>
      </c>
      <c r="B311" s="308">
        <f t="shared" si="9"/>
        <v>45727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Month11</v>
      </c>
      <c r="B312" s="308">
        <f t="shared" si="9"/>
        <v>45728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Month11</v>
      </c>
      <c r="B313" s="308">
        <f t="shared" si="9"/>
        <v>45729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Month11</v>
      </c>
      <c r="B314" s="308">
        <f t="shared" si="9"/>
        <v>45730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Month11</v>
      </c>
      <c r="B315" s="308">
        <f t="shared" si="9"/>
        <v>45731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Month11</v>
      </c>
      <c r="B316" s="308">
        <f t="shared" si="9"/>
        <v>45732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Month11</v>
      </c>
      <c r="B317" s="308">
        <f t="shared" si="9"/>
        <v>45733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Month11</v>
      </c>
      <c r="B318" s="308">
        <f t="shared" si="9"/>
        <v>45734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Month11</v>
      </c>
      <c r="B319" s="308">
        <f t="shared" si="9"/>
        <v>45735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Month11</v>
      </c>
      <c r="B320" s="308">
        <f t="shared" si="9"/>
        <v>45736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Month11</v>
      </c>
      <c r="B321" s="308">
        <f t="shared" si="9"/>
        <v>45737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Month11</v>
      </c>
      <c r="B322" s="308">
        <f t="shared" si="9"/>
        <v>45738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"Month" &amp; TEXT(D323,"00")</f>
        <v>Month11</v>
      </c>
      <c r="B323" s="308">
        <f t="shared" si="9"/>
        <v>45739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Month11</v>
      </c>
      <c r="B324" s="308">
        <f t="shared" ref="B324:B381" si="11">B323+1</f>
        <v>45740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Month11</v>
      </c>
      <c r="B325" s="308">
        <f t="shared" si="11"/>
        <v>45741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Month11</v>
      </c>
      <c r="B326" s="308">
        <f t="shared" si="11"/>
        <v>45742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Month11</v>
      </c>
      <c r="B327" s="308">
        <f t="shared" si="11"/>
        <v>45743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Month11</v>
      </c>
      <c r="B328" s="308">
        <f t="shared" si="11"/>
        <v>45744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Month12</v>
      </c>
      <c r="B329" s="308">
        <f t="shared" si="11"/>
        <v>45745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Month12</v>
      </c>
      <c r="B330" s="308">
        <f t="shared" si="11"/>
        <v>45746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Month12</v>
      </c>
      <c r="B331" s="308">
        <f t="shared" si="11"/>
        <v>45747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Month12</v>
      </c>
      <c r="B332" s="308">
        <f t="shared" si="11"/>
        <v>45748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Month12</v>
      </c>
      <c r="B333" s="308">
        <f t="shared" si="11"/>
        <v>45749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Month12</v>
      </c>
      <c r="B334" s="308">
        <f t="shared" si="11"/>
        <v>45750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Month12</v>
      </c>
      <c r="B335" s="308">
        <f t="shared" si="11"/>
        <v>45751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Month12</v>
      </c>
      <c r="B336" s="321">
        <f t="shared" si="11"/>
        <v>45752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Month12</v>
      </c>
      <c r="B337" s="308">
        <f t="shared" si="11"/>
        <v>45753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Month12</v>
      </c>
      <c r="B338" s="308">
        <f t="shared" si="11"/>
        <v>45754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Month12</v>
      </c>
      <c r="B339" s="308">
        <f t="shared" si="11"/>
        <v>45755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Month12</v>
      </c>
      <c r="B340" s="308">
        <f t="shared" si="11"/>
        <v>45756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Month12</v>
      </c>
      <c r="B341" s="308">
        <f t="shared" si="11"/>
        <v>45757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Month12</v>
      </c>
      <c r="B342" s="308">
        <f t="shared" si="11"/>
        <v>45758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Month12</v>
      </c>
      <c r="B343" s="308">
        <f t="shared" si="11"/>
        <v>45759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Month12</v>
      </c>
      <c r="B344" s="308">
        <f t="shared" si="11"/>
        <v>45760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Month12</v>
      </c>
      <c r="B345" s="308">
        <f t="shared" si="11"/>
        <v>45761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Month12</v>
      </c>
      <c r="B346" s="308">
        <f t="shared" si="11"/>
        <v>45762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Month12</v>
      </c>
      <c r="B347" s="308">
        <f t="shared" si="11"/>
        <v>45763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Month12</v>
      </c>
      <c r="B348" s="308">
        <f t="shared" si="11"/>
        <v>45764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Month12</v>
      </c>
      <c r="B349" s="308">
        <f t="shared" si="11"/>
        <v>45765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Month12</v>
      </c>
      <c r="B350" s="308">
        <f t="shared" si="11"/>
        <v>45766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Month12</v>
      </c>
      <c r="B351" s="308">
        <f t="shared" si="11"/>
        <v>45767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Month12</v>
      </c>
      <c r="B352" s="308">
        <f t="shared" si="11"/>
        <v>45768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Month12</v>
      </c>
      <c r="B353" s="308">
        <f t="shared" si="11"/>
        <v>45769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Month12</v>
      </c>
      <c r="B354" s="308">
        <f t="shared" si="11"/>
        <v>45770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Month12</v>
      </c>
      <c r="B355" s="308">
        <f t="shared" si="11"/>
        <v>45771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Month12</v>
      </c>
      <c r="B356" s="308">
        <f t="shared" si="11"/>
        <v>45772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Month12</v>
      </c>
      <c r="B357" s="308">
        <f t="shared" si="11"/>
        <v>45773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Month12</v>
      </c>
      <c r="B358" s="308">
        <f t="shared" si="11"/>
        <v>45774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Month12</v>
      </c>
      <c r="B359" s="308">
        <f t="shared" si="11"/>
        <v>45775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Month12</v>
      </c>
      <c r="B360" s="308">
        <f t="shared" si="11"/>
        <v>45776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Month12</v>
      </c>
      <c r="B361" s="308">
        <f t="shared" si="11"/>
        <v>45777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Month12</v>
      </c>
      <c r="B362" s="308">
        <f t="shared" si="11"/>
        <v>45778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Month12</v>
      </c>
      <c r="B363" s="308">
        <f t="shared" si="11"/>
        <v>45779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Month12</v>
      </c>
      <c r="B364" s="308">
        <f t="shared" si="11"/>
        <v>45780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Month12</v>
      </c>
      <c r="B365" s="308">
        <f t="shared" si="11"/>
        <v>45781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Month12</v>
      </c>
      <c r="B366" s="308">
        <f t="shared" si="11"/>
        <v>45782</v>
      </c>
      <c r="C366" s="309">
        <v>53</v>
      </c>
      <c r="D366" s="309">
        <v>12</v>
      </c>
      <c r="E366" s="310">
        <f>B366</f>
        <v>45782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Month12</v>
      </c>
      <c r="B367" s="308">
        <f t="shared" si="11"/>
        <v>45783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Month12</v>
      </c>
      <c r="B368" s="308">
        <f t="shared" si="11"/>
        <v>45784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Month12</v>
      </c>
      <c r="B369" s="308">
        <f t="shared" si="11"/>
        <v>45785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Month12</v>
      </c>
      <c r="B370" s="308">
        <f t="shared" si="11"/>
        <v>45786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Month12</v>
      </c>
      <c r="B371" s="308">
        <f t="shared" si="11"/>
        <v>45787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Month12</v>
      </c>
      <c r="B372" s="308">
        <f t="shared" si="11"/>
        <v>45788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Month12</v>
      </c>
      <c r="B373" s="308">
        <f t="shared" si="11"/>
        <v>45789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Month12</v>
      </c>
      <c r="B374" s="308">
        <f t="shared" si="11"/>
        <v>45790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Month12</v>
      </c>
      <c r="B375" s="308">
        <f t="shared" si="11"/>
        <v>45791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Month12</v>
      </c>
      <c r="B376" s="308">
        <f t="shared" si="11"/>
        <v>45792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Month12</v>
      </c>
      <c r="B377" s="308">
        <f t="shared" si="11"/>
        <v>45793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Month12</v>
      </c>
      <c r="B378" s="308">
        <f t="shared" si="11"/>
        <v>45794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Month12</v>
      </c>
      <c r="B379" s="308">
        <f t="shared" si="11"/>
        <v>45795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Month12</v>
      </c>
      <c r="B380" s="308">
        <f t="shared" si="11"/>
        <v>45796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Month12</v>
      </c>
      <c r="B381" s="308">
        <f t="shared" si="11"/>
        <v>45797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7">
    <mergeCell ref="K22:R23"/>
    <mergeCell ref="G1:H1"/>
    <mergeCell ref="I1:J1"/>
    <mergeCell ref="H3:M3"/>
    <mergeCell ref="K16:R17"/>
    <mergeCell ref="K19:N20"/>
    <mergeCell ref="P19:R20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Month01</vt:lpstr>
      <vt:lpstr>Month02</vt:lpstr>
      <vt:lpstr>Month03</vt:lpstr>
      <vt:lpstr>Month04</vt:lpstr>
      <vt:lpstr>Month05</vt:lpstr>
      <vt:lpstr>Month06</vt:lpstr>
      <vt:lpstr>Month07</vt:lpstr>
      <vt:lpstr>Month08</vt:lpstr>
      <vt:lpstr>Month09</vt:lpstr>
      <vt:lpstr>Month10</vt:lpstr>
      <vt:lpstr>Month11</vt:lpstr>
      <vt:lpstr>Month12</vt:lpstr>
      <vt:lpstr>Payslips</vt:lpstr>
      <vt:lpstr>Payment</vt:lpstr>
      <vt:lpstr>Admin</vt:lpstr>
      <vt:lpstr>Month01!Print_Titles</vt:lpstr>
      <vt:lpstr>Month02!Print_Titles</vt:lpstr>
      <vt:lpstr>Month03!Print_Titles</vt:lpstr>
      <vt:lpstr>Month04!Print_Titles</vt:lpstr>
      <vt:lpstr>Month05!Print_Titles</vt:lpstr>
      <vt:lpstr>Month06!Print_Titles</vt:lpstr>
      <vt:lpstr>Month07!Print_Titles</vt:lpstr>
      <vt:lpstr>Month08!Print_Titles</vt:lpstr>
      <vt:lpstr>Month09!Print_Titles</vt:lpstr>
      <vt:lpstr>Month10!Print_Titles</vt:lpstr>
      <vt:lpstr>Month11!Print_Titles</vt:lpstr>
      <vt:lpstr>Month12!Print_Titles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2024-07-09T09:50:21Z</dcterms:modified>
</cp:coreProperties>
</file>