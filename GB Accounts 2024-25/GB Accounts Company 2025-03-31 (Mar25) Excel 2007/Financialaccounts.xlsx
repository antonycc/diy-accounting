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4-25/GB Accounts Company 2025-03-31 (Mar25) Excel 2007/"/>
    </mc:Choice>
  </mc:AlternateContent>
  <xr:revisionPtr revIDLastSave="0" documentId="13_ncr:1_{4295D926-FCF7-8840-888E-864BA3466AF8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40" i="28"/>
  <c r="B39" i="28" s="1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37" i="28" l="1"/>
  <c r="B42" i="28"/>
  <c r="B22" i="21"/>
  <c r="B18" i="23"/>
  <c r="B46" i="23" s="1"/>
  <c r="B49" i="23" s="1"/>
  <c r="B51" i="23" s="1"/>
  <c r="B54" i="23" s="1"/>
  <c r="C34" i="12"/>
  <c r="K7" i="28"/>
  <c r="E34" i="12" s="1"/>
  <c r="F52" i="23"/>
  <c r="B44" i="28"/>
  <c r="B41" i="28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6" i="28" l="1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BZ34" i="17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AH34" i="17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W34" i="17" s="1"/>
  <c r="C27" i="16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C14" i="16"/>
  <c r="F17" i="16"/>
  <c r="F4" i="16" s="1"/>
  <c r="L30" i="17" s="1"/>
  <c r="O30" i="17" s="1"/>
  <c r="Z30" i="17" s="1"/>
  <c r="F27" i="16" l="1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G19" i="16"/>
  <c r="EC64" i="17"/>
  <c r="G15" i="16"/>
  <c r="EC29" i="17" s="1"/>
  <c r="EC91" i="17" s="1"/>
  <c r="EC34" i="17"/>
  <c r="DG66" i="17"/>
  <c r="G26" i="16"/>
  <c r="EC66" i="17"/>
  <c r="G28" i="16"/>
  <c r="AK30" i="17"/>
  <c r="AV30" i="17" s="1"/>
  <c r="G14" i="16"/>
  <c r="DR64" i="17"/>
  <c r="CV66" i="17"/>
  <c r="C7" i="16"/>
  <c r="AS66" i="17"/>
  <c r="G20" i="16"/>
  <c r="BD34" i="17"/>
  <c r="C8" i="16"/>
  <c r="BD66" i="17"/>
  <c r="G21" i="16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C18" i="16"/>
  <c r="G8" i="16" l="1"/>
  <c r="BD29" i="17" s="1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DG91" i="17" l="1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X71" i="17" l="1"/>
  <c r="DM80" i="17"/>
  <c r="CQ79" i="17"/>
  <c r="CQ70" i="17"/>
  <c r="DM62" i="17"/>
  <c r="DB76" i="17"/>
  <c r="DX73" i="17"/>
  <c r="DX61" i="17"/>
  <c r="DM84" i="17"/>
  <c r="DB84" i="17"/>
  <c r="DB7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M33" i="17" l="1"/>
  <c r="G33" i="17"/>
  <c r="DB33" i="17"/>
  <c r="DB91" i="17" s="1"/>
  <c r="BJ33" i="17"/>
  <c r="BU33" i="17"/>
  <c r="AC33" i="17"/>
  <c r="AN33" i="17"/>
  <c r="CF33" i="17"/>
  <c r="CQ33" i="17"/>
  <c r="R33" i="17"/>
  <c r="AY33" i="17"/>
  <c r="DX33" i="17"/>
  <c r="DM91" i="17"/>
  <c r="DX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U91" i="17" l="1"/>
  <c r="BJ91" i="17"/>
  <c r="C33" i="19"/>
  <c r="Z80" i="17"/>
  <c r="AN91" i="17"/>
  <c r="Z69" i="17"/>
  <c r="C22" i="19"/>
  <c r="AC91" i="17"/>
  <c r="Z70" i="17"/>
  <c r="C23" i="19"/>
  <c r="C26" i="19"/>
  <c r="Z73" i="17"/>
  <c r="Z85" i="17"/>
  <c r="C38" i="19"/>
  <c r="Z77" i="17"/>
  <c r="C30" i="19"/>
  <c r="C28" i="19"/>
  <c r="Z75" i="17"/>
  <c r="AY91" i="17"/>
  <c r="CF91" i="17"/>
  <c r="C29" i="19"/>
  <c r="Z76" i="17"/>
  <c r="Z61" i="17"/>
  <c r="C12" i="19"/>
  <c r="C37" i="19"/>
  <c r="Z84" i="17"/>
  <c r="C32" i="19"/>
  <c r="Z79" i="17"/>
  <c r="CQ91" i="17"/>
  <c r="C25" i="19"/>
  <c r="Z72" i="17"/>
  <c r="Z71" i="17"/>
  <c r="C24" i="19"/>
  <c r="Z68" i="17"/>
  <c r="C21" i="19"/>
  <c r="Z74" i="17"/>
  <c r="C27" i="19"/>
  <c r="Z66" i="17"/>
  <c r="C19" i="19"/>
  <c r="Z78" i="17"/>
  <c r="C31" i="19"/>
  <c r="Z62" i="17"/>
  <c r="C13" i="19"/>
  <c r="Z65" i="17"/>
  <c r="C18" i="19"/>
  <c r="G91" i="17"/>
  <c r="O16" i="17"/>
  <c r="R91" i="17"/>
  <c r="D24" i="19" l="1"/>
  <c r="AK71" i="17"/>
  <c r="AK72" i="17"/>
  <c r="D25" i="19"/>
  <c r="Z16" i="17"/>
  <c r="AK65" i="17"/>
  <c r="D18" i="19"/>
  <c r="D38" i="19"/>
  <c r="AK85" i="17"/>
  <c r="D37" i="19"/>
  <c r="AK84" i="17"/>
  <c r="AK77" i="17"/>
  <c r="D30" i="19"/>
  <c r="D26" i="19"/>
  <c r="AK73" i="17"/>
  <c r="AK70" i="17"/>
  <c r="D23" i="19"/>
  <c r="AK61" i="17"/>
  <c r="D12" i="19"/>
  <c r="D31" i="19"/>
  <c r="AK78" i="17"/>
  <c r="D19" i="19"/>
  <c r="AK66" i="17"/>
  <c r="D22" i="19"/>
  <c r="AK69" i="17"/>
  <c r="D32" i="19"/>
  <c r="AK79" i="17"/>
  <c r="D13" i="19"/>
  <c r="AK62" i="17"/>
  <c r="AK76" i="17"/>
  <c r="D29" i="19"/>
  <c r="D27" i="19"/>
  <c r="AK74" i="17"/>
  <c r="AK80" i="17"/>
  <c r="D33" i="19"/>
  <c r="D21" i="19"/>
  <c r="AK68" i="17"/>
  <c r="AK75" i="17"/>
  <c r="D28" i="19"/>
  <c r="E32" i="19" l="1"/>
  <c r="AV79" i="17"/>
  <c r="AV85" i="17"/>
  <c r="E38" i="19"/>
  <c r="E13" i="19"/>
  <c r="AV62" i="17"/>
  <c r="E30" i="19"/>
  <c r="AV77" i="17"/>
  <c r="E22" i="19"/>
  <c r="AV69" i="17"/>
  <c r="E37" i="19"/>
  <c r="AV84" i="17"/>
  <c r="E28" i="19"/>
  <c r="AV75" i="17"/>
  <c r="AV65" i="17"/>
  <c r="E18" i="19"/>
  <c r="E12" i="19"/>
  <c r="AV61" i="17"/>
  <c r="E27" i="19"/>
  <c r="AV74" i="17"/>
  <c r="AV66" i="17"/>
  <c r="E19" i="19"/>
  <c r="AV70" i="17"/>
  <c r="E23" i="19"/>
  <c r="AV72" i="17"/>
  <c r="E25" i="19"/>
  <c r="E26" i="19"/>
  <c r="AV73" i="17"/>
  <c r="AV71" i="17"/>
  <c r="BG71" i="17" s="1"/>
  <c r="E24" i="19"/>
  <c r="E21" i="19"/>
  <c r="AV68" i="17"/>
  <c r="E31" i="19"/>
  <c r="AV78" i="17"/>
  <c r="AK16" i="17"/>
  <c r="E33" i="19"/>
  <c r="AV80" i="17"/>
  <c r="E29" i="19"/>
  <c r="AV76" i="17"/>
  <c r="F24" i="19" l="1"/>
  <c r="BG65" i="17"/>
  <c r="F18" i="19"/>
  <c r="G24" i="19"/>
  <c r="BR71" i="17"/>
  <c r="F26" i="19"/>
  <c r="BG73" i="17"/>
  <c r="F28" i="19"/>
  <c r="BG75" i="17"/>
  <c r="F37" i="19"/>
  <c r="BG84" i="17"/>
  <c r="BG72" i="17"/>
  <c r="BR72" i="17" s="1"/>
  <c r="F25" i="19"/>
  <c r="G25" i="19" s="1"/>
  <c r="F29" i="19"/>
  <c r="BG76" i="17"/>
  <c r="BG69" i="17"/>
  <c r="F22" i="19"/>
  <c r="BG70" i="17"/>
  <c r="F23" i="19"/>
  <c r="F33" i="19"/>
  <c r="BG80" i="17"/>
  <c r="F30" i="19"/>
  <c r="BG77" i="17"/>
  <c r="BG66" i="17"/>
  <c r="F19" i="19"/>
  <c r="F13" i="19"/>
  <c r="BG62" i="17"/>
  <c r="AV16" i="17"/>
  <c r="BG74" i="17"/>
  <c r="BR74" i="17" s="1"/>
  <c r="F27" i="19"/>
  <c r="F31" i="19"/>
  <c r="BG78" i="17"/>
  <c r="F12" i="19"/>
  <c r="BG61" i="17"/>
  <c r="BG85" i="17"/>
  <c r="F38" i="19"/>
  <c r="BG68" i="17"/>
  <c r="F21" i="19"/>
  <c r="F32" i="19"/>
  <c r="BG79" i="17"/>
  <c r="G27" i="19" l="1"/>
  <c r="F33" i="17"/>
  <c r="O33" i="17" s="1"/>
  <c r="G22" i="19"/>
  <c r="BR69" i="17"/>
  <c r="BR76" i="17"/>
  <c r="G29" i="19"/>
  <c r="CC74" i="17"/>
  <c r="H27" i="19"/>
  <c r="BG16" i="17"/>
  <c r="H25" i="19"/>
  <c r="CC72" i="17"/>
  <c r="G13" i="19"/>
  <c r="BR62" i="17"/>
  <c r="BR84" i="17"/>
  <c r="G37" i="19"/>
  <c r="BR79" i="17"/>
  <c r="G32" i="19"/>
  <c r="BR75" i="17"/>
  <c r="G28" i="19"/>
  <c r="BR66" i="17"/>
  <c r="G19" i="19"/>
  <c r="BR77" i="17"/>
  <c r="CC77" i="17" s="1"/>
  <c r="G30" i="19"/>
  <c r="H30" i="19" s="1"/>
  <c r="BR73" i="17"/>
  <c r="G26" i="19"/>
  <c r="G21" i="19"/>
  <c r="BR68" i="17"/>
  <c r="G33" i="19"/>
  <c r="BR80" i="17"/>
  <c r="H24" i="19"/>
  <c r="CC71" i="17"/>
  <c r="BR85" i="17"/>
  <c r="G38" i="19"/>
  <c r="G12" i="19"/>
  <c r="BR61" i="17"/>
  <c r="G23" i="19"/>
  <c r="BR70" i="17"/>
  <c r="BR65" i="17"/>
  <c r="G18" i="19"/>
  <c r="G31" i="19"/>
  <c r="BR78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F81" i="17"/>
  <c r="O81" i="17" s="1"/>
  <c r="F17" i="17"/>
  <c r="Q56" i="17"/>
  <c r="Q81" i="17"/>
  <c r="Q57" i="17"/>
  <c r="AB33" i="17" l="1"/>
  <c r="Q33" i="17"/>
  <c r="Z33" i="17" s="1"/>
  <c r="AK33" i="17" s="1"/>
  <c r="C7" i="19"/>
  <c r="Z56" i="17"/>
  <c r="BI54" i="17"/>
  <c r="P18" i="25"/>
  <c r="R18" i="25" s="1"/>
  <c r="V28" i="25"/>
  <c r="X28" i="25" s="1"/>
  <c r="DL55" i="17"/>
  <c r="DA55" i="17"/>
  <c r="V26" i="25"/>
  <c r="X26" i="25" s="1"/>
  <c r="P22" i="25"/>
  <c r="R22" i="25" s="1"/>
  <c r="CE54" i="17"/>
  <c r="H38" i="19"/>
  <c r="CC85" i="17"/>
  <c r="H32" i="19"/>
  <c r="CC79" i="17"/>
  <c r="Q55" i="17"/>
  <c r="V10" i="25"/>
  <c r="X10" i="25" s="1"/>
  <c r="J26" i="25"/>
  <c r="L26" i="25" s="1"/>
  <c r="DA53" i="17"/>
  <c r="J24" i="25"/>
  <c r="L24" i="25" s="1"/>
  <c r="CP53" i="17"/>
  <c r="CN71" i="17"/>
  <c r="I24" i="19"/>
  <c r="BT54" i="17"/>
  <c r="P20" i="25"/>
  <c r="R20" i="25" s="1"/>
  <c r="DW53" i="17"/>
  <c r="J30" i="25"/>
  <c r="L30" i="25" s="1"/>
  <c r="CC84" i="17"/>
  <c r="H37" i="19"/>
  <c r="V8" i="25"/>
  <c r="X8" i="25" s="1"/>
  <c r="F55" i="17"/>
  <c r="O55" i="17" s="1"/>
  <c r="AM53" i="17"/>
  <c r="J14" i="25"/>
  <c r="L14" i="25" s="1"/>
  <c r="P28" i="25"/>
  <c r="R28" i="25" s="1"/>
  <c r="DL54" i="17"/>
  <c r="P12" i="25"/>
  <c r="R12" i="25" s="1"/>
  <c r="AB54" i="17"/>
  <c r="J28" i="25"/>
  <c r="L28" i="25" s="1"/>
  <c r="DL53" i="17"/>
  <c r="BI55" i="17"/>
  <c r="V18" i="25"/>
  <c r="X18" i="25" s="1"/>
  <c r="CC80" i="17"/>
  <c r="H33" i="19"/>
  <c r="H13" i="19"/>
  <c r="CC62" i="17"/>
  <c r="P14" i="25"/>
  <c r="R14" i="25" s="1"/>
  <c r="AM54" i="17"/>
  <c r="AB53" i="17"/>
  <c r="J12" i="25"/>
  <c r="L12" i="25" s="1"/>
  <c r="H31" i="19"/>
  <c r="CC78" i="17"/>
  <c r="AM55" i="17"/>
  <c r="V14" i="25"/>
  <c r="X14" i="25" s="1"/>
  <c r="CC68" i="17"/>
  <c r="H21" i="19"/>
  <c r="CN72" i="17"/>
  <c r="I25" i="19"/>
  <c r="P10" i="25"/>
  <c r="R10" i="25" s="1"/>
  <c r="Q54" i="17"/>
  <c r="Q91" i="17" s="1"/>
  <c r="DW55" i="17"/>
  <c r="V30" i="25"/>
  <c r="X30" i="25" s="1"/>
  <c r="P16" i="25"/>
  <c r="R16" i="25" s="1"/>
  <c r="AX54" i="17"/>
  <c r="J18" i="25"/>
  <c r="L18" i="25" s="1"/>
  <c r="BI53" i="17"/>
  <c r="J22" i="25"/>
  <c r="L22" i="25" s="1"/>
  <c r="CE53" i="17"/>
  <c r="H18" i="19"/>
  <c r="CC65" i="17"/>
  <c r="V22" i="25"/>
  <c r="X22" i="25" s="1"/>
  <c r="CE55" i="17"/>
  <c r="P24" i="25"/>
  <c r="R24" i="25" s="1"/>
  <c r="CP54" i="17"/>
  <c r="CC70" i="17"/>
  <c r="H23" i="19"/>
  <c r="H26" i="19"/>
  <c r="CC73" i="17"/>
  <c r="BR16" i="17"/>
  <c r="V16" i="25"/>
  <c r="X16" i="25" s="1"/>
  <c r="AX55" i="17"/>
  <c r="O17" i="17"/>
  <c r="I30" i="19"/>
  <c r="CN77" i="17"/>
  <c r="I27" i="19"/>
  <c r="CN74" i="17"/>
  <c r="P8" i="25"/>
  <c r="R8" i="25" s="1"/>
  <c r="F54" i="17"/>
  <c r="O54" i="17" s="1"/>
  <c r="C34" i="19"/>
  <c r="C41" i="19" s="1"/>
  <c r="Z81" i="17"/>
  <c r="BT53" i="17"/>
  <c r="J20" i="25"/>
  <c r="L20" i="25" s="1"/>
  <c r="V20" i="25"/>
  <c r="X20" i="25" s="1"/>
  <c r="BT55" i="17"/>
  <c r="DA54" i="17"/>
  <c r="P26" i="25"/>
  <c r="R26" i="25" s="1"/>
  <c r="CC61" i="17"/>
  <c r="H12" i="19"/>
  <c r="H19" i="19"/>
  <c r="CC66" i="17"/>
  <c r="CC76" i="17"/>
  <c r="H29" i="19"/>
  <c r="V24" i="25"/>
  <c r="X24" i="25" s="1"/>
  <c r="CP55" i="17"/>
  <c r="V12" i="25"/>
  <c r="X12" i="25" s="1"/>
  <c r="AB55" i="17"/>
  <c r="CC69" i="17"/>
  <c r="H22" i="19"/>
  <c r="F53" i="17"/>
  <c r="O53" i="17" s="1"/>
  <c r="J8" i="25"/>
  <c r="L8" i="25" s="1"/>
  <c r="J10" i="25"/>
  <c r="L10" i="25" s="1"/>
  <c r="Q53" i="17"/>
  <c r="Z57" i="17"/>
  <c r="C8" i="19"/>
  <c r="P30" i="25"/>
  <c r="R30" i="25" s="1"/>
  <c r="DW54" i="17"/>
  <c r="AX53" i="17"/>
  <c r="J16" i="25"/>
  <c r="L16" i="25" s="1"/>
  <c r="H28" i="19"/>
  <c r="CC75" i="17"/>
  <c r="AM33" i="17" l="1"/>
  <c r="AB91" i="17"/>
  <c r="CC16" i="17"/>
  <c r="AM91" i="17"/>
  <c r="I22" i="19"/>
  <c r="CN69" i="17"/>
  <c r="Z55" i="17"/>
  <c r="C6" i="19"/>
  <c r="CN73" i="17"/>
  <c r="I26" i="19"/>
  <c r="I32" i="19"/>
  <c r="CN79" i="17"/>
  <c r="D34" i="19"/>
  <c r="D41" i="19" s="1"/>
  <c r="AK81" i="17"/>
  <c r="I13" i="19"/>
  <c r="CN62" i="17"/>
  <c r="CN75" i="17"/>
  <c r="I28" i="19"/>
  <c r="I37" i="19"/>
  <c r="CN84" i="17"/>
  <c r="CN85" i="17"/>
  <c r="I38" i="19"/>
  <c r="CN70" i="17"/>
  <c r="I23" i="19"/>
  <c r="Z54" i="17"/>
  <c r="C5" i="19"/>
  <c r="I33" i="19"/>
  <c r="CN80" i="17"/>
  <c r="CN76" i="17"/>
  <c r="I29" i="19"/>
  <c r="CY74" i="17"/>
  <c r="J27" i="19"/>
  <c r="I19" i="19"/>
  <c r="CN66" i="17"/>
  <c r="J25" i="19"/>
  <c r="CY72" i="17"/>
  <c r="CY77" i="17"/>
  <c r="J30" i="19"/>
  <c r="I18" i="19"/>
  <c r="CN65" i="17"/>
  <c r="I21" i="19"/>
  <c r="CN68" i="17"/>
  <c r="CY71" i="17"/>
  <c r="J24" i="19"/>
  <c r="AK57" i="17"/>
  <c r="D8" i="19"/>
  <c r="CN61" i="17"/>
  <c r="I12" i="19"/>
  <c r="F91" i="17"/>
  <c r="CN78" i="17"/>
  <c r="I31" i="19"/>
  <c r="AB8" i="25"/>
  <c r="D8" i="25"/>
  <c r="AK56" i="17"/>
  <c r="D7" i="19"/>
  <c r="Z17" i="17"/>
  <c r="C4" i="19"/>
  <c r="Z53" i="17"/>
  <c r="AV33" i="17"/>
  <c r="AX33" i="17" l="1"/>
  <c r="AX91" i="17" s="1"/>
  <c r="AB10" i="25"/>
  <c r="Z8" i="25"/>
  <c r="J29" i="19"/>
  <c r="CY76" i="17"/>
  <c r="J21" i="19"/>
  <c r="CY68" i="17"/>
  <c r="J33" i="19"/>
  <c r="CY80" i="17"/>
  <c r="E34" i="19"/>
  <c r="E41" i="19" s="1"/>
  <c r="AV81" i="17"/>
  <c r="AK53" i="17"/>
  <c r="D4" i="19"/>
  <c r="J18" i="19"/>
  <c r="CY65" i="17"/>
  <c r="J32" i="19"/>
  <c r="CY79" i="17"/>
  <c r="D5" i="19"/>
  <c r="AK54" i="17"/>
  <c r="AK17" i="17"/>
  <c r="K30" i="19"/>
  <c r="DJ77" i="17"/>
  <c r="CY73" i="17"/>
  <c r="J26" i="19"/>
  <c r="J23" i="19"/>
  <c r="CY70" i="17"/>
  <c r="AK55" i="17"/>
  <c r="D6" i="19"/>
  <c r="K25" i="19"/>
  <c r="DJ72" i="17"/>
  <c r="CY69" i="17"/>
  <c r="J22" i="19"/>
  <c r="AV56" i="17"/>
  <c r="E7" i="19"/>
  <c r="J12" i="19"/>
  <c r="CY61" i="17"/>
  <c r="J38" i="19"/>
  <c r="CY85" i="17"/>
  <c r="CY66" i="17"/>
  <c r="J19" i="19"/>
  <c r="J37" i="19"/>
  <c r="CY84" i="17"/>
  <c r="BG33" i="17"/>
  <c r="E8" i="19"/>
  <c r="AV57" i="17"/>
  <c r="CN16" i="17"/>
  <c r="C9" i="19"/>
  <c r="K24" i="19"/>
  <c r="DJ71" i="17"/>
  <c r="K27" i="19"/>
  <c r="DJ74" i="17"/>
  <c r="CY75" i="17"/>
  <c r="J28" i="19"/>
  <c r="CY78" i="17"/>
  <c r="J31" i="19"/>
  <c r="D10" i="25"/>
  <c r="CY62" i="17"/>
  <c r="J13" i="19"/>
  <c r="BI33" i="17" l="1"/>
  <c r="BI91" i="17" s="1"/>
  <c r="BR33" i="17"/>
  <c r="DU72" i="17"/>
  <c r="L25" i="19"/>
  <c r="DJ79" i="17"/>
  <c r="K32" i="19"/>
  <c r="F8" i="19"/>
  <c r="BG57" i="17"/>
  <c r="DJ65" i="17"/>
  <c r="K18" i="19"/>
  <c r="DJ62" i="17"/>
  <c r="K13" i="19"/>
  <c r="AV55" i="17"/>
  <c r="E6" i="19"/>
  <c r="K23" i="19"/>
  <c r="DJ70" i="17"/>
  <c r="D9" i="19"/>
  <c r="DJ84" i="17"/>
  <c r="K37" i="19"/>
  <c r="AV53" i="17"/>
  <c r="E4" i="19"/>
  <c r="DJ78" i="17"/>
  <c r="K31" i="19"/>
  <c r="BG81" i="17"/>
  <c r="F34" i="19"/>
  <c r="F41" i="19" s="1"/>
  <c r="K19" i="19"/>
  <c r="DJ66" i="17"/>
  <c r="K26" i="19"/>
  <c r="DJ73" i="17"/>
  <c r="K28" i="19"/>
  <c r="DJ75" i="17"/>
  <c r="DJ85" i="17"/>
  <c r="K38" i="19"/>
  <c r="DU77" i="17"/>
  <c r="L30" i="19"/>
  <c r="DJ80" i="17"/>
  <c r="K33" i="19"/>
  <c r="L27" i="19"/>
  <c r="DU74" i="17"/>
  <c r="K12" i="19"/>
  <c r="DJ61" i="17"/>
  <c r="K21" i="19"/>
  <c r="DJ68" i="17"/>
  <c r="AV17" i="17"/>
  <c r="AV54" i="17"/>
  <c r="E5" i="19"/>
  <c r="DJ76" i="17"/>
  <c r="K29" i="19"/>
  <c r="F7" i="19"/>
  <c r="BG56" i="17"/>
  <c r="DU71" i="17"/>
  <c r="L24" i="19"/>
  <c r="M19" i="17"/>
  <c r="M60" i="17"/>
  <c r="O60" i="17" s="1"/>
  <c r="CY16" i="17"/>
  <c r="K22" i="19"/>
  <c r="DJ69" i="17"/>
  <c r="AB12" i="25"/>
  <c r="Z10" i="25"/>
  <c r="BT33" i="17" l="1"/>
  <c r="L28" i="19"/>
  <c r="DU75" i="17"/>
  <c r="L23" i="19"/>
  <c r="DU70" i="17"/>
  <c r="F5" i="19"/>
  <c r="BG54" i="17"/>
  <c r="X19" i="17"/>
  <c r="X60" i="17"/>
  <c r="Z60" i="17" s="1"/>
  <c r="AB14" i="25"/>
  <c r="BG17" i="17"/>
  <c r="DU69" i="17"/>
  <c r="L22" i="19"/>
  <c r="DU68" i="17"/>
  <c r="L21" i="19"/>
  <c r="L19" i="19"/>
  <c r="DU66" i="17"/>
  <c r="F6" i="19"/>
  <c r="BG55" i="17"/>
  <c r="L26" i="19"/>
  <c r="DU73" i="17"/>
  <c r="L12" i="19"/>
  <c r="DU61" i="17"/>
  <c r="D12" i="25"/>
  <c r="Z12" i="25" s="1"/>
  <c r="DJ16" i="17"/>
  <c r="L13" i="19"/>
  <c r="DU62" i="17"/>
  <c r="C11" i="19"/>
  <c r="M27" i="19"/>
  <c r="EF74" i="17"/>
  <c r="BR81" i="17"/>
  <c r="G34" i="19"/>
  <c r="G41" i="19" s="1"/>
  <c r="M91" i="17"/>
  <c r="O19" i="17"/>
  <c r="L18" i="19"/>
  <c r="DU65" i="17"/>
  <c r="DU78" i="17"/>
  <c r="L31" i="19"/>
  <c r="G8" i="19"/>
  <c r="BR57" i="17"/>
  <c r="EF71" i="17"/>
  <c r="M24" i="19"/>
  <c r="L33" i="19"/>
  <c r="DU80" i="17"/>
  <c r="E9" i="19"/>
  <c r="BR56" i="17"/>
  <c r="G7" i="19"/>
  <c r="BG53" i="17"/>
  <c r="F4" i="19"/>
  <c r="DU79" i="17"/>
  <c r="L32" i="19"/>
  <c r="L37" i="19"/>
  <c r="DU84" i="17"/>
  <c r="M30" i="19"/>
  <c r="EF77" i="17"/>
  <c r="L29" i="19"/>
  <c r="DU76" i="17"/>
  <c r="DU85" i="17"/>
  <c r="L38" i="19"/>
  <c r="M25" i="19"/>
  <c r="EF72" i="17"/>
  <c r="F9" i="19" l="1"/>
  <c r="X91" i="17"/>
  <c r="CE33" i="17"/>
  <c r="CE91" i="17" s="1"/>
  <c r="BT91" i="17"/>
  <c r="CC33" i="17"/>
  <c r="CN33" i="17" s="1"/>
  <c r="D14" i="25"/>
  <c r="AI19" i="17"/>
  <c r="AI60" i="17"/>
  <c r="AK60" i="17" s="1"/>
  <c r="EF85" i="17"/>
  <c r="M38" i="19"/>
  <c r="C14" i="19"/>
  <c r="C16" i="19" s="1"/>
  <c r="C43" i="19" s="1"/>
  <c r="C45" i="19" s="1"/>
  <c r="M29" i="19"/>
  <c r="EF76" i="17"/>
  <c r="D11" i="19"/>
  <c r="D14" i="19" s="1"/>
  <c r="D16" i="19" s="1"/>
  <c r="D43" i="19" s="1"/>
  <c r="D45" i="19" s="1"/>
  <c r="EF68" i="17"/>
  <c r="M21" i="19"/>
  <c r="EJ71" i="17"/>
  <c r="E27" i="23" s="1"/>
  <c r="N24" i="19"/>
  <c r="B24" i="19" s="1"/>
  <c r="M13" i="19"/>
  <c r="EF62" i="17"/>
  <c r="N30" i="19"/>
  <c r="B30" i="19" s="1"/>
  <c r="EJ77" i="17"/>
  <c r="H8" i="19"/>
  <c r="CC57" i="17"/>
  <c r="M22" i="19"/>
  <c r="EF69" i="17"/>
  <c r="M37" i="19"/>
  <c r="EF84" i="17"/>
  <c r="DU16" i="17"/>
  <c r="BR17" i="17"/>
  <c r="M31" i="19"/>
  <c r="EF78" i="17"/>
  <c r="EF65" i="17"/>
  <c r="M18" i="19"/>
  <c r="M12" i="19"/>
  <c r="EF61" i="17"/>
  <c r="AB16" i="25"/>
  <c r="AB18" i="25" s="1"/>
  <c r="AB20" i="25" s="1"/>
  <c r="AB22" i="25" s="1"/>
  <c r="Z14" i="25"/>
  <c r="EF79" i="17"/>
  <c r="M32" i="19"/>
  <c r="Z19" i="17"/>
  <c r="O91" i="17"/>
  <c r="BR53" i="17"/>
  <c r="G4" i="19"/>
  <c r="M26" i="19"/>
  <c r="EF73" i="17"/>
  <c r="BR54" i="17"/>
  <c r="G5" i="19"/>
  <c r="H7" i="19"/>
  <c r="CC56" i="17"/>
  <c r="BR55" i="17"/>
  <c r="G6" i="19"/>
  <c r="EF70" i="17"/>
  <c r="M23" i="19"/>
  <c r="EJ72" i="17"/>
  <c r="N25" i="19"/>
  <c r="B25" i="19" s="1"/>
  <c r="H34" i="19"/>
  <c r="H41" i="19" s="1"/>
  <c r="CC81" i="17"/>
  <c r="EJ74" i="17"/>
  <c r="N27" i="19"/>
  <c r="B27" i="19" s="1"/>
  <c r="EF66" i="17"/>
  <c r="M19" i="19"/>
  <c r="M28" i="19"/>
  <c r="EF75" i="17"/>
  <c r="M33" i="19"/>
  <c r="EF80" i="17"/>
  <c r="E30" i="23" l="1"/>
  <c r="E33" i="23"/>
  <c r="E28" i="23"/>
  <c r="CP33" i="17"/>
  <c r="CP91" i="17" s="1"/>
  <c r="E11" i="19"/>
  <c r="N18" i="19"/>
  <c r="EJ65" i="17"/>
  <c r="EJ66" i="17"/>
  <c r="N19" i="19"/>
  <c r="B19" i="19" s="1"/>
  <c r="H5" i="19"/>
  <c r="CC54" i="17"/>
  <c r="EJ78" i="17"/>
  <c r="N31" i="19"/>
  <c r="B31" i="19" s="1"/>
  <c r="N26" i="19"/>
  <c r="B26" i="19" s="1"/>
  <c r="EJ73" i="17"/>
  <c r="E29" i="23" s="1"/>
  <c r="CN81" i="17"/>
  <c r="I34" i="19"/>
  <c r="I41" i="19" s="1"/>
  <c r="G9" i="19"/>
  <c r="CC17" i="17"/>
  <c r="EJ68" i="17"/>
  <c r="N21" i="19"/>
  <c r="B21" i="19" s="1"/>
  <c r="H4" i="19"/>
  <c r="CC53" i="17"/>
  <c r="EF16" i="17"/>
  <c r="AK19" i="17"/>
  <c r="Z91" i="17"/>
  <c r="N37" i="19"/>
  <c r="B37" i="19" s="1"/>
  <c r="EJ84" i="17"/>
  <c r="EJ76" i="17"/>
  <c r="N29" i="19"/>
  <c r="B29" i="19" s="1"/>
  <c r="EJ69" i="17"/>
  <c r="N22" i="19"/>
  <c r="B22" i="19" s="1"/>
  <c r="N23" i="19"/>
  <c r="B23" i="19" s="1"/>
  <c r="EJ70" i="17"/>
  <c r="N32" i="19"/>
  <c r="B32" i="19" s="1"/>
  <c r="EJ79" i="17"/>
  <c r="E35" i="23" s="1"/>
  <c r="AT19" i="17"/>
  <c r="AT60" i="17"/>
  <c r="AV60" i="17" s="1"/>
  <c r="I8" i="19"/>
  <c r="CN57" i="17"/>
  <c r="EJ85" i="17"/>
  <c r="N38" i="19"/>
  <c r="B38" i="19" s="1"/>
  <c r="CC55" i="17"/>
  <c r="H6" i="19"/>
  <c r="CN56" i="17"/>
  <c r="I7" i="19"/>
  <c r="N33" i="19"/>
  <c r="B33" i="19" s="1"/>
  <c r="EJ80" i="17"/>
  <c r="N12" i="19"/>
  <c r="B12" i="19" s="1"/>
  <c r="EJ61" i="17"/>
  <c r="AI91" i="17"/>
  <c r="AB24" i="25"/>
  <c r="N28" i="19"/>
  <c r="B28" i="19" s="1"/>
  <c r="EJ75" i="17"/>
  <c r="CY33" i="17"/>
  <c r="EJ62" i="17"/>
  <c r="N13" i="19"/>
  <c r="B13" i="19" s="1"/>
  <c r="D16" i="25"/>
  <c r="E40" i="23" l="1"/>
  <c r="E34" i="23"/>
  <c r="E21" i="23"/>
  <c r="E31" i="23"/>
  <c r="E24" i="23"/>
  <c r="F15" i="23"/>
  <c r="E26" i="23"/>
  <c r="E36" i="23"/>
  <c r="E25" i="23"/>
  <c r="DA33" i="17"/>
  <c r="DA91" i="17" s="1"/>
  <c r="E32" i="23"/>
  <c r="F11" i="19"/>
  <c r="F14" i="19" s="1"/>
  <c r="F16" i="19" s="1"/>
  <c r="F43" i="19" s="1"/>
  <c r="F45" i="19" s="1"/>
  <c r="CN17" i="17"/>
  <c r="CY56" i="17"/>
  <c r="J7" i="19"/>
  <c r="CY81" i="17"/>
  <c r="J34" i="19"/>
  <c r="J41" i="19" s="1"/>
  <c r="Z16" i="25"/>
  <c r="D18" i="25"/>
  <c r="I6" i="19"/>
  <c r="CN55" i="17"/>
  <c r="I7" i="12"/>
  <c r="K10" i="12" s="1"/>
  <c r="E41" i="23"/>
  <c r="AV19" i="17"/>
  <c r="AK91" i="17"/>
  <c r="CY57" i="17"/>
  <c r="J8" i="19"/>
  <c r="EJ16" i="17"/>
  <c r="I5" i="19"/>
  <c r="CN54" i="17"/>
  <c r="AT91" i="17"/>
  <c r="CN53" i="17"/>
  <c r="I4" i="19"/>
  <c r="E22" i="23"/>
  <c r="D35" i="24"/>
  <c r="H9" i="19"/>
  <c r="B18" i="19"/>
  <c r="AB26" i="25"/>
  <c r="E14" i="19"/>
  <c r="E16" i="19" s="1"/>
  <c r="E43" i="19" s="1"/>
  <c r="E45" i="19" s="1"/>
  <c r="DJ33" i="17" l="1"/>
  <c r="DL33" i="17"/>
  <c r="DL91" i="17" s="1"/>
  <c r="CY55" i="17"/>
  <c r="J6" i="19"/>
  <c r="I9" i="19"/>
  <c r="Z18" i="25"/>
  <c r="D20" i="25"/>
  <c r="AV91" i="17"/>
  <c r="J4" i="19"/>
  <c r="CY53" i="17"/>
  <c r="BE19" i="17"/>
  <c r="BE60" i="17"/>
  <c r="BG60" i="17" s="1"/>
  <c r="J5" i="19"/>
  <c r="CY54" i="17"/>
  <c r="DJ81" i="17"/>
  <c r="K34" i="19"/>
  <c r="K41" i="19" s="1"/>
  <c r="K7" i="19"/>
  <c r="DJ56" i="17"/>
  <c r="CY17" i="17"/>
  <c r="DJ57" i="17"/>
  <c r="K8" i="19"/>
  <c r="AB28" i="25"/>
  <c r="DU33" i="17"/>
  <c r="BE91" i="17" l="1"/>
  <c r="DW33" i="17"/>
  <c r="DW91" i="17" s="1"/>
  <c r="L34" i="19"/>
  <c r="L41" i="19" s="1"/>
  <c r="DU81" i="17"/>
  <c r="K5" i="19"/>
  <c r="DJ54" i="17"/>
  <c r="G11" i="19"/>
  <c r="DJ53" i="17"/>
  <c r="K4" i="19"/>
  <c r="AB30" i="25"/>
  <c r="J9" i="19"/>
  <c r="DU57" i="17"/>
  <c r="L8" i="19"/>
  <c r="BG19" i="17"/>
  <c r="Z20" i="25"/>
  <c r="DJ17" i="17"/>
  <c r="BP19" i="17"/>
  <c r="BP60" i="17"/>
  <c r="BR60" i="17" s="1"/>
  <c r="DU56" i="17"/>
  <c r="L7" i="19"/>
  <c r="K6" i="19"/>
  <c r="DJ55" i="17"/>
  <c r="BP91" i="17" l="1"/>
  <c r="EF33" i="17"/>
  <c r="EJ33" i="17" s="1"/>
  <c r="E18" i="21" s="1"/>
  <c r="K9" i="19"/>
  <c r="H11" i="19"/>
  <c r="H14" i="19" s="1"/>
  <c r="H16" i="19" s="1"/>
  <c r="H43" i="19" s="1"/>
  <c r="H45" i="19" s="1"/>
  <c r="DU54" i="17"/>
  <c r="L5" i="19"/>
  <c r="EF56" i="17"/>
  <c r="M7" i="19"/>
  <c r="G14" i="19"/>
  <c r="G16" i="19" s="1"/>
  <c r="G43" i="19" s="1"/>
  <c r="G45" i="19" s="1"/>
  <c r="CA19" i="17"/>
  <c r="CA60" i="17"/>
  <c r="CC60" i="17" s="1"/>
  <c r="BR19" i="17"/>
  <c r="BG91" i="17"/>
  <c r="EF57" i="17"/>
  <c r="M8" i="19"/>
  <c r="L6" i="19"/>
  <c r="DU55" i="17"/>
  <c r="DU17" i="17"/>
  <c r="M34" i="19"/>
  <c r="M41" i="19" s="1"/>
  <c r="EF81" i="17"/>
  <c r="L4" i="19"/>
  <c r="DU53" i="17"/>
  <c r="D22" i="25"/>
  <c r="I11" i="19" l="1"/>
  <c r="M6" i="19"/>
  <c r="EF55" i="17"/>
  <c r="EJ57" i="17"/>
  <c r="N8" i="19"/>
  <c r="B8" i="19" s="1"/>
  <c r="CC19" i="17"/>
  <c r="BR91" i="17"/>
  <c r="CA91" i="17"/>
  <c r="Z22" i="25"/>
  <c r="M4" i="19"/>
  <c r="M9" i="19" s="1"/>
  <c r="EF53" i="17"/>
  <c r="L9" i="19"/>
  <c r="EJ56" i="17"/>
  <c r="N7" i="19"/>
  <c r="B7" i="19" s="1"/>
  <c r="EJ81" i="17"/>
  <c r="N34" i="19"/>
  <c r="EF54" i="17"/>
  <c r="M5" i="19"/>
  <c r="EF17" i="17"/>
  <c r="F8" i="23" l="1"/>
  <c r="E37" i="23"/>
  <c r="F44" i="23" s="1"/>
  <c r="EJ53" i="17"/>
  <c r="N4" i="19"/>
  <c r="CL60" i="17"/>
  <c r="CN60" i="17" s="1"/>
  <c r="CL19" i="17"/>
  <c r="CL91" i="17" s="1"/>
  <c r="D24" i="25"/>
  <c r="CN19" i="17"/>
  <c r="CC91" i="17"/>
  <c r="EJ17" i="17"/>
  <c r="N6" i="19"/>
  <c r="B6" i="19" s="1"/>
  <c r="EJ55" i="17"/>
  <c r="EJ54" i="17"/>
  <c r="N5" i="19"/>
  <c r="B5" i="19" s="1"/>
  <c r="B34" i="19"/>
  <c r="B41" i="19" s="1"/>
  <c r="N41" i="19"/>
  <c r="I14" i="19"/>
  <c r="I16" i="19" s="1"/>
  <c r="I43" i="19" s="1"/>
  <c r="I45" i="19" s="1"/>
  <c r="Z24" i="25" l="1"/>
  <c r="D26" i="25" s="1"/>
  <c r="F6" i="21"/>
  <c r="J11" i="19"/>
  <c r="N9" i="19"/>
  <c r="B4" i="19"/>
  <c r="B9" i="19" s="1"/>
  <c r="CN91" i="17"/>
  <c r="F7" i="23"/>
  <c r="F9" i="23" s="1"/>
  <c r="D89" i="26" l="1"/>
  <c r="AK66" i="27"/>
  <c r="E87" i="26"/>
  <c r="J14" i="19"/>
  <c r="J16" i="19" s="1"/>
  <c r="J43" i="19" s="1"/>
  <c r="J45" i="19" s="1"/>
  <c r="CW19" i="17"/>
  <c r="CW60" i="17"/>
  <c r="CY60" i="17" s="1"/>
  <c r="Z26" i="25"/>
  <c r="D28" i="25" s="1"/>
  <c r="Z28" i="25" s="1"/>
  <c r="DH60" i="17" l="1"/>
  <c r="DH19" i="17"/>
  <c r="DH91" i="17" s="1"/>
  <c r="DJ60" i="17"/>
  <c r="K11" i="19"/>
  <c r="K14" i="19" s="1"/>
  <c r="K16" i="19" s="1"/>
  <c r="K43" i="19" s="1"/>
  <c r="K45" i="19" s="1"/>
  <c r="D30" i="25"/>
  <c r="Z30" i="25" s="1"/>
  <c r="DS19" i="17"/>
  <c r="DS60" i="17"/>
  <c r="CW91" i="17"/>
  <c r="CY19" i="17"/>
  <c r="DS91" i="17" l="1"/>
  <c r="DJ19" i="17"/>
  <c r="CY91" i="17"/>
  <c r="L11" i="19"/>
  <c r="L14" i="19" s="1"/>
  <c r="L16" i="19" s="1"/>
  <c r="L43" i="19" s="1"/>
  <c r="L45" i="19" s="1"/>
  <c r="DU60" i="17"/>
  <c r="ED19" i="17"/>
  <c r="ED60" i="17"/>
  <c r="EF60" i="17" l="1"/>
  <c r="M11" i="19"/>
  <c r="M14" i="19" s="1"/>
  <c r="M16" i="19" s="1"/>
  <c r="M43" i="19" s="1"/>
  <c r="M45" i="19" s="1"/>
  <c r="DU19" i="17"/>
  <c r="DJ91" i="17"/>
  <c r="EF19" i="17" l="1"/>
  <c r="DU91" i="17"/>
  <c r="EJ60" i="17"/>
  <c r="N11" i="19"/>
  <c r="F14" i="23" l="1"/>
  <c r="N14" i="19"/>
  <c r="N16" i="19" s="1"/>
  <c r="N43" i="19" s="1"/>
  <c r="N45" i="19" s="1"/>
  <c r="B11" i="19"/>
  <c r="B14" i="19" s="1"/>
  <c r="B16" i="19" s="1"/>
  <c r="B43" i="19" s="1"/>
  <c r="B45" i="19" s="1"/>
  <c r="F16" i="23"/>
  <c r="F18" i="23" s="1"/>
  <c r="F46" i="23" s="1"/>
  <c r="EJ19" i="17"/>
  <c r="E10" i="21" l="1"/>
  <c r="E13" i="21" s="1"/>
  <c r="E14" i="23"/>
  <c r="E13" i="23" s="1"/>
  <c r="F49" i="23"/>
  <c r="K5" i="12"/>
  <c r="K12" i="12" s="1"/>
  <c r="K22" i="12" s="1"/>
  <c r="K28" i="12" l="1"/>
  <c r="Z70" i="27"/>
  <c r="AJ74" i="27" s="1"/>
  <c r="AJ92" i="27" s="1"/>
  <c r="AJ110" i="27" s="1"/>
  <c r="F34" i="12" l="1"/>
  <c r="I34" i="12" s="1"/>
  <c r="F33" i="12"/>
  <c r="I33" i="12" l="1"/>
  <c r="N126" i="27"/>
  <c r="AJ126" i="27" l="1"/>
  <c r="AJ131" i="27" s="1"/>
  <c r="K35" i="12"/>
  <c r="ED35" i="17" l="1"/>
  <c r="K39" i="12"/>
  <c r="ED47" i="17"/>
  <c r="EF47" i="17" s="1"/>
  <c r="EJ47" i="17" s="1"/>
  <c r="F50" i="23" s="1"/>
  <c r="F51" i="23" s="1"/>
  <c r="F54" i="23" s="1"/>
  <c r="D41" i="24"/>
  <c r="AJ145" i="27"/>
  <c r="AJ159" i="27" s="1"/>
  <c r="AJ166" i="27" s="1"/>
  <c r="W137" i="27"/>
  <c r="EH49" i="17" l="1"/>
  <c r="EJ49" i="17" s="1"/>
  <c r="EH43" i="17"/>
  <c r="EF35" i="17"/>
  <c r="ED91" i="17"/>
  <c r="EH91" i="17" l="1"/>
  <c r="EJ43" i="17"/>
  <c r="F37" i="21" s="1"/>
  <c r="F39" i="21" s="1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<sst xmlns="http://schemas.openxmlformats.org/spreadsheetml/2006/main" count="1027" uniqueCount="624">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</sst>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Company%202025-03-31%20(Mar25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Company%202025-03-31%20(Mar25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Company%202025-03-31%20(Mar25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Company%202025-03-31%20(Mar25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Company%202025-03-31%20(Mar25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Company%202025-03-31%20(Mar25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Company%202025-03-31%20(Mar25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Company%202025-03-31%20(Mar25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Company%202025-03-31%20(Mar25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45383</v>
      </c>
      <c r="E1" s="353"/>
      <c r="F1" s="358">
        <f>Admin!B10</f>
        <v>45412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45412</v>
      </c>
      <c r="P1" s="353"/>
      <c r="Q1" s="355">
        <f>Admin!B12</f>
        <v>45443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45443</v>
      </c>
      <c r="AA1" s="353"/>
      <c r="AB1" s="355">
        <f>Admin!B14</f>
        <v>45473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45473</v>
      </c>
      <c r="AL1" s="353"/>
      <c r="AM1" s="355">
        <f>Admin!B16</f>
        <v>45504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45504</v>
      </c>
      <c r="AW1" s="353"/>
      <c r="AX1" s="355">
        <f>Admin!B18</f>
        <v>45535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45535</v>
      </c>
      <c r="BH1" s="353"/>
      <c r="BI1" s="355">
        <f>Admin!B20</f>
        <v>45565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45565</v>
      </c>
      <c r="BS1" s="353"/>
      <c r="BT1" s="355">
        <f>Admin!B22</f>
        <v>45596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45596</v>
      </c>
      <c r="CD1" s="353"/>
      <c r="CE1" s="355">
        <f>Admin!B24</f>
        <v>45626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45626</v>
      </c>
      <c r="CO1" s="353"/>
      <c r="CP1" s="355">
        <f>Admin!B26</f>
        <v>45657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45657</v>
      </c>
      <c r="CZ1" s="353"/>
      <c r="DA1" s="355">
        <f>Admin!B28</f>
        <v>45688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45688</v>
      </c>
      <c r="DK1" s="353"/>
      <c r="DL1" s="355">
        <f>Admin!B30</f>
        <v>45716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45716</v>
      </c>
      <c r="DV1" s="353"/>
      <c r="DW1" s="355">
        <f>Admin!B32</f>
        <v>45747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45747</v>
      </c>
      <c r="EG1" s="355"/>
      <c r="EH1" s="355" t="s">
        <v>228</v>
      </c>
      <c r="EI1" s="355"/>
      <c r="EJ1" s="274">
        <f>EF1</f>
        <v>45747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45412</v>
      </c>
      <c r="D1" s="359">
        <f>Admin!B12</f>
        <v>45443</v>
      </c>
      <c r="E1" s="359">
        <f>Admin!B14</f>
        <v>45473</v>
      </c>
      <c r="F1" s="359">
        <f>Admin!B16</f>
        <v>45504</v>
      </c>
      <c r="G1" s="359">
        <f>Admin!B18</f>
        <v>45535</v>
      </c>
      <c r="H1" s="359">
        <f>Admin!B20</f>
        <v>45565</v>
      </c>
      <c r="I1" s="359">
        <f>Admin!B22</f>
        <v>45596</v>
      </c>
      <c r="J1" s="359">
        <f>Admin!B24</f>
        <v>45626</v>
      </c>
      <c r="K1" s="359">
        <f>Admin!B26</f>
        <v>45657</v>
      </c>
      <c r="L1" s="359">
        <f>Admin!B28</f>
        <v>45688</v>
      </c>
      <c r="M1" s="359">
        <f>Admin!B30</f>
        <v>45716</v>
      </c>
      <c r="N1" s="359">
        <f>Admin!B32</f>
        <v>45747</v>
      </c>
      <c r="O1" s="29"/>
    </row>
    <row r="2" spans="1:15" ht="12" customHeight="1" x14ac:dyDescent="0.15">
      <c r="A2" s="362"/>
      <c r="B2" s="280">
        <f>Admin!B32</f>
        <v>45747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45747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45382</v>
      </c>
      <c r="B5" s="369"/>
      <c r="C5" s="81"/>
      <c r="D5" s="81"/>
      <c r="E5" s="368">
        <f>D3</f>
        <v>45747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45383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45747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45747</v>
      </c>
    </row>
    <row r="3" spans="1:6" x14ac:dyDescent="0.15">
      <c r="A3" s="380">
        <f>'PubP&amp;L'!A5</f>
        <v>45382</v>
      </c>
      <c r="B3" s="369"/>
      <c r="E3" s="380">
        <f>'PubP&amp;L'!E5</f>
        <v>45747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45747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45385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45383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45747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45383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45747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45747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45747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45747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45747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45747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45385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45747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45747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45747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45747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45747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45385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45383</v>
      </c>
      <c r="F5" s="392"/>
      <c r="G5" s="176" t="s">
        <v>550</v>
      </c>
      <c r="H5" s="434">
        <f>Admin!N7</f>
        <v>46112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45383</v>
      </c>
      <c r="F15" s="294">
        <f>H5</f>
        <v>46112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45383</v>
      </c>
      <c r="F16" s="294">
        <f>H5</f>
        <v>46112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45383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45383</v>
      </c>
      <c r="F18" s="294">
        <f>H5</f>
        <v>46112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46112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45383</v>
      </c>
      <c r="D33" s="195">
        <f>Admin!N6</f>
        <v>45747</v>
      </c>
      <c r="E33" s="186">
        <f>Admin!K6</f>
        <v>2024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45748</v>
      </c>
      <c r="D34" s="195">
        <f>Admin!N7</f>
        <v>46112</v>
      </c>
      <c r="E34" s="186">
        <f>Admin!K7</f>
        <v>2025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45383</v>
      </c>
      <c r="E48" s="300">
        <f>H5</f>
        <v>46112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45383</v>
      </c>
      <c r="E57" s="300">
        <f>H5</f>
        <v>46112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45383</v>
      </c>
      <c r="E63" s="300">
        <f>H5</f>
        <v>46112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45383</v>
      </c>
      <c r="E72" s="300">
        <f>H5</f>
        <v>46112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45383</v>
      </c>
      <c r="E79" s="301">
        <f>H5</f>
        <v>46112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45383</v>
      </c>
      <c r="E84" s="309">
        <f>H5</f>
        <v>46112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45383</v>
      </c>
      <c r="E91" s="304">
        <f>H5</f>
        <v>46112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45383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45383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45383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45383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45383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45383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45383</v>
      </c>
      <c r="F102" s="303">
        <f>H5</f>
        <v>46112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45383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46112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2024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45412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45443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45473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45504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45535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45565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45596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45626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45657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45688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45716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45747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45412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45443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45473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45504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45535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45565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45596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45626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45657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45688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45716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45747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45383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45412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45443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45473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45504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45535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45565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45596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45626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45657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45688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45716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45747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9.164062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45291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45292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2024-25</v>
      </c>
      <c r="H3" s="253"/>
      <c r="I3" s="253"/>
      <c r="J3" s="253"/>
      <c r="K3" s="636" t="s">
        <v>497</v>
      </c>
      <c r="L3" s="636"/>
      <c r="M3" s="636"/>
      <c r="N3" s="258" t="str">
        <f>G3</f>
        <v>2024-25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45322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45323</v>
      </c>
      <c r="C5" s="253"/>
      <c r="D5" s="253" t="s">
        <v>498</v>
      </c>
      <c r="E5" s="253"/>
      <c r="F5" s="290">
        <f>B8</f>
        <v>45382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45351</v>
      </c>
      <c r="C6" s="253"/>
      <c r="D6" s="253" t="s">
        <v>499</v>
      </c>
      <c r="E6" s="253"/>
      <c r="F6" s="290">
        <f>B8</f>
        <v>45382</v>
      </c>
      <c r="G6" s="310">
        <v>18</v>
      </c>
      <c r="H6" s="253"/>
      <c r="I6" s="185" t="s">
        <v>14</v>
      </c>
      <c r="J6" s="185"/>
      <c r="K6" s="185">
        <f>YEAR(L6)</f>
        <v>2024</v>
      </c>
      <c r="L6" s="638">
        <f>B9</f>
        <v>45383</v>
      </c>
      <c r="M6" s="639"/>
      <c r="N6" s="638">
        <f>B32</f>
        <v>45747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45352</v>
      </c>
      <c r="C7" s="253"/>
      <c r="D7" s="253" t="s">
        <v>498</v>
      </c>
      <c r="E7" s="253"/>
      <c r="F7" s="290">
        <f>B32</f>
        <v>45747</v>
      </c>
      <c r="G7" s="310">
        <v>100</v>
      </c>
      <c r="H7" s="253"/>
      <c r="I7" s="185" t="s">
        <v>14</v>
      </c>
      <c r="J7" s="185"/>
      <c r="K7" s="185">
        <f>YEAR(L7)</f>
        <v>2025</v>
      </c>
      <c r="L7" s="638">
        <f>B33</f>
        <v>45748</v>
      </c>
      <c r="M7" s="639"/>
      <c r="N7" s="638">
        <f>B56</f>
        <v>46112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45382</v>
      </c>
      <c r="C8" s="253"/>
      <c r="D8" s="253" t="s">
        <v>499</v>
      </c>
      <c r="E8" s="253"/>
      <c r="F8" s="290">
        <f>B32</f>
        <v>45747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45383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45412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45382</v>
      </c>
      <c r="M10" s="255" t="s">
        <v>522</v>
      </c>
      <c r="N10" s="292">
        <f>B8</f>
        <v>45382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45413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45747</v>
      </c>
      <c r="M11" s="265" t="s">
        <v>522</v>
      </c>
      <c r="N11" s="292">
        <f>B32</f>
        <v>45747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45443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45444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45473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45474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45504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45505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45535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45536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45383</v>
      </c>
      <c r="O19" s="313">
        <f>B26</f>
        <v>45657</v>
      </c>
      <c r="P19" s="253"/>
      <c r="Q19" s="253"/>
    </row>
    <row r="20" spans="1:17" ht="12" customHeight="1" x14ac:dyDescent="0.15">
      <c r="A20" s="253"/>
      <c r="B20" s="330">
        <f>DATE(YEAR(B22),MONTH(B22),1)-1</f>
        <v>45565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45566</v>
      </c>
      <c r="C21" s="253"/>
      <c r="D21" s="9" t="s">
        <v>520</v>
      </c>
      <c r="E21" s="3"/>
      <c r="F21" s="328">
        <v>45747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45658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45596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45597</v>
      </c>
      <c r="C23" s="253"/>
      <c r="F23" s="293"/>
    </row>
    <row r="24" spans="1:17" ht="12" customHeight="1" x14ac:dyDescent="0.15">
      <c r="A24" s="253"/>
      <c r="B24" s="330">
        <f>DATE(YEAR(B26),MONTH(B26),1)-1</f>
        <v>45626</v>
      </c>
      <c r="C24" s="253"/>
    </row>
    <row r="25" spans="1:17" ht="12" customHeight="1" x14ac:dyDescent="0.15">
      <c r="A25" s="253"/>
      <c r="B25" s="330">
        <f>DATE(YEAR(B26),MONTH(B26),1)</f>
        <v>45627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45657</v>
      </c>
      <c r="C26" s="253"/>
      <c r="G26" s="256"/>
    </row>
    <row r="27" spans="1:17" x14ac:dyDescent="0.15">
      <c r="A27" s="253"/>
      <c r="B27" s="330">
        <f>DATE(YEAR(B28),MONTH(B28),1)</f>
        <v>45658</v>
      </c>
      <c r="C27" s="253"/>
      <c r="G27" s="256"/>
    </row>
    <row r="28" spans="1:17" x14ac:dyDescent="0.15">
      <c r="A28" s="253"/>
      <c r="B28" s="330">
        <f>DATE(YEAR(B30),MONTH(B30),1)-1</f>
        <v>45688</v>
      </c>
      <c r="C28" s="253"/>
    </row>
    <row r="29" spans="1:17" x14ac:dyDescent="0.15">
      <c r="A29" s="253"/>
      <c r="B29" s="330">
        <f>DATE(YEAR(B30),MONTH(B30),1)</f>
        <v>45689</v>
      </c>
      <c r="C29" s="253"/>
    </row>
    <row r="30" spans="1:17" x14ac:dyDescent="0.15">
      <c r="A30" s="253"/>
      <c r="B30" s="330">
        <f>DATE(YEAR(B32),MONTH(B32),1)-1</f>
        <v>45716</v>
      </c>
      <c r="C30" s="253"/>
    </row>
    <row r="31" spans="1:17" x14ac:dyDescent="0.15">
      <c r="A31" s="253"/>
      <c r="B31" s="330">
        <f>DATE(YEAR(B32),MONTH(B32),1)</f>
        <v>45717</v>
      </c>
      <c r="C31" s="253"/>
    </row>
    <row r="32" spans="1:17" x14ac:dyDescent="0.15">
      <c r="A32" s="253"/>
      <c r="B32" s="331">
        <f>F21</f>
        <v>45747</v>
      </c>
      <c r="C32" s="253"/>
    </row>
    <row r="33" spans="1:3" x14ac:dyDescent="0.15">
      <c r="A33" s="253"/>
      <c r="B33" s="330">
        <f>DATE(YEAR(B34),MONTH(B34),1)</f>
        <v>45748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45777</v>
      </c>
      <c r="C34" s="253"/>
    </row>
    <row r="35" spans="1:3" x14ac:dyDescent="0.15">
      <c r="A35" s="253"/>
      <c r="B35" s="330">
        <f>DATE(YEAR(B36),MONTH(B36),1)</f>
        <v>45778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45808</v>
      </c>
      <c r="C36" s="253"/>
    </row>
    <row r="37" spans="1:3" x14ac:dyDescent="0.15">
      <c r="A37" s="253"/>
      <c r="B37" s="330">
        <f>DATE(YEAR(B38),MONTH(B38),1)</f>
        <v>45809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45838</v>
      </c>
      <c r="C38" s="253"/>
    </row>
    <row r="39" spans="1:3" x14ac:dyDescent="0.15">
      <c r="A39" s="253"/>
      <c r="B39" s="330">
        <f>DATE(YEAR(B40),MONTH(B40),1)</f>
        <v>45839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45869</v>
      </c>
      <c r="C40" s="253"/>
    </row>
    <row r="41" spans="1:3" x14ac:dyDescent="0.15">
      <c r="A41" s="253"/>
      <c r="B41" s="330">
        <f>DATE(YEAR(B42),MONTH(B42),1)</f>
        <v>45870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45900</v>
      </c>
      <c r="C42" s="253"/>
    </row>
    <row r="43" spans="1:3" x14ac:dyDescent="0.15">
      <c r="A43" s="253"/>
      <c r="B43" s="330">
        <f>DATE(YEAR(B44),MONTH(B44),1)</f>
        <v>45901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45930</v>
      </c>
      <c r="C44" s="253"/>
    </row>
    <row r="45" spans="1:3" x14ac:dyDescent="0.15">
      <c r="A45" s="253"/>
      <c r="B45" s="330">
        <f>DATE(YEAR(B46),MONTH(B46),1)</f>
        <v>45931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45961</v>
      </c>
      <c r="C46" s="253"/>
    </row>
    <row r="47" spans="1:3" x14ac:dyDescent="0.15">
      <c r="A47" s="253"/>
      <c r="B47" s="330">
        <f>DATE(YEAR(B48),MONTH(B48),1)</f>
        <v>45962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45991</v>
      </c>
      <c r="C48" s="253"/>
    </row>
    <row r="49" spans="1:3" x14ac:dyDescent="0.15">
      <c r="A49" s="253"/>
      <c r="B49" s="330">
        <f>DATE(YEAR(B50),MONTH(B50),1)</f>
        <v>45992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46022</v>
      </c>
      <c r="C50" s="253"/>
    </row>
    <row r="51" spans="1:3" x14ac:dyDescent="0.15">
      <c r="A51" s="253"/>
      <c r="B51" s="330">
        <f>DATE(YEAR(B52),MONTH(B52),1)</f>
        <v>46023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46053</v>
      </c>
      <c r="C52" s="253"/>
    </row>
    <row r="53" spans="1:3" x14ac:dyDescent="0.15">
      <c r="A53" s="253"/>
      <c r="B53" s="330">
        <f>DATE(YEAR(B54),MONTH(B54),1)</f>
        <v>46054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46081</v>
      </c>
      <c r="C54" s="253"/>
    </row>
    <row r="55" spans="1:3" x14ac:dyDescent="0.15">
      <c r="A55" s="253"/>
      <c r="B55" s="330">
        <f>DATE(YEAR(B56),MONTH(B56),1)</f>
        <v>46082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46112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DIY Accounting Customer Service</cp:lastModifiedBy>
  <cp:lastPrinted>2008-12-27T16:06:52Z</cp:lastPrinted>
  <dcterms:created xsi:type="dcterms:W3CDTF">2002-12-30T15:31:19Z</dcterms:created>
  <dcterms:modified xsi:type="dcterms:W3CDTF">2024-04-03T00:11:17Z</dcterms:modified>
</cp:coreProperties>
</file>