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<sst xmlns="http://schemas.openxmlformats.org/spreadsheetml/2006/main" count="1417" uniqueCount="136">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</sst>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46136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14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16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17</v>
      </c>
      <c r="C7" s="3" t="s">
        <v>18</v>
      </c>
      <c r="D7" s="4" t="n">
        <v>600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20</v>
      </c>
      <c r="D8" s="4" t="n">
        <v>120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2977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5111.25</v>
      </c>
      <c r="H1" s="13" t="n">
        <f aca="false">SUM(H5:H200)</f>
        <v>0</v>
      </c>
      <c r="I1" s="13" t="n">
        <f aca="false">SUM(I2:I200)</f>
        <v>5111.25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5111.25</v>
      </c>
      <c r="N1" s="18" t="n">
        <f aca="true">TODAY()</f>
        <v>46136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120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</f>
        <v>0</v>
      </c>
      <c r="B2" s="43" t="s">
        <v>22</v>
      </c>
      <c r="C2" s="42" t="n">
        <f aca="false">0+D1+[1]Apr!$D$1</f>
        <v>0</v>
      </c>
      <c r="D2" s="44" t="s">
        <v>23</v>
      </c>
      <c r="E2" s="20" t="s">
        <v>5</v>
      </c>
      <c r="F2" s="43" t="s">
        <v>24</v>
      </c>
      <c r="G2" s="45" t="n">
        <f aca="false">IF(C2&lt;[2]Admin!$F$22,(C2-0)*[2]Admin!$G$21,(C2*[2]Admin!$G$21-(C2-[2]Admin!$F$21)*([2]Admin!$G$21-[2]Admin!$G$22)-0))</f>
        <v>0</v>
      </c>
      <c r="H2" s="21" t="n">
        <f aca="false">IF([1]Apr!$H$4&gt;0,0,[1]Apr!$H$2)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</f>
        <v>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5" t="n">
        <v>45748</v>
      </c>
      <c r="B5" s="2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IF((G5-L5)&lt;&gt;0,N$1-A22," ")</f>
        <v>375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45748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388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45748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388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45748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388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45748</v>
      </c>
      <c r="B9" s="2" t="s">
        <v>64</v>
      </c>
      <c r="F9" s="5" t="s">
        <v>65</v>
      </c>
      <c r="G9" s="52" t="n">
        <v>1440</v>
      </c>
      <c r="I9" s="6" t="n">
        <f aca="false">IF((G9&lt;&gt;0),G9-H9," ")</f>
        <v>1440</v>
      </c>
      <c r="J9" s="5"/>
      <c r="M9" s="7" t="n">
        <f aca="false">IF(G9&lt;&gt;0,G9-L9," ")</f>
        <v>1440</v>
      </c>
      <c r="N9" s="8" t="n">
        <f aca="false">IF((G9-L9)&lt;&gt;0,N$1-A9," ")</f>
        <v>388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45748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388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45748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388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45750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386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45750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386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45752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384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45752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384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45752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384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45755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381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45757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379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45757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379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45757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379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45759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377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45761</v>
      </c>
      <c r="B22" s="2" t="s">
        <v>82</v>
      </c>
      <c r="F22" s="5" t="s">
        <v>70</v>
      </c>
      <c r="G22" s="52" t="n">
        <v>42</v>
      </c>
      <c r="I22" s="6" t="n">
        <f aca="false">IF((G22&lt;&gt;0),G22-H22," ")</f>
        <v>42</v>
      </c>
      <c r="J22" s="5"/>
      <c r="M22" s="7" t="n">
        <f aca="false">IF(G22&lt;&gt;0,G22-L22," ")</f>
        <v>42</v>
      </c>
      <c r="N22" s="8" t="n">
        <f aca="false">IF((G22-L22)&lt;&gt;0,N$1-A22," ")</f>
        <v>375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45761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375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45761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375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45762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374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45762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374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45765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371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45767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369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45767</v>
      </c>
      <c r="B29" s="2" t="s">
        <v>88</v>
      </c>
      <c r="F29" s="5" t="s">
        <v>89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369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n">
        <f aca="false">IF((F29="m"),I29," ")</f>
        <v>120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45768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368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45769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367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45772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364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45772</v>
      </c>
      <c r="B33" s="2" t="s">
        <v>93</v>
      </c>
      <c r="F33" s="5" t="s">
        <v>24</v>
      </c>
      <c r="G33" s="52" t="n">
        <v>38.25</v>
      </c>
      <c r="I33" s="6" t="n">
        <f aca="false">IF((G33&lt;&gt;0),G33-H33," ")</f>
        <v>38.25</v>
      </c>
      <c r="J33" s="5"/>
      <c r="M33" s="7" t="n">
        <f aca="false">IF(G33&lt;&gt;0,G33-L33," ")</f>
        <v>38.25</v>
      </c>
      <c r="N33" s="8" t="n">
        <f aca="false">IF((G33-L33)&lt;&gt;0,N$1-A33," ")</f>
        <v>364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38.25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45775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361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45777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359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1735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6375</v>
      </c>
      <c r="H1" s="13" t="n">
        <f aca="false">SUM(H5:H200)</f>
        <v>0</v>
      </c>
      <c r="I1" s="13" t="n">
        <f aca="false">SUM(I2:I200)</f>
        <v>6375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6375</v>
      </c>
      <c r="N1" s="18" t="n">
        <f aca="true">TODAY()</f>
        <v>46136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153</v>
      </c>
      <c r="W1" s="13" t="n">
        <f aca="false">SUM(W2:W300)</f>
        <v>666</v>
      </c>
      <c r="X1" s="13" t="n">
        <f aca="false">SUM(X5:X300)</f>
        <v>152</v>
      </c>
      <c r="Y1" s="13" t="n">
        <f aca="false">SUM(Y5:Y300)</f>
        <v>600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1800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G2+Apr!A2</f>
        <v>0</v>
      </c>
      <c r="B2" s="43" t="s">
        <v>22</v>
      </c>
      <c r="C2" s="42" t="n">
        <f aca="false">Apr!C2+D1+[1]May!$D$1</f>
        <v>0</v>
      </c>
      <c r="D2" s="44" t="s">
        <v>23</v>
      </c>
      <c r="E2" s="20" t="s">
        <v>5</v>
      </c>
      <c r="F2" s="43" t="str">
        <f aca="false">Apr!F2</f>
        <v>v</v>
      </c>
      <c r="G2" s="45" t="n">
        <f aca="false">IF(C2&lt;[2]Admin!$F$22,(C2-Apr!C2)*[2]Admin!$G$21,C2*[2]Admin!$G$21-(C2-[2]Admin!$F$21)*([2]Admin!$G$21-[2]Admin!$G$22)-Apr!G2)</f>
        <v>0</v>
      </c>
      <c r="H2" s="21" t="n">
        <f aca="false">IF([1]May!$H$4&gt;0,0,[1]May!$H$2)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AB1+Apr!AB2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45778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358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45778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358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45778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358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45778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358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45778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358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45778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358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45780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356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45780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356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45782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354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45782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354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45783</v>
      </c>
      <c r="B15" s="2" t="s">
        <v>95</v>
      </c>
      <c r="F15" s="5" t="s">
        <v>75</v>
      </c>
      <c r="G15" s="52" t="n">
        <v>60</v>
      </c>
      <c r="I15" s="6" t="n">
        <f aca="false">IF((G15&lt;&gt;0),G15-H15," ")</f>
        <v>60</v>
      </c>
      <c r="J15" s="5"/>
      <c r="M15" s="7" t="n">
        <f aca="false">IF(G15&lt;&gt;0,G15-L15," ")</f>
        <v>60</v>
      </c>
      <c r="N15" s="8" t="n">
        <f aca="false">IF((G15-L15)&lt;&gt;0,N$1-A15," ")</f>
        <v>353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60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45785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351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45785</v>
      </c>
      <c r="B17" s="2" t="s">
        <v>96</v>
      </c>
      <c r="F17" s="5" t="s">
        <v>97</v>
      </c>
      <c r="G17" s="52" t="n">
        <v>240</v>
      </c>
      <c r="I17" s="6" t="n">
        <f aca="false">IF((G17&lt;&gt;0),G17-H17," ")</f>
        <v>240</v>
      </c>
      <c r="J17" s="5"/>
      <c r="M17" s="7" t="n">
        <f aca="false">IF(G17&lt;&gt;0,G17-L17," ")</f>
        <v>240</v>
      </c>
      <c r="N17" s="8" t="n">
        <f aca="false">IF((G17-L17)&lt;&gt;0,N$1-A17," ")</f>
        <v>351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45787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349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45787</v>
      </c>
      <c r="B19" s="2" t="s">
        <v>98</v>
      </c>
      <c r="F19" s="5" t="s">
        <v>99</v>
      </c>
      <c r="G19" s="52" t="n">
        <v>600</v>
      </c>
      <c r="I19" s="6" t="n">
        <f aca="false">IF((G19&lt;&gt;0),G19-H19," ")</f>
        <v>600</v>
      </c>
      <c r="J19" s="5"/>
      <c r="M19" s="7" t="n">
        <f aca="false">IF(G19&lt;&gt;0,G19-L19," ")</f>
        <v>600</v>
      </c>
      <c r="N19" s="8" t="n">
        <f aca="false">IF((G19-L19)&lt;&gt;0,N$1-A19," ")</f>
        <v>349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n">
        <f aca="false">IF((F19="a"),I19," ")</f>
        <v>600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45789</v>
      </c>
      <c r="B20" s="2" t="s">
        <v>81</v>
      </c>
      <c r="F20" s="5" t="s">
        <v>24</v>
      </c>
      <c r="G20" s="52" t="n">
        <v>18</v>
      </c>
      <c r="I20" s="6" t="n">
        <f aca="false">IF((G20&lt;&gt;0),G20-H20," ")</f>
        <v>18</v>
      </c>
      <c r="J20" s="5"/>
      <c r="M20" s="7" t="n">
        <f aca="false">IF(G20&lt;&gt;0,G20-L20," ")</f>
        <v>18</v>
      </c>
      <c r="N20" s="8" t="n">
        <f aca="false">IF((G20-L20)&lt;&gt;0,N$1-A20," ")</f>
        <v>347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n">
        <f aca="false">IF((F20="v"),I20," ")</f>
        <v>18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45791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345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45791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345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45792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344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45792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344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45792</v>
      </c>
      <c r="B25" s="2" t="s">
        <v>100</v>
      </c>
      <c r="F25" s="5" t="s">
        <v>80</v>
      </c>
      <c r="G25" s="52" t="n">
        <v>480</v>
      </c>
      <c r="I25" s="6" t="n">
        <f aca="false">IF((G25&lt;&gt;0),G25-H25," ")</f>
        <v>480</v>
      </c>
      <c r="J25" s="5"/>
      <c r="M25" s="7" t="n">
        <f aca="false">IF(G25&lt;&gt;0,G25-L25," ")</f>
        <v>480</v>
      </c>
      <c r="N25" s="8" t="n">
        <f aca="false">IF((G25-L25)&lt;&gt;0,N$1-A25," ")</f>
        <v>344</v>
      </c>
      <c r="O25" s="5"/>
      <c r="P25" s="19" t="n">
        <f aca="false">IF((F25="s"),I25," ")</f>
        <v>480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45792</v>
      </c>
      <c r="B26" s="2" t="s">
        <v>101</v>
      </c>
      <c r="F26" s="5" t="s">
        <v>102</v>
      </c>
      <c r="G26" s="52" t="n">
        <v>1800</v>
      </c>
      <c r="I26" s="6" t="n">
        <f aca="false">IF((G26&lt;&gt;0),G26-H26," ")</f>
        <v>1800</v>
      </c>
      <c r="J26" s="5"/>
      <c r="M26" s="7" t="n">
        <f aca="false">IF(G26&lt;&gt;0,G26-L26," ")</f>
        <v>1800</v>
      </c>
      <c r="N26" s="8" t="n">
        <f aca="false">IF((G26-L26)&lt;&gt;0,N$1-A26," ")</f>
        <v>344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n">
        <f aca="false">IF((F26="fa"),I26," ")</f>
        <v>1800</v>
      </c>
    </row>
    <row r="27" customFormat="false" ht="12" hidden="false" customHeight="false" outlineLevel="0" collapsed="false">
      <c r="A27" s="27" t="n">
        <v>45793</v>
      </c>
      <c r="B27" s="2" t="s">
        <v>103</v>
      </c>
      <c r="F27" s="5" t="s">
        <v>60</v>
      </c>
      <c r="G27" s="52" t="n">
        <v>18</v>
      </c>
      <c r="I27" s="6" t="n">
        <f aca="false">IF((G27&lt;&gt;0),G27-H27," ")</f>
        <v>18</v>
      </c>
      <c r="J27" s="5"/>
      <c r="M27" s="7" t="n">
        <f aca="false">IF(G27&lt;&gt;0,G27-L27," ")</f>
        <v>18</v>
      </c>
      <c r="N27" s="8" t="n">
        <f aca="false">IF((G27-L27)&lt;&gt;0,N$1-A27," ")</f>
        <v>343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18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45795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341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45797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339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45797</v>
      </c>
      <c r="B30" s="2" t="s">
        <v>104</v>
      </c>
      <c r="F30" s="5" t="s">
        <v>105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339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45797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339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45798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338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45799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337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45799</v>
      </c>
      <c r="B34" s="2" t="s">
        <v>107</v>
      </c>
      <c r="F34" s="5" t="s">
        <v>24</v>
      </c>
      <c r="G34" s="52" t="n">
        <v>48</v>
      </c>
      <c r="I34" s="6" t="n">
        <f aca="false">IF((G34&lt;&gt;0),G34-H34," ")</f>
        <v>48</v>
      </c>
      <c r="J34" s="5"/>
      <c r="M34" s="7" t="n">
        <f aca="false">IF(G34&lt;&gt;0,G34-L34," ")</f>
        <v>48</v>
      </c>
      <c r="N34" s="8" t="n">
        <f aca="false">IF((G34-L34)&lt;&gt;0,N$1-A34," ")</f>
        <v>337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48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45802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334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45802</v>
      </c>
      <c r="B36" s="2" t="s">
        <v>93</v>
      </c>
      <c r="F36" s="5" t="s">
        <v>24</v>
      </c>
      <c r="G36" s="52" t="n">
        <v>54</v>
      </c>
      <c r="I36" s="6" t="n">
        <f aca="false">IF((G36&lt;&gt;0),G36-H36," ")</f>
        <v>54</v>
      </c>
      <c r="J36" s="5"/>
      <c r="M36" s="7" t="n">
        <f aca="false">IF(G36&lt;&gt;0,G36-L36," ")</f>
        <v>54</v>
      </c>
      <c r="N36" s="8" t="n">
        <f aca="false">IF((G36-L36)&lt;&gt;0,N$1-A36," ")</f>
        <v>334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54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45805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331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45808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328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1345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9057</v>
      </c>
      <c r="H1" s="13" t="n">
        <f aca="false">SUM(H5:H200)</f>
        <v>0</v>
      </c>
      <c r="I1" s="13" t="n">
        <f aca="false">SUM(I2:I200)</f>
        <v>9057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9057</v>
      </c>
      <c r="N1" s="18" t="n">
        <f aca="true">TODAY()</f>
        <v>46136</v>
      </c>
      <c r="O1" s="15"/>
      <c r="P1" s="13" t="n">
        <f aca="false">SUM(P5:P300)</f>
        <v>360</v>
      </c>
      <c r="Q1" s="13" t="n">
        <f aca="false">SUM(Q5:Q300)</f>
        <v>5000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231</v>
      </c>
      <c r="W1" s="13" t="n">
        <f aca="false">SUM(W2:W300)</f>
        <v>654</v>
      </c>
      <c r="X1" s="13" t="n">
        <f aca="false">SUM(X5:X300)</f>
        <v>272</v>
      </c>
      <c r="Y1" s="13" t="n">
        <f aca="false">SUM(Y5:Y300)</f>
        <v>0</v>
      </c>
      <c r="Z1" s="13" t="n">
        <f aca="false">SUM(Z5:Z300)</f>
        <v>550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G2+May!A2</f>
        <v>0</v>
      </c>
      <c r="B2" s="43" t="s">
        <v>22</v>
      </c>
      <c r="C2" s="42" t="n">
        <f aca="false">May!C2+D1+[1]Jun!$D$1</f>
        <v>0</v>
      </c>
      <c r="D2" s="44" t="s">
        <v>23</v>
      </c>
      <c r="E2" s="20" t="s">
        <v>5</v>
      </c>
      <c r="F2" s="43" t="str">
        <f aca="false">May!F2</f>
        <v>v</v>
      </c>
      <c r="G2" s="45" t="n">
        <f aca="false">IF(C2&lt;[2]Admin!$F$22,(C2-May!C2)*[2]Admin!$G$21,C2*[2]Admin!$G$21-(C2-[2]Admin!$F$21)*([2]Admin!$G$21-[2]Admin!$G$22)-May!A2)</f>
        <v>0</v>
      </c>
      <c r="H2" s="21" t="n">
        <f aca="false">IF([1]Jun!$H$4&gt;0,0,[1]Jun!$H$2)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AB1+May!AB2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45809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327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45809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327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45809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327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45809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327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45809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327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45809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327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45811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325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45811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325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45813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323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45813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323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45813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323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45816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320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45818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318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45818</v>
      </c>
      <c r="B18" s="2" t="s">
        <v>108</v>
      </c>
      <c r="F18" s="5" t="s">
        <v>60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318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96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45820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316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45822</v>
      </c>
      <c r="B20" s="2" t="s">
        <v>82</v>
      </c>
      <c r="F20" s="5" t="s">
        <v>70</v>
      </c>
      <c r="G20" s="52" t="n">
        <v>30</v>
      </c>
      <c r="I20" s="6" t="n">
        <f aca="false">IF((G20&lt;&gt;0),G20-H20," ")</f>
        <v>30</v>
      </c>
      <c r="J20" s="5"/>
      <c r="M20" s="7" t="n">
        <f aca="false">IF(G20&lt;&gt;0,G20-L20," ")</f>
        <v>30</v>
      </c>
      <c r="N20" s="8" t="n">
        <f aca="false">IF((G20-L20)&lt;&gt;0,N$1-A20," ")</f>
        <v>314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45822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314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45822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314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45823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313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45823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313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45823</v>
      </c>
      <c r="B25" s="2" t="s">
        <v>109</v>
      </c>
      <c r="F25" s="5" t="s">
        <v>110</v>
      </c>
      <c r="G25" s="52" t="n">
        <v>5000</v>
      </c>
      <c r="I25" s="6" t="n">
        <f aca="false">IF((G25&lt;&gt;0),G25-H25," ")</f>
        <v>5000</v>
      </c>
      <c r="J25" s="5"/>
      <c r="M25" s="7" t="n">
        <f aca="false">IF(G25&lt;&gt;0,G25-L25," ")</f>
        <v>5000</v>
      </c>
      <c r="N25" s="8" t="n">
        <f aca="false">IF((G25-L25)&lt;&gt;0,N$1-A25," ")</f>
        <v>313</v>
      </c>
      <c r="O25" s="5"/>
      <c r="P25" s="19" t="str">
        <f aca="false">IF((F25="s"),I25," ")</f>
        <v> </v>
      </c>
      <c r="Q25" s="19" t="n">
        <f aca="false">IF((F25="c"),I25," ")</f>
        <v>5000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45826</v>
      </c>
      <c r="B26" s="2" t="s">
        <v>111</v>
      </c>
      <c r="F26" s="5" t="s">
        <v>75</v>
      </c>
      <c r="G26" s="52" t="n">
        <v>180</v>
      </c>
      <c r="I26" s="6" t="n">
        <f aca="false">IF((G26&lt;&gt;0),G26-H26," ")</f>
        <v>180</v>
      </c>
      <c r="J26" s="5"/>
      <c r="M26" s="7" t="n">
        <f aca="false">IF(G26&lt;&gt;0,G26-L26," ")</f>
        <v>180</v>
      </c>
      <c r="N26" s="8" t="n">
        <f aca="false">IF((G26-L26)&lt;&gt;0,N$1-A26," ")</f>
        <v>310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n">
        <f aca="false">IF((F26="h"),I26," ")</f>
        <v>180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45826</v>
      </c>
      <c r="B27" s="2" t="s">
        <v>112</v>
      </c>
      <c r="F27" s="5" t="s">
        <v>80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310</v>
      </c>
      <c r="O27" s="5"/>
      <c r="P27" s="19" t="n">
        <f aca="false">IF((F27="s"),I27," ")</f>
        <v>360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45826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310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45828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308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45829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307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45830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306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45833</v>
      </c>
      <c r="B32" s="2" t="s">
        <v>113</v>
      </c>
      <c r="F32" s="5" t="s">
        <v>114</v>
      </c>
      <c r="G32" s="52" t="n">
        <v>360</v>
      </c>
      <c r="I32" s="6" t="n">
        <f aca="false">IF((G32&lt;&gt;0),G32-H32," ")</f>
        <v>360</v>
      </c>
      <c r="J32" s="5"/>
      <c r="M32" s="7" t="n">
        <f aca="false">IF(G32&lt;&gt;0,G32-L32," ")</f>
        <v>360</v>
      </c>
      <c r="N32" s="8" t="n">
        <f aca="false">IF((G32-L32)&lt;&gt;0,N$1-A32," ")</f>
        <v>303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360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45833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303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45833</v>
      </c>
      <c r="B34" s="2" t="s">
        <v>93</v>
      </c>
      <c r="F34" s="5" t="s">
        <v>24</v>
      </c>
      <c r="G34" s="52" t="n">
        <v>90</v>
      </c>
      <c r="I34" s="6" t="n">
        <f aca="false">IF((G34&lt;&gt;0),G34-H34," ")</f>
        <v>90</v>
      </c>
      <c r="J34" s="5"/>
      <c r="M34" s="7" t="n">
        <f aca="false">IF(G34&lt;&gt;0,G34-L34," ")</f>
        <v>90</v>
      </c>
      <c r="N34" s="8" t="n">
        <f aca="false">IF((G34-L34)&lt;&gt;0,N$1-A34," ")</f>
        <v>303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90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45836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300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45838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298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45838</v>
      </c>
      <c r="B37" s="2" t="s">
        <v>115</v>
      </c>
      <c r="F37" s="5" t="s">
        <v>94</v>
      </c>
      <c r="G37" s="52" t="n">
        <v>250</v>
      </c>
      <c r="I37" s="6" t="n">
        <f aca="false">IF((G37&lt;&gt;0),G37-H37," ")</f>
        <v>250</v>
      </c>
      <c r="J37" s="5"/>
      <c r="M37" s="7" t="n">
        <f aca="false">IF(G37&lt;&gt;0,G37-L37," ")</f>
        <v>250</v>
      </c>
      <c r="N37" s="8" t="n">
        <f aca="false">IF((G37-L37)&lt;&gt;0,N$1-A37," ")</f>
        <v>298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250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5095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9059.25</v>
      </c>
      <c r="H1" s="13" t="n">
        <f aca="false">SUM(H5:H200)</f>
        <v>0</v>
      </c>
      <c r="I1" s="13" t="n">
        <f aca="false">SUM(I2:I200)</f>
        <v>9059.25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9059.25</v>
      </c>
      <c r="N1" s="18" t="n">
        <f aca="true">TODAY()</f>
        <v>46136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180</v>
      </c>
      <c r="V1" s="13" t="n">
        <f aca="false">SUM(V5:V300)</f>
        <v>159</v>
      </c>
      <c r="W1" s="13" t="n">
        <f aca="false">SUM(W2:W300)</f>
        <v>584.25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1200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G2+Jun!A2</f>
        <v>0</v>
      </c>
      <c r="B2" s="43" t="s">
        <v>22</v>
      </c>
      <c r="C2" s="42" t="n">
        <f aca="false">Jun!C2+D1+[1]Jul!$D$1</f>
        <v>0</v>
      </c>
      <c r="D2" s="44" t="s">
        <v>23</v>
      </c>
      <c r="E2" s="20" t="s">
        <v>5</v>
      </c>
      <c r="F2" s="43" t="str">
        <f aca="false">Jun!F2</f>
        <v>v</v>
      </c>
      <c r="G2" s="45" t="n">
        <f aca="false">IF(C2&lt;[2]Admin!$F$22,(C2-Jun!C2)*[2]Admin!$G$21,C2*[2]Admin!$G$21-(C2-[2]Admin!$F$21)*([2]Admin!$G$21-[2]Admin!$G$22)-Jun!A2)</f>
        <v>0</v>
      </c>
      <c r="H2" s="21" t="n">
        <f aca="false">IF([1]Jul!$H$4&gt;0,0,[1]Jul!$H$2)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AB1+Jun!AB2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45839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297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45839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297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45839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297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45839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297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45839</v>
      </c>
      <c r="B9" s="2" t="s">
        <v>116</v>
      </c>
      <c r="F9" s="5" t="s">
        <v>117</v>
      </c>
      <c r="G9" s="52" t="n">
        <v>3000</v>
      </c>
      <c r="I9" s="6" t="n">
        <f aca="false">IF((G9&lt;&gt;0),G9-H9," ")</f>
        <v>3000</v>
      </c>
      <c r="J9" s="5"/>
      <c r="M9" s="7" t="n">
        <f aca="false">IF(G9&lt;&gt;0,G9-L9," ")</f>
        <v>3000</v>
      </c>
      <c r="N9" s="8" t="n">
        <f aca="false">IF((G9-L9)&lt;&gt;0,N$1-A9," ")</f>
        <v>297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45839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297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45839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297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45841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295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45841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295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45843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293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45843</v>
      </c>
      <c r="B15" s="2" t="s">
        <v>118</v>
      </c>
      <c r="F15" s="5" t="s">
        <v>99</v>
      </c>
      <c r="G15" s="52" t="n">
        <v>480</v>
      </c>
      <c r="I15" s="6" t="n">
        <f aca="false">IF((G15&lt;&gt;0),G15-H15," ")</f>
        <v>480</v>
      </c>
      <c r="J15" s="5"/>
      <c r="M15" s="7" t="n">
        <f aca="false">IF(G15&lt;&gt;0,G15-L15," ")</f>
        <v>480</v>
      </c>
      <c r="N15" s="8" t="n">
        <f aca="false">IF((G15-L15)&lt;&gt;0,N$1-A15," ")</f>
        <v>293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n">
        <f aca="false">IF((F15="a"),I15," ")</f>
        <v>480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45843</v>
      </c>
      <c r="B16" s="2" t="s">
        <v>72</v>
      </c>
      <c r="F16" s="5" t="s">
        <v>24</v>
      </c>
      <c r="G16" s="52" t="n">
        <v>180</v>
      </c>
      <c r="I16" s="6" t="n">
        <f aca="false">IF((G16&lt;&gt;0),G16-H16," ")</f>
        <v>180</v>
      </c>
      <c r="J16" s="5"/>
      <c r="M16" s="7" t="n">
        <f aca="false">IF(G16&lt;&gt;0,G16-L16," ")</f>
        <v>180</v>
      </c>
      <c r="N16" s="8" t="n">
        <f aca="false">IF((G16-L16)&lt;&gt;0,N$1-A16," ")</f>
        <v>293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n">
        <f aca="false">IF((F16="v"),I16," ")</f>
        <v>180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45846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290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45848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288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45848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288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45848</v>
      </c>
      <c r="B20" s="2" t="s">
        <v>79</v>
      </c>
      <c r="F20" s="5" t="s">
        <v>80</v>
      </c>
      <c r="G20" s="52" t="n">
        <v>720</v>
      </c>
      <c r="I20" s="6" t="n">
        <f aca="false">IF((G20&lt;&gt;0),G20-H20," ")</f>
        <v>720</v>
      </c>
      <c r="J20" s="5"/>
      <c r="M20" s="7" t="n">
        <f aca="false">IF(G20&lt;&gt;0,G20-L20," ")</f>
        <v>720</v>
      </c>
      <c r="N20" s="8" t="n">
        <f aca="false">IF((G20-L20)&lt;&gt;0,N$1-A20," ")</f>
        <v>288</v>
      </c>
      <c r="O20" s="5"/>
      <c r="P20" s="19" t="n">
        <f aca="false">IF((F20="s"),I20," ")</f>
        <v>720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45850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286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45850</v>
      </c>
      <c r="B22" s="2" t="s">
        <v>119</v>
      </c>
      <c r="F22" s="5" t="s">
        <v>97</v>
      </c>
      <c r="G22" s="52" t="n">
        <v>480</v>
      </c>
      <c r="I22" s="6" t="n">
        <f aca="false">IF((G22&lt;&gt;0),G22-H22," ")</f>
        <v>480</v>
      </c>
      <c r="J22" s="5"/>
      <c r="M22" s="7" t="n">
        <f aca="false">IF(G22&lt;&gt;0,G22-L22," ")</f>
        <v>480</v>
      </c>
      <c r="N22" s="8" t="n">
        <f aca="false">IF((G22-L22)&lt;&gt;0,N$1-A22," ")</f>
        <v>286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45852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284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45852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284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45853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283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45853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283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45853</v>
      </c>
      <c r="B27" s="2" t="s">
        <v>120</v>
      </c>
      <c r="F27" s="5" t="s">
        <v>102</v>
      </c>
      <c r="G27" s="52" t="n">
        <v>1200</v>
      </c>
      <c r="I27" s="6" t="n">
        <f aca="false">IF((G27&lt;&gt;0),G27-H27," ")</f>
        <v>1200</v>
      </c>
      <c r="J27" s="5"/>
      <c r="M27" s="7" t="n">
        <f aca="false">IF(G27&lt;&gt;0,G27-L27," ")</f>
        <v>1200</v>
      </c>
      <c r="N27" s="8" t="n">
        <f aca="false">IF((G27-L27)&lt;&gt;0,N$1-A27," ")</f>
        <v>283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n">
        <f aca="false">IF((F27="fa"),I27," ")</f>
        <v>1200</v>
      </c>
    </row>
    <row r="28" customFormat="false" ht="12" hidden="false" customHeight="false" outlineLevel="0" collapsed="false">
      <c r="A28" s="27" t="n">
        <v>45854</v>
      </c>
      <c r="B28" s="2" t="s">
        <v>103</v>
      </c>
      <c r="F28" s="5" t="s">
        <v>60</v>
      </c>
      <c r="G28" s="52" t="n">
        <v>24</v>
      </c>
      <c r="I28" s="6" t="n">
        <f aca="false">IF((G28&lt;&gt;0),G28-H28," ")</f>
        <v>24</v>
      </c>
      <c r="J28" s="5"/>
      <c r="M28" s="7" t="n">
        <f aca="false">IF(G28&lt;&gt;0,G28-L28," ")</f>
        <v>24</v>
      </c>
      <c r="N28" s="8" t="n">
        <f aca="false">IF((G28-L28)&lt;&gt;0,N$1-A28," ")</f>
        <v>282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24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45856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280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45858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278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45858</v>
      </c>
      <c r="B31" s="2" t="s">
        <v>121</v>
      </c>
      <c r="F31" s="5" t="s">
        <v>105</v>
      </c>
      <c r="G31" s="52" t="n">
        <v>120</v>
      </c>
      <c r="I31" s="6" t="n">
        <f aca="false">IF((G31&lt;&gt;0),G31-H31," ")</f>
        <v>120</v>
      </c>
      <c r="J31" s="5"/>
      <c r="M31" s="7" t="n">
        <f aca="false">IF(G31&lt;&gt;0,G31-L31," ")</f>
        <v>120</v>
      </c>
      <c r="N31" s="8" t="n">
        <f aca="false">IF((G31-L31)&lt;&gt;0,N$1-A31," ")</f>
        <v>278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45858</v>
      </c>
      <c r="B32" s="2" t="s">
        <v>88</v>
      </c>
      <c r="F32" s="5" t="s">
        <v>89</v>
      </c>
      <c r="G32" s="52" t="n">
        <v>180</v>
      </c>
      <c r="I32" s="6" t="n">
        <f aca="false">IF((G32&lt;&gt;0),G32-H32," ")</f>
        <v>180</v>
      </c>
      <c r="J32" s="5"/>
      <c r="M32" s="7" t="n">
        <f aca="false">IF(G32&lt;&gt;0,G32-L32," ")</f>
        <v>180</v>
      </c>
      <c r="N32" s="8" t="n">
        <f aca="false">IF((G32-L32)&lt;&gt;0,N$1-A32," ")</f>
        <v>278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180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45859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277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45860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276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45863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273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45863</v>
      </c>
      <c r="B36" s="2" t="s">
        <v>93</v>
      </c>
      <c r="F36" s="5" t="s">
        <v>24</v>
      </c>
      <c r="G36" s="52" t="n">
        <v>20.25</v>
      </c>
      <c r="I36" s="6" t="n">
        <f aca="false">IF((G36&lt;&gt;0),G36-H36," ")</f>
        <v>20.25</v>
      </c>
      <c r="J36" s="5"/>
      <c r="M36" s="7" t="n">
        <f aca="false">IF(G36&lt;&gt;0,G36-L36," ")</f>
        <v>20.25</v>
      </c>
      <c r="N36" s="8" t="n">
        <f aca="false">IF((G36-L36)&lt;&gt;0,N$1-A36," ")</f>
        <v>273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20.25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45866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270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45869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267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1363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4405.25</v>
      </c>
      <c r="H1" s="13" t="n">
        <f aca="false">SUM(H5:H200)</f>
        <v>0</v>
      </c>
      <c r="I1" s="13" t="n">
        <f aca="false">SUM(I2:I200)</f>
        <v>4405.25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4405.25</v>
      </c>
      <c r="N1" s="18" t="n">
        <f aca="true">TODAY()</f>
        <v>46136</v>
      </c>
      <c r="O1" s="15"/>
      <c r="P1" s="13" t="n">
        <f aca="false">SUM(P5:P300)</f>
        <v>540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800</v>
      </c>
      <c r="T1" s="13" t="n">
        <f aca="false">SUM(T5:T300)</f>
        <v>0</v>
      </c>
      <c r="U1" s="13" t="n">
        <f aca="false">SUM(U5:U300)</f>
        <v>240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140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G2+Jul!A2</f>
        <v>0</v>
      </c>
      <c r="B2" s="43" t="s">
        <v>22</v>
      </c>
      <c r="C2" s="42" t="n">
        <f aca="false">Jul!C2+D1+[1]Aug!$D$1</f>
        <v>0</v>
      </c>
      <c r="D2" s="44" t="s">
        <v>23</v>
      </c>
      <c r="E2" s="20" t="s">
        <v>5</v>
      </c>
      <c r="F2" s="43" t="str">
        <f aca="false">Jul!F2</f>
        <v>v</v>
      </c>
      <c r="G2" s="45" t="n">
        <f aca="false">IF(C2&lt;[2]Admin!$F$22,(C2-Jul!C2)*[2]Admin!$G$21,C2*[2]Admin!$G$21-(C2-[2]Admin!$F$21)*([2]Admin!$G$21-[2]Admin!$G$22)-Jul!A2)</f>
        <v>0</v>
      </c>
      <c r="H2" s="21" t="n">
        <f aca="false">IF([1]Aug!$H$4&gt;0,0,[1]Aug!$H$2)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AB1+Jul!AB2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45870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266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45870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266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45870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266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45870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266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45870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266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45870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266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45872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264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45872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264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45874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262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45874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262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45874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262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45875</v>
      </c>
      <c r="B16" s="2" t="s">
        <v>95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261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45877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259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45879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257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45881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255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45883</v>
      </c>
      <c r="B20" s="2" t="s">
        <v>82</v>
      </c>
      <c r="F20" s="5" t="s">
        <v>70</v>
      </c>
      <c r="G20" s="52" t="n">
        <v>48</v>
      </c>
      <c r="I20" s="6" t="n">
        <f aca="false">IF((G20&lt;&gt;0),G20-H20," ")</f>
        <v>48</v>
      </c>
      <c r="J20" s="5"/>
      <c r="M20" s="7" t="n">
        <f aca="false">IF(G20&lt;&gt;0,G20-L20," ")</f>
        <v>48</v>
      </c>
      <c r="N20" s="8" t="n">
        <f aca="false">IF((G20-L20)&lt;&gt;0,N$1-A20," ")</f>
        <v>253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45883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253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45883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253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45884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252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45884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252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45884</v>
      </c>
      <c r="B25" s="2" t="s">
        <v>100</v>
      </c>
      <c r="F25" s="5" t="s">
        <v>80</v>
      </c>
      <c r="G25" s="52" t="n">
        <v>360</v>
      </c>
      <c r="I25" s="6" t="n">
        <f aca="false">IF((G25&lt;&gt;0),G25-H25," ")</f>
        <v>360</v>
      </c>
      <c r="J25" s="5"/>
      <c r="M25" s="7" t="n">
        <f aca="false">IF(G25&lt;&gt;0,G25-L25," ")</f>
        <v>360</v>
      </c>
      <c r="N25" s="8" t="n">
        <f aca="false">IF((G25-L25)&lt;&gt;0,N$1-A25," ")</f>
        <v>252</v>
      </c>
      <c r="O25" s="5"/>
      <c r="P25" s="19" t="n">
        <f aca="false">IF((F25="s"),I25," ")</f>
        <v>360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45887</v>
      </c>
      <c r="B26" s="2" t="s">
        <v>122</v>
      </c>
      <c r="F26" s="5" t="s">
        <v>89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249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n">
        <f aca="false">IF((F26="m"),I26," ")</f>
        <v>240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45887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249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45889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247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45889</v>
      </c>
      <c r="B29" s="2" t="s">
        <v>123</v>
      </c>
      <c r="F29" s="5" t="s">
        <v>124</v>
      </c>
      <c r="G29" s="52" t="n">
        <v>800</v>
      </c>
      <c r="I29" s="6" t="n">
        <f aca="false">IF((G29&lt;&gt;0),G29-H29," ")</f>
        <v>800</v>
      </c>
      <c r="J29" s="5"/>
      <c r="M29" s="7" t="n">
        <f aca="false">IF(G29&lt;&gt;0,G29-L29," ")</f>
        <v>800</v>
      </c>
      <c r="N29" s="8" t="n">
        <f aca="false">IF((G29-L29)&lt;&gt;0,N$1-A29," ")</f>
        <v>247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n">
        <f aca="false">IF((F29="w"),I29," ")</f>
        <v>800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45889</v>
      </c>
      <c r="B30" s="2" t="s">
        <v>106</v>
      </c>
      <c r="F30" s="5" t="s">
        <v>80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247</v>
      </c>
      <c r="O30" s="5"/>
      <c r="P30" s="19" t="n">
        <f aca="false">IF((F30="s"),I30," ")</f>
        <v>180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45890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246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45891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245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45894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242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45894</v>
      </c>
      <c r="B34" s="2" t="s">
        <v>93</v>
      </c>
      <c r="F34" s="5" t="s">
        <v>24</v>
      </c>
      <c r="G34" s="52" t="n">
        <v>38.25</v>
      </c>
      <c r="I34" s="6" t="n">
        <f aca="false">IF((G34&lt;&gt;0),G34-H34," ")</f>
        <v>38.25</v>
      </c>
      <c r="J34" s="5"/>
      <c r="M34" s="7" t="n">
        <f aca="false">IF(G34&lt;&gt;0,G34-L34," ")</f>
        <v>38.25</v>
      </c>
      <c r="N34" s="8" t="n">
        <f aca="false">IF((G34-L34)&lt;&gt;0,N$1-A34," ")</f>
        <v>242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38.25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45897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239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45900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236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1771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4975</v>
      </c>
      <c r="H1" s="13" t="n">
        <f aca="false">SUM(H5:H200)</f>
        <v>0</v>
      </c>
      <c r="I1" s="13" t="n">
        <f aca="false">SUM(I2:I200)</f>
        <v>4975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4975</v>
      </c>
      <c r="N1" s="18" t="n">
        <f aca="true">TODAY()</f>
        <v>46136</v>
      </c>
      <c r="O1" s="15"/>
      <c r="P1" s="13" t="n">
        <f aca="false">SUM(P5:P300)</f>
        <v>240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300</v>
      </c>
      <c r="U1" s="13" t="n">
        <f aca="false">SUM(U5:U300)</f>
        <v>0</v>
      </c>
      <c r="V1" s="13" t="n">
        <f aca="false">SUM(V5:V300)</f>
        <v>147</v>
      </c>
      <c r="W1" s="13" t="n">
        <f aca="false">SUM(W2:W300)</f>
        <v>708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1468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G2+Aug!A2</f>
        <v>0</v>
      </c>
      <c r="B2" s="43" t="s">
        <v>22</v>
      </c>
      <c r="C2" s="42" t="n">
        <f aca="false">Aug!C2+D1+[1]Sep!$D$1</f>
        <v>0</v>
      </c>
      <c r="D2" s="44" t="s">
        <v>23</v>
      </c>
      <c r="E2" s="20" t="s">
        <v>5</v>
      </c>
      <c r="F2" s="43" t="str">
        <f aca="false">Aug!F2</f>
        <v>v</v>
      </c>
      <c r="G2" s="45" t="n">
        <f aca="false">IF(C2&lt;[2]Admin!$F$22,(C2-Aug!C2)*[2]Admin!$G$21,C2*[2]Admin!$G$21-(C2-[2]Admin!$F$21)*([2]Admin!$G$21-[2]Admin!$G$22)-Aug!A2)</f>
        <v>0</v>
      </c>
      <c r="H2" s="21" t="n">
        <f aca="false">IF([1]Sep!$H$4&gt;0,0,[1]Sep!$H$2)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AB1+Aug!AB2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45901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235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45901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235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45901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235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45901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235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45901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235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45901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235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45903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233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45903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233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45905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231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45905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231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45908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228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45908</v>
      </c>
      <c r="B16" s="2" t="s">
        <v>96</v>
      </c>
      <c r="F16" s="5" t="s">
        <v>97</v>
      </c>
      <c r="G16" s="52" t="n">
        <v>360</v>
      </c>
      <c r="I16" s="6" t="n">
        <f aca="false">IF((G16&lt;&gt;0),G16-H16," ")</f>
        <v>360</v>
      </c>
      <c r="J16" s="5"/>
      <c r="M16" s="7" t="n">
        <f aca="false">IF(G16&lt;&gt;0,G16-L16," ")</f>
        <v>360</v>
      </c>
      <c r="N16" s="8" t="n">
        <f aca="false">IF((G16-L16)&lt;&gt;0,N$1-A16," ")</f>
        <v>228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45910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226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45910</v>
      </c>
      <c r="B18" s="2" t="s">
        <v>85</v>
      </c>
      <c r="F18" s="5" t="s">
        <v>105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226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45912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224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45914</v>
      </c>
      <c r="B20" s="2" t="s">
        <v>83</v>
      </c>
      <c r="F20" s="5" t="s">
        <v>75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222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24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45914</v>
      </c>
      <c r="B21" s="2" t="s">
        <v>84</v>
      </c>
      <c r="F21" s="5" t="s">
        <v>75</v>
      </c>
      <c r="G21" s="52" t="n">
        <v>12</v>
      </c>
      <c r="I21" s="6" t="n">
        <f aca="false">IF((G21&lt;&gt;0),G21-H21," ")</f>
        <v>12</v>
      </c>
      <c r="J21" s="5"/>
      <c r="M21" s="7" t="n">
        <f aca="false">IF(G21&lt;&gt;0,G21-L21," ")</f>
        <v>12</v>
      </c>
      <c r="N21" s="8" t="n">
        <f aca="false">IF((G21-L21)&lt;&gt;0,N$1-A21," ")</f>
        <v>222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12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45915</v>
      </c>
      <c r="B22" s="2" t="s">
        <v>19</v>
      </c>
      <c r="F22" s="5" t="s">
        <v>24</v>
      </c>
      <c r="G22" s="52" t="n">
        <v>150</v>
      </c>
      <c r="I22" s="6" t="n">
        <f aca="false">IF((G22&lt;&gt;0),G22-H22," ")</f>
        <v>150</v>
      </c>
      <c r="J22" s="5"/>
      <c r="M22" s="7" t="n">
        <f aca="false">IF(G22&lt;&gt;0,G22-L22," ")</f>
        <v>150</v>
      </c>
      <c r="N22" s="8" t="n">
        <f aca="false">IF((G22-L22)&lt;&gt;0,N$1-A22," ")</f>
        <v>221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150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45915</v>
      </c>
      <c r="B23" s="2" t="s">
        <v>85</v>
      </c>
      <c r="F23" s="5" t="s">
        <v>60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221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12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45915</v>
      </c>
      <c r="B24" s="2" t="s">
        <v>125</v>
      </c>
      <c r="F24" s="5" t="s">
        <v>94</v>
      </c>
      <c r="G24" s="52" t="n">
        <v>960</v>
      </c>
      <c r="I24" s="6" t="n">
        <f aca="false">IF((G24&lt;&gt;0),G24-H24," ")</f>
        <v>960</v>
      </c>
      <c r="J24" s="5"/>
      <c r="M24" s="7" t="n">
        <f aca="false">IF(G24&lt;&gt;0,G24-L24," ")</f>
        <v>960</v>
      </c>
      <c r="N24" s="8" t="n">
        <f aca="false">IF((G24-L24)&lt;&gt;0,N$1-A24," ")</f>
        <v>221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n">
        <f aca="false">IF((F24="l"),I24," ")</f>
        <v>960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45916</v>
      </c>
      <c r="B25" s="2" t="s">
        <v>103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220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45918</v>
      </c>
      <c r="B26" s="2" t="s">
        <v>112</v>
      </c>
      <c r="F26" s="5" t="s">
        <v>80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218</v>
      </c>
      <c r="O26" s="5"/>
      <c r="P26" s="19" t="n">
        <f aca="false">IF((F26="s"),I26," ")</f>
        <v>240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45918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218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45920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216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45921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215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45922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214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45922</v>
      </c>
      <c r="B31" s="2" t="s">
        <v>107</v>
      </c>
      <c r="F31" s="5" t="s">
        <v>24</v>
      </c>
      <c r="G31" s="52" t="n">
        <v>72</v>
      </c>
      <c r="I31" s="6" t="n">
        <f aca="false">IF((G31&lt;&gt;0),G31-H31," ")</f>
        <v>72</v>
      </c>
      <c r="J31" s="5"/>
      <c r="M31" s="7" t="n">
        <f aca="false">IF(G31&lt;&gt;0,G31-L31," ")</f>
        <v>72</v>
      </c>
      <c r="N31" s="8" t="n">
        <f aca="false">IF((G31-L31)&lt;&gt;0,N$1-A31," ")</f>
        <v>214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n">
        <f aca="false">IF((F31="v"),I31," ")</f>
        <v>72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45925</v>
      </c>
      <c r="B32" s="2" t="s">
        <v>113</v>
      </c>
      <c r="F32" s="5" t="s">
        <v>114</v>
      </c>
      <c r="G32" s="52" t="n">
        <v>300</v>
      </c>
      <c r="I32" s="6" t="n">
        <f aca="false">IF((G32&lt;&gt;0),G32-H32," ")</f>
        <v>300</v>
      </c>
      <c r="J32" s="5"/>
      <c r="M32" s="7" t="n">
        <f aca="false">IF(G32&lt;&gt;0,G32-L32," ")</f>
        <v>300</v>
      </c>
      <c r="N32" s="8" t="n">
        <f aca="false">IF((G32-L32)&lt;&gt;0,N$1-A32," ")</f>
        <v>211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300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45925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211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45925</v>
      </c>
      <c r="B34" s="2" t="s">
        <v>93</v>
      </c>
      <c r="F34" s="5" t="s">
        <v>24</v>
      </c>
      <c r="G34" s="52" t="n">
        <v>72</v>
      </c>
      <c r="I34" s="6" t="n">
        <f aca="false">IF((G34&lt;&gt;0),G34-H34," ")</f>
        <v>72</v>
      </c>
      <c r="J34" s="5"/>
      <c r="M34" s="7" t="n">
        <f aca="false">IF(G34&lt;&gt;0,G34-L34," ")</f>
        <v>72</v>
      </c>
      <c r="N34" s="8" t="n">
        <f aca="false">IF((G34-L34)&lt;&gt;0,N$1-A34," ")</f>
        <v>211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72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45928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208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45930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206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45930</v>
      </c>
      <c r="B37" s="2" t="s">
        <v>115</v>
      </c>
      <c r="F37" s="5" t="s">
        <v>94</v>
      </c>
      <c r="G37" s="52" t="n">
        <v>208</v>
      </c>
      <c r="I37" s="6" t="n">
        <f aca="false">IF((G37&lt;&gt;0),G37-H37," ")</f>
        <v>208</v>
      </c>
      <c r="J37" s="5"/>
      <c r="M37" s="7" t="n">
        <f aca="false">IF(G37&lt;&gt;0,G37-L37," ")</f>
        <v>208</v>
      </c>
      <c r="N37" s="8" t="n">
        <f aca="false">IF((G37-L37)&lt;&gt;0,N$1-A37," ")</f>
        <v>206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208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1891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43005.75</v>
      </c>
      <c r="H1" s="13" t="n">
        <f aca="false">SUM(H5:H200)</f>
        <v>0</v>
      </c>
      <c r="I1" s="13" t="n">
        <f aca="false">SUM(I2:I200)</f>
        <v>43005.75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43005.75</v>
      </c>
      <c r="N1" s="18" t="n">
        <f aca="true">TODAY()</f>
        <v>46136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96</v>
      </c>
      <c r="V1" s="13" t="n">
        <f aca="false">SUM(V5:V300)</f>
        <v>135</v>
      </c>
      <c r="W1" s="13" t="n">
        <f aca="false">SUM(W2:W300)</f>
        <v>606.75</v>
      </c>
      <c r="X1" s="13" t="n">
        <f aca="false">SUM(X5:X300)</f>
        <v>212</v>
      </c>
      <c r="Y1" s="13" t="n">
        <f aca="false">SUM(Y5:Y300)</f>
        <v>3000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36000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G2+Sep!A2</f>
        <v>0</v>
      </c>
      <c r="B2" s="43" t="s">
        <v>22</v>
      </c>
      <c r="C2" s="42" t="n">
        <f aca="false">Sep!C2+D1+[1]Oct!$D$1</f>
        <v>0</v>
      </c>
      <c r="D2" s="44" t="s">
        <v>23</v>
      </c>
      <c r="E2" s="20" t="s">
        <v>5</v>
      </c>
      <c r="F2" s="43" t="str">
        <f aca="false">Sep!F2</f>
        <v>v</v>
      </c>
      <c r="G2" s="45" t="n">
        <f aca="false">IF(C2&lt;[2]Admin!$F$22,(C2-Sep!C2)*[2]Admin!$G$21,C2*[2]Admin!$G$21-(C2-[2]Admin!$F$21)*([2]Admin!$G$21-[2]Admin!$G$22)-Sep!A2)</f>
        <v>0</v>
      </c>
      <c r="H2" s="21" t="n">
        <f aca="false">IF([1]Oct!$H$4&gt;0,0,[1]Oct!$H$2)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AB1+Sep!AB2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45931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205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45931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205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45931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205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45931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205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45931</v>
      </c>
      <c r="B9" s="2" t="s">
        <v>126</v>
      </c>
      <c r="F9" s="5" t="s">
        <v>65</v>
      </c>
      <c r="G9" s="52" t="n">
        <v>360</v>
      </c>
      <c r="I9" s="6" t="n">
        <f aca="false">IF((G9&lt;&gt;0),G9-H9," ")</f>
        <v>360</v>
      </c>
      <c r="J9" s="5"/>
      <c r="M9" s="7" t="n">
        <f aca="false">IF(G9&lt;&gt;0,G9-L9," ")</f>
        <v>360</v>
      </c>
      <c r="N9" s="8" t="n">
        <f aca="false">IF((G9-L9)&lt;&gt;0,N$1-A9," ")</f>
        <v>205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45931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205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45931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205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45933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203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45933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203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45935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201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45935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201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45935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201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45938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198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45940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196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45940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196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45940</v>
      </c>
      <c r="B20" s="2" t="s">
        <v>79</v>
      </c>
      <c r="F20" s="5" t="s">
        <v>80</v>
      </c>
      <c r="G20" s="52" t="n">
        <v>480</v>
      </c>
      <c r="I20" s="6" t="n">
        <f aca="false">IF((G20&lt;&gt;0),G20-H20," ")</f>
        <v>480</v>
      </c>
      <c r="J20" s="5"/>
      <c r="M20" s="7" t="n">
        <f aca="false">IF(G20&lt;&gt;0,G20-L20," ")</f>
        <v>480</v>
      </c>
      <c r="N20" s="8" t="n">
        <f aca="false">IF((G20-L20)&lt;&gt;0,N$1-A20," ")</f>
        <v>196</v>
      </c>
      <c r="O20" s="5"/>
      <c r="P20" s="19" t="n">
        <f aca="false">IF((F20="s"),I20," ")</f>
        <v>480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45940</v>
      </c>
      <c r="B21" s="2" t="s">
        <v>98</v>
      </c>
      <c r="F21" s="5" t="s">
        <v>99</v>
      </c>
      <c r="G21" s="52" t="n">
        <v>1800</v>
      </c>
      <c r="I21" s="6" t="n">
        <f aca="false">IF((G21&lt;&gt;0),G21-H21," ")</f>
        <v>1800</v>
      </c>
      <c r="J21" s="5"/>
      <c r="M21" s="7" t="n">
        <f aca="false">IF(G21&lt;&gt;0,G21-L21," ")</f>
        <v>1800</v>
      </c>
      <c r="N21" s="8" t="n">
        <f aca="false">IF((G21-L21)&lt;&gt;0,N$1-A21," ")</f>
        <v>196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n">
        <f aca="false">IF((F21="a"),I21," ")</f>
        <v>1800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45942</v>
      </c>
      <c r="B22" s="2" t="s">
        <v>81</v>
      </c>
      <c r="F22" s="5" t="s">
        <v>24</v>
      </c>
      <c r="G22" s="52" t="n">
        <v>18</v>
      </c>
      <c r="I22" s="6" t="n">
        <f aca="false">IF((G22&lt;&gt;0),G22-H22," ")</f>
        <v>18</v>
      </c>
      <c r="J22" s="5"/>
      <c r="M22" s="7" t="n">
        <f aca="false">IF(G22&lt;&gt;0,G22-L22," ")</f>
        <v>18</v>
      </c>
      <c r="N22" s="8" t="n">
        <f aca="false">IF((G22-L22)&lt;&gt;0,N$1-A22," ")</f>
        <v>194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18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45944</v>
      </c>
      <c r="B23" s="2" t="s">
        <v>82</v>
      </c>
      <c r="F23" s="5" t="s">
        <v>70</v>
      </c>
      <c r="G23" s="52" t="n">
        <v>36</v>
      </c>
      <c r="I23" s="6" t="n">
        <f aca="false">IF((G23&lt;&gt;0),G23-H23," ")</f>
        <v>36</v>
      </c>
      <c r="J23" s="5"/>
      <c r="M23" s="7" t="n">
        <f aca="false">IF(G23&lt;&gt;0,G23-L23," ")</f>
        <v>36</v>
      </c>
      <c r="N23" s="8" t="n">
        <f aca="false">IF((G23-L23)&lt;&gt;0,N$1-A23," ")</f>
        <v>192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45944</v>
      </c>
      <c r="B24" s="2" t="s">
        <v>83</v>
      </c>
      <c r="F24" s="5" t="s">
        <v>75</v>
      </c>
      <c r="G24" s="52" t="n">
        <v>24</v>
      </c>
      <c r="I24" s="6" t="n">
        <f aca="false">IF((G24&lt;&gt;0),G24-H24," ")</f>
        <v>24</v>
      </c>
      <c r="J24" s="5"/>
      <c r="M24" s="7" t="n">
        <f aca="false">IF(G24&lt;&gt;0,G24-L24," ")</f>
        <v>24</v>
      </c>
      <c r="N24" s="8" t="n">
        <f aca="false">IF((G24-L24)&lt;&gt;0,N$1-A24," ")</f>
        <v>192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24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45944</v>
      </c>
      <c r="B25" s="2" t="s">
        <v>84</v>
      </c>
      <c r="F25" s="5" t="s">
        <v>75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192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n">
        <f aca="false">IF((F25="h"),I25," ")</f>
        <v>12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45945</v>
      </c>
      <c r="B26" s="2" t="s">
        <v>19</v>
      </c>
      <c r="F26" s="5" t="s">
        <v>24</v>
      </c>
      <c r="G26" s="52" t="n">
        <v>150</v>
      </c>
      <c r="I26" s="6" t="n">
        <f aca="false">IF((G26&lt;&gt;0),G26-H26," ")</f>
        <v>150</v>
      </c>
      <c r="J26" s="5"/>
      <c r="M26" s="7" t="n">
        <f aca="false">IF(G26&lt;&gt;0,G26-L26," ")</f>
        <v>150</v>
      </c>
      <c r="N26" s="8" t="n">
        <f aca="false">IF((G26-L26)&lt;&gt;0,N$1-A26," ")</f>
        <v>191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150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45945</v>
      </c>
      <c r="B27" s="2" t="s">
        <v>85</v>
      </c>
      <c r="F27" s="5" t="s">
        <v>60</v>
      </c>
      <c r="G27" s="52" t="n">
        <v>12</v>
      </c>
      <c r="I27" s="6" t="n">
        <f aca="false">IF((G27&lt;&gt;0),G27-H27," ")</f>
        <v>12</v>
      </c>
      <c r="J27" s="5"/>
      <c r="M27" s="7" t="n">
        <f aca="false">IF(G27&lt;&gt;0,G27-L27," ")</f>
        <v>12</v>
      </c>
      <c r="N27" s="8" t="n">
        <f aca="false">IF((G27-L27)&lt;&gt;0,N$1-A27," ")</f>
        <v>191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12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45945</v>
      </c>
      <c r="B28" s="2" t="s">
        <v>127</v>
      </c>
      <c r="F28" s="5" t="s">
        <v>99</v>
      </c>
      <c r="G28" s="52" t="n">
        <v>1200</v>
      </c>
      <c r="I28" s="6" t="n">
        <f aca="false">IF((G28&lt;&gt;0),G28-H28," ")</f>
        <v>1200</v>
      </c>
      <c r="J28" s="5"/>
      <c r="M28" s="7" t="n">
        <f aca="false">IF(G28&lt;&gt;0,G28-L28," ")</f>
        <v>1200</v>
      </c>
      <c r="N28" s="8" t="n">
        <f aca="false">IF((G28-L28)&lt;&gt;0,N$1-A28," ")</f>
        <v>191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n">
        <f aca="false">IF((F28="a"),I28," ")</f>
        <v>1200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45948</v>
      </c>
      <c r="B29" s="2" t="s">
        <v>111</v>
      </c>
      <c r="F29" s="5" t="s">
        <v>75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188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120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45948</v>
      </c>
      <c r="B30" s="2" t="s">
        <v>86</v>
      </c>
      <c r="F30" s="5" t="s">
        <v>24</v>
      </c>
      <c r="G30" s="52" t="n">
        <v>96</v>
      </c>
      <c r="I30" s="6" t="n">
        <f aca="false">IF((G30&lt;&gt;0),G30-H30," ")</f>
        <v>96</v>
      </c>
      <c r="J30" s="5"/>
      <c r="M30" s="7" t="n">
        <f aca="false">IF(G30&lt;&gt;0,G30-L30," ")</f>
        <v>96</v>
      </c>
      <c r="N30" s="8" t="n">
        <f aca="false">IF((G30-L30)&lt;&gt;0,N$1-A30," ")</f>
        <v>188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n">
        <f aca="false">IF((F30="v"),I30," ")</f>
        <v>96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45950</v>
      </c>
      <c r="B31" s="2" t="s">
        <v>87</v>
      </c>
      <c r="F31" s="5" t="s">
        <v>60</v>
      </c>
      <c r="G31" s="52" t="n">
        <v>60</v>
      </c>
      <c r="I31" s="6" t="n">
        <f aca="false">IF((G31&lt;&gt;0),G31-H31," ")</f>
        <v>60</v>
      </c>
      <c r="J31" s="5"/>
      <c r="M31" s="7" t="n">
        <f aca="false">IF(G31&lt;&gt;0,G31-L31," ")</f>
        <v>60</v>
      </c>
      <c r="N31" s="8" t="n">
        <f aca="false">IF((G31-L31)&lt;&gt;0,N$1-A31," ")</f>
        <v>186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60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45950</v>
      </c>
      <c r="B32" s="2" t="s">
        <v>88</v>
      </c>
      <c r="F32" s="5" t="s">
        <v>89</v>
      </c>
      <c r="G32" s="52" t="n">
        <v>96</v>
      </c>
      <c r="I32" s="6" t="n">
        <f aca="false">IF((G32&lt;&gt;0),G32-H32," ")</f>
        <v>96</v>
      </c>
      <c r="J32" s="5"/>
      <c r="M32" s="7" t="n">
        <f aca="false">IF(G32&lt;&gt;0,G32-L32," ")</f>
        <v>96</v>
      </c>
      <c r="N32" s="8" t="n">
        <f aca="false">IF((G32-L32)&lt;&gt;0,N$1-A32," ")</f>
        <v>186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96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45951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185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45952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184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45955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181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45955</v>
      </c>
      <c r="B36" s="2" t="s">
        <v>93</v>
      </c>
      <c r="F36" s="5" t="s">
        <v>24</v>
      </c>
      <c r="G36" s="52" t="n">
        <v>42.75</v>
      </c>
      <c r="I36" s="6" t="n">
        <f aca="false">IF((G36&lt;&gt;0),G36-H36," ")</f>
        <v>42.75</v>
      </c>
      <c r="J36" s="5"/>
      <c r="M36" s="7" t="n">
        <f aca="false">IF(G36&lt;&gt;0,G36-L36," ")</f>
        <v>42.75</v>
      </c>
      <c r="N36" s="8" t="n">
        <f aca="false">IF((G36-L36)&lt;&gt;0,N$1-A36," ")</f>
        <v>181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42.75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45955</v>
      </c>
      <c r="B37" s="2" t="s">
        <v>128</v>
      </c>
      <c r="F37" s="5" t="s">
        <v>102</v>
      </c>
      <c r="G37" s="52" t="n">
        <v>36000</v>
      </c>
      <c r="I37" s="6" t="n">
        <f aca="false">IF((G37&lt;&gt;0),G37-H37," ")</f>
        <v>36000</v>
      </c>
      <c r="J37" s="5"/>
      <c r="M37" s="7" t="n">
        <f aca="false">IF(G37&lt;&gt;0,G37-L37," ")</f>
        <v>36000</v>
      </c>
      <c r="N37" s="8" t="n">
        <f aca="false">IF((G37-L37)&lt;&gt;0,N$1-A37," ")</f>
        <v>181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n">
        <f aca="false">IF((F37="fa"),I37," ")</f>
        <v>36000</v>
      </c>
    </row>
    <row r="38" customFormat="false" ht="12" hidden="false" customHeight="false" outlineLevel="0" collapsed="false">
      <c r="A38" s="27" t="n">
        <v>45958</v>
      </c>
      <c r="B38" s="2" t="s">
        <v>19</v>
      </c>
      <c r="F38" s="5" t="s">
        <v>24</v>
      </c>
      <c r="G38" s="52" t="n">
        <v>120</v>
      </c>
      <c r="I38" s="6" t="n">
        <f aca="false">IF((G38&lt;&gt;0),G38-H38," ")</f>
        <v>120</v>
      </c>
      <c r="J38" s="5"/>
      <c r="M38" s="7" t="n">
        <f aca="false">IF(G38&lt;&gt;0,G38-L38," ")</f>
        <v>120</v>
      </c>
      <c r="N38" s="8" t="n">
        <f aca="false">IF((G38-L38)&lt;&gt;0,N$1-A38," ")</f>
        <v>178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n">
        <f aca="false">IF((F38="v"),I38," ")</f>
        <v>120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 t="n">
        <v>45961</v>
      </c>
      <c r="B39" s="2" t="s">
        <v>15</v>
      </c>
      <c r="F39" s="5" t="s">
        <v>94</v>
      </c>
      <c r="G39" s="52" t="n">
        <v>300</v>
      </c>
      <c r="I39" s="6" t="n">
        <f aca="false">IF((G39&lt;&gt;0),G39-H39," ")</f>
        <v>300</v>
      </c>
      <c r="J39" s="5"/>
      <c r="M39" s="7" t="n">
        <f aca="false">IF(G39&lt;&gt;0,G39-L39," ")</f>
        <v>300</v>
      </c>
      <c r="N39" s="8" t="n">
        <f aca="false">IF((G39-L39)&lt;&gt;0,N$1-A39," ")</f>
        <v>175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n">
        <f aca="false">IF((F39="l"),I39," ")</f>
        <v>300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1555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6918</v>
      </c>
      <c r="H1" s="13" t="n">
        <f aca="false">SUM(H5:H200)</f>
        <v>0</v>
      </c>
      <c r="I1" s="13" t="n">
        <f aca="false">SUM(I2:I200)</f>
        <v>6918</v>
      </c>
      <c r="J1" s="15"/>
      <c r="K1" s="16" t="s">
        <v>4</v>
      </c>
      <c r="L1" s="17" t="n">
        <f aca="false">SUM(L5:L300)</f>
        <v>0</v>
      </c>
      <c r="M1" s="17" t="n">
        <f aca="false">SUM(M5:M200)</f>
        <v>6918</v>
      </c>
      <c r="N1" s="18" t="n">
        <f aca="true">TODAY()</f>
        <v>46136</v>
      </c>
      <c r="O1" s="15"/>
      <c r="P1" s="13" t="n">
        <f aca="false">SUM(P5:P300)</f>
        <v>840</v>
      </c>
      <c r="Q1" s="13" t="n">
        <f aca="false">SUM(Q5:Q300)</f>
        <v>3000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165</v>
      </c>
      <c r="W1" s="13" t="n">
        <f aca="false">SUM(W2:W300)</f>
        <v>645</v>
      </c>
      <c r="X1" s="13" t="n">
        <f aca="false">SUM(X5:X300)</f>
        <v>164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G2+Oct!A2</f>
        <v>0</v>
      </c>
      <c r="B2" s="43" t="s">
        <v>22</v>
      </c>
      <c r="C2" s="42" t="n">
        <f aca="false">Oct!C2+D1+[1]Nov!$D$1</f>
        <v>0</v>
      </c>
      <c r="D2" s="44" t="s">
        <v>23</v>
      </c>
      <c r="E2" s="20" t="s">
        <v>5</v>
      </c>
      <c r="F2" s="43" t="str">
        <f aca="false">Oct!F2</f>
        <v>v</v>
      </c>
      <c r="G2" s="45" t="n">
        <f aca="false">IF(C2&lt;[2]Admin!$F$22,(C2-Oct!C2)*[2]Admin!$G$21,C2*[2]Admin!$G$21-(C2-[2]Admin!$F$21)*([2]Admin!$G$21-[2]Admin!$G$22)-Oct!A2)</f>
        <v>0</v>
      </c>
      <c r="H2" s="21" t="n">
        <f aca="false">IF([1]Nov!$H$4&gt;0,0,[1]Nov!$H$2)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AB1+Oct!AB2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45962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174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45962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174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45962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174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45962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174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45962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174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45962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174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45964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172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45964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172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45966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170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45966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170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45967</v>
      </c>
      <c r="B15" s="2" t="s">
        <v>95</v>
      </c>
      <c r="F15" s="5" t="s">
        <v>75</v>
      </c>
      <c r="G15" s="52" t="n">
        <v>72</v>
      </c>
      <c r="I15" s="6" t="n">
        <f aca="false">IF((G15&lt;&gt;0),G15-H15," ")</f>
        <v>72</v>
      </c>
      <c r="J15" s="5"/>
      <c r="M15" s="7" t="n">
        <f aca="false">IF(G15&lt;&gt;0,G15-L15," ")</f>
        <v>72</v>
      </c>
      <c r="N15" s="8" t="n">
        <f aca="false">IF((G15-L15)&lt;&gt;0,N$1-A15," ")</f>
        <v>169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72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45969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167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45971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165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45973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163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45975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161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45975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161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45976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160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45976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160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45976</v>
      </c>
      <c r="B23" s="2" t="s">
        <v>100</v>
      </c>
      <c r="F23" s="5" t="s">
        <v>80</v>
      </c>
      <c r="G23" s="52" t="n">
        <v>540</v>
      </c>
      <c r="I23" s="6" t="n">
        <f aca="false">IF((G23&lt;&gt;0),G23-H23," ")</f>
        <v>540</v>
      </c>
      <c r="J23" s="5"/>
      <c r="M23" s="7" t="n">
        <f aca="false">IF(G23&lt;&gt;0,G23-L23," ")</f>
        <v>540</v>
      </c>
      <c r="N23" s="8" t="n">
        <f aca="false">IF((G23-L23)&lt;&gt;0,N$1-A23," ")</f>
        <v>160</v>
      </c>
      <c r="O23" s="5"/>
      <c r="P23" s="19" t="n">
        <f aca="false">IF((F23="s"),I23," ")</f>
        <v>540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45976</v>
      </c>
      <c r="B24" s="2" t="s">
        <v>109</v>
      </c>
      <c r="F24" s="5" t="s">
        <v>110</v>
      </c>
      <c r="G24" s="52" t="n">
        <v>3000</v>
      </c>
      <c r="I24" s="6" t="n">
        <f aca="false">IF((G24&lt;&gt;0),G24-H24," ")</f>
        <v>3000</v>
      </c>
      <c r="J24" s="5"/>
      <c r="M24" s="7" t="n">
        <f aca="false">IF(G24&lt;&gt;0,G24-L24," ")</f>
        <v>3000</v>
      </c>
      <c r="N24" s="8" t="n">
        <f aca="false">IF((G24-L24)&lt;&gt;0,N$1-A24," ")</f>
        <v>160</v>
      </c>
      <c r="O24" s="5"/>
      <c r="P24" s="19" t="str">
        <f aca="false">IF((F24="s"),I24," ")</f>
        <v> </v>
      </c>
      <c r="Q24" s="19" t="n">
        <f aca="false">IF((F24="c"),I24," ")</f>
        <v>3000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45977</v>
      </c>
      <c r="B25" s="2" t="s">
        <v>103</v>
      </c>
      <c r="F25" s="5" t="s">
        <v>60</v>
      </c>
      <c r="G25" s="52" t="n">
        <v>30</v>
      </c>
      <c r="I25" s="6" t="n">
        <f aca="false">IF((G25&lt;&gt;0),G25-H25," ")</f>
        <v>30</v>
      </c>
      <c r="J25" s="5"/>
      <c r="M25" s="7" t="n">
        <f aca="false">IF(G25&lt;&gt;0,G25-L25," ")</f>
        <v>30</v>
      </c>
      <c r="N25" s="8" t="n">
        <f aca="false">IF((G25-L25)&lt;&gt;0,N$1-A25," ")</f>
        <v>159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30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45979</v>
      </c>
      <c r="B26" s="2" t="s">
        <v>86</v>
      </c>
      <c r="F26" s="5" t="s">
        <v>24</v>
      </c>
      <c r="G26" s="52" t="n">
        <v>96</v>
      </c>
      <c r="I26" s="6" t="n">
        <f aca="false">IF((G26&lt;&gt;0),G26-H26," ")</f>
        <v>96</v>
      </c>
      <c r="J26" s="5"/>
      <c r="M26" s="7" t="n">
        <f aca="false">IF(G26&lt;&gt;0,G26-L26," ")</f>
        <v>96</v>
      </c>
      <c r="N26" s="8" t="n">
        <f aca="false">IF((G26-L26)&lt;&gt;0,N$1-A26," ")</f>
        <v>157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96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45981</v>
      </c>
      <c r="B27" s="2" t="s">
        <v>87</v>
      </c>
      <c r="F27" s="5" t="s">
        <v>60</v>
      </c>
      <c r="G27" s="52" t="n">
        <v>60</v>
      </c>
      <c r="I27" s="6" t="n">
        <f aca="false">IF((G27&lt;&gt;0),G27-H27," ")</f>
        <v>60</v>
      </c>
      <c r="J27" s="5"/>
      <c r="M27" s="7" t="n">
        <f aca="false">IF(G27&lt;&gt;0,G27-L27," ")</f>
        <v>60</v>
      </c>
      <c r="N27" s="8" t="n">
        <f aca="false">IF((G27-L27)&lt;&gt;0,N$1-A27," ")</f>
        <v>155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60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45981</v>
      </c>
      <c r="B28" s="2" t="s">
        <v>104</v>
      </c>
      <c r="F28" s="5" t="s">
        <v>105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155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45981</v>
      </c>
      <c r="B29" s="2" t="s">
        <v>106</v>
      </c>
      <c r="F29" s="5" t="s">
        <v>80</v>
      </c>
      <c r="G29" s="52" t="n">
        <v>300</v>
      </c>
      <c r="I29" s="6" t="n">
        <f aca="false">IF((G29&lt;&gt;0),G29-H29," ")</f>
        <v>300</v>
      </c>
      <c r="J29" s="5"/>
      <c r="M29" s="7" t="n">
        <f aca="false">IF(G29&lt;&gt;0,G29-L29," ")</f>
        <v>300</v>
      </c>
      <c r="N29" s="8" t="n">
        <f aca="false">IF((G29-L29)&lt;&gt;0,N$1-A29," ")</f>
        <v>155</v>
      </c>
      <c r="O29" s="5"/>
      <c r="P29" s="19" t="n">
        <f aca="false">IF((F29="s"),I29," ")</f>
        <v>300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45982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154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45983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153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45986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150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45986</v>
      </c>
      <c r="B33" s="2" t="s">
        <v>93</v>
      </c>
      <c r="F33" s="5" t="s">
        <v>24</v>
      </c>
      <c r="G33" s="52" t="n">
        <v>81</v>
      </c>
      <c r="I33" s="6" t="n">
        <f aca="false">IF((G33&lt;&gt;0),G33-H33," ")</f>
        <v>81</v>
      </c>
      <c r="J33" s="5"/>
      <c r="M33" s="7" t="n">
        <f aca="false">IF(G33&lt;&gt;0,G33-L33," ")</f>
        <v>81</v>
      </c>
      <c r="N33" s="8" t="n">
        <f aca="false">IF((G33-L33)&lt;&gt;0,N$1-A33," ")</f>
        <v>150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81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45989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147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45991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145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1339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9451.5</v>
      </c>
      <c r="H1" s="13" t="n">
        <f aca="false">SUM(H5:H200)</f>
        <v>0</v>
      </c>
      <c r="I1" s="13" t="n">
        <f aca="false">SUM(I2:I200)</f>
        <v>9451.5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9451.5</v>
      </c>
      <c r="N1" s="18" t="n">
        <f aca="true">TODAY()</f>
        <v>46136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5000</v>
      </c>
      <c r="T1" s="13" t="n">
        <f aca="false">SUM(T5:T300)</f>
        <v>420</v>
      </c>
      <c r="U1" s="13" t="n">
        <f aca="false">SUM(U5:U300)</f>
        <v>0</v>
      </c>
      <c r="V1" s="13" t="n">
        <f aca="false">SUM(V5:V300)</f>
        <v>255</v>
      </c>
      <c r="W1" s="13" t="n">
        <f aca="false">SUM(W2:W300)</f>
        <v>613.5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467</v>
      </c>
      <c r="AA1" s="13" t="n">
        <f aca="false">SUM(AA5:AA300)</f>
        <v>500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G2+Nov!A2</f>
        <v>0</v>
      </c>
      <c r="B2" s="43" t="s">
        <v>22</v>
      </c>
      <c r="C2" s="42" t="n">
        <f aca="false">Nov!C2+D1+[1]Dec!$D$1</f>
        <v>0</v>
      </c>
      <c r="D2" s="44" t="s">
        <v>23</v>
      </c>
      <c r="E2" s="20" t="s">
        <v>5</v>
      </c>
      <c r="F2" s="43" t="str">
        <f aca="false">Nov!F2</f>
        <v>v</v>
      </c>
      <c r="G2" s="45" t="n">
        <f aca="false">IF(C2&lt;[2]Admin!$F$22,(C2-Nov!C2)*[2]Admin!$G$21,C2*[2]Admin!$G$21-(C2-[2]Admin!$F$21)*([2]Admin!$G$21-[2]Admin!$G$22)-Nov!A2)</f>
        <v>0</v>
      </c>
      <c r="H2" s="21" t="n">
        <f aca="false">IF([1]Dec!$H$4&gt;0,0,[1]Dec!$H$2)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AB1+Nov!AB2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45992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144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45992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144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45992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144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45992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144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45992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144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45992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144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45994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142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45994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142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45996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140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45996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140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45996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140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45999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137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46001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135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46001</v>
      </c>
      <c r="B18" s="2" t="s">
        <v>108</v>
      </c>
      <c r="F18" s="5" t="s">
        <v>60</v>
      </c>
      <c r="G18" s="52" t="n">
        <v>120</v>
      </c>
      <c r="I18" s="6" t="n">
        <f aca="false">IF((G18&lt;&gt;0),G18-H18," ")</f>
        <v>120</v>
      </c>
      <c r="J18" s="5"/>
      <c r="M18" s="7" t="n">
        <f aca="false">IF(G18&lt;&gt;0,G18-L18," ")</f>
        <v>120</v>
      </c>
      <c r="N18" s="8" t="n">
        <f aca="false">IF((G18-L18)&lt;&gt;0,N$1-A18," ")</f>
        <v>135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120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46003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133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46005</v>
      </c>
      <c r="B20" s="2" t="s">
        <v>82</v>
      </c>
      <c r="F20" s="5" t="s">
        <v>70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131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46005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131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46005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131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46006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130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46006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130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46006</v>
      </c>
      <c r="B25" s="2" t="s">
        <v>129</v>
      </c>
      <c r="F25" s="5" t="s">
        <v>130</v>
      </c>
      <c r="G25" s="52" t="n">
        <v>500</v>
      </c>
      <c r="I25" s="6" t="n">
        <f aca="false">IF((G25&lt;&gt;0),G25-H25," ")</f>
        <v>500</v>
      </c>
      <c r="J25" s="5"/>
      <c r="M25" s="7" t="n">
        <f aca="false">IF(G25&lt;&gt;0,G25-L25," ")</f>
        <v>500</v>
      </c>
      <c r="N25" s="8" t="n">
        <f aca="false">IF((G25-L25)&lt;&gt;0,N$1-A25," ")</f>
        <v>130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n">
        <f aca="false">IF((F25="y"),I25," ")</f>
        <v>500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46009</v>
      </c>
      <c r="B26" s="2" t="s">
        <v>112</v>
      </c>
      <c r="F26" s="5" t="s">
        <v>80</v>
      </c>
      <c r="G26" s="52" t="n">
        <v>480</v>
      </c>
      <c r="I26" s="6" t="n">
        <f aca="false">IF((G26&lt;&gt;0),G26-H26," ")</f>
        <v>480</v>
      </c>
      <c r="J26" s="5"/>
      <c r="M26" s="7" t="n">
        <f aca="false">IF(G26&lt;&gt;0,G26-L26," ")</f>
        <v>480</v>
      </c>
      <c r="N26" s="8" t="n">
        <f aca="false">IF((G26-L26)&lt;&gt;0,N$1-A26," ")</f>
        <v>127</v>
      </c>
      <c r="O26" s="5"/>
      <c r="P26" s="19" t="n">
        <f aca="false">IF((F26="s"),I26," ")</f>
        <v>480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46009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127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46011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125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46012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124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46013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123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46016</v>
      </c>
      <c r="B31" s="2" t="s">
        <v>113</v>
      </c>
      <c r="F31" s="5" t="s">
        <v>114</v>
      </c>
      <c r="G31" s="52" t="n">
        <v>420</v>
      </c>
      <c r="I31" s="6" t="n">
        <f aca="false">IF((G31&lt;&gt;0),G31-H31," ")</f>
        <v>420</v>
      </c>
      <c r="J31" s="5"/>
      <c r="M31" s="7" t="n">
        <f aca="false">IF(G31&lt;&gt;0,G31-L31," ")</f>
        <v>420</v>
      </c>
      <c r="N31" s="8" t="n">
        <f aca="false">IF((G31-L31)&lt;&gt;0,N$1-A31," ")</f>
        <v>120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n">
        <f aca="false">IF((F31="p"),I31," ")</f>
        <v>420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46016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120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46016</v>
      </c>
      <c r="B33" s="2" t="s">
        <v>93</v>
      </c>
      <c r="F33" s="5" t="s">
        <v>24</v>
      </c>
      <c r="G33" s="52" t="n">
        <v>49.5</v>
      </c>
      <c r="I33" s="6" t="n">
        <f aca="false">IF((G33&lt;&gt;0),G33-H33," ")</f>
        <v>49.5</v>
      </c>
      <c r="J33" s="5"/>
      <c r="M33" s="7" t="n">
        <f aca="false">IF(G33&lt;&gt;0,G33-L33," ")</f>
        <v>49.5</v>
      </c>
      <c r="N33" s="8" t="n">
        <f aca="false">IF((G33-L33)&lt;&gt;0,N$1-A33," ")</f>
        <v>120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49.5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46019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117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46022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114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46022</v>
      </c>
      <c r="B36" s="2" t="s">
        <v>131</v>
      </c>
      <c r="F36" s="5" t="s">
        <v>124</v>
      </c>
      <c r="G36" s="52" t="n">
        <v>5000</v>
      </c>
      <c r="I36" s="6" t="n">
        <f aca="false">IF((G36&lt;&gt;0),G36-H36," ")</f>
        <v>5000</v>
      </c>
      <c r="J36" s="5"/>
      <c r="M36" s="7" t="n">
        <f aca="false">IF(G36&lt;&gt;0,G36-L36," ")</f>
        <v>5000</v>
      </c>
      <c r="N36" s="8" t="n">
        <f aca="false">IF((G36-L36)&lt;&gt;0,N$1-A36," ")</f>
        <v>114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n">
        <f aca="false">IF((F36="w"),I36," ")</f>
        <v>5000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46022</v>
      </c>
      <c r="B37" s="2" t="s">
        <v>115</v>
      </c>
      <c r="F37" s="5" t="s">
        <v>94</v>
      </c>
      <c r="G37" s="52" t="n">
        <v>167</v>
      </c>
      <c r="I37" s="6" t="n">
        <f aca="false">IF((G37&lt;&gt;0),G37-H37," ")</f>
        <v>167</v>
      </c>
      <c r="J37" s="5"/>
      <c r="M37" s="7" t="n">
        <f aca="false">IF(G37&lt;&gt;0,G37-L37," ")</f>
        <v>167</v>
      </c>
      <c r="N37" s="8" t="n">
        <f aca="false">IF((G37-L37)&lt;&gt;0,N$1-A37," ")</f>
        <v>114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167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4511.25</v>
      </c>
      <c r="H1" s="13" t="n">
        <f aca="false">SUM(H5:H200)</f>
        <v>0</v>
      </c>
      <c r="I1" s="13" t="n">
        <f aca="false">SUM(I2:I200)</f>
        <v>4511.25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4511.25</v>
      </c>
      <c r="N1" s="18" t="n">
        <f aca="true">TODAY()</f>
        <v>46136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144</v>
      </c>
      <c r="V1" s="13" t="n">
        <f aca="false">SUM(V5:V300)</f>
        <v>153</v>
      </c>
      <c r="W1" s="13" t="n">
        <f aca="false">SUM(W2:W300)</f>
        <v>638.25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G2+Dec!A2</f>
        <v>0</v>
      </c>
      <c r="B2" s="43" t="s">
        <v>22</v>
      </c>
      <c r="C2" s="42" t="n">
        <f aca="false">Dec!C2+D1+[1]Jan!$D$1</f>
        <v>0</v>
      </c>
      <c r="D2" s="44" t="s">
        <v>23</v>
      </c>
      <c r="E2" s="20" t="s">
        <v>5</v>
      </c>
      <c r="F2" s="43" t="str">
        <f aca="false">Dec!F2</f>
        <v>v</v>
      </c>
      <c r="G2" s="45" t="n">
        <f aca="false">IF(C2&lt;[2]Admin!$F$22,(C2-Dec!C2)*[2]Admin!$G$21,C2*[2]Admin!$G$21-(C2-[2]Admin!$F$21)*([2]Admin!$G$21-[2]Admin!$G$22)-Dec!A2)</f>
        <v>0</v>
      </c>
      <c r="H2" s="21" t="n">
        <f aca="false">IF([1]Jan!$H$4&gt;0,0,[1]Jan!$H$2)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AB1+Dec!AB2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46023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113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46023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113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46023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113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46023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113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46023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113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46023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113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46025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111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46025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111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46027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109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46027</v>
      </c>
      <c r="B14" s="2" t="s">
        <v>118</v>
      </c>
      <c r="F14" s="5" t="s">
        <v>99</v>
      </c>
      <c r="G14" s="52" t="n">
        <v>480</v>
      </c>
      <c r="I14" s="6" t="n">
        <f aca="false">IF((G14&lt;&gt;0),G14-H14," ")</f>
        <v>480</v>
      </c>
      <c r="J14" s="5"/>
      <c r="M14" s="7" t="n">
        <f aca="false">IF(G14&lt;&gt;0,G14-L14," ")</f>
        <v>480</v>
      </c>
      <c r="N14" s="8" t="n">
        <f aca="false">IF((G14-L14)&lt;&gt;0,N$1-A14," ")</f>
        <v>109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n">
        <f aca="false">IF((F14="a"),I14," ")</f>
        <v>480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46027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109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46030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106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46030</v>
      </c>
      <c r="B17" s="2" t="s">
        <v>96</v>
      </c>
      <c r="F17" s="5" t="s">
        <v>97</v>
      </c>
      <c r="G17" s="52" t="n">
        <v>180</v>
      </c>
      <c r="I17" s="6" t="n">
        <f aca="false">IF((G17&lt;&gt;0),G17-H17," ")</f>
        <v>180</v>
      </c>
      <c r="J17" s="5"/>
      <c r="M17" s="7" t="n">
        <f aca="false">IF(G17&lt;&gt;0,G17-L17," ")</f>
        <v>180</v>
      </c>
      <c r="N17" s="8" t="n">
        <f aca="false">IF((G17-L17)&lt;&gt;0,N$1-A17," ")</f>
        <v>106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46032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104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46032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104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46032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104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46034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102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46036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100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46036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100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46037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99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46037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99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46038</v>
      </c>
      <c r="B26" s="2" t="s">
        <v>103</v>
      </c>
      <c r="F26" s="5" t="s">
        <v>60</v>
      </c>
      <c r="G26" s="52" t="n">
        <v>18</v>
      </c>
      <c r="I26" s="6" t="n">
        <f aca="false">IF((G26&lt;&gt;0),G26-H26," ")</f>
        <v>18</v>
      </c>
      <c r="J26" s="5"/>
      <c r="M26" s="7" t="n">
        <f aca="false">IF(G26&lt;&gt;0,G26-L26," ")</f>
        <v>18</v>
      </c>
      <c r="N26" s="8" t="n">
        <f aca="false">IF((G26-L26)&lt;&gt;0,N$1-A26," ")</f>
        <v>98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18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46040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96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46042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94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46042</v>
      </c>
      <c r="B29" s="2" t="s">
        <v>121</v>
      </c>
      <c r="F29" s="5" t="s">
        <v>105</v>
      </c>
      <c r="G29" s="52" t="n">
        <v>180</v>
      </c>
      <c r="I29" s="6" t="n">
        <f aca="false">IF((G29&lt;&gt;0),G29-H29," ")</f>
        <v>180</v>
      </c>
      <c r="J29" s="5"/>
      <c r="M29" s="7" t="n">
        <f aca="false">IF(G29&lt;&gt;0,G29-L29," ")</f>
        <v>180</v>
      </c>
      <c r="N29" s="8" t="n">
        <f aca="false">IF((G29-L29)&lt;&gt;0,N$1-A29," ")</f>
        <v>94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46042</v>
      </c>
      <c r="B30" s="2" t="s">
        <v>88</v>
      </c>
      <c r="F30" s="5" t="s">
        <v>89</v>
      </c>
      <c r="G30" s="52" t="n">
        <v>144</v>
      </c>
      <c r="I30" s="6" t="n">
        <f aca="false">IF((G30&lt;&gt;0),G30-H30," ")</f>
        <v>144</v>
      </c>
      <c r="J30" s="5"/>
      <c r="M30" s="7" t="n">
        <f aca="false">IF(G30&lt;&gt;0,G30-L30," ")</f>
        <v>144</v>
      </c>
      <c r="N30" s="8" t="n">
        <f aca="false">IF((G30-L30)&lt;&gt;0,N$1-A30," ")</f>
        <v>94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n">
        <f aca="false">IF((F30="m"),I30," ")</f>
        <v>144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46043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93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46044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92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46044</v>
      </c>
      <c r="B33" s="2" t="s">
        <v>107</v>
      </c>
      <c r="F33" s="5" t="s">
        <v>24</v>
      </c>
      <c r="G33" s="52" t="n">
        <v>36</v>
      </c>
      <c r="I33" s="6" t="n">
        <f aca="false">IF((G33&lt;&gt;0),G33-H33," ")</f>
        <v>36</v>
      </c>
      <c r="J33" s="5"/>
      <c r="M33" s="7" t="n">
        <f aca="false">IF(G33&lt;&gt;0,G33-L33," ")</f>
        <v>36</v>
      </c>
      <c r="N33" s="8" t="n">
        <f aca="false">IF((G33-L33)&lt;&gt;0,N$1-A33," ")</f>
        <v>92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36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46047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89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46047</v>
      </c>
      <c r="B35" s="2" t="s">
        <v>93</v>
      </c>
      <c r="F35" s="5" t="s">
        <v>24</v>
      </c>
      <c r="G35" s="52" t="n">
        <v>38.25</v>
      </c>
      <c r="I35" s="6" t="n">
        <f aca="false">IF((G35&lt;&gt;0),G35-H35," ")</f>
        <v>38.25</v>
      </c>
      <c r="J35" s="5"/>
      <c r="M35" s="7" t="n">
        <f aca="false">IF(G35&lt;&gt;0,G35-L35," ")</f>
        <v>38.25</v>
      </c>
      <c r="N35" s="8" t="n">
        <f aca="false">IF((G35-L35)&lt;&gt;0,N$1-A35," ")</f>
        <v>89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38.25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46050</v>
      </c>
      <c r="B36" s="2" t="s">
        <v>19</v>
      </c>
      <c r="F36" s="5" t="s">
        <v>24</v>
      </c>
      <c r="G36" s="52" t="n">
        <v>120</v>
      </c>
      <c r="I36" s="6" t="n">
        <f aca="false">IF((G36&lt;&gt;0),G36-H36," ")</f>
        <v>120</v>
      </c>
      <c r="J36" s="5"/>
      <c r="M36" s="7" t="n">
        <f aca="false">IF(G36&lt;&gt;0,G36-L36," ")</f>
        <v>120</v>
      </c>
      <c r="N36" s="8" t="n">
        <f aca="false">IF((G36-L36)&lt;&gt;0,N$1-A36," ")</f>
        <v>86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120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46053</v>
      </c>
      <c r="B37" s="2" t="s">
        <v>15</v>
      </c>
      <c r="F37" s="5" t="s">
        <v>94</v>
      </c>
      <c r="G37" s="52" t="n">
        <v>300</v>
      </c>
      <c r="I37" s="6" t="n">
        <f aca="false">IF((G37&lt;&gt;0),G37-H37," ")</f>
        <v>300</v>
      </c>
      <c r="J37" s="5"/>
      <c r="M37" s="7" t="n">
        <f aca="false">IF(G37&lt;&gt;0,G37-L37," ")</f>
        <v>300</v>
      </c>
      <c r="N37" s="8" t="n">
        <f aca="false">IF((G37-L37)&lt;&gt;0,N$1-A37," ")</f>
        <v>83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300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1693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4396.5</v>
      </c>
      <c r="H1" s="13" t="n">
        <f aca="false">SUM(H5:H200)</f>
        <v>0</v>
      </c>
      <c r="I1" s="13" t="n">
        <f aca="false">SUM(I2:I200)</f>
        <v>4396.5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4396.5</v>
      </c>
      <c r="N1" s="18" t="n">
        <f aca="true">TODAY()</f>
        <v>46136</v>
      </c>
      <c r="O1" s="15"/>
      <c r="P1" s="13" t="n">
        <f aca="false">SUM(P5:P300)</f>
        <v>660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360</v>
      </c>
      <c r="V1" s="13" t="n">
        <f aca="false">SUM(V5:V300)</f>
        <v>135</v>
      </c>
      <c r="W1" s="13" t="n">
        <f aca="false">SUM(W2:W300)</f>
        <v>595.5</v>
      </c>
      <c r="X1" s="13" t="n">
        <f aca="false">SUM(X5:X300)</f>
        <v>368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G2+Jan!A2</f>
        <v>0</v>
      </c>
      <c r="B2" s="43" t="s">
        <v>22</v>
      </c>
      <c r="C2" s="42" t="n">
        <f aca="false">Jan!C2+D1+[1]Feb!$D$1</f>
        <v>0</v>
      </c>
      <c r="D2" s="44" t="s">
        <v>23</v>
      </c>
      <c r="E2" s="20" t="s">
        <v>5</v>
      </c>
      <c r="F2" s="43" t="str">
        <f aca="false">Jan!F2</f>
        <v>v</v>
      </c>
      <c r="G2" s="45" t="n">
        <f aca="false">IF(C2&lt;[2]Admin!$F$22,(C2-Jan!C2)*[2]Admin!$G$21,C2*[2]Admin!$G$21-(C2-[2]Admin!$F$21)*([2]Admin!$G$21-[2]Admin!$G$22)-Jan!A2)</f>
        <v>0</v>
      </c>
      <c r="H2" s="21" t="n">
        <f aca="false">IF([1]Feb!$H$4&gt;0,0,[1]Feb!$H$2)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AB1+Jan!AB2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46054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82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46054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82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46054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82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46054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82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46054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82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46054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82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46056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80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46056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80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46058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78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46058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78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46058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78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46059</v>
      </c>
      <c r="B16" s="2" t="s">
        <v>95</v>
      </c>
      <c r="F16" s="5" t="s">
        <v>75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77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36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46061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75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46063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73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46065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71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46065</v>
      </c>
      <c r="B20" s="2" t="s">
        <v>119</v>
      </c>
      <c r="F20" s="5" t="s">
        <v>97</v>
      </c>
      <c r="G20" s="52" t="n">
        <v>360</v>
      </c>
      <c r="I20" s="6" t="n">
        <f aca="false">IF((G20&lt;&gt;0),G20-H20," ")</f>
        <v>360</v>
      </c>
      <c r="J20" s="5"/>
      <c r="M20" s="7" t="n">
        <f aca="false">IF(G20&lt;&gt;0,G20-L20," ")</f>
        <v>360</v>
      </c>
      <c r="N20" s="8" t="n">
        <f aca="false">IF((G20-L20)&lt;&gt;0,N$1-A20," ")</f>
        <v>71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46067</v>
      </c>
      <c r="B21" s="2" t="s">
        <v>82</v>
      </c>
      <c r="F21" s="5" t="s">
        <v>70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69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46067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69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46067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69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46068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68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46068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68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46068</v>
      </c>
      <c r="B26" s="2" t="s">
        <v>100</v>
      </c>
      <c r="F26" s="5" t="s">
        <v>80</v>
      </c>
      <c r="G26" s="52" t="n">
        <v>420</v>
      </c>
      <c r="I26" s="6" t="n">
        <f aca="false">IF((G26&lt;&gt;0),G26-H26," ")</f>
        <v>420</v>
      </c>
      <c r="J26" s="5"/>
      <c r="M26" s="7" t="n">
        <f aca="false">IF(G26&lt;&gt;0,G26-L26," ")</f>
        <v>420</v>
      </c>
      <c r="N26" s="8" t="n">
        <f aca="false">IF((G26-L26)&lt;&gt;0,N$1-A26," ")</f>
        <v>68</v>
      </c>
      <c r="O26" s="5"/>
      <c r="P26" s="19" t="n">
        <f aca="false">IF((F26="s"),I26," ")</f>
        <v>420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46071</v>
      </c>
      <c r="B27" s="2" t="s">
        <v>122</v>
      </c>
      <c r="F27" s="5" t="s">
        <v>89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65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n">
        <f aca="false">IF((F27="m"),I27," ")</f>
        <v>360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46071</v>
      </c>
      <c r="B28" s="2" t="s">
        <v>111</v>
      </c>
      <c r="F28" s="5" t="s">
        <v>75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65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n">
        <f aca="false">IF((F28="h"),I28," ")</f>
        <v>240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46071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65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46073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63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46073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63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46074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62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46075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61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46078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58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46078</v>
      </c>
      <c r="B35" s="2" t="s">
        <v>93</v>
      </c>
      <c r="F35" s="5" t="s">
        <v>24</v>
      </c>
      <c r="G35" s="52" t="n">
        <v>31.5</v>
      </c>
      <c r="I35" s="6" t="n">
        <f aca="false">IF((G35&lt;&gt;0),G35-H35," ")</f>
        <v>31.5</v>
      </c>
      <c r="J35" s="5"/>
      <c r="M35" s="7" t="n">
        <f aca="false">IF(G35&lt;&gt;0,G35-L35," ")</f>
        <v>31.5</v>
      </c>
      <c r="N35" s="8" t="n">
        <f aca="false">IF((G35-L35)&lt;&gt;0,N$1-A35," ")</f>
        <v>58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31.5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46081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55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46081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55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1459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3726.5</v>
      </c>
      <c r="H1" s="13" t="n">
        <f aca="false">SUM(H5:H200)</f>
        <v>0</v>
      </c>
      <c r="I1" s="13" t="n">
        <f aca="false">SUM(I2:I200)</f>
        <v>3726.5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3726.5</v>
      </c>
      <c r="N1" s="18" t="n">
        <f aca="true">TODAY()</f>
        <v>46136</v>
      </c>
      <c r="O1" s="15"/>
      <c r="P1" s="13" t="n">
        <f aca="false">SUM(P5:P300)</f>
        <v>300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159</v>
      </c>
      <c r="W1" s="13" t="n">
        <f aca="false">SUM(W2:W300)</f>
        <v>682.5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425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G2+Feb!A2</f>
        <v>0</v>
      </c>
      <c r="B2" s="43" t="s">
        <v>22</v>
      </c>
      <c r="C2" s="42" t="n">
        <f aca="false">Feb!C2+D1+[1]Mar!$D$1</f>
        <v>0</v>
      </c>
      <c r="D2" s="44" t="s">
        <v>23</v>
      </c>
      <c r="E2" s="20" t="s">
        <v>5</v>
      </c>
      <c r="F2" s="43" t="str">
        <f aca="false">Feb!F2</f>
        <v>v</v>
      </c>
      <c r="G2" s="45" t="n">
        <f aca="false">IF(C2&lt;[2]Admin!$F$22,(C2-Feb!C2)*[2]Admin!$G$21,C2*[2]Admin!$G$21-(C2-[2]Admin!$F$21)*([2]Admin!$G$21-[2]Admin!$G$22)-Feb!A2)</f>
        <v>0</v>
      </c>
      <c r="H2" s="21" t="n">
        <f aca="false">IF([1]Mar!$H$4&gt;0,0,[1]Mar!$H$2)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AB1+Feb!AB2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46082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54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46082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54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46082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54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46082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54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46082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54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46082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54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46084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52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46084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52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46086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50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46086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50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46089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47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46091</v>
      </c>
      <c r="B16" s="2" t="s">
        <v>76</v>
      </c>
      <c r="F16" s="5" t="s">
        <v>70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45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46091</v>
      </c>
      <c r="B17" s="2" t="s">
        <v>85</v>
      </c>
      <c r="F17" s="5" t="s">
        <v>105</v>
      </c>
      <c r="G17" s="52" t="n">
        <v>144</v>
      </c>
      <c r="I17" s="6" t="n">
        <f aca="false">IF((G17&lt;&gt;0),G17-H17," ")</f>
        <v>144</v>
      </c>
      <c r="J17" s="5"/>
      <c r="M17" s="7" t="n">
        <f aca="false">IF(G17&lt;&gt;0,G17-L17," ")</f>
        <v>144</v>
      </c>
      <c r="N17" s="8" t="n">
        <f aca="false">IF((G17-L17)&lt;&gt;0,N$1-A17," ")</f>
        <v>45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46093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43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46095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41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46095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41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46096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40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46096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40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46097</v>
      </c>
      <c r="B23" s="2" t="s">
        <v>103</v>
      </c>
      <c r="F23" s="5" t="s">
        <v>60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39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24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46099</v>
      </c>
      <c r="B24" s="2" t="s">
        <v>112</v>
      </c>
      <c r="F24" s="5" t="s">
        <v>80</v>
      </c>
      <c r="G24" s="52" t="n">
        <v>300</v>
      </c>
      <c r="I24" s="6" t="n">
        <f aca="false">IF((G24&lt;&gt;0),G24-H24," ")</f>
        <v>300</v>
      </c>
      <c r="J24" s="5"/>
      <c r="M24" s="7" t="n">
        <f aca="false">IF(G24&lt;&gt;0,G24-L24," ")</f>
        <v>300</v>
      </c>
      <c r="N24" s="8" t="n">
        <f aca="false">IF((G24-L24)&lt;&gt;0,N$1-A24," ")</f>
        <v>37</v>
      </c>
      <c r="O24" s="5"/>
      <c r="P24" s="19" t="n">
        <f aca="false">IF((F24="s"),I24," ")</f>
        <v>300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46099</v>
      </c>
      <c r="B25" s="2" t="s">
        <v>86</v>
      </c>
      <c r="F25" s="5" t="s">
        <v>24</v>
      </c>
      <c r="G25" s="52" t="n">
        <v>96</v>
      </c>
      <c r="I25" s="6" t="n">
        <f aca="false">IF((G25&lt;&gt;0),G25-H25," ")</f>
        <v>96</v>
      </c>
      <c r="J25" s="5"/>
      <c r="M25" s="7" t="n">
        <f aca="false">IF(G25&lt;&gt;0,G25-L25," ")</f>
        <v>96</v>
      </c>
      <c r="N25" s="8" t="n">
        <f aca="false">IF((G25-L25)&lt;&gt;0,N$1-A25," ")</f>
        <v>37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96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46101</v>
      </c>
      <c r="B26" s="2" t="s">
        <v>87</v>
      </c>
      <c r="F26" s="5" t="s">
        <v>60</v>
      </c>
      <c r="G26" s="52" t="n">
        <v>60</v>
      </c>
      <c r="I26" s="6" t="n">
        <f aca="false">IF((G26&lt;&gt;0),G26-H26," ")</f>
        <v>60</v>
      </c>
      <c r="J26" s="5"/>
      <c r="M26" s="7" t="n">
        <f aca="false">IF(G26&lt;&gt;0,G26-L26," ")</f>
        <v>60</v>
      </c>
      <c r="N26" s="8" t="n">
        <f aca="false">IF((G26-L26)&lt;&gt;0,N$1-A26," ")</f>
        <v>35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60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46102</v>
      </c>
      <c r="B27" s="2" t="s">
        <v>90</v>
      </c>
      <c r="F27" s="5" t="s">
        <v>75</v>
      </c>
      <c r="G27" s="52" t="n">
        <v>8</v>
      </c>
      <c r="I27" s="6" t="n">
        <f aca="false">IF((G27&lt;&gt;0),G27-H27," ")</f>
        <v>8</v>
      </c>
      <c r="J27" s="5"/>
      <c r="M27" s="7" t="n">
        <f aca="false">IF(G27&lt;&gt;0,G27-L27," ")</f>
        <v>8</v>
      </c>
      <c r="N27" s="8" t="n">
        <f aca="false">IF((G27-L27)&lt;&gt;0,N$1-A27," ")</f>
        <v>34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n">
        <f aca="false">IF((F27="h"),I27," ")</f>
        <v>8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46103</v>
      </c>
      <c r="B28" s="2" t="s">
        <v>91</v>
      </c>
      <c r="F28" s="5" t="s">
        <v>70</v>
      </c>
      <c r="G28" s="52" t="n">
        <v>18</v>
      </c>
      <c r="I28" s="6" t="n">
        <f aca="false">IF((G28&lt;&gt;0),G28-H28," ")</f>
        <v>18</v>
      </c>
      <c r="J28" s="5"/>
      <c r="M28" s="7" t="n">
        <f aca="false">IF(G28&lt;&gt;0,G28-L28," ")</f>
        <v>18</v>
      </c>
      <c r="N28" s="8" t="n">
        <f aca="false">IF((G28-L28)&lt;&gt;0,N$1-A28," ")</f>
        <v>33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46103</v>
      </c>
      <c r="B29" s="2" t="s">
        <v>107</v>
      </c>
      <c r="F29" s="5" t="s">
        <v>24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33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60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46106</v>
      </c>
      <c r="B30" s="2" t="s">
        <v>113</v>
      </c>
      <c r="F30" s="5" t="s">
        <v>114</v>
      </c>
      <c r="G30" s="52" t="n">
        <v>360</v>
      </c>
      <c r="I30" s="6" t="n">
        <f aca="false">IF((G30&lt;&gt;0),G30-H30," ")</f>
        <v>360</v>
      </c>
      <c r="J30" s="5"/>
      <c r="M30" s="7" t="n">
        <f aca="false">IF(G30&lt;&gt;0,G30-L30," ")</f>
        <v>360</v>
      </c>
      <c r="N30" s="8" t="n">
        <f aca="false">IF((G30-L30)&lt;&gt;0,N$1-A30," ")</f>
        <v>30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n">
        <f aca="false">IF((F30="p"),I30," ")</f>
        <v>360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46106</v>
      </c>
      <c r="B31" s="2" t="s">
        <v>92</v>
      </c>
      <c r="F31" s="5" t="s">
        <v>70</v>
      </c>
      <c r="G31" s="52" t="n">
        <v>15</v>
      </c>
      <c r="I31" s="6" t="n">
        <f aca="false">IF((G31&lt;&gt;0),G31-H31," ")</f>
        <v>15</v>
      </c>
      <c r="J31" s="5"/>
      <c r="M31" s="7" t="n">
        <f aca="false">IF(G31&lt;&gt;0,G31-L31," ")</f>
        <v>15</v>
      </c>
      <c r="N31" s="8" t="n">
        <f aca="false">IF((G31-L31)&lt;&gt;0,N$1-A31," ")</f>
        <v>30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46106</v>
      </c>
      <c r="B32" s="2" t="s">
        <v>93</v>
      </c>
      <c r="F32" s="5" t="s">
        <v>24</v>
      </c>
      <c r="G32" s="52" t="n">
        <v>58.5</v>
      </c>
      <c r="I32" s="6" t="n">
        <f aca="false">IF((G32&lt;&gt;0),G32-H32," ")</f>
        <v>58.5</v>
      </c>
      <c r="J32" s="5"/>
      <c r="M32" s="7" t="n">
        <f aca="false">IF(G32&lt;&gt;0,G32-L32," ")</f>
        <v>58.5</v>
      </c>
      <c r="N32" s="8" t="n">
        <f aca="false">IF((G32-L32)&lt;&gt;0,N$1-A32," ")</f>
        <v>30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n">
        <f aca="false">IF((F32="v"),I32," ")</f>
        <v>58.5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46109</v>
      </c>
      <c r="B33" s="2" t="s">
        <v>19</v>
      </c>
      <c r="F33" s="5" t="s">
        <v>24</v>
      </c>
      <c r="G33" s="52" t="n">
        <v>120</v>
      </c>
      <c r="I33" s="6" t="n">
        <f aca="false">IF((G33&lt;&gt;0),G33-H33," ")</f>
        <v>120</v>
      </c>
      <c r="J33" s="5"/>
      <c r="M33" s="7" t="n">
        <f aca="false">IF(G33&lt;&gt;0,G33-L33," ")</f>
        <v>120</v>
      </c>
      <c r="N33" s="8" t="n">
        <f aca="false">IF((G33-L33)&lt;&gt;0,N$1-A33," ")</f>
        <v>27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120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46112</v>
      </c>
      <c r="B34" s="2" t="s">
        <v>15</v>
      </c>
      <c r="F34" s="5" t="s">
        <v>94</v>
      </c>
      <c r="G34" s="52" t="n">
        <v>300</v>
      </c>
      <c r="I34" s="6" t="n">
        <f aca="false">IF((G34&lt;&gt;0),G34-H34," ")</f>
        <v>300</v>
      </c>
      <c r="J34" s="5"/>
      <c r="M34" s="7" t="n">
        <f aca="false">IF(G34&lt;&gt;0,G34-L34," ")</f>
        <v>300</v>
      </c>
      <c r="N34" s="8" t="n">
        <f aca="false">IF((G34-L34)&lt;&gt;0,N$1-A34," ")</f>
        <v>24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n">
        <f aca="false">IF((F34="l"),I34," ")</f>
        <v>300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46112</v>
      </c>
      <c r="B35" s="2" t="s">
        <v>115</v>
      </c>
      <c r="F35" s="5" t="s">
        <v>94</v>
      </c>
      <c r="G35" s="52" t="n">
        <v>125</v>
      </c>
      <c r="I35" s="6" t="n">
        <f aca="false">IF((G35&lt;&gt;0),G35-H35," ")</f>
        <v>125</v>
      </c>
      <c r="J35" s="5"/>
      <c r="M35" s="7" t="n">
        <f aca="false">IF(G35&lt;&gt;0,G35-L35," ")</f>
        <v>125</v>
      </c>
      <c r="N35" s="8" t="n">
        <f aca="false">IF((G35-L35)&lt;&gt;0,N$1-A35," ")</f>
        <v>24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125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46136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132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133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87</v>
      </c>
      <c r="C7" s="3" t="s">
        <v>134</v>
      </c>
      <c r="D7" s="4" t="n">
        <v>60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135</v>
      </c>
      <c r="D8" s="4" t="n">
        <v>150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