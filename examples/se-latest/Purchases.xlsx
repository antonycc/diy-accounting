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Creditors" sheetId="1" state="visible" r:id="rId3"/>
    <sheet name="Apr" sheetId="2" state="visible" r:id="rId4"/>
    <sheet name="May" sheetId="3" state="visible" r:id="rId5"/>
    <sheet name="Jun" sheetId="4" state="visible" r:id="rId6"/>
    <sheet name="Jul" sheetId="5" state="visible" r:id="rId7"/>
    <sheet name="Aug" sheetId="6" state="visible" r:id="rId8"/>
    <sheet name="Sep" sheetId="7" state="visible" r:id="rId9"/>
    <sheet name="Oct" sheetId="8" state="visible" r:id="rId10"/>
    <sheet name="Nov" sheetId="9" state="visible" r:id="rId11"/>
    <sheet name="Dec" sheetId="10" state="visible" r:id="rId12"/>
    <sheet name="Jan" sheetId="11" state="visible" r:id="rId13"/>
    <sheet name="Feb" sheetId="12" state="visible" r:id="rId14"/>
    <sheet name="Mar" sheetId="13" state="visible" r:id="rId15"/>
    <sheet name="ClosingCreditors" sheetId="14" state="visible" r:id="rId16"/>
  </sheets>
  <externalReferences>
    <externalReference r:id="rId17"/>
    <externalReference r:id="rId18"/>
  </externalReferences>
  <definedNames>
    <definedName function="false" hidden="false" localSheetId="1" name="_xlnm.Print_Area" vbProcedure="false">Apr!$A$1:$AE$75</definedName>
    <definedName function="false" hidden="false" localSheetId="1" name="_xlnm.Print_Titles" vbProcedure="false">Apr!$A:$C,Apr!$1:$4</definedName>
    <definedName function="false" hidden="false" localSheetId="5" name="_xlnm.Print_Area" vbProcedure="false">Aug!$A$1:$AE$75</definedName>
    <definedName function="false" hidden="false" localSheetId="5" name="_xlnm.Print_Titles" vbProcedure="false">Aug!$A:$C,Aug!$1:$4</definedName>
    <definedName function="false" hidden="false" localSheetId="13" name="_xlnm.Print_Area" vbProcedure="false">ClosingCreditors!$A$1:$N$75</definedName>
    <definedName function="false" hidden="false" localSheetId="13" name="_xlnm.Print_Titles" vbProcedure="false">ClosingCreditors!$1:$4</definedName>
    <definedName function="false" hidden="false" localSheetId="9" name="_xlnm.Print_Area" vbProcedure="false">Dec!$A$1:$AE$75</definedName>
    <definedName function="false" hidden="false" localSheetId="9" name="_xlnm.Print_Titles" vbProcedure="false">Dec!$A:$C,Dec!$1:$4</definedName>
    <definedName function="false" hidden="false" localSheetId="11" name="_xlnm.Print_Area" vbProcedure="false">Feb!$A$1:$AE$75</definedName>
    <definedName function="false" hidden="false" localSheetId="11" name="_xlnm.Print_Titles" vbProcedure="false">Feb!$A:$C,Feb!$1:$4</definedName>
    <definedName function="false" hidden="false" localSheetId="10" name="_xlnm.Print_Area" vbProcedure="false">Jan!$A$1:$AE$75</definedName>
    <definedName function="false" hidden="false" localSheetId="10" name="_xlnm.Print_Titles" vbProcedure="false">Jan!$A:$C,Jan!$1:$4</definedName>
    <definedName function="false" hidden="false" localSheetId="4" name="_xlnm.Print_Area" vbProcedure="false">Jul!$A$1:$AE$75</definedName>
    <definedName function="false" hidden="false" localSheetId="4" name="_xlnm.Print_Titles" vbProcedure="false">Jul!$A:$C,Jul!$1:$4</definedName>
    <definedName function="false" hidden="false" localSheetId="3" name="_xlnm.Print_Area" vbProcedure="false">Jun!$A$1:$AE$75</definedName>
    <definedName function="false" hidden="false" localSheetId="3" name="_xlnm.Print_Titles" vbProcedure="false">Jun!$A:$C,Jun!$1:$4</definedName>
    <definedName function="false" hidden="false" localSheetId="12" name="_xlnm.Print_Area" vbProcedure="false">Mar!$A$1:$AE$75</definedName>
    <definedName function="false" hidden="false" localSheetId="12" name="_xlnm.Print_Titles" vbProcedure="false">Mar!$A:$C,Mar!$1:$4</definedName>
    <definedName function="false" hidden="false" localSheetId="2" name="_xlnm.Print_Area" vbProcedure="false">May!$A$1:$AE$75</definedName>
    <definedName function="false" hidden="false" localSheetId="2" name="_xlnm.Print_Titles" vbProcedure="false">May!$A:$C,May!$1:$4</definedName>
    <definedName function="false" hidden="false" localSheetId="8" name="_xlnm.Print_Area" vbProcedure="false">Nov!$A$1:$AE$75</definedName>
    <definedName function="false" hidden="false" localSheetId="8" name="_xlnm.Print_Titles" vbProcedure="false">Nov!$A:$C,Nov!$1:$4</definedName>
    <definedName function="false" hidden="false" localSheetId="7" name="_xlnm.Print_Area" vbProcedure="false">Oct!$A$1:$AE$75</definedName>
    <definedName function="false" hidden="false" localSheetId="7" name="_xlnm.Print_Titles" vbProcedure="false">Oct!$A:$C,Oct!$1:$4</definedName>
    <definedName function="false" hidden="false" localSheetId="0" name="_xlnm.Print_Area" vbProcedure="false">OpeningCreditors!$A$1:$N$75</definedName>
    <definedName function="false" hidden="false" localSheetId="0" name="_xlnm.Print_Titles" vbProcedure="false">OpeningCreditors!$1:$4</definedName>
    <definedName function="false" hidden="false" localSheetId="6" name="_xlnm.Print_Area" vbProcedure="false">Sep!$A$1:$AE$75</definedName>
    <definedName function="false" hidden="false" localSheetId="6" name="_xlnm.Print_Titles" vbProcedure="false">Sep!$A:$C,Sep!$1:$4</definedName>
    <definedName function="false" hidden="false" localSheetId="0" name="_xlnm_Print_Area" vbProcedure="false">OpeningCreditors!$A$1:$N$75</definedName>
    <definedName function="false" hidden="false" localSheetId="0" name="_xlnm_Print_Titles" vbProcedure="false">OpeningCreditors!$1:$4</definedName>
    <definedName function="false" hidden="false" localSheetId="1" name="Excel_BuiltIn_Print_Titles" vbProcedure="false">(Apr!$A:$C,Apr!$1:$4)</definedName>
    <definedName function="false" hidden="false" localSheetId="1" name="_xlnm_Print_Area" vbProcedure="false">Apr!$A$1:$AE$75</definedName>
    <definedName function="false" hidden="false" localSheetId="1" name="_xlnm_Print_Titles" vbProcedure="false">(Apr!$A:$C,Apr!$1:$4)</definedName>
    <definedName function="false" hidden="false" localSheetId="2" name="Excel_BuiltIn_Print_Titles" vbProcedure="false">(May!$A:$C,May!$1:$4)</definedName>
    <definedName function="false" hidden="false" localSheetId="2" name="_xlnm_Print_Area" vbProcedure="false">May!$A$1:$AE$75</definedName>
    <definedName function="false" hidden="false" localSheetId="2" name="_xlnm_Print_Titles" vbProcedure="false">(May!$A:$C,May!$1:$4)</definedName>
    <definedName function="false" hidden="false" localSheetId="3" name="Excel_BuiltIn_Print_Titles" vbProcedure="false">(Jun!$A:$C,Jun!$1:$4)</definedName>
    <definedName function="false" hidden="false" localSheetId="3" name="_xlnm_Print_Area" vbProcedure="false">Jun!$A$1:$AE$75</definedName>
    <definedName function="false" hidden="false" localSheetId="3" name="_xlnm_Print_Titles" vbProcedure="false">(Jun!$A:$C,Jun!$1:$4)</definedName>
    <definedName function="false" hidden="false" localSheetId="4" name="Excel_BuiltIn_Print_Titles" vbProcedure="false">(Jul!$A:$C,Jul!$1:$4)</definedName>
    <definedName function="false" hidden="false" localSheetId="4" name="_xlnm_Print_Area" vbProcedure="false">Jul!$A$1:$AE$75</definedName>
    <definedName function="false" hidden="false" localSheetId="4" name="_xlnm_Print_Titles" vbProcedure="false">(Jul!$A:$C,Jul!$1:$4)</definedName>
    <definedName function="false" hidden="false" localSheetId="5" name="Excel_BuiltIn_Print_Titles" vbProcedure="false">(Aug!$A:$C,Aug!$1:$4)</definedName>
    <definedName function="false" hidden="false" localSheetId="5" name="_xlnm_Print_Area" vbProcedure="false">Aug!$A$1:$AE$75</definedName>
    <definedName function="false" hidden="false" localSheetId="5" name="_xlnm_Print_Titles" vbProcedure="false">(Aug!$A:$C,Aug!$1:$4)</definedName>
    <definedName function="false" hidden="false" localSheetId="6" name="Excel_BuiltIn_Print_Titles" vbProcedure="false">(Sep!$A:$C,Sep!$1:$4)</definedName>
    <definedName function="false" hidden="false" localSheetId="6" name="_xlnm_Print_Area" vbProcedure="false">Sep!$A$1:$AE$75</definedName>
    <definedName function="false" hidden="false" localSheetId="6" name="_xlnm_Print_Titles" vbProcedure="false">(Sep!$A:$C,Sep!$1:$4)</definedName>
    <definedName function="false" hidden="false" localSheetId="7" name="Excel_BuiltIn_Print_Titles" vbProcedure="false">(Oct!$A:$C,Oct!$1:$4)</definedName>
    <definedName function="false" hidden="false" localSheetId="7" name="_xlnm_Print_Area" vbProcedure="false">Oct!$A$1:$AE$75</definedName>
    <definedName function="false" hidden="false" localSheetId="7" name="_xlnm_Print_Titles" vbProcedure="false">(Oct!$A:$C,Oct!$1:$4)</definedName>
    <definedName function="false" hidden="false" localSheetId="8" name="Excel_BuiltIn_Print_Titles" vbProcedure="false">(Nov!$A:$C,Nov!$1:$4)</definedName>
    <definedName function="false" hidden="false" localSheetId="8" name="_xlnm_Print_Area" vbProcedure="false">Nov!$A$1:$AE$75</definedName>
    <definedName function="false" hidden="false" localSheetId="8" name="_xlnm_Print_Titles" vbProcedure="false">(Nov!$A:$C,Nov!$1:$4)</definedName>
    <definedName function="false" hidden="false" localSheetId="9" name="Excel_BuiltIn_Print_Titles" vbProcedure="false">(Dec!$A:$C,Dec!$1:$4)</definedName>
    <definedName function="false" hidden="false" localSheetId="9" name="_xlnm_Print_Area" vbProcedure="false">Dec!$A$1:$AE$75</definedName>
    <definedName function="false" hidden="false" localSheetId="9" name="_xlnm_Print_Titles" vbProcedure="false">(Dec!$A:$C,Dec!$1:$4)</definedName>
    <definedName function="false" hidden="false" localSheetId="10" name="Excel_BuiltIn_Print_Titles" vbProcedure="false">(Jan!$A:$C,Jan!$1:$4)</definedName>
    <definedName function="false" hidden="false" localSheetId="10" name="_xlnm_Print_Area" vbProcedure="false">Jan!$A$1:$AE$75</definedName>
    <definedName function="false" hidden="false" localSheetId="10" name="_xlnm_Print_Titles" vbProcedure="false">(Jan!$A:$C,Jan!$1:$4)</definedName>
    <definedName function="false" hidden="false" localSheetId="11" name="Excel_BuiltIn_Print_Titles" vbProcedure="false">(Feb!$A:$C,Feb!$1:$4)</definedName>
    <definedName function="false" hidden="false" localSheetId="11" name="_xlnm_Print_Area" vbProcedure="false">Feb!$A$1:$AE$75</definedName>
    <definedName function="false" hidden="false" localSheetId="11" name="_xlnm_Print_Titles" vbProcedure="false">(Feb!$A:$C,Feb!$1:$4)</definedName>
    <definedName function="false" hidden="false" localSheetId="12" name="Excel_BuiltIn_Print_Titles" vbProcedure="false">(Mar!$A:$C,Mar!$1:$4)</definedName>
    <definedName function="false" hidden="false" localSheetId="12" name="_xlnm_Print_Area" vbProcedure="false">Mar!$A$1:$AE$75</definedName>
    <definedName function="false" hidden="false" localSheetId="12" name="_xlnm_Print_Titles" vbProcedure="false">(Mar!$A:$C,Mar!$1:$4)</definedName>
    <definedName function="false" hidden="false" localSheetId="13" name="_xlnm_Print_Area" vbProcedure="false">ClosingCreditors!$A$1:$N$75</definedName>
    <definedName function="false" hidden="false" localSheetId="13" name="_xlnm_Print_Titles" vbProcedure="false">ClosingCreditors!$1:$4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<sst xmlns="http://schemas.openxmlformats.org/spreadsheetml/2006/main" count="1417" uniqueCount="136">
  <si>
    <t xml:space="preserve">Purchase Date</t>
  </si>
  <si>
    <t xml:space="preserve">Supplier Name</t>
  </si>
  <si>
    <t xml:space="preserve">Purchase Invoice Number or Reference</t>
  </si>
  <si>
    <t xml:space="preserve">Total for Month</t>
  </si>
  <si>
    <t xml:space="preserve">For your information only. Enter How Paid e.g. Cash, Cheque etc.,</t>
  </si>
  <si>
    <t xml:space="preserve">Purchase Description</t>
  </si>
  <si>
    <t xml:space="preserve">Total Purchase Value incl Vat</t>
  </si>
  <si>
    <t xml:space="preserve">Purchases           Net of Vat</t>
  </si>
  <si>
    <t xml:space="preserve">Payments Made to Creditors</t>
  </si>
  <si>
    <t xml:space="preserve">Vat Input</t>
  </si>
  <si>
    <t xml:space="preserve">Actual Amount Paid</t>
  </si>
  <si>
    <t xml:space="preserve">Purchases not yet paid</t>
  </si>
  <si>
    <t xml:space="preserve">Purchases Days Outstanding</t>
  </si>
  <si>
    <t xml:space="preserve">WorkSpace Ltd</t>
  </si>
  <si>
    <t xml:space="preserve">WS-2403</t>
  </si>
  <si>
    <t xml:space="preserve">Smith &amp; Co</t>
  </si>
  <si>
    <t xml:space="preserve">SC-2403</t>
  </si>
  <si>
    <t xml:space="preserve">TechParts Ltd</t>
  </si>
  <si>
    <t xml:space="preserve">TP-2403</t>
  </si>
  <si>
    <t xml:space="preserve">Shell</t>
  </si>
  <si>
    <t xml:space="preserve">SH-2403</t>
  </si>
  <si>
    <t xml:space="preserve">Check Total</t>
  </si>
  <si>
    <t xml:space="preserve">Mileage expenses</t>
  </si>
  <si>
    <t xml:space="preserve">Mileage</t>
  </si>
  <si>
    <t xml:space="preserve">v</t>
  </si>
  <si>
    <t xml:space="preserve">Purchases Cost of Sales</t>
  </si>
  <si>
    <t xml:space="preserve">Employee Wages excluding Paye</t>
  </si>
  <si>
    <t xml:space="preserve">Premises </t>
  </si>
  <si>
    <t xml:space="preserve">Repairs &amp; Maintenance </t>
  </si>
  <si>
    <t xml:space="preserve">Admistration Telephone Postage &amp; Stationery</t>
  </si>
  <si>
    <t xml:space="preserve">Travel Hotel Subsistence Expenses</t>
  </si>
  <si>
    <t xml:space="preserve">Advertising Promotion Entertainment</t>
  </si>
  <si>
    <t xml:space="preserve">Legal &amp; Professional</t>
  </si>
  <si>
    <t xml:space="preserve">Other Expenses</t>
  </si>
  <si>
    <t xml:space="preserve">Contractors </t>
  </si>
  <si>
    <t xml:space="preserve">  Enter Expense Code Letter</t>
  </si>
  <si>
    <t xml:space="preserve">Direct Materials</t>
  </si>
  <si>
    <t xml:space="preserve">Sub Contractors</t>
  </si>
  <si>
    <t xml:space="preserve">Other Direct Business Costs</t>
  </si>
  <si>
    <t xml:space="preserve">Rent &amp; Rates, Light &amp; Heating</t>
  </si>
  <si>
    <t xml:space="preserve">Motor Vehicle Expenses</t>
  </si>
  <si>
    <t xml:space="preserve">Fixed Asset Purchases</t>
  </si>
  <si>
    <t xml:space="preserve">CIS Certificates</t>
  </si>
  <si>
    <t xml:space="preserve">S</t>
  </si>
  <si>
    <t xml:space="preserve">C</t>
  </si>
  <si>
    <t xml:space="preserve">O</t>
  </si>
  <si>
    <t xml:space="preserve">W</t>
  </si>
  <si>
    <t xml:space="preserve">P</t>
  </si>
  <si>
    <t xml:space="preserve">M</t>
  </si>
  <si>
    <t xml:space="preserve">G</t>
  </si>
  <si>
    <t xml:space="preserve">V</t>
  </si>
  <si>
    <t xml:space="preserve">H</t>
  </si>
  <si>
    <t xml:space="preserve">A</t>
  </si>
  <si>
    <t xml:space="preserve">L</t>
  </si>
  <si>
    <t xml:space="preserve">Y</t>
  </si>
  <si>
    <t xml:space="preserve">FA</t>
  </si>
  <si>
    <t xml:space="preserve">Tax Paid</t>
  </si>
  <si>
    <t xml:space="preserve">Certificate No</t>
  </si>
  <si>
    <t xml:space="preserve">r</t>
  </si>
  <si>
    <t xml:space="preserve">Microsoft</t>
  </si>
  <si>
    <t xml:space="preserve">g</t>
  </si>
  <si>
    <t xml:space="preserve">Slack</t>
  </si>
  <si>
    <t xml:space="preserve">GitHub</t>
  </si>
  <si>
    <t xml:space="preserve">o</t>
  </si>
  <si>
    <t xml:space="preserve">Hiscox</t>
  </si>
  <si>
    <t xml:space="preserve">n</t>
  </si>
  <si>
    <t xml:space="preserve">Cloudflare</t>
  </si>
  <si>
    <t xml:space="preserve">Zoom</t>
  </si>
  <si>
    <t xml:space="preserve">AWS</t>
  </si>
  <si>
    <t xml:space="preserve">Argos</t>
  </si>
  <si>
    <t xml:space="preserve">u</t>
  </si>
  <si>
    <t xml:space="preserve">Ryman</t>
  </si>
  <si>
    <t xml:space="preserve">BP</t>
  </si>
  <si>
    <t xml:space="preserve">DigitalOcean</t>
  </si>
  <si>
    <t xml:space="preserve">National Rail</t>
  </si>
  <si>
    <t xml:space="preserve">h</t>
  </si>
  <si>
    <t xml:space="preserve">Amazon</t>
  </si>
  <si>
    <t xml:space="preserve">Xerox</t>
  </si>
  <si>
    <t xml:space="preserve">f</t>
  </si>
  <si>
    <t xml:space="preserve">TechParts</t>
  </si>
  <si>
    <t xml:space="preserve">s</t>
  </si>
  <si>
    <t xml:space="preserve">NCP</t>
  </si>
  <si>
    <t xml:space="preserve">Toolstation</t>
  </si>
  <si>
    <t xml:space="preserve">Uber</t>
  </si>
  <si>
    <t xml:space="preserve">Costa Coffee</t>
  </si>
  <si>
    <t xml:space="preserve">Royal Mail</t>
  </si>
  <si>
    <t xml:space="preserve">Jet</t>
  </si>
  <si>
    <t xml:space="preserve">BT Business</t>
  </si>
  <si>
    <t xml:space="preserve">Office Maintenance Ltd</t>
  </si>
  <si>
    <t xml:space="preserve">m</t>
  </si>
  <si>
    <t xml:space="preserve">Greggs</t>
  </si>
  <si>
    <t xml:space="preserve">Screwfix</t>
  </si>
  <si>
    <t xml:space="preserve">Wilko</t>
  </si>
  <si>
    <t xml:space="preserve">Mileage claim</t>
  </si>
  <si>
    <t xml:space="preserve">l</t>
  </si>
  <si>
    <t xml:space="preserve">Trainline</t>
  </si>
  <si>
    <t xml:space="preserve">Hilti</t>
  </si>
  <si>
    <t xml:space="preserve">q</t>
  </si>
  <si>
    <t xml:space="preserve">Google Ads</t>
  </si>
  <si>
    <t xml:space="preserve">a</t>
  </si>
  <si>
    <t xml:space="preserve">ComponentsDirect</t>
  </si>
  <si>
    <t xml:space="preserve">Dell</t>
  </si>
  <si>
    <t xml:space="preserve">fa</t>
  </si>
  <si>
    <t xml:space="preserve">WHSmith</t>
  </si>
  <si>
    <t xml:space="preserve">ParcelForce</t>
  </si>
  <si>
    <t xml:space="preserve">t</t>
  </si>
  <si>
    <t xml:space="preserve">CableCo</t>
  </si>
  <si>
    <t xml:space="preserve">Halfords</t>
  </si>
  <si>
    <t xml:space="preserve">Vistaprint</t>
  </si>
  <si>
    <t xml:space="preserve">BuildTech Solutions</t>
  </si>
  <si>
    <t xml:space="preserve">c</t>
  </si>
  <si>
    <t xml:space="preserve">Premier Inn</t>
  </si>
  <si>
    <t xml:space="preserve">ElectroParts</t>
  </si>
  <si>
    <t xml:space="preserve">EnergySupply</t>
  </si>
  <si>
    <t xml:space="preserve">p</t>
  </si>
  <si>
    <t xml:space="preserve">Directors loan</t>
  </si>
  <si>
    <t xml:space="preserve">J. Smith Consulting</t>
  </si>
  <si>
    <t xml:space="preserve">z</t>
  </si>
  <si>
    <t xml:space="preserve">LinkedIn</t>
  </si>
  <si>
    <t xml:space="preserve">ToolHire</t>
  </si>
  <si>
    <t xml:space="preserve">IKEA</t>
  </si>
  <si>
    <t xml:space="preserve">DHL</t>
  </si>
  <si>
    <t xml:space="preserve">PC Repair Shop</t>
  </si>
  <si>
    <t xml:space="preserve">Casual worker</t>
  </si>
  <si>
    <t xml:space="preserve">w</t>
  </si>
  <si>
    <t xml:space="preserve">Jones Solicitors</t>
  </si>
  <si>
    <t xml:space="preserve">Simply Business</t>
  </si>
  <si>
    <t xml:space="preserve">TechExpo</t>
  </si>
  <si>
    <t xml:space="preserve">Ford</t>
  </si>
  <si>
    <t xml:space="preserve">Code Club UK</t>
  </si>
  <si>
    <t xml:space="preserve">y</t>
  </si>
  <si>
    <t xml:space="preserve">Director</t>
  </si>
  <si>
    <t xml:space="preserve">WS-2603</t>
  </si>
  <si>
    <t xml:space="preserve">SC-2603</t>
  </si>
  <si>
    <t xml:space="preserve">BT-2603</t>
  </si>
  <si>
    <t xml:space="preserve">SH-2603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</si>
</sst>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\-mmm\-yy"/>
    <numFmt numFmtId="166" formatCode="0"/>
    <numFmt numFmtId="167" formatCode="#,##0"/>
    <numFmt numFmtId="168" formatCode="#,##0.00_ ;[RED]\-#,##0.00\ "/>
    <numFmt numFmtId="169" formatCode="0_ ;[RED]\-0\ "/>
    <numFmt numFmtId="170" formatCode="#,##0.0_ ;[RED]\-#,##0.0\ "/>
    <numFmt numFmtId="171" formatCode="0.00"/>
    <numFmt numFmtId="172" formatCode="#,##0.00"/>
    <numFmt numFmtId="173" formatCode="General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FF0000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9"/>
      <color rgb="FFFF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9"/>
      <name val="Arial"/>
      <family val="2"/>
      <charset val="1"/>
    </font>
    <font>
      <b val="true"/>
      <sz val="9"/>
      <color rgb="FF00000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FF"/>
        <bgColor rgb="FFC0F0F0"/>
      </patternFill>
    </fill>
    <fill>
      <patternFill patternType="solid">
        <fgColor rgb="FFC0F0F0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externalLink" Target="externalLinks/externalLink2.xml"/><Relationship Id="rId1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D1">
            <v>0</v>
          </cell>
        </row>
        <row r="2">
          <cell r="H2">
            <v>20</v>
          </cell>
        </row>
      </sheetData>
      <sheetData sheetId="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3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4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5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6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7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8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9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0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1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1">
          <cell r="F21">
            <v>10000</v>
          </cell>
          <cell r="G21">
            <v>0.45</v>
          </cell>
        </row>
        <row r="22">
          <cell r="F22">
            <v>10001</v>
          </cell>
          <cell r="G22">
            <v>0.25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9.66"/>
    <col collapsed="false" customWidth="true" hidden="false" outlineLevel="0" max="3" min="3" style="3" width="11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false" hidden="false" outlineLevel="0" max="257" min="15" style="2" width="9.15"/>
  </cols>
  <sheetData>
    <row r="1" s="19" customFormat="true" ht="12.75" hidden="false" customHeight="true" outlineLevel="0" collapsed="false">
      <c r="A1" s="9" t="s">
        <v>0</v>
      </c>
      <c r="B1" s="10" t="s">
        <v>1</v>
      </c>
      <c r="C1" s="11" t="s">
        <v>2</v>
      </c>
      <c r="D1" s="12"/>
      <c r="E1" s="13" t="s">
        <v>3</v>
      </c>
      <c r="F1" s="14"/>
      <c r="G1" s="13" t="n">
        <f aca="false">SUM(G5:G300)</f>
        <v>0</v>
      </c>
      <c r="H1" s="13" t="n">
        <f aca="false">SUM(H5:H300)</f>
        <v>0</v>
      </c>
      <c r="I1" s="13" t="n">
        <f aca="false">SUM(I5:I300)</f>
        <v>0</v>
      </c>
      <c r="J1" s="15"/>
      <c r="K1" s="16" t="s">
        <v>4</v>
      </c>
      <c r="L1" s="17" t="n">
        <f aca="false">SUM(L5:L300)</f>
        <v>0</v>
      </c>
      <c r="M1" s="17" t="n">
        <f aca="false">SUM(M5:M300)</f>
        <v>0</v>
      </c>
      <c r="N1" s="18" t="n">
        <f aca="true">TODAY()</f>
        <v>46130</v>
      </c>
    </row>
    <row r="2" s="19" customFormat="true" ht="13.5" hidden="false" customHeight="true" outlineLevel="0" collapsed="false">
      <c r="A2" s="9"/>
      <c r="B2" s="10"/>
      <c r="C2" s="10"/>
      <c r="D2" s="12"/>
      <c r="E2" s="20" t="s">
        <v>5</v>
      </c>
      <c r="F2" s="20"/>
      <c r="G2" s="10" t="s">
        <v>6</v>
      </c>
      <c r="H2" s="21" t="n">
        <f aca="false">Apr!H2</f>
        <v>20</v>
      </c>
      <c r="I2" s="10" t="s">
        <v>7</v>
      </c>
      <c r="J2" s="15"/>
      <c r="K2" s="16"/>
      <c r="L2" s="22" t="s">
        <v>8</v>
      </c>
      <c r="M2" s="22"/>
      <c r="N2" s="22"/>
    </row>
    <row r="3" s="25" customFormat="true" ht="34.5" hidden="false" customHeight="true" outlineLevel="0" collapsed="false">
      <c r="A3" s="9"/>
      <c r="B3" s="10"/>
      <c r="C3" s="10"/>
      <c r="D3" s="12"/>
      <c r="E3" s="20"/>
      <c r="F3" s="20"/>
      <c r="G3" s="10"/>
      <c r="H3" s="10" t="s">
        <v>9</v>
      </c>
      <c r="I3" s="10"/>
      <c r="J3" s="15"/>
      <c r="K3" s="16"/>
      <c r="L3" s="23" t="s">
        <v>10</v>
      </c>
      <c r="M3" s="23" t="s">
        <v>11</v>
      </c>
      <c r="N3" s="24" t="s">
        <v>12</v>
      </c>
    </row>
    <row r="4" s="26" customFormat="true" ht="12.75" hidden="false" customHeight="true" outlineLevel="0" collapsed="false">
      <c r="A4" s="9"/>
      <c r="B4" s="10"/>
      <c r="C4" s="10"/>
      <c r="D4" s="12"/>
      <c r="E4" s="20"/>
      <c r="F4" s="20"/>
      <c r="G4" s="10"/>
      <c r="H4" s="10"/>
      <c r="I4" s="10"/>
      <c r="J4" s="15"/>
      <c r="K4" s="16"/>
      <c r="L4" s="23"/>
      <c r="M4" s="23"/>
      <c r="N4" s="24"/>
    </row>
    <row r="5" s="5" customFormat="true" ht="12" hidden="false" customHeight="false" outlineLevel="0" collapsed="false">
      <c r="A5" s="27"/>
      <c r="B5" s="5" t="s">
        <v>13</v>
      </c>
      <c r="C5" s="28" t="s">
        <v>14</v>
      </c>
      <c r="D5" s="5" t="n">
        <v>1200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</row>
    <row r="6" customFormat="false" ht="12" hidden="false" customHeight="false" outlineLevel="0" collapsed="false">
      <c r="A6" s="27"/>
      <c r="B6" s="2" t="s">
        <v>15</v>
      </c>
      <c r="C6" s="3" t="s">
        <v>16</v>
      </c>
      <c r="D6" s="4" t="n">
        <v>300</v>
      </c>
      <c r="F6" s="2"/>
      <c r="H6" s="6" t="str">
        <f aca="false">IF(G6&lt;&gt;0,G6*H$2/(100+H$2)," ")</f>
        <v> </v>
      </c>
      <c r="I6" s="6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</row>
    <row r="7" customFormat="false" ht="12" hidden="false" customHeight="false" outlineLevel="0" collapsed="false">
      <c r="A7" s="27"/>
      <c r="B7" s="2" t="s">
        <v>17</v>
      </c>
      <c r="C7" s="3" t="s">
        <v>18</v>
      </c>
      <c r="D7" s="4" t="n">
        <v>600</v>
      </c>
      <c r="F7" s="2"/>
      <c r="H7" s="6" t="str">
        <f aca="false">IF(G7&lt;&gt;0,G7*H$2/(100+H$2)," ")</f>
        <v> </v>
      </c>
      <c r="I7" s="6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</row>
    <row r="8" customFormat="false" ht="12" hidden="false" customHeight="false" outlineLevel="0" collapsed="false">
      <c r="A8" s="27"/>
      <c r="B8" s="2" t="s">
        <v>19</v>
      </c>
      <c r="C8" s="3" t="s">
        <v>20</v>
      </c>
      <c r="D8" s="4" t="n">
        <v>120</v>
      </c>
      <c r="F8" s="2"/>
      <c r="H8" s="6" t="str">
        <f aca="false">IF(G8&lt;&gt;0,G8*H$2/(100+H$2)," ")</f>
        <v> </v>
      </c>
      <c r="I8" s="6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</row>
    <row r="9" customFormat="false" ht="12" hidden="false" customHeight="false" outlineLevel="0" collapsed="false">
      <c r="A9" s="27"/>
      <c r="F9" s="2"/>
      <c r="H9" s="6" t="str">
        <f aca="false">IF(G9&lt;&gt;0,G9*H$2/(100+H$2)," ")</f>
        <v> </v>
      </c>
      <c r="I9" s="6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</row>
    <row r="10" customFormat="false" ht="12" hidden="false" customHeight="false" outlineLevel="0" collapsed="false">
      <c r="A10" s="27"/>
      <c r="F10" s="2"/>
      <c r="H10" s="6" t="str">
        <f aca="false">IF(G10&lt;&gt;0,G10*H$2/(100+H$2)," ")</f>
        <v> </v>
      </c>
      <c r="I10" s="6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</row>
    <row r="11" customFormat="false" ht="12" hidden="false" customHeight="false" outlineLevel="0" collapsed="false">
      <c r="A11" s="27"/>
      <c r="F11" s="2"/>
      <c r="H11" s="6" t="str">
        <f aca="false">IF(G11&lt;&gt;0,G11*H$2/(100+H$2)," ")</f>
        <v> </v>
      </c>
      <c r="I11" s="6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</row>
    <row r="12" customFormat="false" ht="12" hidden="false" customHeight="false" outlineLevel="0" collapsed="false">
      <c r="A12" s="27"/>
      <c r="F12" s="2"/>
      <c r="H12" s="6" t="str">
        <f aca="false">IF(G12&lt;&gt;0,G12*H$2/(100+H$2)," ")</f>
        <v> </v>
      </c>
      <c r="I12" s="6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</row>
    <row r="13" customFormat="false" ht="12" hidden="false" customHeight="false" outlineLevel="0" collapsed="false">
      <c r="A13" s="27"/>
      <c r="F13" s="2"/>
      <c r="H13" s="6" t="str">
        <f aca="false">IF(G13&lt;&gt;0,G13*H$2/(100+H$2)," ")</f>
        <v> </v>
      </c>
      <c r="I13" s="6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</row>
    <row r="14" customFormat="false" ht="12" hidden="false" customHeight="false" outlineLevel="0" collapsed="false">
      <c r="A14" s="27"/>
      <c r="F14" s="2"/>
      <c r="H14" s="6" t="str">
        <f aca="false">IF(G14&lt;&gt;0,G14*H$2/(100+H$2)," ")</f>
        <v> </v>
      </c>
      <c r="I14" s="6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</row>
    <row r="15" customFormat="false" ht="12" hidden="false" customHeight="false" outlineLevel="0" collapsed="false">
      <c r="A15" s="27"/>
      <c r="F15" s="2"/>
      <c r="H15" s="6" t="str">
        <f aca="false">IF(G15&lt;&gt;0,G15*H$2/(100+H$2)," ")</f>
        <v> </v>
      </c>
      <c r="I15" s="6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</row>
    <row r="16" customFormat="false" ht="12" hidden="false" customHeight="false" outlineLevel="0" collapsed="false">
      <c r="A16" s="27"/>
      <c r="F16" s="2"/>
      <c r="H16" s="6" t="str">
        <f aca="false">IF(G16&lt;&gt;0,G16*H$2/(100+H$2)," ")</f>
        <v> </v>
      </c>
      <c r="I16" s="6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</row>
    <row r="17" customFormat="false" ht="12" hidden="false" customHeight="false" outlineLevel="0" collapsed="false">
      <c r="A17" s="27"/>
      <c r="F17" s="2"/>
      <c r="H17" s="6" t="str">
        <f aca="false">IF(G17&lt;&gt;0,G17*H$2/(100+H$2)," ")</f>
        <v> </v>
      </c>
      <c r="I17" s="6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</row>
    <row r="18" customFormat="false" ht="12" hidden="false" customHeight="false" outlineLevel="0" collapsed="false">
      <c r="A18" s="27"/>
      <c r="F18" s="2"/>
      <c r="H18" s="6" t="str">
        <f aca="false">IF(G18&lt;&gt;0,G18*H$2/(100+H$2)," ")</f>
        <v> </v>
      </c>
      <c r="I18" s="6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</row>
    <row r="19" customFormat="false" ht="12" hidden="false" customHeight="false" outlineLevel="0" collapsed="false">
      <c r="A19" s="27"/>
      <c r="F19" s="2"/>
      <c r="H19" s="6" t="str">
        <f aca="false">IF(G19&lt;&gt;0,G19*H$2/(100+H$2)," ")</f>
        <v> </v>
      </c>
      <c r="I19" s="6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</row>
    <row r="20" customFormat="false" ht="12" hidden="false" customHeight="false" outlineLevel="0" collapsed="false">
      <c r="A20" s="27"/>
      <c r="F20" s="2"/>
      <c r="H20" s="6" t="str">
        <f aca="false">IF(G20&lt;&gt;0,G20*H$2/(100+H$2)," ")</f>
        <v> </v>
      </c>
      <c r="I20" s="6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</row>
    <row r="21" customFormat="false" ht="12" hidden="false" customHeight="false" outlineLevel="0" collapsed="false">
      <c r="A21" s="27"/>
      <c r="F21" s="2"/>
      <c r="H21" s="6" t="str">
        <f aca="false">IF(G21&lt;&gt;0,G21*H$2/(100+H$2)," ")</f>
        <v> </v>
      </c>
      <c r="I21" s="6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</row>
    <row r="22" customFormat="false" ht="12" hidden="false" customHeight="false" outlineLevel="0" collapsed="false">
      <c r="A22" s="27"/>
      <c r="F22" s="2"/>
      <c r="H22" s="6" t="str">
        <f aca="false">IF(G22&lt;&gt;0,G22*H$2/(100+H$2)," ")</f>
        <v> </v>
      </c>
      <c r="I22" s="6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</row>
    <row r="23" customFormat="false" ht="12" hidden="false" customHeight="false" outlineLevel="0" collapsed="false">
      <c r="A23" s="27"/>
      <c r="E23" s="29"/>
      <c r="F23" s="2"/>
      <c r="H23" s="6" t="str">
        <f aca="false">IF(G23&lt;&gt;0,G23*H$2/(100+H$2)," ")</f>
        <v> </v>
      </c>
      <c r="I23" s="6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</row>
    <row r="24" customFormat="false" ht="12" hidden="false" customHeight="false" outlineLevel="0" collapsed="false">
      <c r="A24" s="27"/>
      <c r="F24" s="2"/>
      <c r="H24" s="6" t="str">
        <f aca="false">IF(G24&lt;&gt;0,G24*H$2/(100+H$2)," ")</f>
        <v> </v>
      </c>
      <c r="I24" s="6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</row>
    <row r="25" customFormat="false" ht="12" hidden="false" customHeight="false" outlineLevel="0" collapsed="false">
      <c r="A25" s="27"/>
      <c r="F25" s="2"/>
      <c r="H25" s="6" t="str">
        <f aca="false">IF(G25&lt;&gt;0,G25*H$2/(100+H$2)," ")</f>
        <v> </v>
      </c>
      <c r="I25" s="6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</row>
    <row r="26" customFormat="false" ht="12" hidden="false" customHeight="false" outlineLevel="0" collapsed="false">
      <c r="A26" s="27"/>
      <c r="F26" s="2"/>
      <c r="H26" s="6" t="str">
        <f aca="false">IF(G26&lt;&gt;0,G26*H$2/(100+H$2)," ")</f>
        <v> </v>
      </c>
      <c r="I26" s="6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</row>
    <row r="27" customFormat="false" ht="12" hidden="false" customHeight="false" outlineLevel="0" collapsed="false">
      <c r="A27" s="27"/>
      <c r="F27" s="2"/>
      <c r="H27" s="6" t="str">
        <f aca="false">IF(G27&lt;&gt;0,G27*H$2/(100+H$2)," ")</f>
        <v> </v>
      </c>
      <c r="I27" s="6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</row>
    <row r="28" customFormat="false" ht="12" hidden="false" customHeight="false" outlineLevel="0" collapsed="false">
      <c r="A28" s="27"/>
      <c r="F28" s="2"/>
      <c r="H28" s="6" t="str">
        <f aca="false">IF(G28&lt;&gt;0,G28*H$2/(100+H$2)," ")</f>
        <v> </v>
      </c>
      <c r="I28" s="6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</row>
    <row r="29" customFormat="false" ht="12" hidden="false" customHeight="false" outlineLevel="0" collapsed="false">
      <c r="A29" s="27"/>
      <c r="F29" s="2"/>
      <c r="H29" s="6" t="str">
        <f aca="false">IF(G29&lt;&gt;0,G29*H$2/(100+H$2)," ")</f>
        <v> </v>
      </c>
      <c r="I29" s="6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</row>
    <row r="30" customFormat="false" ht="12" hidden="false" customHeight="false" outlineLevel="0" collapsed="false">
      <c r="A30" s="27"/>
      <c r="F30" s="2"/>
      <c r="H30" s="6" t="str">
        <f aca="false">IF(G30&lt;&gt;0,G30*H$2/(100+H$2)," ")</f>
        <v> </v>
      </c>
      <c r="I30" s="6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</row>
    <row r="31" customFormat="false" ht="12" hidden="false" customHeight="false" outlineLevel="0" collapsed="false">
      <c r="A31" s="27"/>
      <c r="F31" s="2"/>
      <c r="H31" s="6" t="str">
        <f aca="false">IF(G31&lt;&gt;0,G31*H$2/(100+H$2)," ")</f>
        <v> </v>
      </c>
      <c r="I31" s="6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</row>
    <row r="32" customFormat="false" ht="12" hidden="false" customHeight="false" outlineLevel="0" collapsed="false">
      <c r="A32" s="27"/>
      <c r="F32" s="2"/>
      <c r="H32" s="6" t="str">
        <f aca="false">IF(G32&lt;&gt;0,G32*H$2/(100+H$2)," ")</f>
        <v> </v>
      </c>
      <c r="I32" s="6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</row>
    <row r="33" customFormat="false" ht="12" hidden="false" customHeight="false" outlineLevel="0" collapsed="false">
      <c r="A33" s="27"/>
      <c r="F33" s="2"/>
      <c r="H33" s="6" t="str">
        <f aca="false">IF(G33&lt;&gt;0,G33*H$2/(100+H$2)," ")</f>
        <v> </v>
      </c>
      <c r="I33" s="6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</row>
    <row r="34" customFormat="false" ht="12" hidden="false" customHeight="false" outlineLevel="0" collapsed="false">
      <c r="A34" s="27"/>
      <c r="F34" s="2"/>
      <c r="H34" s="6" t="str">
        <f aca="false">IF(G34&lt;&gt;0,G34*H$2/(100+H$2)," ")</f>
        <v> </v>
      </c>
      <c r="I34" s="6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</row>
    <row r="35" customFormat="false" ht="12" hidden="false" customHeight="false" outlineLevel="0" collapsed="false">
      <c r="A35" s="27"/>
      <c r="F35" s="2"/>
      <c r="H35" s="6" t="str">
        <f aca="false">IF(G35&lt;&gt;0,G35*H$2/(100+H$2)," ")</f>
        <v> </v>
      </c>
      <c r="I35" s="6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</row>
    <row r="36" customFormat="false" ht="12" hidden="false" customHeight="false" outlineLevel="0" collapsed="false">
      <c r="A36" s="27"/>
      <c r="F36" s="2"/>
      <c r="H36" s="6" t="str">
        <f aca="false">IF(G36&lt;&gt;0,G36*H$2/(100+H$2)," ")</f>
        <v> </v>
      </c>
      <c r="I36" s="6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</row>
    <row r="37" customFormat="false" ht="12" hidden="false" customHeight="false" outlineLevel="0" collapsed="false">
      <c r="A37" s="27"/>
      <c r="F37" s="2"/>
      <c r="H37" s="6" t="str">
        <f aca="false">IF(G37&lt;&gt;0,G37*H$2/(100+H$2)," ")</f>
        <v> </v>
      </c>
      <c r="I37" s="6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</row>
    <row r="38" customFormat="false" ht="12" hidden="false" customHeight="false" outlineLevel="0" collapsed="false">
      <c r="A38" s="27"/>
      <c r="F38" s="2"/>
      <c r="H38" s="6" t="str">
        <f aca="false">IF(G38&lt;&gt;0,G38*H$2/(100+H$2)," ")</f>
        <v> </v>
      </c>
      <c r="I38" s="6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</row>
    <row r="39" customFormat="false" ht="12" hidden="false" customHeight="false" outlineLevel="0" collapsed="false">
      <c r="A39" s="27"/>
      <c r="F39" s="2"/>
      <c r="H39" s="6" t="str">
        <f aca="false">IF(G39&lt;&gt;0,G39*H$2/(100+H$2)," ")</f>
        <v> </v>
      </c>
      <c r="I39" s="6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</row>
    <row r="40" customFormat="false" ht="12" hidden="false" customHeight="false" outlineLevel="0" collapsed="false">
      <c r="A40" s="27"/>
      <c r="F40" s="2"/>
      <c r="H40" s="6" t="str">
        <f aca="false">IF(G40&lt;&gt;0,G40*H$2/(100+H$2)," ")</f>
        <v> </v>
      </c>
      <c r="I40" s="6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</row>
    <row r="41" customFormat="false" ht="12" hidden="false" customHeight="false" outlineLevel="0" collapsed="false">
      <c r="A41" s="27"/>
      <c r="F41" s="2"/>
      <c r="H41" s="6" t="str">
        <f aca="false">IF(G41&lt;&gt;0,G41*H$2/(100+H$2)," ")</f>
        <v> </v>
      </c>
      <c r="I41" s="6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</row>
    <row r="42" customFormat="false" ht="12" hidden="false" customHeight="false" outlineLevel="0" collapsed="false">
      <c r="A42" s="27"/>
      <c r="F42" s="2"/>
      <c r="H42" s="6" t="str">
        <f aca="false">IF(G42&lt;&gt;0,G42*H$2/(100+H$2)," ")</f>
        <v> </v>
      </c>
      <c r="I42" s="6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</row>
    <row r="43" customFormat="false" ht="12" hidden="false" customHeight="false" outlineLevel="0" collapsed="false">
      <c r="A43" s="27"/>
      <c r="F43" s="2"/>
      <c r="H43" s="6" t="str">
        <f aca="false">IF(G43&lt;&gt;0,G43*H$2/(100+H$2)," ")</f>
        <v> </v>
      </c>
      <c r="I43" s="6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</row>
    <row r="44" customFormat="false" ht="12" hidden="false" customHeight="false" outlineLevel="0" collapsed="false">
      <c r="A44" s="27"/>
      <c r="F44" s="2"/>
      <c r="H44" s="6" t="str">
        <f aca="false">IF(G44&lt;&gt;0,G44*H$2/(100+H$2)," ")</f>
        <v> </v>
      </c>
      <c r="I44" s="6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</row>
    <row r="45" customFormat="false" ht="12" hidden="false" customHeight="false" outlineLevel="0" collapsed="false">
      <c r="A45" s="27"/>
      <c r="F45" s="2"/>
      <c r="H45" s="6" t="str">
        <f aca="false">IF(G45&lt;&gt;0,G45*H$2/(100+H$2)," ")</f>
        <v> </v>
      </c>
      <c r="I45" s="6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</row>
    <row r="46" customFormat="false" ht="12" hidden="false" customHeight="false" outlineLevel="0" collapsed="false">
      <c r="A46" s="27"/>
      <c r="F46" s="2"/>
      <c r="H46" s="6" t="str">
        <f aca="false">IF(G46&lt;&gt;0,G46*H$2/(100+H$2)," ")</f>
        <v> </v>
      </c>
      <c r="I46" s="6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</row>
    <row r="47" customFormat="false" ht="12" hidden="false" customHeight="false" outlineLevel="0" collapsed="false">
      <c r="A47" s="27"/>
      <c r="F47" s="2"/>
      <c r="H47" s="6" t="str">
        <f aca="false">IF(G47&lt;&gt;0,G47*H$2/(100+H$2)," ")</f>
        <v> </v>
      </c>
      <c r="I47" s="6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</row>
    <row r="48" customFormat="false" ht="12" hidden="false" customHeight="false" outlineLevel="0" collapsed="false">
      <c r="A48" s="27"/>
      <c r="F48" s="2"/>
      <c r="H48" s="6" t="str">
        <f aca="false">IF(G48&lt;&gt;0,G48*H$2/(100+H$2)," ")</f>
        <v> </v>
      </c>
      <c r="I48" s="6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</row>
    <row r="49" customFormat="false" ht="12" hidden="false" customHeight="false" outlineLevel="0" collapsed="false">
      <c r="A49" s="27"/>
      <c r="F49" s="2"/>
      <c r="H49" s="6" t="str">
        <f aca="false">IF(G49&lt;&gt;0,G49*H$2/(100+H$2)," ")</f>
        <v> </v>
      </c>
      <c r="I49" s="6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</row>
    <row r="50" customFormat="false" ht="12" hidden="false" customHeight="false" outlineLevel="0" collapsed="false">
      <c r="A50" s="27"/>
      <c r="F50" s="2"/>
      <c r="H50" s="6" t="str">
        <f aca="false">IF(G50&lt;&gt;0,G50*H$2/(100+H$2)," ")</f>
        <v> </v>
      </c>
      <c r="I50" s="6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</row>
    <row r="51" customFormat="false" ht="12" hidden="false" customHeight="false" outlineLevel="0" collapsed="false">
      <c r="A51" s="27"/>
      <c r="F51" s="2"/>
      <c r="H51" s="6" t="str">
        <f aca="false">IF(G51&lt;&gt;0,G51*H$2/(100+H$2)," ")</f>
        <v> </v>
      </c>
      <c r="I51" s="6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</row>
    <row r="52" customFormat="false" ht="12" hidden="false" customHeight="false" outlineLevel="0" collapsed="false">
      <c r="A52" s="27"/>
      <c r="F52" s="2"/>
      <c r="H52" s="6" t="str">
        <f aca="false">IF(G52&lt;&gt;0,G52*H$2/(100+H$2)," ")</f>
        <v> </v>
      </c>
      <c r="I52" s="6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</row>
    <row r="53" customFormat="false" ht="12" hidden="false" customHeight="false" outlineLevel="0" collapsed="false">
      <c r="A53" s="27"/>
      <c r="F53" s="2"/>
      <c r="H53" s="6" t="str">
        <f aca="false">IF(G53&lt;&gt;0,G53*H$2/(100+H$2)," ")</f>
        <v> </v>
      </c>
      <c r="I53" s="6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</row>
    <row r="54" customFormat="false" ht="12" hidden="false" customHeight="false" outlineLevel="0" collapsed="false">
      <c r="A54" s="27"/>
      <c r="F54" s="2"/>
      <c r="H54" s="6" t="str">
        <f aca="false">IF(G54&lt;&gt;0,G54*H$2/(100+H$2)," ")</f>
        <v> </v>
      </c>
      <c r="I54" s="6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</row>
    <row r="55" customFormat="false" ht="12" hidden="false" customHeight="false" outlineLevel="0" collapsed="false">
      <c r="A55" s="27"/>
      <c r="F55" s="2"/>
      <c r="H55" s="6" t="str">
        <f aca="false">IF(G55&lt;&gt;0,G55*H$2/(100+H$2)," ")</f>
        <v> </v>
      </c>
      <c r="I55" s="6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</row>
    <row r="56" customFormat="false" ht="12" hidden="false" customHeight="false" outlineLevel="0" collapsed="false">
      <c r="A56" s="27"/>
      <c r="F56" s="2"/>
      <c r="H56" s="6" t="str">
        <f aca="false">IF(G56&lt;&gt;0,G56*H$2/(100+H$2)," ")</f>
        <v> </v>
      </c>
      <c r="I56" s="6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</row>
    <row r="57" customFormat="false" ht="12" hidden="false" customHeight="false" outlineLevel="0" collapsed="false">
      <c r="A57" s="27"/>
      <c r="F57" s="2"/>
      <c r="H57" s="6" t="str">
        <f aca="false">IF(G57&lt;&gt;0,G57*H$2/(100+H$2)," ")</f>
        <v> </v>
      </c>
      <c r="I57" s="6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</row>
    <row r="58" customFormat="false" ht="12" hidden="false" customHeight="false" outlineLevel="0" collapsed="false">
      <c r="A58" s="27"/>
      <c r="F58" s="2"/>
      <c r="H58" s="6" t="str">
        <f aca="false">IF(G58&lt;&gt;0,G58*H$2/(100+H$2)," ")</f>
        <v> </v>
      </c>
      <c r="I58" s="6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</row>
    <row r="59" customFormat="false" ht="12" hidden="false" customHeight="false" outlineLevel="0" collapsed="false">
      <c r="A59" s="27"/>
      <c r="F59" s="2"/>
      <c r="H59" s="6" t="str">
        <f aca="false">IF(G59&lt;&gt;0,G59*H$2/(100+H$2)," ")</f>
        <v> </v>
      </c>
      <c r="I59" s="6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</row>
    <row r="60" customFormat="false" ht="12" hidden="false" customHeight="false" outlineLevel="0" collapsed="false">
      <c r="A60" s="27"/>
      <c r="F60" s="2"/>
      <c r="H60" s="6" t="str">
        <f aca="false">IF(G60&lt;&gt;0,G60*H$2/(100+H$2)," ")</f>
        <v> </v>
      </c>
      <c r="I60" s="6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</row>
    <row r="61" customFormat="false" ht="12" hidden="false" customHeight="false" outlineLevel="0" collapsed="false">
      <c r="A61" s="27"/>
      <c r="F61" s="2"/>
      <c r="H61" s="6" t="str">
        <f aca="false">IF(G61&lt;&gt;0,G61*H$2/(100+H$2)," ")</f>
        <v> </v>
      </c>
      <c r="I61" s="6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</row>
    <row r="62" customFormat="false" ht="12" hidden="false" customHeight="false" outlineLevel="0" collapsed="false">
      <c r="A62" s="27"/>
      <c r="F62" s="2"/>
      <c r="H62" s="6" t="str">
        <f aca="false">IF(G62&lt;&gt;0,G62*H$2/(100+H$2)," ")</f>
        <v> </v>
      </c>
      <c r="I62" s="6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</row>
    <row r="63" customFormat="false" ht="12" hidden="false" customHeight="false" outlineLevel="0" collapsed="false">
      <c r="A63" s="27"/>
      <c r="F63" s="2"/>
      <c r="H63" s="6" t="str">
        <f aca="false">IF(G63&lt;&gt;0,G63*H$2/(100+H$2)," ")</f>
        <v> </v>
      </c>
      <c r="I63" s="6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</row>
    <row r="64" customFormat="false" ht="12" hidden="false" customHeight="false" outlineLevel="0" collapsed="false">
      <c r="A64" s="27"/>
      <c r="F64" s="2"/>
      <c r="H64" s="6" t="str">
        <f aca="false">IF(G64&lt;&gt;0,G64*H$2/(100+H$2)," ")</f>
        <v> </v>
      </c>
      <c r="I64" s="6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</row>
    <row r="65" customFormat="false" ht="12" hidden="false" customHeight="false" outlineLevel="0" collapsed="false">
      <c r="A65" s="27"/>
      <c r="F65" s="2"/>
      <c r="H65" s="6" t="str">
        <f aca="false">IF(G65&lt;&gt;0,G65*H$2/(100+H$2)," ")</f>
        <v> </v>
      </c>
      <c r="I65" s="6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</row>
    <row r="66" customFormat="false" ht="12" hidden="false" customHeight="false" outlineLevel="0" collapsed="false">
      <c r="A66" s="27"/>
      <c r="F66" s="2"/>
      <c r="H66" s="6" t="str">
        <f aca="false">IF(G66&lt;&gt;0,G66*H$2/(100+H$2)," ")</f>
        <v> </v>
      </c>
      <c r="I66" s="6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</row>
    <row r="67" customFormat="false" ht="12" hidden="false" customHeight="false" outlineLevel="0" collapsed="false">
      <c r="A67" s="27"/>
      <c r="F67" s="2"/>
      <c r="H67" s="6" t="str">
        <f aca="false">IF(G67&lt;&gt;0,G67*H$2/(100+H$2)," ")</f>
        <v> </v>
      </c>
      <c r="I67" s="6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</row>
    <row r="68" customFormat="false" ht="12" hidden="false" customHeight="false" outlineLevel="0" collapsed="false">
      <c r="A68" s="27"/>
      <c r="F68" s="2"/>
      <c r="H68" s="6" t="str">
        <f aca="false">IF(G68&lt;&gt;0,G68*H$2/(100+H$2)," ")</f>
        <v> </v>
      </c>
      <c r="I68" s="6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</row>
    <row r="69" customFormat="false" ht="12" hidden="false" customHeight="false" outlineLevel="0" collapsed="false">
      <c r="A69" s="27"/>
      <c r="F69" s="2"/>
      <c r="H69" s="6" t="str">
        <f aca="false">IF(G69&lt;&gt;0,G69*H$2/(100+H$2)," ")</f>
        <v> </v>
      </c>
      <c r="I69" s="6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</row>
    <row r="70" customFormat="false" ht="12" hidden="false" customHeight="false" outlineLevel="0" collapsed="false">
      <c r="A70" s="27"/>
      <c r="F70" s="2"/>
      <c r="H70" s="6" t="str">
        <f aca="false">IF(G70&lt;&gt;0,G70*H$2/(100+H$2)," ")</f>
        <v> </v>
      </c>
      <c r="I70" s="6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</row>
    <row r="71" customFormat="false" ht="12" hidden="false" customHeight="false" outlineLevel="0" collapsed="false">
      <c r="A71" s="27"/>
      <c r="F71" s="2"/>
      <c r="H71" s="6" t="str">
        <f aca="false">IF(G71&lt;&gt;0,G71*H$2/(100+H$2)," ")</f>
        <v> </v>
      </c>
      <c r="I71" s="6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</row>
    <row r="72" customFormat="false" ht="12" hidden="false" customHeight="false" outlineLevel="0" collapsed="false">
      <c r="A72" s="27"/>
      <c r="F72" s="2"/>
      <c r="H72" s="6" t="str">
        <f aca="false">IF(G72&lt;&gt;0,G72*H$2/(100+H$2)," ")</f>
        <v> </v>
      </c>
      <c r="I72" s="6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</row>
    <row r="73" customFormat="false" ht="12" hidden="false" customHeight="false" outlineLevel="0" collapsed="false">
      <c r="A73" s="27"/>
      <c r="F73" s="2"/>
      <c r="H73" s="6" t="str">
        <f aca="false">IF(G73&lt;&gt;0,G73*H$2/(100+H$2)," ")</f>
        <v> </v>
      </c>
      <c r="I73" s="6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</row>
    <row r="74" customFormat="false" ht="12" hidden="false" customHeight="false" outlineLevel="0" collapsed="false">
      <c r="A74" s="27"/>
      <c r="F74" s="2"/>
      <c r="H74" s="6" t="str">
        <f aca="false">IF(G74&lt;&gt;0,G74*H$2/(100+H$2)," ")</f>
        <v> </v>
      </c>
      <c r="I74" s="6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</row>
    <row r="75" customFormat="false" ht="12" hidden="false" customHeight="false" outlineLevel="0" collapsed="false">
      <c r="A75" s="27"/>
      <c r="F75" s="2"/>
      <c r="H75" s="6" t="str">
        <f aca="false">IF(G75&lt;&gt;0,G75*H$2/(100+H$2)," ")</f>
        <v> </v>
      </c>
      <c r="I75" s="6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</row>
    <row r="76" customFormat="false" ht="12" hidden="false" customHeight="false" outlineLevel="0" collapsed="false">
      <c r="A76" s="27"/>
      <c r="F76" s="2"/>
      <c r="H76" s="6" t="str">
        <f aca="false">IF(G76&lt;&gt;0,G76*H$2/(100+H$2)," ")</f>
        <v> </v>
      </c>
      <c r="I76" s="6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</row>
    <row r="77" customFormat="false" ht="12" hidden="false" customHeight="false" outlineLevel="0" collapsed="false">
      <c r="A77" s="27"/>
      <c r="F77" s="2"/>
      <c r="H77" s="6" t="str">
        <f aca="false">IF(G77&lt;&gt;0,G77*H$2/(100+H$2)," ")</f>
        <v> </v>
      </c>
      <c r="I77" s="6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</row>
    <row r="78" customFormat="false" ht="12" hidden="false" customHeight="false" outlineLevel="0" collapsed="false">
      <c r="A78" s="27"/>
      <c r="F78" s="2"/>
      <c r="H78" s="6" t="str">
        <f aca="false">IF(G78&lt;&gt;0,G78*H$2/(100+H$2)," ")</f>
        <v> </v>
      </c>
      <c r="I78" s="6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</row>
    <row r="79" customFormat="false" ht="12" hidden="false" customHeight="false" outlineLevel="0" collapsed="false">
      <c r="A79" s="27"/>
      <c r="F79" s="2"/>
      <c r="H79" s="6" t="str">
        <f aca="false">IF(G79&lt;&gt;0,G79*H$2/(100+H$2)," ")</f>
        <v> </v>
      </c>
      <c r="I79" s="6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</row>
    <row r="80" customFormat="false" ht="12" hidden="false" customHeight="false" outlineLevel="0" collapsed="false">
      <c r="A80" s="27"/>
      <c r="F80" s="2"/>
      <c r="H80" s="6" t="str">
        <f aca="false">IF(G80&lt;&gt;0,G80*H$2/(100+H$2)," ")</f>
        <v> </v>
      </c>
      <c r="I80" s="6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</row>
    <row r="81" customFormat="false" ht="12" hidden="false" customHeight="false" outlineLevel="0" collapsed="false">
      <c r="A81" s="27"/>
      <c r="F81" s="2"/>
      <c r="H81" s="6" t="str">
        <f aca="false">IF(G81&lt;&gt;0,G81*H$2/(100+H$2)," ")</f>
        <v> </v>
      </c>
      <c r="I81" s="6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</row>
    <row r="82" customFormat="false" ht="12" hidden="false" customHeight="false" outlineLevel="0" collapsed="false">
      <c r="A82" s="27"/>
      <c r="F82" s="2"/>
      <c r="H82" s="6" t="str">
        <f aca="false">IF(G82&lt;&gt;0,G82*H$2/(100+H$2)," ")</f>
        <v> </v>
      </c>
      <c r="I82" s="6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</row>
    <row r="83" customFormat="false" ht="12" hidden="false" customHeight="false" outlineLevel="0" collapsed="false">
      <c r="A83" s="27"/>
      <c r="F83" s="2"/>
      <c r="H83" s="6" t="str">
        <f aca="false">IF(G83&lt;&gt;0,G83*H$2/(100+H$2)," ")</f>
        <v> </v>
      </c>
      <c r="I83" s="6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</row>
    <row r="84" customFormat="false" ht="12" hidden="false" customHeight="false" outlineLevel="0" collapsed="false">
      <c r="A84" s="27"/>
      <c r="F84" s="2"/>
      <c r="H84" s="6" t="str">
        <f aca="false">IF(G84&lt;&gt;0,G84*H$2/(100+H$2)," ")</f>
        <v> </v>
      </c>
      <c r="I84" s="6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</row>
    <row r="85" customFormat="false" ht="12" hidden="false" customHeight="false" outlineLevel="0" collapsed="false">
      <c r="A85" s="27"/>
      <c r="F85" s="2"/>
      <c r="H85" s="6" t="str">
        <f aca="false">IF(G85&lt;&gt;0,G85*H$2/(100+H$2)," ")</f>
        <v> </v>
      </c>
      <c r="I85" s="6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</row>
    <row r="86" customFormat="false" ht="12" hidden="false" customHeight="false" outlineLevel="0" collapsed="false">
      <c r="A86" s="27"/>
      <c r="F86" s="2"/>
      <c r="H86" s="6" t="str">
        <f aca="false">IF(G86&lt;&gt;0,G86*H$2/(100+H$2)," ")</f>
        <v> </v>
      </c>
      <c r="I86" s="6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</row>
    <row r="87" customFormat="false" ht="12" hidden="false" customHeight="false" outlineLevel="0" collapsed="false">
      <c r="A87" s="27"/>
      <c r="F87" s="2"/>
      <c r="H87" s="6" t="str">
        <f aca="false">IF(G87&lt;&gt;0,G87*H$2/(100+H$2)," ")</f>
        <v> </v>
      </c>
      <c r="I87" s="6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</row>
    <row r="88" customFormat="false" ht="12" hidden="false" customHeight="false" outlineLevel="0" collapsed="false">
      <c r="A88" s="27"/>
      <c r="F88" s="2"/>
      <c r="H88" s="6" t="str">
        <f aca="false">IF(G88&lt;&gt;0,G88*H$2/(100+H$2)," ")</f>
        <v> </v>
      </c>
      <c r="I88" s="6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</row>
    <row r="89" customFormat="false" ht="12" hidden="false" customHeight="false" outlineLevel="0" collapsed="false">
      <c r="A89" s="27"/>
      <c r="F89" s="2"/>
      <c r="H89" s="6" t="str">
        <f aca="false">IF(G89&lt;&gt;0,G89*H$2/(100+H$2)," ")</f>
        <v> </v>
      </c>
      <c r="I89" s="6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</row>
    <row r="90" customFormat="false" ht="12" hidden="false" customHeight="false" outlineLevel="0" collapsed="false">
      <c r="A90" s="27"/>
      <c r="F90" s="2"/>
      <c r="H90" s="6" t="str">
        <f aca="false">IF(G90&lt;&gt;0,G90*H$2/(100+H$2)," ")</f>
        <v> </v>
      </c>
      <c r="I90" s="6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</row>
    <row r="91" customFormat="false" ht="12" hidden="false" customHeight="false" outlineLevel="0" collapsed="false">
      <c r="A91" s="27"/>
      <c r="F91" s="2"/>
      <c r="H91" s="6" t="str">
        <f aca="false">IF(G91&lt;&gt;0,G91*H$2/(100+H$2)," ")</f>
        <v> </v>
      </c>
      <c r="I91" s="6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</row>
    <row r="92" customFormat="false" ht="12" hidden="false" customHeight="false" outlineLevel="0" collapsed="false">
      <c r="A92" s="27"/>
      <c r="F92" s="2"/>
      <c r="H92" s="6" t="str">
        <f aca="false">IF(G92&lt;&gt;0,G92*H$2/(100+H$2)," ")</f>
        <v> </v>
      </c>
      <c r="I92" s="6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</row>
    <row r="93" customFormat="false" ht="12" hidden="false" customHeight="false" outlineLevel="0" collapsed="false">
      <c r="A93" s="27"/>
      <c r="F93" s="2"/>
      <c r="H93" s="6" t="str">
        <f aca="false">IF(G93&lt;&gt;0,G93*H$2/(100+H$2)," ")</f>
        <v> </v>
      </c>
      <c r="I93" s="6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</row>
    <row r="94" customFormat="false" ht="12" hidden="false" customHeight="false" outlineLevel="0" collapsed="false">
      <c r="A94" s="27"/>
      <c r="F94" s="2"/>
      <c r="H94" s="6" t="str">
        <f aca="false">IF(G94&lt;&gt;0,G94*H$2/(100+H$2)," ")</f>
        <v> </v>
      </c>
      <c r="I94" s="6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</row>
    <row r="95" customFormat="false" ht="12" hidden="false" customHeight="false" outlineLevel="0" collapsed="false">
      <c r="A95" s="27"/>
      <c r="F95" s="2"/>
      <c r="H95" s="6" t="str">
        <f aca="false">IF(G95&lt;&gt;0,G95*H$2/(100+H$2)," ")</f>
        <v> </v>
      </c>
      <c r="I95" s="6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</row>
    <row r="96" customFormat="false" ht="12" hidden="false" customHeight="false" outlineLevel="0" collapsed="false">
      <c r="A96" s="27"/>
      <c r="F96" s="2"/>
      <c r="H96" s="6" t="str">
        <f aca="false">IF(G96&lt;&gt;0,G96*H$2/(100+H$2)," ")</f>
        <v> </v>
      </c>
      <c r="I96" s="6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</row>
    <row r="97" customFormat="false" ht="12" hidden="false" customHeight="false" outlineLevel="0" collapsed="false">
      <c r="A97" s="27"/>
      <c r="F97" s="2"/>
      <c r="H97" s="6" t="str">
        <f aca="false">IF(G97&lt;&gt;0,G97*H$2/(100+H$2)," ")</f>
        <v> </v>
      </c>
      <c r="I97" s="6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</row>
    <row r="98" customFormat="false" ht="12" hidden="false" customHeight="false" outlineLevel="0" collapsed="false">
      <c r="A98" s="27"/>
      <c r="F98" s="2"/>
      <c r="H98" s="6" t="str">
        <f aca="false">IF(G98&lt;&gt;0,G98*H$2/(100+H$2)," ")</f>
        <v> </v>
      </c>
      <c r="I98" s="6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</row>
    <row r="99" customFormat="false" ht="12" hidden="false" customHeight="false" outlineLevel="0" collapsed="false">
      <c r="A99" s="27"/>
      <c r="F99" s="2"/>
      <c r="H99" s="6" t="str">
        <f aca="false">IF(G99&lt;&gt;0,G99*H$2/(100+H$2)," ")</f>
        <v> </v>
      </c>
      <c r="I99" s="6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</row>
    <row r="100" customFormat="false" ht="12" hidden="false" customHeight="false" outlineLevel="0" collapsed="false">
      <c r="A100" s="27"/>
      <c r="F100" s="2"/>
      <c r="H100" s="6" t="str">
        <f aca="false">IF(G100&lt;&gt;0,G100*H$2/(100+H$2)," ")</f>
        <v> </v>
      </c>
      <c r="I100" s="6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</row>
    <row r="101" customFormat="false" ht="12" hidden="false" customHeight="false" outlineLevel="0" collapsed="false">
      <c r="A101" s="27"/>
      <c r="F101" s="2"/>
      <c r="H101" s="6" t="str">
        <f aca="false">IF(G101&lt;&gt;0,G101*H$2/(100+H$2)," ")</f>
        <v> </v>
      </c>
      <c r="I101" s="6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</row>
    <row r="102" customFormat="false" ht="12" hidden="false" customHeight="false" outlineLevel="0" collapsed="false">
      <c r="A102" s="27"/>
      <c r="F102" s="2"/>
      <c r="H102" s="6" t="str">
        <f aca="false">IF(G102&lt;&gt;0,G102*H$2/(100+H$2)," ")</f>
        <v> </v>
      </c>
      <c r="I102" s="6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</row>
    <row r="103" customFormat="false" ht="12" hidden="false" customHeight="false" outlineLevel="0" collapsed="false">
      <c r="A103" s="27"/>
      <c r="F103" s="2"/>
      <c r="H103" s="6" t="str">
        <f aca="false">IF(G103&lt;&gt;0,G103*H$2/(100+H$2)," ")</f>
        <v> </v>
      </c>
      <c r="I103" s="6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</row>
    <row r="104" customFormat="false" ht="12" hidden="false" customHeight="false" outlineLevel="0" collapsed="false">
      <c r="A104" s="27"/>
      <c r="F104" s="2"/>
      <c r="H104" s="6" t="str">
        <f aca="false">IF(G104&lt;&gt;0,G104*H$2/(100+H$2)," ")</f>
        <v> </v>
      </c>
      <c r="I104" s="6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</row>
    <row r="105" customFormat="false" ht="12" hidden="false" customHeight="false" outlineLevel="0" collapsed="false">
      <c r="A105" s="27"/>
      <c r="F105" s="2"/>
      <c r="H105" s="6" t="str">
        <f aca="false">IF(G105&lt;&gt;0,G105*H$2/(100+H$2)," ")</f>
        <v> </v>
      </c>
      <c r="I105" s="6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</row>
    <row r="106" customFormat="false" ht="12" hidden="false" customHeight="false" outlineLevel="0" collapsed="false">
      <c r="A106" s="27"/>
      <c r="F106" s="2"/>
      <c r="H106" s="6" t="str">
        <f aca="false">IF(G106&lt;&gt;0,G106*H$2/(100+H$2)," ")</f>
        <v> </v>
      </c>
      <c r="I106" s="6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</row>
    <row r="107" customFormat="false" ht="12" hidden="false" customHeight="false" outlineLevel="0" collapsed="false">
      <c r="A107" s="27"/>
      <c r="F107" s="2"/>
      <c r="H107" s="6" t="str">
        <f aca="false">IF(G107&lt;&gt;0,G107*H$2/(100+H$2)," ")</f>
        <v> </v>
      </c>
      <c r="I107" s="6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</row>
    <row r="108" customFormat="false" ht="12" hidden="false" customHeight="false" outlineLevel="0" collapsed="false">
      <c r="A108" s="27"/>
      <c r="F108" s="2"/>
      <c r="H108" s="6" t="str">
        <f aca="false">IF(G108&lt;&gt;0,G108*H$2/(100+H$2)," ")</f>
        <v> </v>
      </c>
      <c r="I108" s="6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</row>
    <row r="109" customFormat="false" ht="12" hidden="false" customHeight="false" outlineLevel="0" collapsed="false">
      <c r="A109" s="27"/>
      <c r="F109" s="2"/>
      <c r="H109" s="6" t="str">
        <f aca="false">IF(G109&lt;&gt;0,G109*H$2/(100+H$2)," ")</f>
        <v> </v>
      </c>
      <c r="I109" s="6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</row>
    <row r="110" customFormat="false" ht="12" hidden="false" customHeight="false" outlineLevel="0" collapsed="false">
      <c r="A110" s="27"/>
      <c r="F110" s="2"/>
      <c r="H110" s="6" t="str">
        <f aca="false">IF(G110&lt;&gt;0,G110*H$2/(100+H$2)," ")</f>
        <v> </v>
      </c>
      <c r="I110" s="6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</row>
    <row r="111" customFormat="false" ht="12" hidden="false" customHeight="false" outlineLevel="0" collapsed="false">
      <c r="A111" s="27"/>
      <c r="F111" s="2"/>
      <c r="H111" s="6" t="str">
        <f aca="false">IF(G111&lt;&gt;0,G111*H$2/(100+H$2)," ")</f>
        <v> </v>
      </c>
      <c r="I111" s="6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</row>
    <row r="112" customFormat="false" ht="12" hidden="false" customHeight="false" outlineLevel="0" collapsed="false">
      <c r="A112" s="27"/>
      <c r="F112" s="2"/>
      <c r="H112" s="6" t="str">
        <f aca="false">IF(G112&lt;&gt;0,G112*H$2/(100+H$2)," ")</f>
        <v> </v>
      </c>
      <c r="I112" s="6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</row>
    <row r="113" customFormat="false" ht="12" hidden="false" customHeight="false" outlineLevel="0" collapsed="false">
      <c r="A113" s="27"/>
      <c r="F113" s="2"/>
      <c r="H113" s="6" t="str">
        <f aca="false">IF(G113&lt;&gt;0,G113*H$2/(100+H$2)," ")</f>
        <v> </v>
      </c>
      <c r="I113" s="6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</row>
    <row r="114" customFormat="false" ht="12" hidden="false" customHeight="false" outlineLevel="0" collapsed="false">
      <c r="A114" s="27"/>
      <c r="F114" s="2"/>
      <c r="H114" s="6" t="str">
        <f aca="false">IF(G114&lt;&gt;0,G114*H$2/(100+H$2)," ")</f>
        <v> </v>
      </c>
      <c r="I114" s="6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</row>
    <row r="115" customFormat="false" ht="12" hidden="false" customHeight="false" outlineLevel="0" collapsed="false">
      <c r="A115" s="27"/>
      <c r="F115" s="2"/>
      <c r="H115" s="6" t="str">
        <f aca="false">IF(G115&lt;&gt;0,G115*H$2/(100+H$2)," ")</f>
        <v> </v>
      </c>
      <c r="I115" s="6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</row>
    <row r="116" customFormat="false" ht="12" hidden="false" customHeight="false" outlineLevel="0" collapsed="false">
      <c r="A116" s="27"/>
      <c r="F116" s="2"/>
      <c r="H116" s="6" t="str">
        <f aca="false">IF(G116&lt;&gt;0,G116*H$2/(100+H$2)," ")</f>
        <v> </v>
      </c>
      <c r="I116" s="6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</row>
    <row r="117" customFormat="false" ht="12" hidden="false" customHeight="false" outlineLevel="0" collapsed="false">
      <c r="A117" s="27"/>
      <c r="F117" s="2"/>
      <c r="H117" s="6" t="str">
        <f aca="false">IF(G117&lt;&gt;0,G117*H$2/(100+H$2)," ")</f>
        <v> </v>
      </c>
      <c r="I117" s="6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</row>
    <row r="118" customFormat="false" ht="12" hidden="false" customHeight="false" outlineLevel="0" collapsed="false">
      <c r="A118" s="27"/>
      <c r="F118" s="2"/>
      <c r="H118" s="6" t="str">
        <f aca="false">IF(G118&lt;&gt;0,G118*H$2/(100+H$2)," ")</f>
        <v> </v>
      </c>
      <c r="I118" s="6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</row>
    <row r="119" customFormat="false" ht="12" hidden="false" customHeight="false" outlineLevel="0" collapsed="false">
      <c r="A119" s="27"/>
      <c r="F119" s="2"/>
      <c r="H119" s="6" t="str">
        <f aca="false">IF(G119&lt;&gt;0,G119*H$2/(100+H$2)," ")</f>
        <v> </v>
      </c>
      <c r="I119" s="6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</row>
    <row r="120" customFormat="false" ht="12" hidden="false" customHeight="false" outlineLevel="0" collapsed="false">
      <c r="A120" s="27"/>
      <c r="F120" s="2"/>
      <c r="H120" s="6" t="str">
        <f aca="false">IF(G120&lt;&gt;0,G120*H$2/(100+H$2)," ")</f>
        <v> </v>
      </c>
      <c r="I120" s="6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</row>
    <row r="121" customFormat="false" ht="12" hidden="false" customHeight="false" outlineLevel="0" collapsed="false">
      <c r="A121" s="27"/>
      <c r="F121" s="2"/>
      <c r="H121" s="6" t="str">
        <f aca="false">IF(G121&lt;&gt;0,G121*H$2/(100+H$2)," ")</f>
        <v> </v>
      </c>
      <c r="I121" s="6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</row>
    <row r="122" customFormat="false" ht="12" hidden="false" customHeight="false" outlineLevel="0" collapsed="false">
      <c r="A122" s="27"/>
      <c r="F122" s="2"/>
      <c r="H122" s="6" t="str">
        <f aca="false">IF(G122&lt;&gt;0,G122*H$2/(100+H$2)," ")</f>
        <v> </v>
      </c>
      <c r="I122" s="6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</row>
    <row r="123" customFormat="false" ht="12" hidden="false" customHeight="false" outlineLevel="0" collapsed="false">
      <c r="A123" s="27"/>
      <c r="F123" s="2"/>
      <c r="H123" s="6" t="str">
        <f aca="false">IF(G123&lt;&gt;0,G123*H$2/(100+H$2)," ")</f>
        <v> </v>
      </c>
      <c r="I123" s="6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</row>
    <row r="124" customFormat="false" ht="12" hidden="false" customHeight="false" outlineLevel="0" collapsed="false">
      <c r="A124" s="27"/>
      <c r="F124" s="2"/>
      <c r="H124" s="6" t="str">
        <f aca="false">IF(G124&lt;&gt;0,G124*H$2/(100+H$2)," ")</f>
        <v> </v>
      </c>
      <c r="I124" s="6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</row>
    <row r="125" customFormat="false" ht="12" hidden="false" customHeight="false" outlineLevel="0" collapsed="false">
      <c r="A125" s="27"/>
      <c r="F125" s="2"/>
      <c r="H125" s="6" t="str">
        <f aca="false">IF(G125&lt;&gt;0,G125*H$2/(100+H$2)," ")</f>
        <v> </v>
      </c>
      <c r="I125" s="6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</row>
    <row r="126" customFormat="false" ht="12" hidden="false" customHeight="false" outlineLevel="0" collapsed="false">
      <c r="A126" s="27"/>
      <c r="F126" s="2"/>
      <c r="H126" s="6" t="str">
        <f aca="false">IF(G126&lt;&gt;0,G126*H$2/(100+H$2)," ")</f>
        <v> </v>
      </c>
      <c r="I126" s="6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</row>
    <row r="127" customFormat="false" ht="12" hidden="false" customHeight="false" outlineLevel="0" collapsed="false">
      <c r="A127" s="27"/>
      <c r="F127" s="2"/>
      <c r="H127" s="6" t="str">
        <f aca="false">IF(G127&lt;&gt;0,G127*H$2/(100+H$2)," ")</f>
        <v> </v>
      </c>
      <c r="I127" s="6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</row>
    <row r="128" customFormat="false" ht="12" hidden="false" customHeight="false" outlineLevel="0" collapsed="false">
      <c r="A128" s="27"/>
      <c r="F128" s="2"/>
      <c r="H128" s="6" t="str">
        <f aca="false">IF(G128&lt;&gt;0,G128*H$2/(100+H$2)," ")</f>
        <v> </v>
      </c>
      <c r="I128" s="6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</row>
    <row r="129" customFormat="false" ht="12" hidden="false" customHeight="false" outlineLevel="0" collapsed="false">
      <c r="A129" s="27"/>
      <c r="F129" s="2"/>
      <c r="H129" s="6" t="str">
        <f aca="false">IF(G129&lt;&gt;0,G129*H$2/(100+H$2)," ")</f>
        <v> </v>
      </c>
      <c r="I129" s="6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</row>
    <row r="130" customFormat="false" ht="12" hidden="false" customHeight="false" outlineLevel="0" collapsed="false">
      <c r="A130" s="27"/>
      <c r="F130" s="2"/>
      <c r="H130" s="6" t="str">
        <f aca="false">IF(G130&lt;&gt;0,G130*H$2/(100+H$2)," ")</f>
        <v> </v>
      </c>
      <c r="I130" s="6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</row>
    <row r="131" customFormat="false" ht="12" hidden="false" customHeight="false" outlineLevel="0" collapsed="false">
      <c r="A131" s="27"/>
      <c r="F131" s="2"/>
      <c r="H131" s="6" t="str">
        <f aca="false">IF(G131&lt;&gt;0,G131*H$2/(100+H$2)," ")</f>
        <v> </v>
      </c>
      <c r="I131" s="6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</row>
    <row r="132" customFormat="false" ht="12" hidden="false" customHeight="false" outlineLevel="0" collapsed="false">
      <c r="A132" s="27"/>
      <c r="F132" s="2"/>
      <c r="H132" s="6" t="str">
        <f aca="false">IF(G132&lt;&gt;0,G132*H$2/(100+H$2)," ")</f>
        <v> </v>
      </c>
      <c r="I132" s="6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</row>
    <row r="133" customFormat="false" ht="12" hidden="false" customHeight="false" outlineLevel="0" collapsed="false">
      <c r="A133" s="27"/>
      <c r="F133" s="2"/>
      <c r="H133" s="6" t="str">
        <f aca="false">IF(G133&lt;&gt;0,G133*H$2/(100+H$2)," ")</f>
        <v> </v>
      </c>
      <c r="I133" s="6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</row>
    <row r="134" customFormat="false" ht="12" hidden="false" customHeight="false" outlineLevel="0" collapsed="false">
      <c r="A134" s="27"/>
      <c r="F134" s="2"/>
      <c r="H134" s="6" t="str">
        <f aca="false">IF(G134&lt;&gt;0,G134*H$2/(100+H$2)," ")</f>
        <v> </v>
      </c>
      <c r="I134" s="6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</row>
    <row r="135" customFormat="false" ht="12" hidden="false" customHeight="false" outlineLevel="0" collapsed="false">
      <c r="A135" s="27"/>
      <c r="F135" s="2"/>
      <c r="H135" s="6" t="str">
        <f aca="false">IF(G135&lt;&gt;0,G135*H$2/(100+H$2)," ")</f>
        <v> </v>
      </c>
      <c r="I135" s="6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</row>
    <row r="136" customFormat="false" ht="12" hidden="false" customHeight="false" outlineLevel="0" collapsed="false">
      <c r="A136" s="27"/>
      <c r="F136" s="2"/>
      <c r="H136" s="6" t="str">
        <f aca="false">IF(G136&lt;&gt;0,G136*H$2/(100+H$2)," ")</f>
        <v> </v>
      </c>
      <c r="I136" s="6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</row>
    <row r="137" customFormat="false" ht="12" hidden="false" customHeight="false" outlineLevel="0" collapsed="false">
      <c r="A137" s="27"/>
      <c r="F137" s="2"/>
      <c r="H137" s="6" t="str">
        <f aca="false">IF(G137&lt;&gt;0,G137*H$2/(100+H$2)," ")</f>
        <v> </v>
      </c>
      <c r="I137" s="6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</row>
    <row r="138" customFormat="false" ht="12" hidden="false" customHeight="false" outlineLevel="0" collapsed="false">
      <c r="A138" s="27"/>
      <c r="F138" s="2"/>
      <c r="H138" s="6" t="str">
        <f aca="false">IF(G138&lt;&gt;0,G138*H$2/(100+H$2)," ")</f>
        <v> </v>
      </c>
      <c r="I138" s="6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</row>
    <row r="139" customFormat="false" ht="12" hidden="false" customHeight="false" outlineLevel="0" collapsed="false">
      <c r="A139" s="27"/>
      <c r="F139" s="2"/>
      <c r="H139" s="6" t="str">
        <f aca="false">IF(G139&lt;&gt;0,G139*H$2/(100+H$2)," ")</f>
        <v> </v>
      </c>
      <c r="I139" s="6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</row>
    <row r="140" customFormat="false" ht="12" hidden="false" customHeight="false" outlineLevel="0" collapsed="false">
      <c r="A140" s="27"/>
      <c r="F140" s="2"/>
      <c r="H140" s="6" t="str">
        <f aca="false">IF(G140&lt;&gt;0,G140*H$2/(100+H$2)," ")</f>
        <v> </v>
      </c>
      <c r="I140" s="6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</row>
    <row r="141" customFormat="false" ht="12" hidden="false" customHeight="false" outlineLevel="0" collapsed="false">
      <c r="A141" s="27"/>
      <c r="F141" s="2"/>
      <c r="H141" s="6" t="str">
        <f aca="false">IF(G141&lt;&gt;0,G141*H$2/(100+H$2)," ")</f>
        <v> </v>
      </c>
      <c r="I141" s="6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</row>
    <row r="142" customFormat="false" ht="12" hidden="false" customHeight="false" outlineLevel="0" collapsed="false">
      <c r="A142" s="27"/>
      <c r="F142" s="2"/>
      <c r="H142" s="6" t="str">
        <f aca="false">IF(G142&lt;&gt;0,G142*H$2/(100+H$2)," ")</f>
        <v> </v>
      </c>
      <c r="I142" s="6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</row>
    <row r="143" customFormat="false" ht="12" hidden="false" customHeight="false" outlineLevel="0" collapsed="false">
      <c r="A143" s="27"/>
      <c r="F143" s="2"/>
      <c r="H143" s="6" t="str">
        <f aca="false">IF(G143&lt;&gt;0,G143*H$2/(100+H$2)," ")</f>
        <v> </v>
      </c>
      <c r="I143" s="6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</row>
    <row r="144" customFormat="false" ht="12" hidden="false" customHeight="false" outlineLevel="0" collapsed="false">
      <c r="A144" s="27"/>
      <c r="F144" s="2"/>
      <c r="H144" s="6" t="str">
        <f aca="false">IF(G144&lt;&gt;0,G144*H$2/(100+H$2)," ")</f>
        <v> </v>
      </c>
      <c r="I144" s="6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</row>
    <row r="145" customFormat="false" ht="12" hidden="false" customHeight="false" outlineLevel="0" collapsed="false">
      <c r="A145" s="27"/>
      <c r="F145" s="2"/>
      <c r="H145" s="6" t="str">
        <f aca="false">IF(G145&lt;&gt;0,G145*H$2/(100+H$2)," ")</f>
        <v> </v>
      </c>
      <c r="I145" s="6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</row>
    <row r="146" customFormat="false" ht="12" hidden="false" customHeight="false" outlineLevel="0" collapsed="false">
      <c r="A146" s="27"/>
      <c r="F146" s="2"/>
      <c r="H146" s="6" t="str">
        <f aca="false">IF(G146&lt;&gt;0,G146*H$2/(100+H$2)," ")</f>
        <v> </v>
      </c>
      <c r="I146" s="6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</row>
    <row r="147" customFormat="false" ht="12" hidden="false" customHeight="false" outlineLevel="0" collapsed="false">
      <c r="A147" s="27"/>
      <c r="F147" s="2"/>
      <c r="H147" s="6" t="str">
        <f aca="false">IF(G147&lt;&gt;0,G147*H$2/(100+H$2)," ")</f>
        <v> </v>
      </c>
      <c r="I147" s="6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</row>
    <row r="148" customFormat="false" ht="12" hidden="false" customHeight="false" outlineLevel="0" collapsed="false">
      <c r="A148" s="27"/>
      <c r="F148" s="2"/>
      <c r="H148" s="6" t="str">
        <f aca="false">IF(G148&lt;&gt;0,G148*H$2/(100+H$2)," ")</f>
        <v> </v>
      </c>
      <c r="I148" s="6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</row>
    <row r="149" customFormat="false" ht="12" hidden="false" customHeight="false" outlineLevel="0" collapsed="false">
      <c r="A149" s="27"/>
      <c r="F149" s="2"/>
      <c r="H149" s="6" t="str">
        <f aca="false">IF(G149&lt;&gt;0,G149*H$2/(100+H$2)," ")</f>
        <v> </v>
      </c>
      <c r="I149" s="6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</row>
    <row r="150" customFormat="false" ht="12" hidden="false" customHeight="false" outlineLevel="0" collapsed="false">
      <c r="A150" s="27"/>
      <c r="F150" s="2"/>
      <c r="H150" s="6" t="str">
        <f aca="false">IF(G150&lt;&gt;0,G150*H$2/(100+H$2)," ")</f>
        <v> </v>
      </c>
      <c r="I150" s="6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</row>
    <row r="151" customFormat="false" ht="12" hidden="false" customHeight="false" outlineLevel="0" collapsed="false">
      <c r="A151" s="27"/>
      <c r="F151" s="2"/>
      <c r="H151" s="6" t="str">
        <f aca="false">IF(G151&lt;&gt;0,G151*H$2/(100+H$2)," ")</f>
        <v> </v>
      </c>
      <c r="I151" s="6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</row>
    <row r="152" customFormat="false" ht="12" hidden="false" customHeight="false" outlineLevel="0" collapsed="false">
      <c r="A152" s="27"/>
      <c r="F152" s="2"/>
      <c r="H152" s="6" t="str">
        <f aca="false">IF(G152&lt;&gt;0,G152*H$2/(100+H$2)," ")</f>
        <v> </v>
      </c>
      <c r="I152" s="6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</row>
    <row r="153" customFormat="false" ht="12" hidden="false" customHeight="false" outlineLevel="0" collapsed="false">
      <c r="A153" s="27"/>
      <c r="F153" s="2"/>
      <c r="H153" s="6" t="str">
        <f aca="false">IF(G153&lt;&gt;0,G153*H$2/(100+H$2)," ")</f>
        <v> </v>
      </c>
      <c r="I153" s="6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</row>
    <row r="154" customFormat="false" ht="12" hidden="false" customHeight="false" outlineLevel="0" collapsed="false">
      <c r="A154" s="27"/>
      <c r="F154" s="2"/>
      <c r="H154" s="6" t="str">
        <f aca="false">IF(G154&lt;&gt;0,G154*H$2/(100+H$2)," ")</f>
        <v> </v>
      </c>
      <c r="I154" s="6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</row>
    <row r="155" customFormat="false" ht="12" hidden="false" customHeight="false" outlineLevel="0" collapsed="false">
      <c r="A155" s="27"/>
      <c r="F155" s="2"/>
      <c r="H155" s="6" t="str">
        <f aca="false">IF(G155&lt;&gt;0,G155*H$2/(100+H$2)," ")</f>
        <v> </v>
      </c>
      <c r="I155" s="6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</row>
    <row r="156" customFormat="false" ht="12" hidden="false" customHeight="false" outlineLevel="0" collapsed="false">
      <c r="A156" s="27"/>
      <c r="F156" s="2"/>
      <c r="H156" s="6" t="str">
        <f aca="false">IF(G156&lt;&gt;0,G156*H$2/(100+H$2)," ")</f>
        <v> </v>
      </c>
      <c r="I156" s="6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</row>
    <row r="157" customFormat="false" ht="12" hidden="false" customHeight="false" outlineLevel="0" collapsed="false">
      <c r="A157" s="27"/>
      <c r="F157" s="2"/>
      <c r="H157" s="6" t="str">
        <f aca="false">IF(G157&lt;&gt;0,G157*H$2/(100+H$2)," ")</f>
        <v> </v>
      </c>
      <c r="I157" s="6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</row>
    <row r="158" customFormat="false" ht="12" hidden="false" customHeight="false" outlineLevel="0" collapsed="false">
      <c r="A158" s="27"/>
      <c r="F158" s="2"/>
      <c r="H158" s="6" t="str">
        <f aca="false">IF(G158&lt;&gt;0,G158*H$2/(100+H$2)," ")</f>
        <v> </v>
      </c>
      <c r="I158" s="6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</row>
    <row r="159" customFormat="false" ht="12" hidden="false" customHeight="false" outlineLevel="0" collapsed="false">
      <c r="A159" s="27"/>
      <c r="F159" s="2"/>
      <c r="H159" s="6" t="str">
        <f aca="false">IF(G159&lt;&gt;0,G159*H$2/(100+H$2)," ")</f>
        <v> </v>
      </c>
      <c r="I159" s="6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</row>
    <row r="160" customFormat="false" ht="12" hidden="false" customHeight="false" outlineLevel="0" collapsed="false">
      <c r="A160" s="27"/>
      <c r="F160" s="2"/>
      <c r="H160" s="6" t="str">
        <f aca="false">IF(G160&lt;&gt;0,G160*H$2/(100+H$2)," ")</f>
        <v> </v>
      </c>
      <c r="I160" s="6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</row>
    <row r="161" customFormat="false" ht="12" hidden="false" customHeight="false" outlineLevel="0" collapsed="false">
      <c r="A161" s="27"/>
      <c r="F161" s="2"/>
      <c r="H161" s="6" t="str">
        <f aca="false">IF(G161&lt;&gt;0,G161*H$2/(100+H$2)," ")</f>
        <v> </v>
      </c>
      <c r="I161" s="6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</row>
    <row r="162" customFormat="false" ht="12" hidden="false" customHeight="false" outlineLevel="0" collapsed="false">
      <c r="A162" s="27"/>
      <c r="F162" s="2"/>
      <c r="H162" s="6" t="str">
        <f aca="false">IF(G162&lt;&gt;0,G162*H$2/(100+H$2)," ")</f>
        <v> </v>
      </c>
      <c r="I162" s="6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</row>
    <row r="163" customFormat="false" ht="12" hidden="false" customHeight="false" outlineLevel="0" collapsed="false">
      <c r="A163" s="27"/>
      <c r="F163" s="2"/>
      <c r="H163" s="6" t="str">
        <f aca="false">IF(G163&lt;&gt;0,G163*H$2/(100+H$2)," ")</f>
        <v> </v>
      </c>
      <c r="I163" s="6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</row>
    <row r="164" customFormat="false" ht="12" hidden="false" customHeight="false" outlineLevel="0" collapsed="false">
      <c r="A164" s="27"/>
      <c r="F164" s="2"/>
      <c r="H164" s="6" t="str">
        <f aca="false">IF(G164&lt;&gt;0,G164*H$2/(100+H$2)," ")</f>
        <v> </v>
      </c>
      <c r="I164" s="6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</row>
    <row r="165" customFormat="false" ht="12" hidden="false" customHeight="false" outlineLevel="0" collapsed="false">
      <c r="A165" s="27"/>
      <c r="F165" s="2"/>
      <c r="H165" s="6" t="str">
        <f aca="false">IF(G165&lt;&gt;0,G165*H$2/(100+H$2)," ")</f>
        <v> </v>
      </c>
      <c r="I165" s="6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</row>
    <row r="166" customFormat="false" ht="12" hidden="false" customHeight="false" outlineLevel="0" collapsed="false">
      <c r="A166" s="27"/>
      <c r="F166" s="2"/>
      <c r="H166" s="6" t="str">
        <f aca="false">IF(G166&lt;&gt;0,G166*H$2/(100+H$2)," ")</f>
        <v> </v>
      </c>
      <c r="I166" s="6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</row>
    <row r="167" customFormat="false" ht="12" hidden="false" customHeight="false" outlineLevel="0" collapsed="false">
      <c r="A167" s="27"/>
      <c r="F167" s="2"/>
      <c r="H167" s="6" t="str">
        <f aca="false">IF(G167&lt;&gt;0,G167*H$2/(100+H$2)," ")</f>
        <v> </v>
      </c>
      <c r="I167" s="6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</row>
    <row r="168" customFormat="false" ht="12" hidden="false" customHeight="false" outlineLevel="0" collapsed="false">
      <c r="A168" s="27"/>
      <c r="F168" s="2"/>
      <c r="H168" s="6" t="str">
        <f aca="false">IF(G168&lt;&gt;0,G168*H$2/(100+H$2)," ")</f>
        <v> </v>
      </c>
      <c r="I168" s="6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</row>
    <row r="169" customFormat="false" ht="12" hidden="false" customHeight="false" outlineLevel="0" collapsed="false">
      <c r="A169" s="27"/>
      <c r="F169" s="2"/>
      <c r="H169" s="6" t="str">
        <f aca="false">IF(G169&lt;&gt;0,G169*H$2/(100+H$2)," ")</f>
        <v> </v>
      </c>
      <c r="I169" s="6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</row>
    <row r="170" customFormat="false" ht="12" hidden="false" customHeight="false" outlineLevel="0" collapsed="false">
      <c r="A170" s="27"/>
      <c r="F170" s="2"/>
      <c r="H170" s="6" t="str">
        <f aca="false">IF(G170&lt;&gt;0,G170*H$2/(100+H$2)," ")</f>
        <v> </v>
      </c>
      <c r="I170" s="6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</row>
    <row r="171" customFormat="false" ht="12" hidden="false" customHeight="false" outlineLevel="0" collapsed="false">
      <c r="A171" s="27"/>
      <c r="F171" s="2"/>
      <c r="H171" s="6" t="str">
        <f aca="false">IF(G171&lt;&gt;0,G171*H$2/(100+H$2)," ")</f>
        <v> </v>
      </c>
      <c r="I171" s="6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</row>
    <row r="172" customFormat="false" ht="12" hidden="false" customHeight="false" outlineLevel="0" collapsed="false">
      <c r="A172" s="27"/>
      <c r="F172" s="2"/>
      <c r="H172" s="6" t="str">
        <f aca="false">IF(G172&lt;&gt;0,G172*H$2/(100+H$2)," ")</f>
        <v> </v>
      </c>
      <c r="I172" s="6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</row>
    <row r="173" customFormat="false" ht="12" hidden="false" customHeight="false" outlineLevel="0" collapsed="false">
      <c r="A173" s="27"/>
      <c r="F173" s="2"/>
      <c r="H173" s="6" t="str">
        <f aca="false">IF(G173&lt;&gt;0,G173*H$2/(100+H$2)," ")</f>
        <v> </v>
      </c>
      <c r="I173" s="6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</row>
    <row r="174" customFormat="false" ht="12" hidden="false" customHeight="false" outlineLevel="0" collapsed="false">
      <c r="A174" s="27"/>
      <c r="F174" s="2"/>
      <c r="H174" s="6" t="str">
        <f aca="false">IF(G174&lt;&gt;0,G174*H$2/(100+H$2)," ")</f>
        <v> </v>
      </c>
      <c r="I174" s="6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</row>
    <row r="175" customFormat="false" ht="12" hidden="false" customHeight="false" outlineLevel="0" collapsed="false">
      <c r="A175" s="27"/>
      <c r="F175" s="2"/>
      <c r="H175" s="6" t="str">
        <f aca="false">IF(G175&lt;&gt;0,G175*H$2/(100+H$2)," ")</f>
        <v> </v>
      </c>
      <c r="I175" s="6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</row>
    <row r="176" customFormat="false" ht="12" hidden="false" customHeight="false" outlineLevel="0" collapsed="false">
      <c r="A176" s="27"/>
      <c r="F176" s="2"/>
      <c r="H176" s="6" t="str">
        <f aca="false">IF(G176&lt;&gt;0,G176*H$2/(100+H$2)," ")</f>
        <v> </v>
      </c>
      <c r="I176" s="6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</row>
    <row r="177" customFormat="false" ht="12" hidden="false" customHeight="false" outlineLevel="0" collapsed="false">
      <c r="A177" s="27"/>
      <c r="F177" s="2"/>
      <c r="H177" s="6" t="str">
        <f aca="false">IF(G177&lt;&gt;0,G177*H$2/(100+H$2)," ")</f>
        <v> </v>
      </c>
      <c r="I177" s="6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</row>
    <row r="178" customFormat="false" ht="12" hidden="false" customHeight="false" outlineLevel="0" collapsed="false">
      <c r="A178" s="27"/>
      <c r="F178" s="2"/>
      <c r="H178" s="6" t="str">
        <f aca="false">IF(G178&lt;&gt;0,G178*H$2/(100+H$2)," ")</f>
        <v> </v>
      </c>
      <c r="I178" s="6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</row>
    <row r="179" customFormat="false" ht="12" hidden="false" customHeight="false" outlineLevel="0" collapsed="false">
      <c r="A179" s="27"/>
      <c r="F179" s="2"/>
      <c r="H179" s="6" t="str">
        <f aca="false">IF(G179&lt;&gt;0,G179*H$2/(100+H$2)," ")</f>
        <v> </v>
      </c>
      <c r="I179" s="6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</row>
    <row r="180" customFormat="false" ht="12" hidden="false" customHeight="false" outlineLevel="0" collapsed="false">
      <c r="A180" s="27"/>
      <c r="F180" s="2"/>
      <c r="H180" s="6" t="str">
        <f aca="false">IF(G180&lt;&gt;0,G180*H$2/(100+H$2)," ")</f>
        <v> </v>
      </c>
      <c r="I180" s="6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</row>
    <row r="181" customFormat="false" ht="12" hidden="false" customHeight="false" outlineLevel="0" collapsed="false">
      <c r="A181" s="27"/>
      <c r="F181" s="2"/>
      <c r="H181" s="6" t="str">
        <f aca="false">IF(G181&lt;&gt;0,G181*H$2/(100+H$2)," ")</f>
        <v> </v>
      </c>
      <c r="I181" s="6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</row>
    <row r="182" customFormat="false" ht="12" hidden="false" customHeight="false" outlineLevel="0" collapsed="false">
      <c r="A182" s="27"/>
      <c r="F182" s="2"/>
      <c r="H182" s="6" t="str">
        <f aca="false">IF(G182&lt;&gt;0,G182*H$2/(100+H$2)," ")</f>
        <v> </v>
      </c>
      <c r="I182" s="6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</row>
    <row r="183" customFormat="false" ht="12" hidden="false" customHeight="false" outlineLevel="0" collapsed="false">
      <c r="A183" s="27"/>
      <c r="F183" s="2"/>
      <c r="H183" s="6" t="str">
        <f aca="false">IF(G183&lt;&gt;0,G183*H$2/(100+H$2)," ")</f>
        <v> </v>
      </c>
      <c r="I183" s="6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</row>
    <row r="184" customFormat="false" ht="12" hidden="false" customHeight="false" outlineLevel="0" collapsed="false">
      <c r="A184" s="27"/>
      <c r="F184" s="2"/>
      <c r="H184" s="6" t="str">
        <f aca="false">IF(G184&lt;&gt;0,G184*H$2/(100+H$2)," ")</f>
        <v> </v>
      </c>
      <c r="I184" s="6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</row>
    <row r="185" customFormat="false" ht="12" hidden="false" customHeight="false" outlineLevel="0" collapsed="false">
      <c r="A185" s="27"/>
      <c r="F185" s="2"/>
      <c r="H185" s="6" t="str">
        <f aca="false">IF(G185&lt;&gt;0,G185*H$2/(100+H$2)," ")</f>
        <v> </v>
      </c>
      <c r="I185" s="6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</row>
    <row r="186" customFormat="false" ht="12" hidden="false" customHeight="false" outlineLevel="0" collapsed="false">
      <c r="A186" s="27"/>
      <c r="F186" s="2"/>
      <c r="H186" s="6" t="str">
        <f aca="false">IF(G186&lt;&gt;0,G186*H$2/(100+H$2)," ")</f>
        <v> </v>
      </c>
      <c r="I186" s="6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</row>
    <row r="187" customFormat="false" ht="12" hidden="false" customHeight="false" outlineLevel="0" collapsed="false">
      <c r="A187" s="27"/>
      <c r="F187" s="2"/>
      <c r="H187" s="6" t="str">
        <f aca="false">IF(G187&lt;&gt;0,G187*H$2/(100+H$2)," ")</f>
        <v> </v>
      </c>
      <c r="I187" s="6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</row>
    <row r="188" customFormat="false" ht="12" hidden="false" customHeight="false" outlineLevel="0" collapsed="false">
      <c r="A188" s="27"/>
      <c r="F188" s="2"/>
      <c r="H188" s="6" t="str">
        <f aca="false">IF(G188&lt;&gt;0,G188*H$2/(100+H$2)," ")</f>
        <v> </v>
      </c>
      <c r="I188" s="6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</row>
    <row r="189" customFormat="false" ht="12" hidden="false" customHeight="false" outlineLevel="0" collapsed="false">
      <c r="A189" s="27"/>
      <c r="F189" s="2"/>
      <c r="H189" s="6" t="str">
        <f aca="false">IF(G189&lt;&gt;0,G189*H$2/(100+H$2)," ")</f>
        <v> </v>
      </c>
      <c r="I189" s="6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</row>
    <row r="190" customFormat="false" ht="12" hidden="false" customHeight="false" outlineLevel="0" collapsed="false">
      <c r="A190" s="27"/>
      <c r="F190" s="2"/>
      <c r="H190" s="6" t="str">
        <f aca="false">IF(G190&lt;&gt;0,G190*H$2/(100+H$2)," ")</f>
        <v> </v>
      </c>
      <c r="I190" s="6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</row>
    <row r="191" customFormat="false" ht="12" hidden="false" customHeight="false" outlineLevel="0" collapsed="false">
      <c r="A191" s="27"/>
      <c r="F191" s="2"/>
      <c r="H191" s="6" t="str">
        <f aca="false">IF(G191&lt;&gt;0,G191*H$2/(100+H$2)," ")</f>
        <v> </v>
      </c>
      <c r="I191" s="6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</row>
    <row r="192" customFormat="false" ht="12" hidden="false" customHeight="false" outlineLevel="0" collapsed="false">
      <c r="A192" s="27"/>
      <c r="F192" s="2"/>
      <c r="H192" s="6" t="str">
        <f aca="false">IF(G192&lt;&gt;0,G192*H$2/(100+H$2)," ")</f>
        <v> </v>
      </c>
      <c r="I192" s="6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</row>
    <row r="193" customFormat="false" ht="12" hidden="false" customHeight="false" outlineLevel="0" collapsed="false">
      <c r="A193" s="27"/>
      <c r="F193" s="2"/>
      <c r="H193" s="6" t="str">
        <f aca="false">IF(G193&lt;&gt;0,G193*H$2/(100+H$2)," ")</f>
        <v> </v>
      </c>
      <c r="I193" s="6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</row>
    <row r="194" customFormat="false" ht="12" hidden="false" customHeight="false" outlineLevel="0" collapsed="false">
      <c r="A194" s="27"/>
      <c r="F194" s="2"/>
      <c r="H194" s="6" t="str">
        <f aca="false">IF(G194&lt;&gt;0,G194*H$2/(100+H$2)," ")</f>
        <v> </v>
      </c>
      <c r="I194" s="6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</row>
    <row r="195" customFormat="false" ht="12" hidden="false" customHeight="false" outlineLevel="0" collapsed="false">
      <c r="A195" s="27"/>
      <c r="F195" s="2"/>
      <c r="H195" s="6" t="str">
        <f aca="false">IF(G195&lt;&gt;0,G195*H$2/(100+H$2)," ")</f>
        <v> </v>
      </c>
      <c r="I195" s="6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</row>
    <row r="196" customFormat="false" ht="12" hidden="false" customHeight="false" outlineLevel="0" collapsed="false">
      <c r="A196" s="27"/>
      <c r="F196" s="2"/>
      <c r="H196" s="6" t="str">
        <f aca="false">IF(G196&lt;&gt;0,G196*H$2/(100+H$2)," ")</f>
        <v> </v>
      </c>
      <c r="I196" s="6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</row>
    <row r="197" customFormat="false" ht="12" hidden="false" customHeight="false" outlineLevel="0" collapsed="false">
      <c r="A197" s="27"/>
      <c r="F197" s="2"/>
      <c r="H197" s="6" t="str">
        <f aca="false">IF(G197&lt;&gt;0,G197*H$2/(100+H$2)," ")</f>
        <v> </v>
      </c>
      <c r="I197" s="6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</row>
    <row r="198" customFormat="false" ht="12" hidden="false" customHeight="false" outlineLevel="0" collapsed="false">
      <c r="A198" s="27"/>
      <c r="F198" s="2"/>
      <c r="H198" s="6" t="str">
        <f aca="false">IF(G198&lt;&gt;0,G198*H$2/(100+H$2)," ")</f>
        <v> </v>
      </c>
      <c r="I198" s="6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</row>
    <row r="199" customFormat="false" ht="12" hidden="false" customHeight="false" outlineLevel="0" collapsed="false">
      <c r="A199" s="27"/>
      <c r="F199" s="2"/>
      <c r="H199" s="6" t="str">
        <f aca="false">IF(G199&lt;&gt;0,G199*H$2/(100+H$2)," ")</f>
        <v> </v>
      </c>
      <c r="I199" s="6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</row>
    <row r="200" customFormat="false" ht="12" hidden="false" customHeight="false" outlineLevel="0" collapsed="false">
      <c r="A200" s="27"/>
      <c r="F200" s="2"/>
      <c r="H200" s="6" t="str">
        <f aca="false">IF(G200&lt;&gt;0,G200*H$2/(100+H$2)," ")</f>
        <v> </v>
      </c>
      <c r="I200" s="6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</row>
    <row r="201" customFormat="false" ht="12" hidden="false" customHeight="false" outlineLevel="0" collapsed="false">
      <c r="A201" s="27"/>
      <c r="F201" s="2"/>
      <c r="H201" s="6" t="str">
        <f aca="false">IF(G201&lt;&gt;0,G201*H$2/(100+H$2)," ")</f>
        <v> </v>
      </c>
      <c r="I201" s="6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</row>
    <row r="202" customFormat="false" ht="12" hidden="false" customHeight="false" outlineLevel="0" collapsed="false">
      <c r="A202" s="27"/>
      <c r="F202" s="2"/>
      <c r="H202" s="6" t="str">
        <f aca="false">IF(G202&lt;&gt;0,G202*H$2/(100+H$2)," ")</f>
        <v> </v>
      </c>
      <c r="I202" s="6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</row>
    <row r="203" customFormat="false" ht="12" hidden="false" customHeight="false" outlineLevel="0" collapsed="false">
      <c r="A203" s="27"/>
      <c r="F203" s="2"/>
      <c r="H203" s="6" t="str">
        <f aca="false">IF(G203&lt;&gt;0,G203*H$2/(100+H$2)," ")</f>
        <v> </v>
      </c>
      <c r="I203" s="6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</row>
    <row r="204" customFormat="false" ht="12" hidden="false" customHeight="false" outlineLevel="0" collapsed="false">
      <c r="A204" s="27"/>
      <c r="F204" s="2"/>
      <c r="H204" s="6" t="str">
        <f aca="false">IF(G204&lt;&gt;0,G204*H$2/(100+H$2)," ")</f>
        <v> </v>
      </c>
      <c r="I204" s="6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</row>
    <row r="205" customFormat="false" ht="12" hidden="false" customHeight="false" outlineLevel="0" collapsed="false">
      <c r="A205" s="27"/>
      <c r="F205" s="2"/>
      <c r="H205" s="6" t="str">
        <f aca="false">IF(G205&lt;&gt;0,G205*H$2/(100+H$2)," ")</f>
        <v> </v>
      </c>
      <c r="I205" s="6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</row>
    <row r="206" customFormat="false" ht="12" hidden="false" customHeight="false" outlineLevel="0" collapsed="false">
      <c r="A206" s="27"/>
      <c r="F206" s="2"/>
      <c r="H206" s="6" t="str">
        <f aca="false">IF(G206&lt;&gt;0,G206*H$2/(100+H$2)," ")</f>
        <v> </v>
      </c>
      <c r="I206" s="6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</row>
    <row r="207" customFormat="false" ht="12" hidden="false" customHeight="false" outlineLevel="0" collapsed="false">
      <c r="A207" s="27"/>
      <c r="F207" s="2"/>
      <c r="H207" s="6" t="str">
        <f aca="false">IF(G207&lt;&gt;0,G207*H$2/(100+H$2)," ")</f>
        <v> </v>
      </c>
      <c r="I207" s="6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</row>
    <row r="208" customFormat="false" ht="12" hidden="false" customHeight="false" outlineLevel="0" collapsed="false">
      <c r="A208" s="27"/>
      <c r="F208" s="2"/>
      <c r="H208" s="6" t="str">
        <f aca="false">IF(G208&lt;&gt;0,G208*H$2/(100+H$2)," ")</f>
        <v> </v>
      </c>
      <c r="I208" s="6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</row>
    <row r="209" customFormat="false" ht="12" hidden="false" customHeight="false" outlineLevel="0" collapsed="false">
      <c r="A209" s="27"/>
      <c r="F209" s="2"/>
      <c r="H209" s="6" t="str">
        <f aca="false">IF(G209&lt;&gt;0,G209*H$2/(100+H$2)," ")</f>
        <v> </v>
      </c>
      <c r="I209" s="6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</row>
    <row r="210" customFormat="false" ht="12" hidden="false" customHeight="false" outlineLevel="0" collapsed="false">
      <c r="A210" s="27"/>
      <c r="F210" s="2"/>
      <c r="H210" s="6" t="str">
        <f aca="false">IF(G210&lt;&gt;0,G210*H$2/(100+H$2)," ")</f>
        <v> </v>
      </c>
      <c r="I210" s="6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</row>
    <row r="211" customFormat="false" ht="12" hidden="false" customHeight="false" outlineLevel="0" collapsed="false">
      <c r="A211" s="27"/>
      <c r="F211" s="2"/>
      <c r="H211" s="6" t="str">
        <f aca="false">IF(G211&lt;&gt;0,G211*H$2/(100+H$2)," ")</f>
        <v> </v>
      </c>
      <c r="I211" s="6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</row>
    <row r="212" customFormat="false" ht="12" hidden="false" customHeight="false" outlineLevel="0" collapsed="false">
      <c r="A212" s="27"/>
      <c r="F212" s="2"/>
      <c r="H212" s="6" t="str">
        <f aca="false">IF(G212&lt;&gt;0,G212*H$2/(100+H$2)," ")</f>
        <v> </v>
      </c>
      <c r="I212" s="6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</row>
    <row r="213" customFormat="false" ht="12" hidden="false" customHeight="false" outlineLevel="0" collapsed="false">
      <c r="A213" s="27"/>
      <c r="F213" s="2"/>
      <c r="H213" s="6" t="str">
        <f aca="false">IF(G213&lt;&gt;0,G213*H$2/(100+H$2)," ")</f>
        <v> </v>
      </c>
      <c r="I213" s="6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</row>
    <row r="214" customFormat="false" ht="12" hidden="false" customHeight="false" outlineLevel="0" collapsed="false">
      <c r="A214" s="27"/>
      <c r="F214" s="2"/>
      <c r="H214" s="6" t="str">
        <f aca="false">IF(G214&lt;&gt;0,G214*H$2/(100+H$2)," ")</f>
        <v> </v>
      </c>
      <c r="I214" s="6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</row>
    <row r="215" customFormat="false" ht="12" hidden="false" customHeight="false" outlineLevel="0" collapsed="false">
      <c r="A215" s="27"/>
      <c r="F215" s="2"/>
      <c r="H215" s="6" t="str">
        <f aca="false">IF(G215&lt;&gt;0,G215*H$2/(100+H$2)," ")</f>
        <v> </v>
      </c>
      <c r="I215" s="6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</row>
    <row r="216" customFormat="false" ht="12" hidden="false" customHeight="false" outlineLevel="0" collapsed="false">
      <c r="A216" s="27"/>
      <c r="F216" s="2"/>
      <c r="H216" s="6" t="str">
        <f aca="false">IF(G216&lt;&gt;0,G216*H$2/(100+H$2)," ")</f>
        <v> </v>
      </c>
      <c r="I216" s="6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</row>
    <row r="217" customFormat="false" ht="12" hidden="false" customHeight="false" outlineLevel="0" collapsed="false">
      <c r="A217" s="27"/>
      <c r="F217" s="2"/>
      <c r="H217" s="6" t="str">
        <f aca="false">IF(G217&lt;&gt;0,G217*H$2/(100+H$2)," ")</f>
        <v> </v>
      </c>
      <c r="I217" s="6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</row>
    <row r="218" customFormat="false" ht="12" hidden="false" customHeight="false" outlineLevel="0" collapsed="false">
      <c r="A218" s="27"/>
      <c r="F218" s="2"/>
      <c r="H218" s="6" t="str">
        <f aca="false">IF(G218&lt;&gt;0,G218*H$2/(100+H$2)," ")</f>
        <v> </v>
      </c>
      <c r="I218" s="6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</row>
    <row r="219" customFormat="false" ht="12" hidden="false" customHeight="false" outlineLevel="0" collapsed="false">
      <c r="A219" s="27"/>
      <c r="F219" s="2"/>
      <c r="H219" s="6" t="str">
        <f aca="false">IF(G219&lt;&gt;0,G219*H$2/(100+H$2)," ")</f>
        <v> </v>
      </c>
      <c r="I219" s="6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</row>
    <row r="220" customFormat="false" ht="12" hidden="false" customHeight="false" outlineLevel="0" collapsed="false">
      <c r="A220" s="27"/>
      <c r="F220" s="2"/>
      <c r="H220" s="6" t="str">
        <f aca="false">IF(G220&lt;&gt;0,G220*H$2/(100+H$2)," ")</f>
        <v> </v>
      </c>
      <c r="I220" s="6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</row>
    <row r="221" customFormat="false" ht="12" hidden="false" customHeight="false" outlineLevel="0" collapsed="false">
      <c r="A221" s="27"/>
      <c r="F221" s="2"/>
      <c r="H221" s="6" t="str">
        <f aca="false">IF(G221&lt;&gt;0,G221*H$2/(100+H$2)," ")</f>
        <v> </v>
      </c>
      <c r="I221" s="6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</row>
    <row r="222" customFormat="false" ht="12" hidden="false" customHeight="false" outlineLevel="0" collapsed="false">
      <c r="A222" s="27"/>
      <c r="F222" s="2"/>
      <c r="H222" s="6" t="str">
        <f aca="false">IF(G222&lt;&gt;0,G222*H$2/(100+H$2)," ")</f>
        <v> </v>
      </c>
      <c r="I222" s="6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</row>
    <row r="223" customFormat="false" ht="12" hidden="false" customHeight="false" outlineLevel="0" collapsed="false">
      <c r="A223" s="27"/>
      <c r="F223" s="2"/>
      <c r="H223" s="6" t="str">
        <f aca="false">IF(G223&lt;&gt;0,G223*H$2/(100+H$2)," ")</f>
        <v> </v>
      </c>
      <c r="I223" s="6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</row>
    <row r="224" customFormat="false" ht="12" hidden="false" customHeight="false" outlineLevel="0" collapsed="false">
      <c r="A224" s="27"/>
      <c r="F224" s="2"/>
      <c r="H224" s="6" t="str">
        <f aca="false">IF(G224&lt;&gt;0,G224*H$2/(100+H$2)," ")</f>
        <v> </v>
      </c>
      <c r="I224" s="6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</row>
    <row r="225" customFormat="false" ht="12" hidden="false" customHeight="false" outlineLevel="0" collapsed="false">
      <c r="A225" s="27"/>
      <c r="F225" s="2"/>
      <c r="H225" s="6" t="str">
        <f aca="false">IF(G225&lt;&gt;0,G225*H$2/(100+H$2)," ")</f>
        <v> </v>
      </c>
      <c r="I225" s="6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</row>
    <row r="226" customFormat="false" ht="12" hidden="false" customHeight="false" outlineLevel="0" collapsed="false">
      <c r="A226" s="27"/>
      <c r="F226" s="2"/>
      <c r="H226" s="6" t="str">
        <f aca="false">IF(G226&lt;&gt;0,G226*H$2/(100+H$2)," ")</f>
        <v> </v>
      </c>
      <c r="I226" s="6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</row>
    <row r="227" customFormat="false" ht="12" hidden="false" customHeight="false" outlineLevel="0" collapsed="false">
      <c r="A227" s="27"/>
      <c r="F227" s="2"/>
      <c r="H227" s="6" t="str">
        <f aca="false">IF(G227&lt;&gt;0,G227*H$2/(100+H$2)," ")</f>
        <v> </v>
      </c>
      <c r="I227" s="6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</row>
    <row r="228" customFormat="false" ht="12" hidden="false" customHeight="false" outlineLevel="0" collapsed="false">
      <c r="A228" s="27"/>
      <c r="F228" s="2"/>
      <c r="H228" s="6" t="str">
        <f aca="false">IF(G228&lt;&gt;0,G228*H$2/(100+H$2)," ")</f>
        <v> </v>
      </c>
      <c r="I228" s="6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</row>
    <row r="229" customFormat="false" ht="12" hidden="false" customHeight="false" outlineLevel="0" collapsed="false">
      <c r="A229" s="27"/>
      <c r="F229" s="2"/>
      <c r="H229" s="6" t="str">
        <f aca="false">IF(G229&lt;&gt;0,G229*H$2/(100+H$2)," ")</f>
        <v> </v>
      </c>
      <c r="I229" s="6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</row>
    <row r="230" customFormat="false" ht="12" hidden="false" customHeight="false" outlineLevel="0" collapsed="false">
      <c r="A230" s="27"/>
      <c r="F230" s="2"/>
      <c r="H230" s="6" t="str">
        <f aca="false">IF(G230&lt;&gt;0,G230*H$2/(100+H$2)," ")</f>
        <v> </v>
      </c>
      <c r="I230" s="6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</row>
    <row r="231" customFormat="false" ht="12" hidden="false" customHeight="false" outlineLevel="0" collapsed="false">
      <c r="A231" s="27"/>
      <c r="F231" s="2"/>
      <c r="H231" s="6" t="str">
        <f aca="false">IF(G231&lt;&gt;0,G231*H$2/(100+H$2)," ")</f>
        <v> </v>
      </c>
      <c r="I231" s="6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</row>
    <row r="232" customFormat="false" ht="12" hidden="false" customHeight="false" outlineLevel="0" collapsed="false">
      <c r="A232" s="27"/>
      <c r="F232" s="2"/>
      <c r="H232" s="6" t="str">
        <f aca="false">IF(G232&lt;&gt;0,G232*H$2/(100+H$2)," ")</f>
        <v> </v>
      </c>
      <c r="I232" s="6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</row>
    <row r="233" customFormat="false" ht="12" hidden="false" customHeight="false" outlineLevel="0" collapsed="false">
      <c r="A233" s="27"/>
      <c r="F233" s="2"/>
      <c r="H233" s="6" t="str">
        <f aca="false">IF(G233&lt;&gt;0,G233*H$2/(100+H$2)," ")</f>
        <v> </v>
      </c>
      <c r="I233" s="6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</row>
    <row r="234" customFormat="false" ht="12" hidden="false" customHeight="false" outlineLevel="0" collapsed="false">
      <c r="A234" s="27"/>
      <c r="F234" s="2"/>
      <c r="H234" s="6" t="str">
        <f aca="false">IF(G234&lt;&gt;0,G234*H$2/(100+H$2)," ")</f>
        <v> </v>
      </c>
      <c r="I234" s="6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</row>
    <row r="235" customFormat="false" ht="12" hidden="false" customHeight="false" outlineLevel="0" collapsed="false">
      <c r="A235" s="27"/>
      <c r="F235" s="2"/>
      <c r="H235" s="6" t="str">
        <f aca="false">IF(G235&lt;&gt;0,G235*H$2/(100+H$2)," ")</f>
        <v> </v>
      </c>
      <c r="I235" s="6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</row>
    <row r="236" customFormat="false" ht="12" hidden="false" customHeight="false" outlineLevel="0" collapsed="false">
      <c r="A236" s="27"/>
      <c r="F236" s="2"/>
      <c r="H236" s="6" t="str">
        <f aca="false">IF(G236&lt;&gt;0,G236*H$2/(100+H$2)," ")</f>
        <v> </v>
      </c>
      <c r="I236" s="6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</row>
    <row r="237" customFormat="false" ht="12" hidden="false" customHeight="false" outlineLevel="0" collapsed="false">
      <c r="A237" s="27"/>
      <c r="F237" s="2"/>
      <c r="H237" s="6" t="str">
        <f aca="false">IF(G237&lt;&gt;0,G237*H$2/(100+H$2)," ")</f>
        <v> </v>
      </c>
      <c r="I237" s="6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</row>
    <row r="238" customFormat="false" ht="12" hidden="false" customHeight="false" outlineLevel="0" collapsed="false">
      <c r="A238" s="27"/>
      <c r="F238" s="2"/>
      <c r="H238" s="6" t="str">
        <f aca="false">IF(G238&lt;&gt;0,G238*H$2/(100+H$2)," ")</f>
        <v> </v>
      </c>
      <c r="I238" s="6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</row>
    <row r="239" customFormat="false" ht="12" hidden="false" customHeight="false" outlineLevel="0" collapsed="false">
      <c r="A239" s="27"/>
      <c r="F239" s="2"/>
      <c r="H239" s="6" t="str">
        <f aca="false">IF(G239&lt;&gt;0,G239*H$2/(100+H$2)," ")</f>
        <v> </v>
      </c>
      <c r="I239" s="6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</row>
    <row r="240" customFormat="false" ht="12" hidden="false" customHeight="false" outlineLevel="0" collapsed="false">
      <c r="A240" s="27"/>
      <c r="F240" s="2"/>
      <c r="H240" s="6" t="str">
        <f aca="false">IF(G240&lt;&gt;0,G240*H$2/(100+H$2)," ")</f>
        <v> </v>
      </c>
      <c r="I240" s="6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</row>
    <row r="241" customFormat="false" ht="12" hidden="false" customHeight="false" outlineLevel="0" collapsed="false">
      <c r="A241" s="27"/>
      <c r="F241" s="2"/>
      <c r="H241" s="6" t="str">
        <f aca="false">IF(G241&lt;&gt;0,G241*H$2/(100+H$2)," ")</f>
        <v> </v>
      </c>
      <c r="I241" s="6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</row>
    <row r="242" customFormat="false" ht="12" hidden="false" customHeight="false" outlineLevel="0" collapsed="false">
      <c r="A242" s="27"/>
      <c r="F242" s="2"/>
      <c r="H242" s="6" t="str">
        <f aca="false">IF(G242&lt;&gt;0,G242*H$2/(100+H$2)," ")</f>
        <v> </v>
      </c>
      <c r="I242" s="6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</row>
    <row r="243" customFormat="false" ht="12" hidden="false" customHeight="false" outlineLevel="0" collapsed="false">
      <c r="A243" s="27"/>
      <c r="F243" s="2"/>
      <c r="H243" s="6" t="str">
        <f aca="false">IF(G243&lt;&gt;0,G243*H$2/(100+H$2)," ")</f>
        <v> </v>
      </c>
      <c r="I243" s="6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</row>
    <row r="244" customFormat="false" ht="12" hidden="false" customHeight="false" outlineLevel="0" collapsed="false">
      <c r="A244" s="27"/>
      <c r="F244" s="2"/>
      <c r="H244" s="6" t="str">
        <f aca="false">IF(G244&lt;&gt;0,G244*H$2/(100+H$2)," ")</f>
        <v> </v>
      </c>
      <c r="I244" s="6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</row>
    <row r="245" customFormat="false" ht="12" hidden="false" customHeight="false" outlineLevel="0" collapsed="false">
      <c r="A245" s="27"/>
      <c r="F245" s="2"/>
      <c r="H245" s="6" t="str">
        <f aca="false">IF(G245&lt;&gt;0,G245*H$2/(100+H$2)," ")</f>
        <v> </v>
      </c>
      <c r="I245" s="6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</row>
    <row r="246" customFormat="false" ht="12" hidden="false" customHeight="false" outlineLevel="0" collapsed="false">
      <c r="A246" s="27"/>
      <c r="F246" s="2"/>
      <c r="H246" s="6" t="str">
        <f aca="false">IF(G246&lt;&gt;0,G246*H$2/(100+H$2)," ")</f>
        <v> </v>
      </c>
      <c r="I246" s="6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</row>
    <row r="247" customFormat="false" ht="12" hidden="false" customHeight="false" outlineLevel="0" collapsed="false">
      <c r="A247" s="27"/>
      <c r="F247" s="2"/>
      <c r="H247" s="6" t="str">
        <f aca="false">IF(G247&lt;&gt;0,G247*H$2/(100+H$2)," ")</f>
        <v> </v>
      </c>
      <c r="I247" s="6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</row>
    <row r="248" customFormat="false" ht="12" hidden="false" customHeight="false" outlineLevel="0" collapsed="false">
      <c r="A248" s="27"/>
      <c r="F248" s="2"/>
      <c r="H248" s="6" t="str">
        <f aca="false">IF(G248&lt;&gt;0,G248*H$2/(100+H$2)," ")</f>
        <v> </v>
      </c>
      <c r="I248" s="6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</row>
    <row r="249" customFormat="false" ht="12" hidden="false" customHeight="false" outlineLevel="0" collapsed="false">
      <c r="A249" s="27"/>
      <c r="F249" s="2"/>
      <c r="H249" s="6" t="str">
        <f aca="false">IF(G249&lt;&gt;0,G249*H$2/(100+H$2)," ")</f>
        <v> </v>
      </c>
      <c r="I249" s="6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</row>
    <row r="250" customFormat="false" ht="12" hidden="false" customHeight="false" outlineLevel="0" collapsed="false">
      <c r="A250" s="27"/>
      <c r="F250" s="2"/>
      <c r="H250" s="6" t="str">
        <f aca="false">IF(G250&lt;&gt;0,G250*H$2/(100+H$2)," ")</f>
        <v> </v>
      </c>
      <c r="I250" s="6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</row>
    <row r="251" customFormat="false" ht="12" hidden="false" customHeight="false" outlineLevel="0" collapsed="false">
      <c r="A251" s="27"/>
      <c r="F251" s="2"/>
      <c r="H251" s="6" t="str">
        <f aca="false">IF(G251&lt;&gt;0,G251*H$2/(100+H$2)," ")</f>
        <v> </v>
      </c>
      <c r="I251" s="6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</row>
    <row r="252" customFormat="false" ht="12" hidden="false" customHeight="false" outlineLevel="0" collapsed="false">
      <c r="A252" s="27"/>
      <c r="F252" s="2"/>
      <c r="H252" s="6" t="str">
        <f aca="false">IF(G252&lt;&gt;0,G252*H$2/(100+H$2)," ")</f>
        <v> </v>
      </c>
      <c r="I252" s="6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</row>
    <row r="253" customFormat="false" ht="12" hidden="false" customHeight="false" outlineLevel="0" collapsed="false">
      <c r="A253" s="27"/>
      <c r="F253" s="2"/>
      <c r="H253" s="6" t="str">
        <f aca="false">IF(G253&lt;&gt;0,G253*H$2/(100+H$2)," ")</f>
        <v> </v>
      </c>
      <c r="I253" s="6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</row>
    <row r="254" customFormat="false" ht="12" hidden="false" customHeight="false" outlineLevel="0" collapsed="false">
      <c r="A254" s="27"/>
      <c r="F254" s="2"/>
      <c r="H254" s="6" t="str">
        <f aca="false">IF(G254&lt;&gt;0,G254*H$2/(100+H$2)," ")</f>
        <v> </v>
      </c>
      <c r="I254" s="6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</row>
    <row r="255" customFormat="false" ht="12" hidden="false" customHeight="false" outlineLevel="0" collapsed="false">
      <c r="A255" s="27"/>
      <c r="F255" s="2"/>
      <c r="H255" s="6" t="str">
        <f aca="false">IF(G255&lt;&gt;0,G255*H$2/(100+H$2)," ")</f>
        <v> </v>
      </c>
      <c r="I255" s="6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</row>
    <row r="256" customFormat="false" ht="12" hidden="false" customHeight="false" outlineLevel="0" collapsed="false">
      <c r="A256" s="27"/>
      <c r="F256" s="2"/>
      <c r="H256" s="6" t="str">
        <f aca="false">IF(G256&lt;&gt;0,G256*H$2/(100+H$2)," ")</f>
        <v> </v>
      </c>
      <c r="I256" s="6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</row>
    <row r="257" customFormat="false" ht="12" hidden="false" customHeight="false" outlineLevel="0" collapsed="false">
      <c r="A257" s="27"/>
      <c r="F257" s="2"/>
      <c r="H257" s="6" t="str">
        <f aca="false">IF(G257&lt;&gt;0,G257*H$2/(100+H$2)," ")</f>
        <v> </v>
      </c>
      <c r="I257" s="6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</row>
    <row r="258" customFormat="false" ht="12" hidden="false" customHeight="false" outlineLevel="0" collapsed="false">
      <c r="A258" s="27"/>
      <c r="F258" s="2"/>
      <c r="H258" s="6" t="str">
        <f aca="false">IF(G258&lt;&gt;0,G258*H$2/(100+H$2)," ")</f>
        <v> </v>
      </c>
      <c r="I258" s="6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</row>
    <row r="259" customFormat="false" ht="12" hidden="false" customHeight="false" outlineLevel="0" collapsed="false">
      <c r="A259" s="27"/>
      <c r="F259" s="2"/>
      <c r="H259" s="6" t="str">
        <f aca="false">IF(G259&lt;&gt;0,G259*H$2/(100+H$2)," ")</f>
        <v> </v>
      </c>
      <c r="I259" s="6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</row>
    <row r="260" customFormat="false" ht="12" hidden="false" customHeight="false" outlineLevel="0" collapsed="false">
      <c r="A260" s="27"/>
      <c r="F260" s="2"/>
      <c r="H260" s="6" t="str">
        <f aca="false">IF(G260&lt;&gt;0,G260*H$2/(100+H$2)," ")</f>
        <v> </v>
      </c>
      <c r="I260" s="6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</row>
    <row r="261" customFormat="false" ht="12" hidden="false" customHeight="false" outlineLevel="0" collapsed="false">
      <c r="A261" s="27"/>
      <c r="F261" s="2"/>
      <c r="H261" s="6" t="str">
        <f aca="false">IF(G261&lt;&gt;0,G261*H$2/(100+H$2)," ")</f>
        <v> </v>
      </c>
      <c r="I261" s="6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</row>
    <row r="262" customFormat="false" ht="12" hidden="false" customHeight="false" outlineLevel="0" collapsed="false">
      <c r="A262" s="27"/>
      <c r="F262" s="2"/>
      <c r="H262" s="6" t="str">
        <f aca="false">IF(G262&lt;&gt;0,G262*H$2/(100+H$2)," ")</f>
        <v> </v>
      </c>
      <c r="I262" s="6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</row>
    <row r="263" customFormat="false" ht="12" hidden="false" customHeight="false" outlineLevel="0" collapsed="false">
      <c r="A263" s="27"/>
      <c r="F263" s="2"/>
      <c r="H263" s="6" t="str">
        <f aca="false">IF(G263&lt;&gt;0,G263*H$2/(100+H$2)," ")</f>
        <v> </v>
      </c>
      <c r="I263" s="6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</row>
    <row r="264" customFormat="false" ht="12" hidden="false" customHeight="false" outlineLevel="0" collapsed="false">
      <c r="A264" s="27"/>
      <c r="F264" s="2"/>
      <c r="H264" s="6" t="str">
        <f aca="false">IF(G264&lt;&gt;0,G264*H$2/(100+H$2)," ")</f>
        <v> </v>
      </c>
      <c r="I264" s="6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</row>
    <row r="265" customFormat="false" ht="12" hidden="false" customHeight="false" outlineLevel="0" collapsed="false">
      <c r="A265" s="27"/>
      <c r="F265" s="2"/>
      <c r="H265" s="6" t="str">
        <f aca="false">IF(G265&lt;&gt;0,G265*H$2/(100+H$2)," ")</f>
        <v> </v>
      </c>
      <c r="I265" s="6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</row>
    <row r="266" customFormat="false" ht="12" hidden="false" customHeight="false" outlineLevel="0" collapsed="false">
      <c r="A266" s="27"/>
      <c r="F266" s="2"/>
      <c r="H266" s="6" t="str">
        <f aca="false">IF(G266&lt;&gt;0,G266*H$2/(100+H$2)," ")</f>
        <v> </v>
      </c>
      <c r="I266" s="6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</row>
    <row r="267" customFormat="false" ht="12" hidden="false" customHeight="false" outlineLevel="0" collapsed="false">
      <c r="A267" s="27"/>
      <c r="F267" s="2"/>
      <c r="H267" s="6" t="str">
        <f aca="false">IF(G267&lt;&gt;0,G267*H$2/(100+H$2)," ")</f>
        <v> </v>
      </c>
      <c r="I267" s="6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</row>
    <row r="268" customFormat="false" ht="12" hidden="false" customHeight="false" outlineLevel="0" collapsed="false">
      <c r="A268" s="27"/>
      <c r="F268" s="2"/>
      <c r="H268" s="6" t="str">
        <f aca="false">IF(G268&lt;&gt;0,G268*H$2/(100+H$2)," ")</f>
        <v> </v>
      </c>
      <c r="I268" s="6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</row>
    <row r="269" customFormat="false" ht="12" hidden="false" customHeight="false" outlineLevel="0" collapsed="false">
      <c r="A269" s="27"/>
      <c r="F269" s="2"/>
      <c r="H269" s="6" t="str">
        <f aca="false">IF(G269&lt;&gt;0,G269*H$2/(100+H$2)," ")</f>
        <v> </v>
      </c>
      <c r="I269" s="6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</row>
    <row r="270" customFormat="false" ht="12" hidden="false" customHeight="false" outlineLevel="0" collapsed="false">
      <c r="A270" s="27"/>
      <c r="F270" s="2"/>
      <c r="H270" s="6" t="str">
        <f aca="false">IF(G270&lt;&gt;0,G270*H$2/(100+H$2)," ")</f>
        <v> </v>
      </c>
      <c r="I270" s="6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</row>
    <row r="271" customFormat="false" ht="12" hidden="false" customHeight="false" outlineLevel="0" collapsed="false">
      <c r="A271" s="27"/>
      <c r="F271" s="2"/>
      <c r="H271" s="6" t="str">
        <f aca="false">IF(G271&lt;&gt;0,G271*H$2/(100+H$2)," ")</f>
        <v> </v>
      </c>
      <c r="I271" s="6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</row>
    <row r="272" customFormat="false" ht="12" hidden="false" customHeight="false" outlineLevel="0" collapsed="false">
      <c r="A272" s="27"/>
      <c r="F272" s="2"/>
      <c r="H272" s="6" t="str">
        <f aca="false">IF(G272&lt;&gt;0,G272*H$2/(100+H$2)," ")</f>
        <v> </v>
      </c>
      <c r="I272" s="6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</row>
    <row r="273" customFormat="false" ht="12" hidden="false" customHeight="false" outlineLevel="0" collapsed="false">
      <c r="A273" s="27"/>
      <c r="F273" s="2"/>
      <c r="H273" s="6" t="str">
        <f aca="false">IF(G273&lt;&gt;0,G273*H$2/(100+H$2)," ")</f>
        <v> </v>
      </c>
      <c r="I273" s="6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</row>
    <row r="274" customFormat="false" ht="12" hidden="false" customHeight="false" outlineLevel="0" collapsed="false">
      <c r="A274" s="27"/>
      <c r="F274" s="2"/>
      <c r="H274" s="6" t="str">
        <f aca="false">IF(G274&lt;&gt;0,G274*H$2/(100+H$2)," ")</f>
        <v> </v>
      </c>
      <c r="I274" s="6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</row>
    <row r="275" customFormat="false" ht="12" hidden="false" customHeight="false" outlineLevel="0" collapsed="false">
      <c r="A275" s="27"/>
      <c r="F275" s="2"/>
      <c r="H275" s="6" t="str">
        <f aca="false">IF(G275&lt;&gt;0,G275*H$2/(100+H$2)," ")</f>
        <v> </v>
      </c>
      <c r="I275" s="6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</row>
    <row r="276" customFormat="false" ht="12" hidden="false" customHeight="false" outlineLevel="0" collapsed="false">
      <c r="A276" s="27"/>
      <c r="F276" s="2"/>
      <c r="H276" s="6" t="str">
        <f aca="false">IF(G276&lt;&gt;0,G276*H$2/(100+H$2)," ")</f>
        <v> </v>
      </c>
      <c r="I276" s="6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</row>
    <row r="277" customFormat="false" ht="12" hidden="false" customHeight="false" outlineLevel="0" collapsed="false">
      <c r="A277" s="27"/>
      <c r="F277" s="2"/>
      <c r="H277" s="6" t="str">
        <f aca="false">IF(G277&lt;&gt;0,G277*H$2/(100+H$2)," ")</f>
        <v> </v>
      </c>
      <c r="I277" s="6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</row>
    <row r="278" customFormat="false" ht="12" hidden="false" customHeight="false" outlineLevel="0" collapsed="false">
      <c r="A278" s="27"/>
      <c r="F278" s="2"/>
      <c r="H278" s="6" t="str">
        <f aca="false">IF(G278&lt;&gt;0,G278*H$2/(100+H$2)," ")</f>
        <v> </v>
      </c>
      <c r="I278" s="6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</row>
    <row r="279" customFormat="false" ht="12" hidden="false" customHeight="false" outlineLevel="0" collapsed="false">
      <c r="A279" s="27"/>
      <c r="F279" s="2"/>
      <c r="H279" s="6" t="str">
        <f aca="false">IF(G279&lt;&gt;0,G279*H$2/(100+H$2)," ")</f>
        <v> </v>
      </c>
      <c r="I279" s="6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</row>
    <row r="280" customFormat="false" ht="12" hidden="false" customHeight="false" outlineLevel="0" collapsed="false">
      <c r="A280" s="27"/>
      <c r="F280" s="2"/>
      <c r="H280" s="6" t="str">
        <f aca="false">IF(G280&lt;&gt;0,G280*H$2/(100+H$2)," ")</f>
        <v> </v>
      </c>
      <c r="I280" s="6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</row>
    <row r="281" customFormat="false" ht="12" hidden="false" customHeight="false" outlineLevel="0" collapsed="false">
      <c r="A281" s="27"/>
      <c r="F281" s="2"/>
      <c r="H281" s="6" t="str">
        <f aca="false">IF(G281&lt;&gt;0,G281*H$2/(100+H$2)," ")</f>
        <v> </v>
      </c>
      <c r="I281" s="6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</row>
    <row r="282" customFormat="false" ht="12" hidden="false" customHeight="false" outlineLevel="0" collapsed="false">
      <c r="A282" s="27"/>
      <c r="F282" s="2"/>
      <c r="H282" s="6" t="str">
        <f aca="false">IF(G282&lt;&gt;0,G282*H$2/(100+H$2)," ")</f>
        <v> </v>
      </c>
      <c r="I282" s="6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</row>
    <row r="283" customFormat="false" ht="12" hidden="false" customHeight="false" outlineLevel="0" collapsed="false">
      <c r="A283" s="27"/>
      <c r="F283" s="2"/>
      <c r="H283" s="6" t="str">
        <f aca="false">IF(G283&lt;&gt;0,G283*H$2/(100+H$2)," ")</f>
        <v> </v>
      </c>
      <c r="I283" s="6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</row>
    <row r="284" customFormat="false" ht="12" hidden="false" customHeight="false" outlineLevel="0" collapsed="false">
      <c r="A284" s="27"/>
      <c r="F284" s="2"/>
      <c r="H284" s="6" t="str">
        <f aca="false">IF(G284&lt;&gt;0,G284*H$2/(100+H$2)," ")</f>
        <v> </v>
      </c>
      <c r="I284" s="6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</row>
    <row r="285" customFormat="false" ht="12" hidden="false" customHeight="false" outlineLevel="0" collapsed="false">
      <c r="A285" s="27"/>
      <c r="F285" s="2"/>
      <c r="H285" s="6" t="str">
        <f aca="false">IF(G285&lt;&gt;0,G285*H$2/(100+H$2)," ")</f>
        <v> </v>
      </c>
      <c r="I285" s="6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</row>
    <row r="286" customFormat="false" ht="12" hidden="false" customHeight="false" outlineLevel="0" collapsed="false">
      <c r="A286" s="27"/>
      <c r="F286" s="2"/>
      <c r="H286" s="6" t="str">
        <f aca="false">IF(G286&lt;&gt;0,G286*H$2/(100+H$2)," ")</f>
        <v> </v>
      </c>
      <c r="I286" s="6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</row>
    <row r="287" customFormat="false" ht="12" hidden="false" customHeight="false" outlineLevel="0" collapsed="false">
      <c r="A287" s="27"/>
      <c r="F287" s="2"/>
      <c r="H287" s="6" t="str">
        <f aca="false">IF(G287&lt;&gt;0,G287*H$2/(100+H$2)," ")</f>
        <v> </v>
      </c>
      <c r="I287" s="6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</row>
    <row r="288" customFormat="false" ht="12" hidden="false" customHeight="false" outlineLevel="0" collapsed="false">
      <c r="A288" s="27"/>
      <c r="F288" s="2"/>
      <c r="H288" s="6" t="str">
        <f aca="false">IF(G288&lt;&gt;0,G288*H$2/(100+H$2)," ")</f>
        <v> </v>
      </c>
      <c r="I288" s="6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</row>
    <row r="289" customFormat="false" ht="12" hidden="false" customHeight="false" outlineLevel="0" collapsed="false">
      <c r="A289" s="27"/>
      <c r="F289" s="2"/>
      <c r="H289" s="6" t="str">
        <f aca="false">IF(G289&lt;&gt;0,G289*H$2/(100+H$2)," ")</f>
        <v> </v>
      </c>
      <c r="I289" s="6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</row>
    <row r="290" customFormat="false" ht="12" hidden="false" customHeight="false" outlineLevel="0" collapsed="false">
      <c r="A290" s="27"/>
      <c r="F290" s="2"/>
      <c r="H290" s="6" t="str">
        <f aca="false">IF(G290&lt;&gt;0,G290*H$2/(100+H$2)," ")</f>
        <v> </v>
      </c>
      <c r="I290" s="6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</row>
    <row r="291" customFormat="false" ht="12" hidden="false" customHeight="false" outlineLevel="0" collapsed="false">
      <c r="A291" s="27"/>
      <c r="F291" s="2"/>
      <c r="H291" s="6" t="str">
        <f aca="false">IF(G291&lt;&gt;0,G291*H$2/(100+H$2)," ")</f>
        <v> </v>
      </c>
      <c r="I291" s="6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</row>
    <row r="292" customFormat="false" ht="12" hidden="false" customHeight="false" outlineLevel="0" collapsed="false">
      <c r="A292" s="27"/>
      <c r="F292" s="2"/>
      <c r="H292" s="6" t="str">
        <f aca="false">IF(G292&lt;&gt;0,G292*H$2/(100+H$2)," ")</f>
        <v> </v>
      </c>
      <c r="I292" s="6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</row>
    <row r="293" customFormat="false" ht="12" hidden="false" customHeight="false" outlineLevel="0" collapsed="false">
      <c r="A293" s="27"/>
      <c r="F293" s="2"/>
      <c r="H293" s="6" t="str">
        <f aca="false">IF(G293&lt;&gt;0,G293*H$2/(100+H$2)," ")</f>
        <v> </v>
      </c>
      <c r="I293" s="6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</row>
    <row r="294" customFormat="false" ht="12" hidden="false" customHeight="false" outlineLevel="0" collapsed="false">
      <c r="A294" s="27"/>
      <c r="F294" s="2"/>
      <c r="H294" s="6" t="str">
        <f aca="false">IF(G294&lt;&gt;0,G294*H$2/(100+H$2)," ")</f>
        <v> </v>
      </c>
      <c r="I294" s="6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</row>
    <row r="295" customFormat="false" ht="12" hidden="false" customHeight="false" outlineLevel="0" collapsed="false">
      <c r="A295" s="27"/>
      <c r="F295" s="2"/>
      <c r="H295" s="6" t="str">
        <f aca="false">IF(G295&lt;&gt;0,G295*H$2/(100+H$2)," ")</f>
        <v> </v>
      </c>
      <c r="I295" s="6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</row>
    <row r="296" customFormat="false" ht="12" hidden="false" customHeight="false" outlineLevel="0" collapsed="false">
      <c r="A296" s="27"/>
      <c r="F296" s="2"/>
      <c r="H296" s="6" t="str">
        <f aca="false">IF(G296&lt;&gt;0,G296*H$2/(100+H$2)," ")</f>
        <v> </v>
      </c>
      <c r="I296" s="6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</row>
    <row r="297" customFormat="false" ht="12" hidden="false" customHeight="false" outlineLevel="0" collapsed="false">
      <c r="A297" s="27"/>
      <c r="F297" s="2"/>
      <c r="H297" s="6" t="str">
        <f aca="false">IF(G297&lt;&gt;0,G297*H$2/(100+H$2)," ")</f>
        <v> </v>
      </c>
      <c r="I297" s="6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</row>
    <row r="298" customFormat="false" ht="12" hidden="false" customHeight="false" outlineLevel="0" collapsed="false">
      <c r="A298" s="27"/>
      <c r="F298" s="2"/>
      <c r="H298" s="6" t="str">
        <f aca="false">IF(G298&lt;&gt;0,G298*H$2/(100+H$2)," ")</f>
        <v> </v>
      </c>
      <c r="I298" s="6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</row>
    <row r="299" customFormat="false" ht="12" hidden="false" customHeight="false" outlineLevel="0" collapsed="false">
      <c r="A299" s="27"/>
      <c r="F299" s="2"/>
      <c r="H299" s="6" t="str">
        <f aca="false">IF(G299&lt;&gt;0,G299*H$2/(100+H$2)," ")</f>
        <v> </v>
      </c>
      <c r="I299" s="6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</row>
    <row r="300" customFormat="false" ht="12" hidden="false" customHeight="false" outlineLevel="0" collapsed="false">
      <c r="A300" s="30"/>
      <c r="B300" s="31"/>
      <c r="C300" s="32"/>
      <c r="D300" s="33"/>
      <c r="E300" s="31"/>
      <c r="F300" s="31"/>
      <c r="G300" s="34"/>
      <c r="H300" s="34" t="str">
        <f aca="false">IF(G300&lt;&gt;0,G300*H$2/(100+H$2)," ")</f>
        <v> </v>
      </c>
      <c r="I300" s="34" t="str">
        <f aca="false">IF((G300&lt;&gt;0),G300-H300," ")</f>
        <v> </v>
      </c>
      <c r="J300" s="34"/>
      <c r="K300" s="34"/>
      <c r="L300" s="34"/>
      <c r="M300" s="35" t="str">
        <f aca="false">IF(G300&lt;&gt;0,G300-L300," ")</f>
        <v> </v>
      </c>
      <c r="N300" s="36" t="str">
        <f aca="false">IF((G300-L300)&lt;&gt;0,N$1-A300," ")</f>
        <v> </v>
      </c>
    </row>
  </sheetData>
  <mergeCells count="15">
    <mergeCell ref="A1:A4"/>
    <mergeCell ref="B1:B4"/>
    <mergeCell ref="C1:C4"/>
    <mergeCell ref="D1:D4"/>
    <mergeCell ref="J1:J4"/>
    <mergeCell ref="K1:K4"/>
    <mergeCell ref="E2:E4"/>
    <mergeCell ref="F2:F4"/>
    <mergeCell ref="G2:G4"/>
    <mergeCell ref="I2:I4"/>
    <mergeCell ref="L2:N2"/>
    <mergeCell ref="H3:H4"/>
    <mergeCell ref="L3:L4"/>
    <mergeCell ref="M3:M4"/>
    <mergeCell ref="N3:N4"/>
  </mergeCells>
  <dataValidations count="2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19" type="date">
      <formula1>38353</formula1>
      <formula2>53327</formula2>
    </dataValidation>
  </dataValidations>
  <printOptions headings="false" gridLines="false" gridLinesSet="true" horizontalCentered="true" verticalCentered="true"/>
  <pageMargins left="0.157638888888889" right="0.157638888888889" top="0.590277777777778" bottom="0.590277777777778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7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8" t="n">
        <f aca="false">G1-H1-SUM(P1:AB1)</f>
        <v>2977</v>
      </c>
      <c r="B1" s="39" t="s">
        <v>21</v>
      </c>
      <c r="C1" s="39"/>
      <c r="D1" s="12" t="n">
        <f aca="false">SUM(D5:D300)</f>
        <v>0</v>
      </c>
      <c r="E1" s="13" t="s">
        <v>3</v>
      </c>
      <c r="F1" s="14"/>
      <c r="G1" s="13" t="n">
        <f aca="false">SUM(G2:G300)</f>
        <v>5111.25</v>
      </c>
      <c r="H1" s="13" t="n">
        <f aca="false">SUM(H5:H200)</f>
        <v>0</v>
      </c>
      <c r="I1" s="13" t="n">
        <f aca="false">SUM(I2:I200)</f>
        <v>5111.25</v>
      </c>
      <c r="J1" s="15"/>
      <c r="K1" s="16" t="s">
        <v>4</v>
      </c>
      <c r="L1" s="17" t="n">
        <f aca="false">SUM(L5:L300)</f>
        <v>0</v>
      </c>
      <c r="M1" s="17" t="n">
        <f aca="false">SUM(M5:M200)</f>
        <v>5111.25</v>
      </c>
      <c r="N1" s="18" t="n">
        <f aca="true">TODAY()</f>
        <v>46130</v>
      </c>
      <c r="O1" s="15"/>
      <c r="P1" s="13" t="n">
        <f aca="false">SUM(P5:P300)</f>
        <v>600</v>
      </c>
      <c r="Q1" s="13" t="n">
        <f aca="false">SUM(Q5:Q300)</f>
        <v>0</v>
      </c>
      <c r="R1" s="13" t="n">
        <f aca="false">SUM(R5:R300)</f>
        <v>285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120</v>
      </c>
      <c r="V1" s="13" t="n">
        <f aca="false">SUM(V5:V300)</f>
        <v>135</v>
      </c>
      <c r="W1" s="13" t="n">
        <f aca="false">SUM(W2:W300)</f>
        <v>602.25</v>
      </c>
      <c r="X1" s="13" t="n">
        <f aca="false">SUM(X5:X300)</f>
        <v>92</v>
      </c>
      <c r="Y1" s="13" t="n">
        <f aca="false">SUM(Y5:Y300)</f>
        <v>0</v>
      </c>
      <c r="Z1" s="13" t="n">
        <f aca="false">SUM(Z5:Z300)</f>
        <v>300</v>
      </c>
      <c r="AA1" s="13" t="n">
        <f aca="false">SUM(AA5:AA300)</f>
        <v>0</v>
      </c>
      <c r="AB1" s="13" t="n">
        <f aca="false">SUM(AB5:AB300)</f>
        <v>0</v>
      </c>
      <c r="AC1" s="40"/>
      <c r="AD1" s="13" t="n">
        <f aca="false">SUM(AD5:AD300)</f>
        <v>0</v>
      </c>
      <c r="AE1" s="41"/>
    </row>
    <row r="2" s="19" customFormat="true" ht="13.5" hidden="false" customHeight="true" outlineLevel="0" collapsed="false">
      <c r="A2" s="42" t="n">
        <f aca="false">G2</f>
        <v>0</v>
      </c>
      <c r="B2" s="43" t="s">
        <v>22</v>
      </c>
      <c r="C2" s="42" t="n">
        <f aca="false">0+D1+[1]Apr!$D$1</f>
        <v>0</v>
      </c>
      <c r="D2" s="44" t="s">
        <v>23</v>
      </c>
      <c r="E2" s="20" t="s">
        <v>5</v>
      </c>
      <c r="F2" s="43" t="s">
        <v>24</v>
      </c>
      <c r="G2" s="45" t="n">
        <f aca="false">IF(C2&lt;[2]Admin!$F$22,(C2-0)*[2]Admin!$G$21,(C2*[2]Admin!$G$21-(C2-[2]Admin!$F$21)*([2]Admin!$G$21-[2]Admin!$G$22)-0))</f>
        <v>0</v>
      </c>
      <c r="H2" s="21" t="n">
        <f aca="false">IF([1]Apr!$H$4&gt;0,0,[1]Apr!$H$2)</f>
        <v>20</v>
      </c>
      <c r="I2" s="46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7" t="s">
        <v>27</v>
      </c>
      <c r="U2" s="10" t="s">
        <v>28</v>
      </c>
      <c r="V2" s="10" t="s">
        <v>29</v>
      </c>
      <c r="W2" s="48" t="n">
        <f aca="false">IF((F2="v"),I2," ")</f>
        <v>0</v>
      </c>
      <c r="X2" s="10" t="s">
        <v>30</v>
      </c>
      <c r="Y2" s="10" t="s">
        <v>31</v>
      </c>
      <c r="Z2" s="10" t="s">
        <v>32</v>
      </c>
      <c r="AA2" s="10" t="s">
        <v>33</v>
      </c>
      <c r="AB2" s="49" t="n">
        <f aca="false">AB1</f>
        <v>0</v>
      </c>
      <c r="AC2" s="40"/>
      <c r="AD2" s="10" t="s">
        <v>34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4"/>
      <c r="E3" s="44"/>
      <c r="F3" s="20" t="s">
        <v>35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36</v>
      </c>
      <c r="Q3" s="20" t="s">
        <v>37</v>
      </c>
      <c r="R3" s="20" t="s">
        <v>38</v>
      </c>
      <c r="S3" s="10"/>
      <c r="T3" s="20" t="s">
        <v>39</v>
      </c>
      <c r="U3" s="10"/>
      <c r="V3" s="10"/>
      <c r="W3" s="49" t="s">
        <v>40</v>
      </c>
      <c r="X3" s="10"/>
      <c r="Y3" s="10"/>
      <c r="Z3" s="10"/>
      <c r="AA3" s="10"/>
      <c r="AB3" s="49" t="s">
        <v>41</v>
      </c>
      <c r="AC3" s="40"/>
      <c r="AD3" s="10" t="s">
        <v>42</v>
      </c>
      <c r="AE3" s="10"/>
    </row>
    <row r="4" s="26" customFormat="true" ht="12.75" hidden="false" customHeight="true" outlineLevel="0" collapsed="false">
      <c r="A4" s="9"/>
      <c r="B4" s="10"/>
      <c r="C4" s="11"/>
      <c r="D4" s="44"/>
      <c r="E4" s="44"/>
      <c r="F4" s="20"/>
      <c r="G4" s="10"/>
      <c r="H4" s="10"/>
      <c r="I4" s="10"/>
      <c r="J4" s="15"/>
      <c r="K4" s="16"/>
      <c r="L4" s="23"/>
      <c r="M4" s="23"/>
      <c r="N4" s="24"/>
      <c r="O4" s="15"/>
      <c r="P4" s="50" t="s">
        <v>43</v>
      </c>
      <c r="Q4" s="50" t="s">
        <v>44</v>
      </c>
      <c r="R4" s="50" t="s">
        <v>45</v>
      </c>
      <c r="S4" s="50" t="s">
        <v>46</v>
      </c>
      <c r="T4" s="50" t="s">
        <v>47</v>
      </c>
      <c r="U4" s="50" t="s">
        <v>48</v>
      </c>
      <c r="V4" s="50" t="s">
        <v>49</v>
      </c>
      <c r="W4" s="51" t="s">
        <v>50</v>
      </c>
      <c r="X4" s="50" t="s">
        <v>51</v>
      </c>
      <c r="Y4" s="50" t="s">
        <v>52</v>
      </c>
      <c r="Z4" s="50" t="s">
        <v>53</v>
      </c>
      <c r="AA4" s="50" t="s">
        <v>54</v>
      </c>
      <c r="AB4" s="50" t="s">
        <v>55</v>
      </c>
      <c r="AC4" s="40"/>
      <c r="AD4" s="10" t="s">
        <v>56</v>
      </c>
      <c r="AE4" s="10" t="s">
        <v>57</v>
      </c>
    </row>
    <row r="5" s="5" customFormat="true" ht="12" hidden="false" customHeight="false" outlineLevel="0" collapsed="false">
      <c r="A5" s="5" t="n">
        <v>45748</v>
      </c>
      <c r="B5" s="2" t="s">
        <v>13</v>
      </c>
      <c r="F5" s="5" t="s">
        <v>58</v>
      </c>
      <c r="G5" s="52" t="n">
        <v>1200</v>
      </c>
      <c r="I5" s="6" t="n">
        <f aca="false">IF((G5&lt;&gt;0),G5-H5," ")</f>
        <v>1200</v>
      </c>
      <c r="K5" s="6"/>
      <c r="L5" s="6"/>
      <c r="M5" s="7" t="n">
        <f aca="false">IF(G5&lt;&gt;0,G5-L5," ")</f>
        <v>1200</v>
      </c>
      <c r="N5" s="8" t="n">
        <f aca="false">IF((G5-L5)&lt;&gt;0,N$1-A22," ")</f>
        <v>369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52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 t="n">
        <v>45748</v>
      </c>
      <c r="B6" s="2" t="s">
        <v>59</v>
      </c>
      <c r="F6" s="5" t="s">
        <v>60</v>
      </c>
      <c r="G6" s="52" t="n">
        <v>30</v>
      </c>
      <c r="I6" s="6" t="n">
        <f aca="false">IF((G6&lt;&gt;0),G6-H6," ")</f>
        <v>30</v>
      </c>
      <c r="J6" s="5"/>
      <c r="M6" s="7" t="n">
        <f aca="false">IF(G6&lt;&gt;0,G6-L6," ")</f>
        <v>30</v>
      </c>
      <c r="N6" s="8" t="n">
        <f aca="false">IF((G6-L6)&lt;&gt;0,N$1-A6," ")</f>
        <v>382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30</v>
      </c>
      <c r="W6" s="52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 t="n">
        <v>45748</v>
      </c>
      <c r="B7" s="2" t="s">
        <v>61</v>
      </c>
      <c r="F7" s="5" t="s">
        <v>60</v>
      </c>
      <c r="G7" s="52" t="n">
        <v>15</v>
      </c>
      <c r="I7" s="6" t="n">
        <f aca="false">IF((G7&lt;&gt;0),G7-H7," ")</f>
        <v>15</v>
      </c>
      <c r="J7" s="5"/>
      <c r="M7" s="7" t="n">
        <f aca="false">IF(G7&lt;&gt;0,G7-L7," ")</f>
        <v>15</v>
      </c>
      <c r="N7" s="8" t="n">
        <f aca="false">IF((G7-L7)&lt;&gt;0,N$1-A7," ")</f>
        <v>382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15</v>
      </c>
      <c r="W7" s="52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 t="n">
        <v>45748</v>
      </c>
      <c r="B8" s="2" t="s">
        <v>62</v>
      </c>
      <c r="F8" s="5" t="s">
        <v>63</v>
      </c>
      <c r="G8" s="52" t="n">
        <v>45</v>
      </c>
      <c r="I8" s="6" t="n">
        <f aca="false">IF((G8&lt;&gt;0),G8-H8," ")</f>
        <v>45</v>
      </c>
      <c r="J8" s="5"/>
      <c r="M8" s="7" t="n">
        <f aca="false">IF(G8&lt;&gt;0,G8-L8," ")</f>
        <v>45</v>
      </c>
      <c r="N8" s="8" t="n">
        <f aca="false">IF((G8-L8)&lt;&gt;0,N$1-A8," ")</f>
        <v>382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45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52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 t="n">
        <v>45748</v>
      </c>
      <c r="B9" s="2" t="s">
        <v>64</v>
      </c>
      <c r="F9" s="5" t="s">
        <v>65</v>
      </c>
      <c r="G9" s="52" t="n">
        <v>1440</v>
      </c>
      <c r="I9" s="6" t="n">
        <f aca="false">IF((G9&lt;&gt;0),G9-H9," ")</f>
        <v>1440</v>
      </c>
      <c r="J9" s="5"/>
      <c r="M9" s="7" t="n">
        <f aca="false">IF(G9&lt;&gt;0,G9-L9," ")</f>
        <v>1440</v>
      </c>
      <c r="N9" s="8" t="n">
        <f aca="false">IF((G9-L9)&lt;&gt;0,N$1-A9," ")</f>
        <v>382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52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 t="n">
        <v>45748</v>
      </c>
      <c r="B10" s="2" t="s">
        <v>66</v>
      </c>
      <c r="F10" s="5" t="s">
        <v>63</v>
      </c>
      <c r="G10" s="52" t="n">
        <v>24</v>
      </c>
      <c r="I10" s="6" t="n">
        <f aca="false">IF((G10&lt;&gt;0),G10-H10," ")</f>
        <v>24</v>
      </c>
      <c r="J10" s="5"/>
      <c r="M10" s="7" t="n">
        <f aca="false">IF(G10&lt;&gt;0,G10-L10," ")</f>
        <v>24</v>
      </c>
      <c r="N10" s="8" t="n">
        <f aca="false">IF((G10-L10)&lt;&gt;0,N$1-A10," ")</f>
        <v>382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n">
        <f aca="false">IF((F10="o"),I10," ")</f>
        <v>24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52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 t="n">
        <v>45748</v>
      </c>
      <c r="B11" s="2" t="s">
        <v>67</v>
      </c>
      <c r="F11" s="5" t="s">
        <v>60</v>
      </c>
      <c r="G11" s="52" t="n">
        <v>18</v>
      </c>
      <c r="I11" s="6" t="n">
        <f aca="false">IF((G11&lt;&gt;0),G11-H11," ")</f>
        <v>18</v>
      </c>
      <c r="J11" s="5"/>
      <c r="M11" s="7" t="n">
        <f aca="false">IF(G11&lt;&gt;0,G11-L11," ")</f>
        <v>18</v>
      </c>
      <c r="N11" s="8" t="n">
        <f aca="false">IF((G11-L11)&lt;&gt;0,N$1-A11," ")</f>
        <v>382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n">
        <f aca="false">IF((F11="g"),I11," ")</f>
        <v>18</v>
      </c>
      <c r="W11" s="52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 t="n">
        <v>45750</v>
      </c>
      <c r="B12" s="2" t="s">
        <v>68</v>
      </c>
      <c r="F12" s="5" t="s">
        <v>63</v>
      </c>
      <c r="G12" s="52" t="n">
        <v>180</v>
      </c>
      <c r="I12" s="6" t="n">
        <f aca="false">IF((G12&lt;&gt;0),G12-H12," ")</f>
        <v>180</v>
      </c>
      <c r="J12" s="5"/>
      <c r="M12" s="7" t="n">
        <f aca="false">IF(G12&lt;&gt;0,G12-L12," ")</f>
        <v>180</v>
      </c>
      <c r="N12" s="8" t="n">
        <f aca="false">IF((G12-L12)&lt;&gt;0,N$1-A12," ")</f>
        <v>380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n">
        <f aca="false">IF((F12="o"),I12," ")</f>
        <v>180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52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 t="n">
        <v>45750</v>
      </c>
      <c r="B13" s="2" t="s">
        <v>69</v>
      </c>
      <c r="F13" s="5" t="s">
        <v>70</v>
      </c>
      <c r="G13" s="52" t="n">
        <v>22</v>
      </c>
      <c r="I13" s="6" t="n">
        <f aca="false">IF((G13&lt;&gt;0),G13-H13," ")</f>
        <v>22</v>
      </c>
      <c r="J13" s="5"/>
      <c r="M13" s="7" t="n">
        <f aca="false">IF(G13&lt;&gt;0,G13-L13," ")</f>
        <v>22</v>
      </c>
      <c r="N13" s="8" t="n">
        <f aca="false">IF((G13-L13)&lt;&gt;0,N$1-A13," ")</f>
        <v>380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52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 t="n">
        <v>45752</v>
      </c>
      <c r="B14" s="2" t="s">
        <v>71</v>
      </c>
      <c r="F14" s="5" t="s">
        <v>70</v>
      </c>
      <c r="G14" s="52" t="n">
        <v>24</v>
      </c>
      <c r="I14" s="6" t="n">
        <f aca="false">IF((G14&lt;&gt;0),G14-H14," ")</f>
        <v>24</v>
      </c>
      <c r="J14" s="5"/>
      <c r="M14" s="7" t="n">
        <f aca="false">IF(G14&lt;&gt;0,G14-L14," ")</f>
        <v>24</v>
      </c>
      <c r="N14" s="8" t="n">
        <f aca="false">IF((G14-L14)&lt;&gt;0,N$1-A14," ")</f>
        <v>378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52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 t="n">
        <v>45752</v>
      </c>
      <c r="B15" s="2" t="s">
        <v>72</v>
      </c>
      <c r="F15" s="5" t="s">
        <v>24</v>
      </c>
      <c r="G15" s="52" t="n">
        <v>180</v>
      </c>
      <c r="I15" s="6" t="n">
        <f aca="false">IF((G15&lt;&gt;0),G15-H15," ")</f>
        <v>180</v>
      </c>
      <c r="J15" s="5"/>
      <c r="M15" s="7" t="n">
        <f aca="false">IF(G15&lt;&gt;0,G15-L15," ")</f>
        <v>180</v>
      </c>
      <c r="N15" s="8" t="n">
        <f aca="false">IF((G15-L15)&lt;&gt;0,N$1-A15," ")</f>
        <v>378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52" t="n">
        <f aca="false">IF((F15="v"),I15," ")</f>
        <v>180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 t="n">
        <v>45752</v>
      </c>
      <c r="B16" s="2" t="s">
        <v>73</v>
      </c>
      <c r="F16" s="5" t="s">
        <v>63</v>
      </c>
      <c r="G16" s="52" t="n">
        <v>36</v>
      </c>
      <c r="I16" s="6" t="n">
        <f aca="false">IF((G16&lt;&gt;0),G16-H16," ")</f>
        <v>36</v>
      </c>
      <c r="J16" s="5"/>
      <c r="M16" s="7" t="n">
        <f aca="false">IF(G16&lt;&gt;0,G16-L16," ")</f>
        <v>36</v>
      </c>
      <c r="N16" s="8" t="n">
        <f aca="false">IF((G16-L16)&lt;&gt;0,N$1-A16," ")</f>
        <v>378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n">
        <f aca="false">IF((F16="o"),I16," ")</f>
        <v>36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52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 t="n">
        <v>45755</v>
      </c>
      <c r="B17" s="2" t="s">
        <v>74</v>
      </c>
      <c r="F17" s="5" t="s">
        <v>75</v>
      </c>
      <c r="G17" s="52" t="n">
        <v>48</v>
      </c>
      <c r="I17" s="6" t="n">
        <f aca="false">IF((G17&lt;&gt;0),G17-H17," ")</f>
        <v>48</v>
      </c>
      <c r="J17" s="5"/>
      <c r="M17" s="7" t="n">
        <f aca="false">IF(G17&lt;&gt;0,G17-L17," ")</f>
        <v>48</v>
      </c>
      <c r="N17" s="8" t="n">
        <f aca="false">IF((G17-L17)&lt;&gt;0,N$1-A17," ")</f>
        <v>375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52" t="str">
        <f aca="false">IF((F17="v"),I17," ")</f>
        <v> </v>
      </c>
      <c r="X17" s="19" t="n">
        <f aca="false">IF((F17="h"),I17," ")</f>
        <v>48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 t="n">
        <v>45757</v>
      </c>
      <c r="B18" s="2" t="s">
        <v>76</v>
      </c>
      <c r="F18" s="5" t="s">
        <v>70</v>
      </c>
      <c r="G18" s="52" t="n">
        <v>36</v>
      </c>
      <c r="I18" s="6" t="n">
        <f aca="false">IF((G18&lt;&gt;0),G18-H18," ")</f>
        <v>36</v>
      </c>
      <c r="J18" s="5"/>
      <c r="M18" s="7" t="n">
        <f aca="false">IF(G18&lt;&gt;0,G18-L18," ")</f>
        <v>36</v>
      </c>
      <c r="N18" s="8" t="n">
        <f aca="false">IF((G18-L18)&lt;&gt;0,N$1-A18," ")</f>
        <v>373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52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 t="n">
        <v>45757</v>
      </c>
      <c r="B19" s="2" t="s">
        <v>77</v>
      </c>
      <c r="F19" s="5" t="s">
        <v>78</v>
      </c>
      <c r="G19" s="52" t="n">
        <v>180</v>
      </c>
      <c r="I19" s="6" t="n">
        <f aca="false">IF((G19&lt;&gt;0),G19-H19," ")</f>
        <v>180</v>
      </c>
      <c r="J19" s="5"/>
      <c r="M19" s="7" t="n">
        <f aca="false">IF(G19&lt;&gt;0,G19-L19," ")</f>
        <v>180</v>
      </c>
      <c r="N19" s="8" t="n">
        <f aca="false">IF((G19-L19)&lt;&gt;0,N$1-A19," ")</f>
        <v>373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52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 t="n">
        <v>45757</v>
      </c>
      <c r="B20" s="2" t="s">
        <v>79</v>
      </c>
      <c r="F20" s="5" t="s">
        <v>80</v>
      </c>
      <c r="G20" s="52" t="n">
        <v>600</v>
      </c>
      <c r="I20" s="6" t="n">
        <f aca="false">IF((G20&lt;&gt;0),G20-H20," ")</f>
        <v>600</v>
      </c>
      <c r="J20" s="5"/>
      <c r="M20" s="7" t="n">
        <f aca="false">IF(G20&lt;&gt;0,G20-L20," ")</f>
        <v>600</v>
      </c>
      <c r="N20" s="8" t="n">
        <f aca="false">IF((G20-L20)&lt;&gt;0,N$1-A20," ")</f>
        <v>373</v>
      </c>
      <c r="O20" s="5"/>
      <c r="P20" s="19" t="n">
        <f aca="false">IF((F20="s"),I20," ")</f>
        <v>600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52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 t="n">
        <v>45759</v>
      </c>
      <c r="B21" s="2" t="s">
        <v>81</v>
      </c>
      <c r="F21" s="5" t="s">
        <v>24</v>
      </c>
      <c r="G21" s="52" t="n">
        <v>18</v>
      </c>
      <c r="I21" s="6" t="n">
        <f aca="false">IF((G21&lt;&gt;0),G21-H21," ")</f>
        <v>18</v>
      </c>
      <c r="J21" s="5"/>
      <c r="M21" s="7" t="n">
        <f aca="false">IF(G21&lt;&gt;0,G21-L21," ")</f>
        <v>18</v>
      </c>
      <c r="N21" s="8" t="n">
        <f aca="false">IF((G21-L21)&lt;&gt;0,N$1-A21," ")</f>
        <v>371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52" t="n">
        <f aca="false">IF((F21="v"),I21," ")</f>
        <v>18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 t="n">
        <v>45761</v>
      </c>
      <c r="B22" s="2" t="s">
        <v>82</v>
      </c>
      <c r="F22" s="5" t="s">
        <v>70</v>
      </c>
      <c r="G22" s="52" t="n">
        <v>42</v>
      </c>
      <c r="I22" s="6" t="n">
        <f aca="false">IF((G22&lt;&gt;0),G22-H22," ")</f>
        <v>42</v>
      </c>
      <c r="J22" s="5"/>
      <c r="M22" s="7" t="n">
        <f aca="false">IF(G22&lt;&gt;0,G22-L22," ")</f>
        <v>42</v>
      </c>
      <c r="N22" s="8" t="n">
        <f aca="false">IF((G22-L22)&lt;&gt;0,N$1-A22," ")</f>
        <v>369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52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 t="n">
        <v>45761</v>
      </c>
      <c r="B23" s="2" t="s">
        <v>83</v>
      </c>
      <c r="F23" s="5" t="s">
        <v>75</v>
      </c>
      <c r="G23" s="52" t="n">
        <v>24</v>
      </c>
      <c r="I23" s="6" t="n">
        <f aca="false">IF((G23&lt;&gt;0),G23-H23," ")</f>
        <v>24</v>
      </c>
      <c r="J23" s="5"/>
      <c r="M23" s="7" t="n">
        <f aca="false">IF(G23&lt;&gt;0,G23-L23," ")</f>
        <v>24</v>
      </c>
      <c r="N23" s="8" t="n">
        <f aca="false">IF((G23-L23)&lt;&gt;0,N$1-A23," ")</f>
        <v>369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52" t="str">
        <f aca="false">IF((F23="v"),I23," ")</f>
        <v> </v>
      </c>
      <c r="X23" s="19" t="n">
        <f aca="false">IF((F23="h"),I23," ")</f>
        <v>24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 t="n">
        <v>45761</v>
      </c>
      <c r="B24" s="2" t="s">
        <v>84</v>
      </c>
      <c r="F24" s="5" t="s">
        <v>75</v>
      </c>
      <c r="G24" s="52" t="n">
        <v>12</v>
      </c>
      <c r="I24" s="6" t="n">
        <f aca="false">IF((G24&lt;&gt;0),G24-H24," ")</f>
        <v>12</v>
      </c>
      <c r="J24" s="5"/>
      <c r="M24" s="7" t="n">
        <f aca="false">IF(G24&lt;&gt;0,G24-L24," ")</f>
        <v>12</v>
      </c>
      <c r="N24" s="8" t="n">
        <f aca="false">IF((G24-L24)&lt;&gt;0,N$1-A24," ")</f>
        <v>369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52" t="str">
        <f aca="false">IF((F24="v"),I24," ")</f>
        <v> </v>
      </c>
      <c r="X24" s="19" t="n">
        <f aca="false">IF((F24="h"),I24," ")</f>
        <v>12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 t="n">
        <v>45762</v>
      </c>
      <c r="B25" s="2" t="s">
        <v>19</v>
      </c>
      <c r="F25" s="5" t="s">
        <v>24</v>
      </c>
      <c r="G25" s="52" t="n">
        <v>150</v>
      </c>
      <c r="I25" s="6" t="n">
        <f aca="false">IF((G25&lt;&gt;0),G25-H25," ")</f>
        <v>150</v>
      </c>
      <c r="J25" s="5"/>
      <c r="M25" s="7" t="n">
        <f aca="false">IF(G25&lt;&gt;0,G25-L25," ")</f>
        <v>150</v>
      </c>
      <c r="N25" s="8" t="n">
        <f aca="false">IF((G25-L25)&lt;&gt;0,N$1-A25," ")</f>
        <v>368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52" t="n">
        <f aca="false">IF((F25="v"),I25," ")</f>
        <v>150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 t="n">
        <v>45762</v>
      </c>
      <c r="B26" s="2" t="s">
        <v>85</v>
      </c>
      <c r="F26" s="5" t="s">
        <v>60</v>
      </c>
      <c r="G26" s="52" t="n">
        <v>12</v>
      </c>
      <c r="I26" s="6" t="n">
        <f aca="false">IF((G26&lt;&gt;0),G26-H26," ")</f>
        <v>12</v>
      </c>
      <c r="J26" s="5"/>
      <c r="M26" s="7" t="n">
        <f aca="false">IF(G26&lt;&gt;0,G26-L26," ")</f>
        <v>12</v>
      </c>
      <c r="N26" s="8" t="n">
        <f aca="false">IF((G26-L26)&lt;&gt;0,N$1-A26," ")</f>
        <v>368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n">
        <f aca="false">IF((F26="g"),I26," ")</f>
        <v>12</v>
      </c>
      <c r="W26" s="52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 t="n">
        <v>45765</v>
      </c>
      <c r="B27" s="2" t="s">
        <v>86</v>
      </c>
      <c r="F27" s="5" t="s">
        <v>24</v>
      </c>
      <c r="G27" s="52" t="n">
        <v>96</v>
      </c>
      <c r="I27" s="6" t="n">
        <f aca="false">IF((G27&lt;&gt;0),G27-H27," ")</f>
        <v>96</v>
      </c>
      <c r="J27" s="5"/>
      <c r="M27" s="7" t="n">
        <f aca="false">IF(G27&lt;&gt;0,G27-L27," ")</f>
        <v>96</v>
      </c>
      <c r="N27" s="8" t="n">
        <f aca="false">IF((G27-L27)&lt;&gt;0,N$1-A27," ")</f>
        <v>365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52" t="n">
        <f aca="false">IF((F27="v"),I27," ")</f>
        <v>96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 t="n">
        <v>45767</v>
      </c>
      <c r="B28" s="2" t="s">
        <v>87</v>
      </c>
      <c r="F28" s="5" t="s">
        <v>60</v>
      </c>
      <c r="G28" s="52" t="n">
        <v>60</v>
      </c>
      <c r="I28" s="6" t="n">
        <f aca="false">IF((G28&lt;&gt;0),G28-H28," ")</f>
        <v>60</v>
      </c>
      <c r="J28" s="5"/>
      <c r="M28" s="7" t="n">
        <f aca="false">IF(G28&lt;&gt;0,G28-L28," ")</f>
        <v>60</v>
      </c>
      <c r="N28" s="8" t="n">
        <f aca="false">IF((G28-L28)&lt;&gt;0,N$1-A28," ")</f>
        <v>363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n">
        <f aca="false">IF((F28="g"),I28," ")</f>
        <v>60</v>
      </c>
      <c r="W28" s="52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 t="n">
        <v>45767</v>
      </c>
      <c r="B29" s="2" t="s">
        <v>88</v>
      </c>
      <c r="F29" s="5" t="s">
        <v>89</v>
      </c>
      <c r="G29" s="52" t="n">
        <v>120</v>
      </c>
      <c r="I29" s="6" t="n">
        <f aca="false">IF((G29&lt;&gt;0),G29-H29," ")</f>
        <v>120</v>
      </c>
      <c r="J29" s="5"/>
      <c r="M29" s="7" t="n">
        <f aca="false">IF(G29&lt;&gt;0,G29-L29," ")</f>
        <v>120</v>
      </c>
      <c r="N29" s="8" t="n">
        <f aca="false">IF((G29-L29)&lt;&gt;0,N$1-A29," ")</f>
        <v>363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n">
        <f aca="false">IF((F29="m"),I29," ")</f>
        <v>120</v>
      </c>
      <c r="V29" s="19" t="str">
        <f aca="false">IF((F29="g"),I29," ")</f>
        <v> </v>
      </c>
      <c r="W29" s="52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 t="n">
        <v>45768</v>
      </c>
      <c r="B30" s="2" t="s">
        <v>90</v>
      </c>
      <c r="F30" s="5" t="s">
        <v>75</v>
      </c>
      <c r="G30" s="52" t="n">
        <v>8</v>
      </c>
      <c r="I30" s="6" t="n">
        <f aca="false">IF((G30&lt;&gt;0),G30-H30," ")</f>
        <v>8</v>
      </c>
      <c r="J30" s="5"/>
      <c r="M30" s="7" t="n">
        <f aca="false">IF(G30&lt;&gt;0,G30-L30," ")</f>
        <v>8</v>
      </c>
      <c r="N30" s="8" t="n">
        <f aca="false">IF((G30-L30)&lt;&gt;0,N$1-A30," ")</f>
        <v>362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52" t="str">
        <f aca="false">IF((F30="v"),I30," ")</f>
        <v> </v>
      </c>
      <c r="X30" s="19" t="n">
        <f aca="false">IF((F30="h"),I30," ")</f>
        <v>8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 t="n">
        <v>45769</v>
      </c>
      <c r="B31" s="2" t="s">
        <v>91</v>
      </c>
      <c r="F31" s="5" t="s">
        <v>70</v>
      </c>
      <c r="G31" s="52" t="n">
        <v>18</v>
      </c>
      <c r="I31" s="6" t="n">
        <f aca="false">IF((G31&lt;&gt;0),G31-H31," ")</f>
        <v>18</v>
      </c>
      <c r="J31" s="5"/>
      <c r="M31" s="7" t="n">
        <f aca="false">IF(G31&lt;&gt;0,G31-L31," ")</f>
        <v>18</v>
      </c>
      <c r="N31" s="8" t="n">
        <f aca="false">IF((G31-L31)&lt;&gt;0,N$1-A31," ")</f>
        <v>361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52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 t="n">
        <v>45772</v>
      </c>
      <c r="B32" s="2" t="s">
        <v>92</v>
      </c>
      <c r="F32" s="5" t="s">
        <v>70</v>
      </c>
      <c r="G32" s="52" t="n">
        <v>15</v>
      </c>
      <c r="I32" s="6" t="n">
        <f aca="false">IF((G32&lt;&gt;0),G32-H32," ")</f>
        <v>15</v>
      </c>
      <c r="J32" s="5"/>
      <c r="M32" s="7" t="n">
        <f aca="false">IF(G32&lt;&gt;0,G32-L32," ")</f>
        <v>15</v>
      </c>
      <c r="N32" s="8" t="n">
        <f aca="false">IF((G32-L32)&lt;&gt;0,N$1-A32," ")</f>
        <v>358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52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 t="n">
        <v>45772</v>
      </c>
      <c r="B33" s="2" t="s">
        <v>93</v>
      </c>
      <c r="F33" s="5" t="s">
        <v>24</v>
      </c>
      <c r="G33" s="52" t="n">
        <v>38.25</v>
      </c>
      <c r="I33" s="6" t="n">
        <f aca="false">IF((G33&lt;&gt;0),G33-H33," ")</f>
        <v>38.25</v>
      </c>
      <c r="J33" s="5"/>
      <c r="M33" s="7" t="n">
        <f aca="false">IF(G33&lt;&gt;0,G33-L33," ")</f>
        <v>38.25</v>
      </c>
      <c r="N33" s="8" t="n">
        <f aca="false">IF((G33-L33)&lt;&gt;0,N$1-A33," ")</f>
        <v>358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52" t="n">
        <f aca="false">IF((F33="v"),I33," ")</f>
        <v>38.25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 t="n">
        <v>45775</v>
      </c>
      <c r="B34" s="2" t="s">
        <v>19</v>
      </c>
      <c r="F34" s="5" t="s">
        <v>24</v>
      </c>
      <c r="G34" s="52" t="n">
        <v>120</v>
      </c>
      <c r="I34" s="6" t="n">
        <f aca="false">IF((G34&lt;&gt;0),G34-H34," ")</f>
        <v>120</v>
      </c>
      <c r="J34" s="5"/>
      <c r="M34" s="7" t="n">
        <f aca="false">IF(G34&lt;&gt;0,G34-L34," ")</f>
        <v>120</v>
      </c>
      <c r="N34" s="8" t="n">
        <f aca="false">IF((G34-L34)&lt;&gt;0,N$1-A34," ")</f>
        <v>355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52" t="n">
        <f aca="false">IF((F34="v"),I34," ")</f>
        <v>120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 t="n">
        <v>45777</v>
      </c>
      <c r="B35" s="2" t="s">
        <v>15</v>
      </c>
      <c r="F35" s="5" t="s">
        <v>94</v>
      </c>
      <c r="G35" s="52" t="n">
        <v>300</v>
      </c>
      <c r="I35" s="6" t="n">
        <f aca="false">IF((G35&lt;&gt;0),G35-H35," ")</f>
        <v>300</v>
      </c>
      <c r="J35" s="5"/>
      <c r="M35" s="7" t="n">
        <f aca="false">IF(G35&lt;&gt;0,G35-L35," ")</f>
        <v>300</v>
      </c>
      <c r="N35" s="8" t="n">
        <f aca="false">IF((G35-L35)&lt;&gt;0,N$1-A35," ")</f>
        <v>353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52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n">
        <f aca="false">IF((F35="l"),I35," ")</f>
        <v>300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52"/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52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52"/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52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52"/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52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52"/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52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52"/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52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52"/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52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52"/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52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52"/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52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52"/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52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52"/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52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52"/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52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52"/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52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52"/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52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52"/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52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52"/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52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52"/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52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52"/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52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52"/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52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52"/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52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52"/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52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52"/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52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52"/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52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52"/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52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52"/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52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52"/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52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52"/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52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52"/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52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52"/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52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52"/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52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52"/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52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52"/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52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52"/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52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52"/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52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52"/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52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52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52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52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52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52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52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52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52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52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52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52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52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52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52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52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52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52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52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52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52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52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52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52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52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52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52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52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52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52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52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52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52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52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52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52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52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52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52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52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52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52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52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52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52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52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52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52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52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52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52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52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52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52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52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52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52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52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52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52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52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52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52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52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52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52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52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52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52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52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52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52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52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52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52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52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52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52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52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52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52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52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52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52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52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52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52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52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52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52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52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52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52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52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52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52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52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52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52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52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52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52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52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52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52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52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52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52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52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52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52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52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52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52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52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52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52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52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52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52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52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52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52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52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52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52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52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52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52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52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52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52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52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52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52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52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52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52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52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52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52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52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52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52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52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52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52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52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52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52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52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52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52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52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52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52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52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52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52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52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52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52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52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52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52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52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52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52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52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52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52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52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52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52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52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52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52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52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52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52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52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52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52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52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52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52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52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52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52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52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52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52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52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52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52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52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52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52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52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52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52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52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52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52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52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52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52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52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52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52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52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52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52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52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52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52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52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52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52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52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52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52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52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52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52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52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52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52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52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52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52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52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52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52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52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52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52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52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52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52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52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52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52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52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52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52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52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52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52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52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52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52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52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52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52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52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52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52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52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52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52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52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52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52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52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52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52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52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52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52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52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52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52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52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52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52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52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52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52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52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52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52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52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52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52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52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52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52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52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52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52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52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52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52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52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52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52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52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52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52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52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52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52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52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52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52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52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52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52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52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52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52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52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52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52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52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52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52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52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52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52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52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52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52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52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52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52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52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52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52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52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52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52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52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52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52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52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52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52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52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52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52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52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52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52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52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52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52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52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52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52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52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52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52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52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52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52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52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52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52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52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52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52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52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52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52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52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52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52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52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52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52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52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52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52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52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52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52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52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52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52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52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52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52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52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52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52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52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52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52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52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52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52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52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52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52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52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52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52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52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52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52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52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52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52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52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52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52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52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52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52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52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52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52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52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52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52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52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52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52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52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52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52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52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52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52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52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52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52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52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52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52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52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52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52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52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52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52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52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52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52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52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52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52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52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52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52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52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52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52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52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52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52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52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52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52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52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52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52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52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52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0"/>
      <c r="B300" s="31"/>
      <c r="C300" s="32"/>
      <c r="D300" s="33"/>
      <c r="E300" s="31"/>
      <c r="F300" s="53" t="str">
        <f aca="false">IF((G300&lt;&gt;0),"Enter Letter"," ")</f>
        <v> </v>
      </c>
      <c r="G300" s="54"/>
      <c r="H300" s="34" t="str">
        <f aca="false">IF(G300&lt;&gt;0,G300*H$2/(100+H$2)," ")</f>
        <v> </v>
      </c>
      <c r="I300" s="34" t="str">
        <f aca="false">IF((G300&lt;&gt;0),G300-H300," ")</f>
        <v> </v>
      </c>
      <c r="J300" s="55"/>
      <c r="K300" s="34"/>
      <c r="L300" s="34"/>
      <c r="M300" s="35" t="str">
        <f aca="false">IF(G300&lt;&gt;0,G300-L300," ")</f>
        <v> </v>
      </c>
      <c r="N300" s="36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28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27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15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7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8" t="n">
        <f aca="false">G1-H1-SUM(P1:AB1)</f>
        <v>1735</v>
      </c>
      <c r="B1" s="39" t="s">
        <v>21</v>
      </c>
      <c r="C1" s="39"/>
      <c r="D1" s="12" t="n">
        <f aca="false">SUM(D5:D300)</f>
        <v>0</v>
      </c>
      <c r="E1" s="13" t="s">
        <v>3</v>
      </c>
      <c r="F1" s="14"/>
      <c r="G1" s="13" t="n">
        <f aca="false">SUM(G2:G300)</f>
        <v>6375</v>
      </c>
      <c r="H1" s="13" t="n">
        <f aca="false">SUM(H5:H200)</f>
        <v>0</v>
      </c>
      <c r="I1" s="13" t="n">
        <f aca="false">SUM(I2:I200)</f>
        <v>6375</v>
      </c>
      <c r="J1" s="15"/>
      <c r="K1" s="16" t="s">
        <v>4</v>
      </c>
      <c r="L1" s="17" t="n">
        <f aca="false">SUM(L5:L300)</f>
        <v>0</v>
      </c>
      <c r="M1" s="17" t="n">
        <f aca="false">SUM(M5:M200)</f>
        <v>6375</v>
      </c>
      <c r="N1" s="18" t="n">
        <f aca="true">TODAY()</f>
        <v>46130</v>
      </c>
      <c r="O1" s="15"/>
      <c r="P1" s="13" t="n">
        <f aca="false">SUM(P5:P300)</f>
        <v>720</v>
      </c>
      <c r="Q1" s="13" t="n">
        <f aca="false">SUM(Q5:Q300)</f>
        <v>0</v>
      </c>
      <c r="R1" s="13" t="n">
        <f aca="false">SUM(R5:R300)</f>
        <v>249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153</v>
      </c>
      <c r="W1" s="13" t="n">
        <f aca="false">SUM(W2:W300)</f>
        <v>666</v>
      </c>
      <c r="X1" s="13" t="n">
        <f aca="false">SUM(X5:X300)</f>
        <v>152</v>
      </c>
      <c r="Y1" s="13" t="n">
        <f aca="false">SUM(Y5:Y300)</f>
        <v>600</v>
      </c>
      <c r="Z1" s="13" t="n">
        <f aca="false">SUM(Z5:Z300)</f>
        <v>300</v>
      </c>
      <c r="AA1" s="13" t="n">
        <f aca="false">SUM(AA5:AA300)</f>
        <v>0</v>
      </c>
      <c r="AB1" s="13" t="n">
        <f aca="false">SUM(AB5:AB300)</f>
        <v>1800</v>
      </c>
      <c r="AC1" s="40"/>
      <c r="AD1" s="13" t="n">
        <f aca="false">SUM(AD5:AD300)</f>
        <v>0</v>
      </c>
      <c r="AE1" s="41"/>
    </row>
    <row r="2" s="19" customFormat="true" ht="13.5" hidden="false" customHeight="true" outlineLevel="0" collapsed="false">
      <c r="A2" s="42" t="n">
        <f aca="false">G2+Apr!A2</f>
        <v>0</v>
      </c>
      <c r="B2" s="43" t="s">
        <v>22</v>
      </c>
      <c r="C2" s="42" t="n">
        <f aca="false">Apr!C2+D1+[1]May!$D$1</f>
        <v>0</v>
      </c>
      <c r="D2" s="44" t="s">
        <v>23</v>
      </c>
      <c r="E2" s="20" t="s">
        <v>5</v>
      </c>
      <c r="F2" s="43" t="str">
        <f aca="false">Apr!F2</f>
        <v>v</v>
      </c>
      <c r="G2" s="45" t="n">
        <f aca="false">IF(C2&lt;[2]Admin!$F$22,(C2-Apr!C2)*[2]Admin!$G$21,C2*[2]Admin!$G$21-(C2-[2]Admin!$F$21)*([2]Admin!$G$21-[2]Admin!$G$22)-Apr!G2)</f>
        <v>0</v>
      </c>
      <c r="H2" s="21" t="n">
        <f aca="false">IF([1]May!$H$4&gt;0,0,[1]May!$H$2)</f>
        <v>20</v>
      </c>
      <c r="I2" s="46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7" t="s">
        <v>27</v>
      </c>
      <c r="U2" s="10" t="s">
        <v>28</v>
      </c>
      <c r="V2" s="10" t="s">
        <v>29</v>
      </c>
      <c r="W2" s="48" t="n">
        <f aca="false">IF((F2="v"),I2," ")</f>
        <v>0</v>
      </c>
      <c r="X2" s="10" t="s">
        <v>30</v>
      </c>
      <c r="Y2" s="10" t="s">
        <v>31</v>
      </c>
      <c r="Z2" s="10" t="s">
        <v>32</v>
      </c>
      <c r="AA2" s="10" t="s">
        <v>33</v>
      </c>
      <c r="AB2" s="49" t="n">
        <f aca="false">AB1+Apr!AB2</f>
        <v>1800</v>
      </c>
      <c r="AC2" s="40"/>
      <c r="AD2" s="10" t="s">
        <v>34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4"/>
      <c r="E3" s="44"/>
      <c r="F3" s="20" t="s">
        <v>35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36</v>
      </c>
      <c r="Q3" s="20" t="s">
        <v>37</v>
      </c>
      <c r="R3" s="20" t="s">
        <v>38</v>
      </c>
      <c r="S3" s="10"/>
      <c r="T3" s="20" t="s">
        <v>39</v>
      </c>
      <c r="U3" s="10"/>
      <c r="V3" s="10"/>
      <c r="W3" s="49" t="s">
        <v>40</v>
      </c>
      <c r="X3" s="10"/>
      <c r="Y3" s="10"/>
      <c r="Z3" s="10"/>
      <c r="AA3" s="10"/>
      <c r="AB3" s="49" t="s">
        <v>41</v>
      </c>
      <c r="AC3" s="40"/>
      <c r="AD3" s="10" t="s">
        <v>42</v>
      </c>
      <c r="AE3" s="10"/>
    </row>
    <row r="4" s="26" customFormat="true" ht="12.75" hidden="false" customHeight="true" outlineLevel="0" collapsed="false">
      <c r="A4" s="9"/>
      <c r="B4" s="10"/>
      <c r="C4" s="11"/>
      <c r="D4" s="44"/>
      <c r="E4" s="44"/>
      <c r="F4" s="20"/>
      <c r="G4" s="10"/>
      <c r="H4" s="10"/>
      <c r="I4" s="10"/>
      <c r="J4" s="15"/>
      <c r="K4" s="16"/>
      <c r="L4" s="23"/>
      <c r="M4" s="23"/>
      <c r="N4" s="24"/>
      <c r="O4" s="15"/>
      <c r="P4" s="50" t="s">
        <v>43</v>
      </c>
      <c r="Q4" s="50" t="s">
        <v>44</v>
      </c>
      <c r="R4" s="50" t="s">
        <v>45</v>
      </c>
      <c r="S4" s="50" t="s">
        <v>46</v>
      </c>
      <c r="T4" s="50" t="s">
        <v>47</v>
      </c>
      <c r="U4" s="50" t="s">
        <v>48</v>
      </c>
      <c r="V4" s="50" t="s">
        <v>49</v>
      </c>
      <c r="W4" s="51" t="s">
        <v>50</v>
      </c>
      <c r="X4" s="50" t="s">
        <v>51</v>
      </c>
      <c r="Y4" s="50" t="s">
        <v>52</v>
      </c>
      <c r="Z4" s="50" t="s">
        <v>53</v>
      </c>
      <c r="AA4" s="50" t="s">
        <v>54</v>
      </c>
      <c r="AB4" s="50" t="s">
        <v>55</v>
      </c>
      <c r="AC4" s="40"/>
      <c r="AD4" s="10" t="s">
        <v>56</v>
      </c>
      <c r="AE4" s="10" t="s">
        <v>57</v>
      </c>
    </row>
    <row r="5" s="5" customFormat="true" ht="12" hidden="false" customHeight="false" outlineLevel="0" collapsed="false">
      <c r="A5" s="27" t="n">
        <v>45778</v>
      </c>
      <c r="B5" s="5" t="s">
        <v>13</v>
      </c>
      <c r="F5" s="5" t="s">
        <v>58</v>
      </c>
      <c r="G5" s="52" t="n">
        <v>1200</v>
      </c>
      <c r="I5" s="6" t="n">
        <f aca="false">IF((G5&lt;&gt;0),G5-H5," ")</f>
        <v>1200</v>
      </c>
      <c r="K5" s="6"/>
      <c r="L5" s="6"/>
      <c r="M5" s="7" t="n">
        <f aca="false">IF(G5&lt;&gt;0,G5-L5," ")</f>
        <v>1200</v>
      </c>
      <c r="N5" s="8" t="n">
        <f aca="false">IF((G5-L5)&lt;&gt;0,N$1-A5," ")</f>
        <v>352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52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 t="n">
        <v>45778</v>
      </c>
      <c r="B6" s="2" t="s">
        <v>59</v>
      </c>
      <c r="F6" s="5" t="s">
        <v>60</v>
      </c>
      <c r="G6" s="52" t="n">
        <v>30</v>
      </c>
      <c r="I6" s="6" t="n">
        <f aca="false">IF((G6&lt;&gt;0),G6-H6," ")</f>
        <v>30</v>
      </c>
      <c r="J6" s="5"/>
      <c r="M6" s="7" t="n">
        <f aca="false">IF(G6&lt;&gt;0,G6-L6," ")</f>
        <v>30</v>
      </c>
      <c r="N6" s="8" t="n">
        <f aca="false">IF((G6-L6)&lt;&gt;0,N$1-A6," ")</f>
        <v>352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30</v>
      </c>
      <c r="W6" s="52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 t="n">
        <v>45778</v>
      </c>
      <c r="B7" s="2" t="s">
        <v>61</v>
      </c>
      <c r="F7" s="5" t="s">
        <v>60</v>
      </c>
      <c r="G7" s="52" t="n">
        <v>15</v>
      </c>
      <c r="I7" s="6" t="n">
        <f aca="false">IF((G7&lt;&gt;0),G7-H7," ")</f>
        <v>15</v>
      </c>
      <c r="J7" s="5"/>
      <c r="M7" s="7" t="n">
        <f aca="false">IF(G7&lt;&gt;0,G7-L7," ")</f>
        <v>15</v>
      </c>
      <c r="N7" s="8" t="n">
        <f aca="false">IF((G7-L7)&lt;&gt;0,N$1-A7," ")</f>
        <v>352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15</v>
      </c>
      <c r="W7" s="52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 t="n">
        <v>45778</v>
      </c>
      <c r="B8" s="2" t="s">
        <v>62</v>
      </c>
      <c r="F8" s="5" t="s">
        <v>63</v>
      </c>
      <c r="G8" s="52" t="n">
        <v>45</v>
      </c>
      <c r="I8" s="6" t="n">
        <f aca="false">IF((G8&lt;&gt;0),G8-H8," ")</f>
        <v>45</v>
      </c>
      <c r="J8" s="5"/>
      <c r="M8" s="7" t="n">
        <f aca="false">IF(G8&lt;&gt;0,G8-L8," ")</f>
        <v>45</v>
      </c>
      <c r="N8" s="8" t="n">
        <f aca="false">IF((G8-L8)&lt;&gt;0,N$1-A8," ")</f>
        <v>352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45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52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 t="n">
        <v>45778</v>
      </c>
      <c r="B9" s="2" t="s">
        <v>66</v>
      </c>
      <c r="F9" s="5" t="s">
        <v>63</v>
      </c>
      <c r="G9" s="52" t="n">
        <v>24</v>
      </c>
      <c r="I9" s="6" t="n">
        <f aca="false">IF((G9&lt;&gt;0),G9-H9," ")</f>
        <v>24</v>
      </c>
      <c r="J9" s="5"/>
      <c r="M9" s="7" t="n">
        <f aca="false">IF(G9&lt;&gt;0,G9-L9," ")</f>
        <v>24</v>
      </c>
      <c r="N9" s="8" t="n">
        <f aca="false">IF((G9-L9)&lt;&gt;0,N$1-A9," ")</f>
        <v>352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n">
        <f aca="false">IF((F9="o"),I9," ")</f>
        <v>24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52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 t="n">
        <v>45778</v>
      </c>
      <c r="B10" s="2" t="s">
        <v>67</v>
      </c>
      <c r="F10" s="5" t="s">
        <v>60</v>
      </c>
      <c r="G10" s="52" t="n">
        <v>18</v>
      </c>
      <c r="I10" s="6" t="n">
        <f aca="false">IF((G10&lt;&gt;0),G10-H10," ")</f>
        <v>18</v>
      </c>
      <c r="J10" s="5"/>
      <c r="M10" s="7" t="n">
        <f aca="false">IF(G10&lt;&gt;0,G10-L10," ")</f>
        <v>18</v>
      </c>
      <c r="N10" s="8" t="n">
        <f aca="false">IF((G10-L10)&lt;&gt;0,N$1-A10," ")</f>
        <v>352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n">
        <f aca="false">IF((F10="g"),I10," ")</f>
        <v>18</v>
      </c>
      <c r="W10" s="52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 t="n">
        <v>45780</v>
      </c>
      <c r="B11" s="2" t="s">
        <v>68</v>
      </c>
      <c r="F11" s="5" t="s">
        <v>63</v>
      </c>
      <c r="G11" s="52" t="n">
        <v>180</v>
      </c>
      <c r="I11" s="6" t="n">
        <f aca="false">IF((G11&lt;&gt;0),G11-H11," ")</f>
        <v>180</v>
      </c>
      <c r="J11" s="5"/>
      <c r="M11" s="7" t="n">
        <f aca="false">IF(G11&lt;&gt;0,G11-L11," ")</f>
        <v>180</v>
      </c>
      <c r="N11" s="8" t="n">
        <f aca="false">IF((G11-L11)&lt;&gt;0,N$1-A11," ")</f>
        <v>350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n">
        <f aca="false">IF((F11="o"),I11," ")</f>
        <v>180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52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 t="n">
        <v>45780</v>
      </c>
      <c r="B12" s="2" t="s">
        <v>69</v>
      </c>
      <c r="F12" s="5" t="s">
        <v>70</v>
      </c>
      <c r="G12" s="52" t="n">
        <v>22</v>
      </c>
      <c r="I12" s="6" t="n">
        <f aca="false">IF((G12&lt;&gt;0),G12-H12," ")</f>
        <v>22</v>
      </c>
      <c r="J12" s="5"/>
      <c r="M12" s="7" t="n">
        <f aca="false">IF(G12&lt;&gt;0,G12-L12," ")</f>
        <v>22</v>
      </c>
      <c r="N12" s="8" t="n">
        <f aca="false">IF((G12-L12)&lt;&gt;0,N$1-A12," ")</f>
        <v>350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52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 t="n">
        <v>45782</v>
      </c>
      <c r="B13" s="2" t="s">
        <v>71</v>
      </c>
      <c r="F13" s="5" t="s">
        <v>70</v>
      </c>
      <c r="G13" s="52" t="n">
        <v>24</v>
      </c>
      <c r="I13" s="6" t="n">
        <f aca="false">IF((G13&lt;&gt;0),G13-H13," ")</f>
        <v>24</v>
      </c>
      <c r="J13" s="5"/>
      <c r="M13" s="7" t="n">
        <f aca="false">IF(G13&lt;&gt;0,G13-L13," ")</f>
        <v>24</v>
      </c>
      <c r="N13" s="8" t="n">
        <f aca="false">IF((G13-L13)&lt;&gt;0,N$1-A13," ")</f>
        <v>348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52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 t="n">
        <v>45782</v>
      </c>
      <c r="B14" s="2" t="s">
        <v>72</v>
      </c>
      <c r="F14" s="5" t="s">
        <v>24</v>
      </c>
      <c r="G14" s="52" t="n">
        <v>180</v>
      </c>
      <c r="I14" s="6" t="n">
        <f aca="false">IF((G14&lt;&gt;0),G14-H14," ")</f>
        <v>180</v>
      </c>
      <c r="J14" s="5"/>
      <c r="M14" s="7" t="n">
        <f aca="false">IF(G14&lt;&gt;0,G14-L14," ")</f>
        <v>180</v>
      </c>
      <c r="N14" s="8" t="n">
        <f aca="false">IF((G14-L14)&lt;&gt;0,N$1-A14," ")</f>
        <v>348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52" t="n">
        <f aca="false">IF((F14="v"),I14," ")</f>
        <v>180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 t="n">
        <v>45783</v>
      </c>
      <c r="B15" s="2" t="s">
        <v>95</v>
      </c>
      <c r="F15" s="5" t="s">
        <v>75</v>
      </c>
      <c r="G15" s="52" t="n">
        <v>60</v>
      </c>
      <c r="I15" s="6" t="n">
        <f aca="false">IF((G15&lt;&gt;0),G15-H15," ")</f>
        <v>60</v>
      </c>
      <c r="J15" s="5"/>
      <c r="M15" s="7" t="n">
        <f aca="false">IF(G15&lt;&gt;0,G15-L15," ")</f>
        <v>60</v>
      </c>
      <c r="N15" s="8" t="n">
        <f aca="false">IF((G15-L15)&lt;&gt;0,N$1-A15," ")</f>
        <v>347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52" t="str">
        <f aca="false">IF((F15="v"),I15," ")</f>
        <v> </v>
      </c>
      <c r="X15" s="19" t="n">
        <f aca="false">IF((F15="h"),I15," ")</f>
        <v>60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 t="n">
        <v>45785</v>
      </c>
      <c r="B16" s="2" t="s">
        <v>74</v>
      </c>
      <c r="F16" s="5" t="s">
        <v>75</v>
      </c>
      <c r="G16" s="52" t="n">
        <v>48</v>
      </c>
      <c r="I16" s="6" t="n">
        <f aca="false">IF((G16&lt;&gt;0),G16-H16," ")</f>
        <v>48</v>
      </c>
      <c r="J16" s="5"/>
      <c r="M16" s="7" t="n">
        <f aca="false">IF(G16&lt;&gt;0,G16-L16," ")</f>
        <v>48</v>
      </c>
      <c r="N16" s="8" t="n">
        <f aca="false">IF((G16-L16)&lt;&gt;0,N$1-A16," ")</f>
        <v>345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52" t="str">
        <f aca="false">IF((F16="v"),I16," ")</f>
        <v> </v>
      </c>
      <c r="X16" s="19" t="n">
        <f aca="false">IF((F16="h"),I16," ")</f>
        <v>48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 t="n">
        <v>45785</v>
      </c>
      <c r="B17" s="2" t="s">
        <v>96</v>
      </c>
      <c r="F17" s="5" t="s">
        <v>97</v>
      </c>
      <c r="G17" s="52" t="n">
        <v>240</v>
      </c>
      <c r="I17" s="6" t="n">
        <f aca="false">IF((G17&lt;&gt;0),G17-H17," ")</f>
        <v>240</v>
      </c>
      <c r="J17" s="5"/>
      <c r="M17" s="7" t="n">
        <f aca="false">IF(G17&lt;&gt;0,G17-L17," ")</f>
        <v>240</v>
      </c>
      <c r="N17" s="8" t="n">
        <f aca="false">IF((G17-L17)&lt;&gt;0,N$1-A17," ")</f>
        <v>345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52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 t="n">
        <v>45787</v>
      </c>
      <c r="B18" s="2" t="s">
        <v>76</v>
      </c>
      <c r="F18" s="5" t="s">
        <v>70</v>
      </c>
      <c r="G18" s="52" t="n">
        <v>36</v>
      </c>
      <c r="I18" s="6" t="n">
        <f aca="false">IF((G18&lt;&gt;0),G18-H18," ")</f>
        <v>36</v>
      </c>
      <c r="J18" s="5"/>
      <c r="M18" s="7" t="n">
        <f aca="false">IF(G18&lt;&gt;0,G18-L18," ")</f>
        <v>36</v>
      </c>
      <c r="N18" s="8" t="n">
        <f aca="false">IF((G18-L18)&lt;&gt;0,N$1-A18," ")</f>
        <v>343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52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 t="n">
        <v>45787</v>
      </c>
      <c r="B19" s="2" t="s">
        <v>98</v>
      </c>
      <c r="F19" s="5" t="s">
        <v>99</v>
      </c>
      <c r="G19" s="52" t="n">
        <v>600</v>
      </c>
      <c r="I19" s="6" t="n">
        <f aca="false">IF((G19&lt;&gt;0),G19-H19," ")</f>
        <v>600</v>
      </c>
      <c r="J19" s="5"/>
      <c r="M19" s="7" t="n">
        <f aca="false">IF(G19&lt;&gt;0,G19-L19," ")</f>
        <v>600</v>
      </c>
      <c r="N19" s="8" t="n">
        <f aca="false">IF((G19-L19)&lt;&gt;0,N$1-A19," ")</f>
        <v>343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52" t="str">
        <f aca="false">IF((F19="v"),I19," ")</f>
        <v> </v>
      </c>
      <c r="X19" s="19" t="str">
        <f aca="false">IF((F19="h"),I19," ")</f>
        <v> </v>
      </c>
      <c r="Y19" s="19" t="n">
        <f aca="false">IF((F19="a"),I19," ")</f>
        <v>600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 t="n">
        <v>45789</v>
      </c>
      <c r="B20" s="2" t="s">
        <v>81</v>
      </c>
      <c r="F20" s="5" t="s">
        <v>24</v>
      </c>
      <c r="G20" s="52" t="n">
        <v>18</v>
      </c>
      <c r="I20" s="6" t="n">
        <f aca="false">IF((G20&lt;&gt;0),G20-H20," ")</f>
        <v>18</v>
      </c>
      <c r="J20" s="5"/>
      <c r="M20" s="7" t="n">
        <f aca="false">IF(G20&lt;&gt;0,G20-L20," ")</f>
        <v>18</v>
      </c>
      <c r="N20" s="8" t="n">
        <f aca="false">IF((G20-L20)&lt;&gt;0,N$1-A20," ")</f>
        <v>341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52" t="n">
        <f aca="false">IF((F20="v"),I20," ")</f>
        <v>18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 t="n">
        <v>45791</v>
      </c>
      <c r="B21" s="2" t="s">
        <v>83</v>
      </c>
      <c r="F21" s="5" t="s">
        <v>75</v>
      </c>
      <c r="G21" s="52" t="n">
        <v>24</v>
      </c>
      <c r="I21" s="6" t="n">
        <f aca="false">IF((G21&lt;&gt;0),G21-H21," ")</f>
        <v>24</v>
      </c>
      <c r="J21" s="5"/>
      <c r="M21" s="7" t="n">
        <f aca="false">IF(G21&lt;&gt;0,G21-L21," ")</f>
        <v>24</v>
      </c>
      <c r="N21" s="8" t="n">
        <f aca="false">IF((G21-L21)&lt;&gt;0,N$1-A21," ")</f>
        <v>339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52" t="str">
        <f aca="false">IF((F21="v"),I21," ")</f>
        <v> </v>
      </c>
      <c r="X21" s="19" t="n">
        <f aca="false">IF((F21="h"),I21," ")</f>
        <v>24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 t="n">
        <v>45791</v>
      </c>
      <c r="B22" s="2" t="s">
        <v>84</v>
      </c>
      <c r="F22" s="5" t="s">
        <v>75</v>
      </c>
      <c r="G22" s="52" t="n">
        <v>12</v>
      </c>
      <c r="I22" s="6" t="n">
        <f aca="false">IF((G22&lt;&gt;0),G22-H22," ")</f>
        <v>12</v>
      </c>
      <c r="J22" s="5"/>
      <c r="M22" s="7" t="n">
        <f aca="false">IF(G22&lt;&gt;0,G22-L22," ")</f>
        <v>12</v>
      </c>
      <c r="N22" s="8" t="n">
        <f aca="false">IF((G22-L22)&lt;&gt;0,N$1-A22," ")</f>
        <v>339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52" t="str">
        <f aca="false">IF((F22="v"),I22," ")</f>
        <v> </v>
      </c>
      <c r="X22" s="19" t="n">
        <f aca="false">IF((F22="h"),I22," ")</f>
        <v>12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 t="n">
        <v>45792</v>
      </c>
      <c r="B23" s="2" t="s">
        <v>19</v>
      </c>
      <c r="F23" s="5" t="s">
        <v>24</v>
      </c>
      <c r="G23" s="52" t="n">
        <v>150</v>
      </c>
      <c r="I23" s="6" t="n">
        <f aca="false">IF((G23&lt;&gt;0),G23-H23," ")</f>
        <v>150</v>
      </c>
      <c r="J23" s="5"/>
      <c r="M23" s="7" t="n">
        <f aca="false">IF(G23&lt;&gt;0,G23-L23," ")</f>
        <v>150</v>
      </c>
      <c r="N23" s="8" t="n">
        <f aca="false">IF((G23-L23)&lt;&gt;0,N$1-A23," ")</f>
        <v>338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52" t="n">
        <f aca="false">IF((F23="v"),I23," ")</f>
        <v>150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 t="n">
        <v>45792</v>
      </c>
      <c r="B24" s="2" t="s">
        <v>85</v>
      </c>
      <c r="F24" s="5" t="s">
        <v>60</v>
      </c>
      <c r="G24" s="52" t="n">
        <v>12</v>
      </c>
      <c r="I24" s="6" t="n">
        <f aca="false">IF((G24&lt;&gt;0),G24-H24," ")</f>
        <v>12</v>
      </c>
      <c r="J24" s="5"/>
      <c r="M24" s="7" t="n">
        <f aca="false">IF(G24&lt;&gt;0,G24-L24," ")</f>
        <v>12</v>
      </c>
      <c r="N24" s="8" t="n">
        <f aca="false">IF((G24-L24)&lt;&gt;0,N$1-A24," ")</f>
        <v>338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n">
        <f aca="false">IF((F24="g"),I24," ")</f>
        <v>12</v>
      </c>
      <c r="W24" s="52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 t="n">
        <v>45792</v>
      </c>
      <c r="B25" s="2" t="s">
        <v>100</v>
      </c>
      <c r="F25" s="5" t="s">
        <v>80</v>
      </c>
      <c r="G25" s="52" t="n">
        <v>480</v>
      </c>
      <c r="I25" s="6" t="n">
        <f aca="false">IF((G25&lt;&gt;0),G25-H25," ")</f>
        <v>480</v>
      </c>
      <c r="J25" s="5"/>
      <c r="M25" s="7" t="n">
        <f aca="false">IF(G25&lt;&gt;0,G25-L25," ")</f>
        <v>480</v>
      </c>
      <c r="N25" s="8" t="n">
        <f aca="false">IF((G25-L25)&lt;&gt;0,N$1-A25," ")</f>
        <v>338</v>
      </c>
      <c r="O25" s="5"/>
      <c r="P25" s="19" t="n">
        <f aca="false">IF((F25="s"),I25," ")</f>
        <v>480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52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 t="n">
        <v>45792</v>
      </c>
      <c r="B26" s="2" t="s">
        <v>101</v>
      </c>
      <c r="F26" s="5" t="s">
        <v>102</v>
      </c>
      <c r="G26" s="52" t="n">
        <v>1800</v>
      </c>
      <c r="I26" s="6" t="n">
        <f aca="false">IF((G26&lt;&gt;0),G26-H26," ")</f>
        <v>1800</v>
      </c>
      <c r="J26" s="5"/>
      <c r="M26" s="7" t="n">
        <f aca="false">IF(G26&lt;&gt;0,G26-L26," ")</f>
        <v>1800</v>
      </c>
      <c r="N26" s="8" t="n">
        <f aca="false">IF((G26-L26)&lt;&gt;0,N$1-A26," ")</f>
        <v>338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52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n">
        <f aca="false">IF((F26="fa"),I26," ")</f>
        <v>1800</v>
      </c>
    </row>
    <row r="27" customFormat="false" ht="12" hidden="false" customHeight="false" outlineLevel="0" collapsed="false">
      <c r="A27" s="27" t="n">
        <v>45793</v>
      </c>
      <c r="B27" s="2" t="s">
        <v>103</v>
      </c>
      <c r="F27" s="5" t="s">
        <v>60</v>
      </c>
      <c r="G27" s="52" t="n">
        <v>18</v>
      </c>
      <c r="I27" s="6" t="n">
        <f aca="false">IF((G27&lt;&gt;0),G27-H27," ")</f>
        <v>18</v>
      </c>
      <c r="J27" s="5"/>
      <c r="M27" s="7" t="n">
        <f aca="false">IF(G27&lt;&gt;0,G27-L27," ")</f>
        <v>18</v>
      </c>
      <c r="N27" s="8" t="n">
        <f aca="false">IF((G27-L27)&lt;&gt;0,N$1-A27," ")</f>
        <v>337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n">
        <f aca="false">IF((F27="g"),I27," ")</f>
        <v>18</v>
      </c>
      <c r="W27" s="52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 t="n">
        <v>45795</v>
      </c>
      <c r="B28" s="2" t="s">
        <v>86</v>
      </c>
      <c r="F28" s="5" t="s">
        <v>24</v>
      </c>
      <c r="G28" s="52" t="n">
        <v>96</v>
      </c>
      <c r="I28" s="6" t="n">
        <f aca="false">IF((G28&lt;&gt;0),G28-H28," ")</f>
        <v>96</v>
      </c>
      <c r="J28" s="5"/>
      <c r="M28" s="7" t="n">
        <f aca="false">IF(G28&lt;&gt;0,G28-L28," ")</f>
        <v>96</v>
      </c>
      <c r="N28" s="8" t="n">
        <f aca="false">IF((G28-L28)&lt;&gt;0,N$1-A28," ")</f>
        <v>335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52" t="n">
        <f aca="false">IF((F28="v"),I28," ")</f>
        <v>96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 t="n">
        <v>45797</v>
      </c>
      <c r="B29" s="2" t="s">
        <v>87</v>
      </c>
      <c r="F29" s="5" t="s">
        <v>60</v>
      </c>
      <c r="G29" s="52" t="n">
        <v>60</v>
      </c>
      <c r="I29" s="6" t="n">
        <f aca="false">IF((G29&lt;&gt;0),G29-H29," ")</f>
        <v>60</v>
      </c>
      <c r="J29" s="5"/>
      <c r="M29" s="7" t="n">
        <f aca="false">IF(G29&lt;&gt;0,G29-L29," ")</f>
        <v>60</v>
      </c>
      <c r="N29" s="8" t="n">
        <f aca="false">IF((G29-L29)&lt;&gt;0,N$1-A29," ")</f>
        <v>333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n">
        <f aca="false">IF((F29="g"),I29," ")</f>
        <v>60</v>
      </c>
      <c r="W29" s="52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 t="n">
        <v>45797</v>
      </c>
      <c r="B30" s="2" t="s">
        <v>104</v>
      </c>
      <c r="F30" s="5" t="s">
        <v>105</v>
      </c>
      <c r="G30" s="52" t="n">
        <v>180</v>
      </c>
      <c r="I30" s="6" t="n">
        <f aca="false">IF((G30&lt;&gt;0),G30-H30," ")</f>
        <v>180</v>
      </c>
      <c r="J30" s="5"/>
      <c r="M30" s="7" t="n">
        <f aca="false">IF(G30&lt;&gt;0,G30-L30," ")</f>
        <v>180</v>
      </c>
      <c r="N30" s="8" t="n">
        <f aca="false">IF((G30-L30)&lt;&gt;0,N$1-A30," ")</f>
        <v>333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52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 t="n">
        <v>45797</v>
      </c>
      <c r="B31" s="2" t="s">
        <v>106</v>
      </c>
      <c r="F31" s="5" t="s">
        <v>80</v>
      </c>
      <c r="G31" s="52" t="n">
        <v>240</v>
      </c>
      <c r="I31" s="6" t="n">
        <f aca="false">IF((G31&lt;&gt;0),G31-H31," ")</f>
        <v>240</v>
      </c>
      <c r="J31" s="5"/>
      <c r="M31" s="7" t="n">
        <f aca="false">IF(G31&lt;&gt;0,G31-L31," ")</f>
        <v>240</v>
      </c>
      <c r="N31" s="8" t="n">
        <f aca="false">IF((G31-L31)&lt;&gt;0,N$1-A31," ")</f>
        <v>333</v>
      </c>
      <c r="O31" s="5"/>
      <c r="P31" s="19" t="n">
        <f aca="false">IF((F31="s"),I31," ")</f>
        <v>240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52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 t="n">
        <v>45798</v>
      </c>
      <c r="B32" s="2" t="s">
        <v>90</v>
      </c>
      <c r="F32" s="5" t="s">
        <v>75</v>
      </c>
      <c r="G32" s="52" t="n">
        <v>8</v>
      </c>
      <c r="I32" s="6" t="n">
        <f aca="false">IF((G32&lt;&gt;0),G32-H32," ")</f>
        <v>8</v>
      </c>
      <c r="J32" s="5"/>
      <c r="M32" s="7" t="n">
        <f aca="false">IF(G32&lt;&gt;0,G32-L32," ")</f>
        <v>8</v>
      </c>
      <c r="N32" s="8" t="n">
        <f aca="false">IF((G32-L32)&lt;&gt;0,N$1-A32," ")</f>
        <v>332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52" t="str">
        <f aca="false">IF((F32="v"),I32," ")</f>
        <v> </v>
      </c>
      <c r="X32" s="19" t="n">
        <f aca="false">IF((F32="h"),I32," ")</f>
        <v>8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 t="n">
        <v>45799</v>
      </c>
      <c r="B33" s="2" t="s">
        <v>91</v>
      </c>
      <c r="F33" s="5" t="s">
        <v>70</v>
      </c>
      <c r="G33" s="52" t="n">
        <v>18</v>
      </c>
      <c r="I33" s="6" t="n">
        <f aca="false">IF((G33&lt;&gt;0),G33-H33," ")</f>
        <v>18</v>
      </c>
      <c r="J33" s="5"/>
      <c r="M33" s="7" t="n">
        <f aca="false">IF(G33&lt;&gt;0,G33-L33," ")</f>
        <v>18</v>
      </c>
      <c r="N33" s="8" t="n">
        <f aca="false">IF((G33-L33)&lt;&gt;0,N$1-A33," ")</f>
        <v>331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52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 t="n">
        <v>45799</v>
      </c>
      <c r="B34" s="2" t="s">
        <v>107</v>
      </c>
      <c r="F34" s="5" t="s">
        <v>24</v>
      </c>
      <c r="G34" s="52" t="n">
        <v>48</v>
      </c>
      <c r="I34" s="6" t="n">
        <f aca="false">IF((G34&lt;&gt;0),G34-H34," ")</f>
        <v>48</v>
      </c>
      <c r="J34" s="5"/>
      <c r="M34" s="7" t="n">
        <f aca="false">IF(G34&lt;&gt;0,G34-L34," ")</f>
        <v>48</v>
      </c>
      <c r="N34" s="8" t="n">
        <f aca="false">IF((G34-L34)&lt;&gt;0,N$1-A34," ")</f>
        <v>331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52" t="n">
        <f aca="false">IF((F34="v"),I34," ")</f>
        <v>48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 t="n">
        <v>45802</v>
      </c>
      <c r="B35" s="2" t="s">
        <v>92</v>
      </c>
      <c r="F35" s="5" t="s">
        <v>70</v>
      </c>
      <c r="G35" s="52" t="n">
        <v>15</v>
      </c>
      <c r="I35" s="6" t="n">
        <f aca="false">IF((G35&lt;&gt;0),G35-H35," ")</f>
        <v>15</v>
      </c>
      <c r="J35" s="5"/>
      <c r="M35" s="7" t="n">
        <f aca="false">IF(G35&lt;&gt;0,G35-L35," ")</f>
        <v>15</v>
      </c>
      <c r="N35" s="8" t="n">
        <f aca="false">IF((G35-L35)&lt;&gt;0,N$1-A35," ")</f>
        <v>328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52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 t="n">
        <v>45802</v>
      </c>
      <c r="B36" s="2" t="s">
        <v>93</v>
      </c>
      <c r="F36" s="5" t="s">
        <v>24</v>
      </c>
      <c r="G36" s="52" t="n">
        <v>54</v>
      </c>
      <c r="I36" s="6" t="n">
        <f aca="false">IF((G36&lt;&gt;0),G36-H36," ")</f>
        <v>54</v>
      </c>
      <c r="J36" s="5"/>
      <c r="M36" s="7" t="n">
        <f aca="false">IF(G36&lt;&gt;0,G36-L36," ")</f>
        <v>54</v>
      </c>
      <c r="N36" s="8" t="n">
        <f aca="false">IF((G36-L36)&lt;&gt;0,N$1-A36," ")</f>
        <v>328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52" t="n">
        <f aca="false">IF((F36="v"),I36," ")</f>
        <v>54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 t="n">
        <v>45805</v>
      </c>
      <c r="B37" s="2" t="s">
        <v>19</v>
      </c>
      <c r="F37" s="5" t="s">
        <v>24</v>
      </c>
      <c r="G37" s="52" t="n">
        <v>120</v>
      </c>
      <c r="I37" s="6" t="n">
        <f aca="false">IF((G37&lt;&gt;0),G37-H37," ")</f>
        <v>120</v>
      </c>
      <c r="J37" s="5"/>
      <c r="M37" s="7" t="n">
        <f aca="false">IF(G37&lt;&gt;0,G37-L37," ")</f>
        <v>120</v>
      </c>
      <c r="N37" s="8" t="n">
        <f aca="false">IF((G37-L37)&lt;&gt;0,N$1-A37," ")</f>
        <v>325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52" t="n">
        <f aca="false">IF((F37="v"),I37," ")</f>
        <v>120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 t="n">
        <v>45808</v>
      </c>
      <c r="B38" s="2" t="s">
        <v>15</v>
      </c>
      <c r="F38" s="5" t="s">
        <v>94</v>
      </c>
      <c r="G38" s="52" t="n">
        <v>300</v>
      </c>
      <c r="I38" s="6" t="n">
        <f aca="false">IF((G38&lt;&gt;0),G38-H38," ")</f>
        <v>300</v>
      </c>
      <c r="J38" s="5"/>
      <c r="M38" s="7" t="n">
        <f aca="false">IF(G38&lt;&gt;0,G38-L38," ")</f>
        <v>300</v>
      </c>
      <c r="N38" s="8" t="n">
        <f aca="false">IF((G38-L38)&lt;&gt;0,N$1-A38," ")</f>
        <v>322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52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n">
        <f aca="false">IF((F38="l"),I38," ")</f>
        <v>300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52"/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52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52"/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52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52"/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52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52"/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52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52"/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52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52"/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52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52"/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52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52"/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52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52"/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52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52"/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52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52"/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52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52"/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52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52"/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52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52"/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52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52"/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52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52"/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52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52"/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52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52"/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52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52"/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52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52"/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52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52"/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52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52"/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52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52"/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52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52"/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52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52"/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52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52"/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52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52"/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52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52"/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52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52"/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52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52"/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52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52"/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52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52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52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52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52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52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52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52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52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52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52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52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52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52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52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52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52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52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52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52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52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52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52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52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52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52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52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52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52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52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52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52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52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52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52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52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52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52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52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52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52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52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52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52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52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52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52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52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52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52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52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52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52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52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52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52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52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52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52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52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52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52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52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52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52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52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52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52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52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52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52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52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52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52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52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52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52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52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52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52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52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52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52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52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52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52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52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52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52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52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52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52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52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52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52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52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52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52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52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52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52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52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52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52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52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52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52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52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52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52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52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52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52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52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52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52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52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52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52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52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52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52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52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52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52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52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52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52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52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52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52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52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52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52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52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52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52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52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52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52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52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52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52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52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52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52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52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52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52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52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52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52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52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52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52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52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52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52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52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52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52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52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52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52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52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52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52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52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52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52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52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52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52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52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52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52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52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52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52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52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52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52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52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52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52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52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52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52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52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52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52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52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52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52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52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52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52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52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52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52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52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52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52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52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52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52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52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52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52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52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52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52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52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52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52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52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52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52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52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52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52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52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52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52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52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52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52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52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52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52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52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52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52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52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52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52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52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52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52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52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52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52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52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52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52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52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52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52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52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52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52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52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52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52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52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52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52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52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52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52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52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52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52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52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52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52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52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52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52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52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52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52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52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52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52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52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52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52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52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52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52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52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52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52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52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52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52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52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52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52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52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52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52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52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52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52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52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52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52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52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52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52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52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52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52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52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52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52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52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52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52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52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52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52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52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52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52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52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52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52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52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52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52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52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52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52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52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52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52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52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52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52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52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52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52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52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52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52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52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52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52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52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52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52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52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52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52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52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52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52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52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52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52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52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52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52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52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52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52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52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52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52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52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52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52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52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52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52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52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52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52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52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52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52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52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52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52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52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52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52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52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52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52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52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52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52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52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52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52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52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52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52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52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52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52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52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52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52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52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52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52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52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52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52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52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52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52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52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52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52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52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52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52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52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52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52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52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52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52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52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52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52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52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52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52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52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52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52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52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52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52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52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52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52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52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52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52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52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52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52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52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52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52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52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52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52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52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52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52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52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52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52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52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52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52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52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52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52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52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52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52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0"/>
      <c r="B300" s="31"/>
      <c r="C300" s="32"/>
      <c r="D300" s="33"/>
      <c r="E300" s="31"/>
      <c r="F300" s="53" t="str">
        <f aca="false">IF((G300&lt;&gt;0),"Enter Letter"," ")</f>
        <v> </v>
      </c>
      <c r="G300" s="54"/>
      <c r="H300" s="34" t="str">
        <f aca="false">IF(G300&lt;&gt;0,G300*H$2/(100+H$2)," ")</f>
        <v> </v>
      </c>
      <c r="I300" s="34" t="str">
        <f aca="false">IF((G300&lt;&gt;0),G300-H300," ")</f>
        <v> </v>
      </c>
      <c r="J300" s="55"/>
      <c r="K300" s="34"/>
      <c r="L300" s="34"/>
      <c r="M300" s="35" t="str">
        <f aca="false">IF(G300&lt;&gt;0,G300-L300," ")</f>
        <v> </v>
      </c>
      <c r="N300" s="36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159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158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7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8" t="n">
        <f aca="false">G1-H1-SUM(P1:AB1)</f>
        <v>1345</v>
      </c>
      <c r="B1" s="39" t="s">
        <v>21</v>
      </c>
      <c r="C1" s="39"/>
      <c r="D1" s="12" t="n">
        <f aca="false">SUM(D5:D300)</f>
        <v>0</v>
      </c>
      <c r="E1" s="13" t="s">
        <v>3</v>
      </c>
      <c r="F1" s="14"/>
      <c r="G1" s="13" t="n">
        <f aca="false">SUM(G2:G300)</f>
        <v>9057</v>
      </c>
      <c r="H1" s="13" t="n">
        <f aca="false">SUM(H5:H200)</f>
        <v>0</v>
      </c>
      <c r="I1" s="13" t="n">
        <f aca="false">SUM(I2:I200)</f>
        <v>9057</v>
      </c>
      <c r="J1" s="15"/>
      <c r="K1" s="16" t="s">
        <v>4</v>
      </c>
      <c r="L1" s="17" t="n">
        <f aca="false">SUM(L5:L300)</f>
        <v>0</v>
      </c>
      <c r="M1" s="17" t="n">
        <f aca="false">SUM(M5:M200)</f>
        <v>9057</v>
      </c>
      <c r="N1" s="18" t="n">
        <f aca="true">TODAY()</f>
        <v>46130</v>
      </c>
      <c r="O1" s="15"/>
      <c r="P1" s="13" t="n">
        <f aca="false">SUM(P5:P300)</f>
        <v>360</v>
      </c>
      <c r="Q1" s="13" t="n">
        <f aca="false">SUM(Q5:Q300)</f>
        <v>5000</v>
      </c>
      <c r="R1" s="13" t="n">
        <f aca="false">SUM(R5:R300)</f>
        <v>285</v>
      </c>
      <c r="S1" s="13" t="n">
        <f aca="false">SUM(S5:S300)</f>
        <v>0</v>
      </c>
      <c r="T1" s="13" t="n">
        <f aca="false">SUM(T5:T300)</f>
        <v>360</v>
      </c>
      <c r="U1" s="13" t="n">
        <f aca="false">SUM(U5:U300)</f>
        <v>0</v>
      </c>
      <c r="V1" s="13" t="n">
        <f aca="false">SUM(V5:V300)</f>
        <v>231</v>
      </c>
      <c r="W1" s="13" t="n">
        <f aca="false">SUM(W2:W300)</f>
        <v>654</v>
      </c>
      <c r="X1" s="13" t="n">
        <f aca="false">SUM(X5:X300)</f>
        <v>272</v>
      </c>
      <c r="Y1" s="13" t="n">
        <f aca="false">SUM(Y5:Y300)</f>
        <v>0</v>
      </c>
      <c r="Z1" s="13" t="n">
        <f aca="false">SUM(Z5:Z300)</f>
        <v>550</v>
      </c>
      <c r="AA1" s="13" t="n">
        <f aca="false">SUM(AA5:AA300)</f>
        <v>0</v>
      </c>
      <c r="AB1" s="13" t="n">
        <f aca="false">SUM(AB5:AB300)</f>
        <v>0</v>
      </c>
      <c r="AC1" s="40"/>
      <c r="AD1" s="13" t="n">
        <f aca="false">SUM(AD5:AD300)</f>
        <v>0</v>
      </c>
      <c r="AE1" s="41"/>
    </row>
    <row r="2" s="19" customFormat="true" ht="13.5" hidden="false" customHeight="true" outlineLevel="0" collapsed="false">
      <c r="A2" s="42" t="n">
        <f aca="false">G2+May!A2</f>
        <v>0</v>
      </c>
      <c r="B2" s="43" t="s">
        <v>22</v>
      </c>
      <c r="C2" s="42" t="n">
        <f aca="false">May!C2+D1+[1]Jun!$D$1</f>
        <v>0</v>
      </c>
      <c r="D2" s="44" t="s">
        <v>23</v>
      </c>
      <c r="E2" s="20" t="s">
        <v>5</v>
      </c>
      <c r="F2" s="43" t="str">
        <f aca="false">May!F2</f>
        <v>v</v>
      </c>
      <c r="G2" s="45" t="n">
        <f aca="false">IF(C2&lt;[2]Admin!$F$22,(C2-May!C2)*[2]Admin!$G$21,C2*[2]Admin!$G$21-(C2-[2]Admin!$F$21)*([2]Admin!$G$21-[2]Admin!$G$22)-May!A2)</f>
        <v>0</v>
      </c>
      <c r="H2" s="21" t="n">
        <f aca="false">IF([1]Jun!$H$4&gt;0,0,[1]Jun!$H$2)</f>
        <v>20</v>
      </c>
      <c r="I2" s="46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7" t="s">
        <v>27</v>
      </c>
      <c r="U2" s="10" t="s">
        <v>28</v>
      </c>
      <c r="V2" s="10" t="s">
        <v>29</v>
      </c>
      <c r="W2" s="48" t="n">
        <f aca="false">IF((F2="v"),I2," ")</f>
        <v>0</v>
      </c>
      <c r="X2" s="10" t="s">
        <v>30</v>
      </c>
      <c r="Y2" s="10" t="s">
        <v>31</v>
      </c>
      <c r="Z2" s="10" t="s">
        <v>32</v>
      </c>
      <c r="AA2" s="10" t="s">
        <v>33</v>
      </c>
      <c r="AB2" s="49" t="n">
        <f aca="false">AB1+May!AB2</f>
        <v>1800</v>
      </c>
      <c r="AC2" s="40"/>
      <c r="AD2" s="10" t="s">
        <v>34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4"/>
      <c r="E3" s="44"/>
      <c r="F3" s="20" t="s">
        <v>35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36</v>
      </c>
      <c r="Q3" s="20" t="s">
        <v>37</v>
      </c>
      <c r="R3" s="20" t="s">
        <v>38</v>
      </c>
      <c r="S3" s="10"/>
      <c r="T3" s="20" t="s">
        <v>39</v>
      </c>
      <c r="U3" s="10"/>
      <c r="V3" s="10"/>
      <c r="W3" s="49" t="s">
        <v>40</v>
      </c>
      <c r="X3" s="10"/>
      <c r="Y3" s="10"/>
      <c r="Z3" s="10"/>
      <c r="AA3" s="10"/>
      <c r="AB3" s="49" t="s">
        <v>41</v>
      </c>
      <c r="AC3" s="40"/>
      <c r="AD3" s="10" t="s">
        <v>42</v>
      </c>
      <c r="AE3" s="10"/>
    </row>
    <row r="4" s="26" customFormat="true" ht="12.75" hidden="false" customHeight="true" outlineLevel="0" collapsed="false">
      <c r="A4" s="9"/>
      <c r="B4" s="10"/>
      <c r="C4" s="11"/>
      <c r="D4" s="44"/>
      <c r="E4" s="44"/>
      <c r="F4" s="20"/>
      <c r="G4" s="10"/>
      <c r="H4" s="10"/>
      <c r="I4" s="10"/>
      <c r="J4" s="15"/>
      <c r="K4" s="16"/>
      <c r="L4" s="23"/>
      <c r="M4" s="23"/>
      <c r="N4" s="24"/>
      <c r="O4" s="15"/>
      <c r="P4" s="50" t="s">
        <v>43</v>
      </c>
      <c r="Q4" s="50" t="s">
        <v>44</v>
      </c>
      <c r="R4" s="50" t="s">
        <v>45</v>
      </c>
      <c r="S4" s="50" t="s">
        <v>46</v>
      </c>
      <c r="T4" s="50" t="s">
        <v>47</v>
      </c>
      <c r="U4" s="50" t="s">
        <v>48</v>
      </c>
      <c r="V4" s="50" t="s">
        <v>49</v>
      </c>
      <c r="W4" s="51" t="s">
        <v>50</v>
      </c>
      <c r="X4" s="50" t="s">
        <v>51</v>
      </c>
      <c r="Y4" s="50" t="s">
        <v>52</v>
      </c>
      <c r="Z4" s="50" t="s">
        <v>53</v>
      </c>
      <c r="AA4" s="50" t="s">
        <v>54</v>
      </c>
      <c r="AB4" s="50" t="s">
        <v>55</v>
      </c>
      <c r="AC4" s="40"/>
      <c r="AD4" s="10" t="s">
        <v>56</v>
      </c>
      <c r="AE4" s="10" t="s">
        <v>57</v>
      </c>
    </row>
    <row r="5" s="5" customFormat="true" ht="12" hidden="false" customHeight="false" outlineLevel="0" collapsed="false">
      <c r="A5" s="27" t="n">
        <v>45809</v>
      </c>
      <c r="B5" s="5" t="s">
        <v>13</v>
      </c>
      <c r="F5" s="5" t="s">
        <v>58</v>
      </c>
      <c r="G5" s="52" t="n">
        <v>1200</v>
      </c>
      <c r="I5" s="6" t="n">
        <f aca="false">IF((G5&lt;&gt;0),G5-H5," ")</f>
        <v>1200</v>
      </c>
      <c r="K5" s="6"/>
      <c r="L5" s="6"/>
      <c r="M5" s="7" t="n">
        <f aca="false">IF(G5&lt;&gt;0,G5-L5," ")</f>
        <v>1200</v>
      </c>
      <c r="N5" s="8" t="n">
        <f aca="false">IF((G5-L5)&lt;&gt;0,N$1-A5," ")</f>
        <v>321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52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 t="n">
        <v>45809</v>
      </c>
      <c r="B6" s="2" t="s">
        <v>59</v>
      </c>
      <c r="F6" s="5" t="s">
        <v>60</v>
      </c>
      <c r="G6" s="52" t="n">
        <v>30</v>
      </c>
      <c r="I6" s="6" t="n">
        <f aca="false">IF((G6&lt;&gt;0),G6-H6," ")</f>
        <v>30</v>
      </c>
      <c r="J6" s="5"/>
      <c r="M6" s="7" t="n">
        <f aca="false">IF(G6&lt;&gt;0,G6-L6," ")</f>
        <v>30</v>
      </c>
      <c r="N6" s="8" t="n">
        <f aca="false">IF((G6-L6)&lt;&gt;0,N$1-A6," ")</f>
        <v>321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30</v>
      </c>
      <c r="W6" s="52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 t="n">
        <v>45809</v>
      </c>
      <c r="B7" s="2" t="s">
        <v>61</v>
      </c>
      <c r="F7" s="5" t="s">
        <v>60</v>
      </c>
      <c r="G7" s="52" t="n">
        <v>15</v>
      </c>
      <c r="I7" s="6" t="n">
        <f aca="false">IF((G7&lt;&gt;0),G7-H7," ")</f>
        <v>15</v>
      </c>
      <c r="J7" s="5"/>
      <c r="M7" s="7" t="n">
        <f aca="false">IF(G7&lt;&gt;0,G7-L7," ")</f>
        <v>15</v>
      </c>
      <c r="N7" s="8" t="n">
        <f aca="false">IF((G7-L7)&lt;&gt;0,N$1-A7," ")</f>
        <v>321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15</v>
      </c>
      <c r="W7" s="52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 t="n">
        <v>45809</v>
      </c>
      <c r="B8" s="2" t="s">
        <v>62</v>
      </c>
      <c r="F8" s="5" t="s">
        <v>63</v>
      </c>
      <c r="G8" s="52" t="n">
        <v>45</v>
      </c>
      <c r="I8" s="6" t="n">
        <f aca="false">IF((G8&lt;&gt;0),G8-H8," ")</f>
        <v>45</v>
      </c>
      <c r="J8" s="5"/>
      <c r="M8" s="7" t="n">
        <f aca="false">IF(G8&lt;&gt;0,G8-L8," ")</f>
        <v>45</v>
      </c>
      <c r="N8" s="8" t="n">
        <f aca="false">IF((G8-L8)&lt;&gt;0,N$1-A8," ")</f>
        <v>321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45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52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 t="n">
        <v>45809</v>
      </c>
      <c r="B9" s="2" t="s">
        <v>66</v>
      </c>
      <c r="F9" s="5" t="s">
        <v>63</v>
      </c>
      <c r="G9" s="52" t="n">
        <v>24</v>
      </c>
      <c r="I9" s="6" t="n">
        <f aca="false">IF((G9&lt;&gt;0),G9-H9," ")</f>
        <v>24</v>
      </c>
      <c r="J9" s="5"/>
      <c r="M9" s="7" t="n">
        <f aca="false">IF(G9&lt;&gt;0,G9-L9," ")</f>
        <v>24</v>
      </c>
      <c r="N9" s="8" t="n">
        <f aca="false">IF((G9-L9)&lt;&gt;0,N$1-A9," ")</f>
        <v>321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n">
        <f aca="false">IF((F9="o"),I9," ")</f>
        <v>24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52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 t="n">
        <v>45809</v>
      </c>
      <c r="B10" s="2" t="s">
        <v>67</v>
      </c>
      <c r="F10" s="5" t="s">
        <v>60</v>
      </c>
      <c r="G10" s="52" t="n">
        <v>18</v>
      </c>
      <c r="I10" s="6" t="n">
        <f aca="false">IF((G10&lt;&gt;0),G10-H10," ")</f>
        <v>18</v>
      </c>
      <c r="J10" s="5"/>
      <c r="M10" s="7" t="n">
        <f aca="false">IF(G10&lt;&gt;0,G10-L10," ")</f>
        <v>18</v>
      </c>
      <c r="N10" s="8" t="n">
        <f aca="false">IF((G10-L10)&lt;&gt;0,N$1-A10," ")</f>
        <v>321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n">
        <f aca="false">IF((F10="g"),I10," ")</f>
        <v>18</v>
      </c>
      <c r="W10" s="52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 t="n">
        <v>45811</v>
      </c>
      <c r="B11" s="2" t="s">
        <v>68</v>
      </c>
      <c r="F11" s="5" t="s">
        <v>63</v>
      </c>
      <c r="G11" s="52" t="n">
        <v>180</v>
      </c>
      <c r="I11" s="6" t="n">
        <f aca="false">IF((G11&lt;&gt;0),G11-H11," ")</f>
        <v>180</v>
      </c>
      <c r="J11" s="5"/>
      <c r="M11" s="7" t="n">
        <f aca="false">IF(G11&lt;&gt;0,G11-L11," ")</f>
        <v>180</v>
      </c>
      <c r="N11" s="8" t="n">
        <f aca="false">IF((G11-L11)&lt;&gt;0,N$1-A11," ")</f>
        <v>319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n">
        <f aca="false">IF((F11="o"),I11," ")</f>
        <v>180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52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 t="n">
        <v>45811</v>
      </c>
      <c r="B12" s="2" t="s">
        <v>69</v>
      </c>
      <c r="F12" s="5" t="s">
        <v>70</v>
      </c>
      <c r="G12" s="52" t="n">
        <v>22</v>
      </c>
      <c r="I12" s="6" t="n">
        <f aca="false">IF((G12&lt;&gt;0),G12-H12," ")</f>
        <v>22</v>
      </c>
      <c r="J12" s="5"/>
      <c r="M12" s="7" t="n">
        <f aca="false">IF(G12&lt;&gt;0,G12-L12," ")</f>
        <v>22</v>
      </c>
      <c r="N12" s="8" t="n">
        <f aca="false">IF((G12-L12)&lt;&gt;0,N$1-A12," ")</f>
        <v>319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52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 t="n">
        <v>45813</v>
      </c>
      <c r="B13" s="2" t="s">
        <v>71</v>
      </c>
      <c r="F13" s="5" t="s">
        <v>70</v>
      </c>
      <c r="G13" s="52" t="n">
        <v>24</v>
      </c>
      <c r="I13" s="6" t="n">
        <f aca="false">IF((G13&lt;&gt;0),G13-H13," ")</f>
        <v>24</v>
      </c>
      <c r="J13" s="5"/>
      <c r="M13" s="7" t="n">
        <f aca="false">IF(G13&lt;&gt;0,G13-L13," ")</f>
        <v>24</v>
      </c>
      <c r="N13" s="8" t="n">
        <f aca="false">IF((G13-L13)&lt;&gt;0,N$1-A13," ")</f>
        <v>317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52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 t="n">
        <v>45813</v>
      </c>
      <c r="B14" s="2" t="s">
        <v>72</v>
      </c>
      <c r="F14" s="5" t="s">
        <v>24</v>
      </c>
      <c r="G14" s="52" t="n">
        <v>180</v>
      </c>
      <c r="I14" s="6" t="n">
        <f aca="false">IF((G14&lt;&gt;0),G14-H14," ")</f>
        <v>180</v>
      </c>
      <c r="J14" s="5"/>
      <c r="M14" s="7" t="n">
        <f aca="false">IF(G14&lt;&gt;0,G14-L14," ")</f>
        <v>180</v>
      </c>
      <c r="N14" s="8" t="n">
        <f aca="false">IF((G14-L14)&lt;&gt;0,N$1-A14," ")</f>
        <v>317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52" t="n">
        <f aca="false">IF((F14="v"),I14," ")</f>
        <v>180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 t="n">
        <v>45813</v>
      </c>
      <c r="B15" s="2" t="s">
        <v>73</v>
      </c>
      <c r="F15" s="5" t="s">
        <v>63</v>
      </c>
      <c r="G15" s="52" t="n">
        <v>36</v>
      </c>
      <c r="I15" s="6" t="n">
        <f aca="false">IF((G15&lt;&gt;0),G15-H15," ")</f>
        <v>36</v>
      </c>
      <c r="J15" s="5"/>
      <c r="M15" s="7" t="n">
        <f aca="false">IF(G15&lt;&gt;0,G15-L15," ")</f>
        <v>36</v>
      </c>
      <c r="N15" s="8" t="n">
        <f aca="false">IF((G15-L15)&lt;&gt;0,N$1-A15," ")</f>
        <v>317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n">
        <f aca="false">IF((F15="o"),I15," ")</f>
        <v>36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52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 t="n">
        <v>45816</v>
      </c>
      <c r="B16" s="2" t="s">
        <v>74</v>
      </c>
      <c r="F16" s="5" t="s">
        <v>75</v>
      </c>
      <c r="G16" s="52" t="n">
        <v>48</v>
      </c>
      <c r="I16" s="6" t="n">
        <f aca="false">IF((G16&lt;&gt;0),G16-H16," ")</f>
        <v>48</v>
      </c>
      <c r="J16" s="5"/>
      <c r="M16" s="7" t="n">
        <f aca="false">IF(G16&lt;&gt;0,G16-L16," ")</f>
        <v>48</v>
      </c>
      <c r="N16" s="8" t="n">
        <f aca="false">IF((G16-L16)&lt;&gt;0,N$1-A16," ")</f>
        <v>314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52" t="str">
        <f aca="false">IF((F16="v"),I16," ")</f>
        <v> </v>
      </c>
      <c r="X16" s="19" t="n">
        <f aca="false">IF((F16="h"),I16," ")</f>
        <v>48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 t="n">
        <v>45818</v>
      </c>
      <c r="B17" s="2" t="s">
        <v>76</v>
      </c>
      <c r="F17" s="5" t="s">
        <v>70</v>
      </c>
      <c r="G17" s="52" t="n">
        <v>36</v>
      </c>
      <c r="I17" s="6" t="n">
        <f aca="false">IF((G17&lt;&gt;0),G17-H17," ")</f>
        <v>36</v>
      </c>
      <c r="J17" s="5"/>
      <c r="M17" s="7" t="n">
        <f aca="false">IF(G17&lt;&gt;0,G17-L17," ")</f>
        <v>36</v>
      </c>
      <c r="N17" s="8" t="n">
        <f aca="false">IF((G17-L17)&lt;&gt;0,N$1-A17," ")</f>
        <v>312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52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 t="n">
        <v>45818</v>
      </c>
      <c r="B18" s="2" t="s">
        <v>108</v>
      </c>
      <c r="F18" s="5" t="s">
        <v>60</v>
      </c>
      <c r="G18" s="52" t="n">
        <v>96</v>
      </c>
      <c r="I18" s="6" t="n">
        <f aca="false">IF((G18&lt;&gt;0),G18-H18," ")</f>
        <v>96</v>
      </c>
      <c r="J18" s="5"/>
      <c r="M18" s="7" t="n">
        <f aca="false">IF(G18&lt;&gt;0,G18-L18," ")</f>
        <v>96</v>
      </c>
      <c r="N18" s="8" t="n">
        <f aca="false">IF((G18-L18)&lt;&gt;0,N$1-A18," ")</f>
        <v>312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n">
        <f aca="false">IF((F18="g"),I18," ")</f>
        <v>96</v>
      </c>
      <c r="W18" s="52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 t="n">
        <v>45820</v>
      </c>
      <c r="B19" s="2" t="s">
        <v>81</v>
      </c>
      <c r="F19" s="5" t="s">
        <v>24</v>
      </c>
      <c r="G19" s="52" t="n">
        <v>18</v>
      </c>
      <c r="I19" s="6" t="n">
        <f aca="false">IF((G19&lt;&gt;0),G19-H19," ")</f>
        <v>18</v>
      </c>
      <c r="J19" s="5"/>
      <c r="M19" s="7" t="n">
        <f aca="false">IF(G19&lt;&gt;0,G19-L19," ")</f>
        <v>18</v>
      </c>
      <c r="N19" s="8" t="n">
        <f aca="false">IF((G19-L19)&lt;&gt;0,N$1-A19," ")</f>
        <v>310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52" t="n">
        <f aca="false">IF((F19="v"),I19," ")</f>
        <v>18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 t="n">
        <v>45822</v>
      </c>
      <c r="B20" s="2" t="s">
        <v>82</v>
      </c>
      <c r="F20" s="5" t="s">
        <v>70</v>
      </c>
      <c r="G20" s="52" t="n">
        <v>30</v>
      </c>
      <c r="I20" s="6" t="n">
        <f aca="false">IF((G20&lt;&gt;0),G20-H20," ")</f>
        <v>30</v>
      </c>
      <c r="J20" s="5"/>
      <c r="M20" s="7" t="n">
        <f aca="false">IF(G20&lt;&gt;0,G20-L20," ")</f>
        <v>30</v>
      </c>
      <c r="N20" s="8" t="n">
        <f aca="false">IF((G20-L20)&lt;&gt;0,N$1-A20," ")</f>
        <v>308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52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 t="n">
        <v>45822</v>
      </c>
      <c r="B21" s="2" t="s">
        <v>83</v>
      </c>
      <c r="F21" s="5" t="s">
        <v>75</v>
      </c>
      <c r="G21" s="52" t="n">
        <v>24</v>
      </c>
      <c r="I21" s="6" t="n">
        <f aca="false">IF((G21&lt;&gt;0),G21-H21," ")</f>
        <v>24</v>
      </c>
      <c r="J21" s="5"/>
      <c r="M21" s="7" t="n">
        <f aca="false">IF(G21&lt;&gt;0,G21-L21," ")</f>
        <v>24</v>
      </c>
      <c r="N21" s="8" t="n">
        <f aca="false">IF((G21-L21)&lt;&gt;0,N$1-A21," ")</f>
        <v>308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52" t="str">
        <f aca="false">IF((F21="v"),I21," ")</f>
        <v> </v>
      </c>
      <c r="X21" s="19" t="n">
        <f aca="false">IF((F21="h"),I21," ")</f>
        <v>24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 t="n">
        <v>45822</v>
      </c>
      <c r="B22" s="2" t="s">
        <v>84</v>
      </c>
      <c r="F22" s="5" t="s">
        <v>75</v>
      </c>
      <c r="G22" s="52" t="n">
        <v>12</v>
      </c>
      <c r="I22" s="6" t="n">
        <f aca="false">IF((G22&lt;&gt;0),G22-H22," ")</f>
        <v>12</v>
      </c>
      <c r="J22" s="5"/>
      <c r="M22" s="7" t="n">
        <f aca="false">IF(G22&lt;&gt;0,G22-L22," ")</f>
        <v>12</v>
      </c>
      <c r="N22" s="8" t="n">
        <f aca="false">IF((G22-L22)&lt;&gt;0,N$1-A22," ")</f>
        <v>308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52" t="str">
        <f aca="false">IF((F22="v"),I22," ")</f>
        <v> </v>
      </c>
      <c r="X22" s="19" t="n">
        <f aca="false">IF((F22="h"),I22," ")</f>
        <v>12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 t="n">
        <v>45823</v>
      </c>
      <c r="B23" s="2" t="s">
        <v>19</v>
      </c>
      <c r="F23" s="5" t="s">
        <v>24</v>
      </c>
      <c r="G23" s="52" t="n">
        <v>150</v>
      </c>
      <c r="I23" s="6" t="n">
        <f aca="false">IF((G23&lt;&gt;0),G23-H23," ")</f>
        <v>150</v>
      </c>
      <c r="J23" s="5"/>
      <c r="M23" s="7" t="n">
        <f aca="false">IF(G23&lt;&gt;0,G23-L23," ")</f>
        <v>150</v>
      </c>
      <c r="N23" s="8" t="n">
        <f aca="false">IF((G23-L23)&lt;&gt;0,N$1-A23," ")</f>
        <v>307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52" t="n">
        <f aca="false">IF((F23="v"),I23," ")</f>
        <v>150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 t="n">
        <v>45823</v>
      </c>
      <c r="B24" s="2" t="s">
        <v>85</v>
      </c>
      <c r="F24" s="5" t="s">
        <v>60</v>
      </c>
      <c r="G24" s="52" t="n">
        <v>12</v>
      </c>
      <c r="I24" s="6" t="n">
        <f aca="false">IF((G24&lt;&gt;0),G24-H24," ")</f>
        <v>12</v>
      </c>
      <c r="J24" s="5"/>
      <c r="M24" s="7" t="n">
        <f aca="false">IF(G24&lt;&gt;0,G24-L24," ")</f>
        <v>12</v>
      </c>
      <c r="N24" s="8" t="n">
        <f aca="false">IF((G24-L24)&lt;&gt;0,N$1-A24," ")</f>
        <v>307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n">
        <f aca="false">IF((F24="g"),I24," ")</f>
        <v>12</v>
      </c>
      <c r="W24" s="52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 t="n">
        <v>45823</v>
      </c>
      <c r="B25" s="2" t="s">
        <v>109</v>
      </c>
      <c r="F25" s="5" t="s">
        <v>110</v>
      </c>
      <c r="G25" s="52" t="n">
        <v>5000</v>
      </c>
      <c r="I25" s="6" t="n">
        <f aca="false">IF((G25&lt;&gt;0),G25-H25," ")</f>
        <v>5000</v>
      </c>
      <c r="J25" s="5"/>
      <c r="M25" s="7" t="n">
        <f aca="false">IF(G25&lt;&gt;0,G25-L25," ")</f>
        <v>5000</v>
      </c>
      <c r="N25" s="8" t="n">
        <f aca="false">IF((G25-L25)&lt;&gt;0,N$1-A25," ")</f>
        <v>307</v>
      </c>
      <c r="O25" s="5"/>
      <c r="P25" s="19" t="str">
        <f aca="false">IF((F25="s"),I25," ")</f>
        <v> </v>
      </c>
      <c r="Q25" s="19" t="n">
        <f aca="false">IF((F25="c"),I25," ")</f>
        <v>5000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52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 t="n">
        <v>45826</v>
      </c>
      <c r="B26" s="2" t="s">
        <v>111</v>
      </c>
      <c r="F26" s="5" t="s">
        <v>75</v>
      </c>
      <c r="G26" s="52" t="n">
        <v>180</v>
      </c>
      <c r="I26" s="6" t="n">
        <f aca="false">IF((G26&lt;&gt;0),G26-H26," ")</f>
        <v>180</v>
      </c>
      <c r="J26" s="5"/>
      <c r="M26" s="7" t="n">
        <f aca="false">IF(G26&lt;&gt;0,G26-L26," ")</f>
        <v>180</v>
      </c>
      <c r="N26" s="8" t="n">
        <f aca="false">IF((G26-L26)&lt;&gt;0,N$1-A26," ")</f>
        <v>304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52" t="str">
        <f aca="false">IF((F26="v"),I26," ")</f>
        <v> </v>
      </c>
      <c r="X26" s="19" t="n">
        <f aca="false">IF((F26="h"),I26," ")</f>
        <v>180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 t="n">
        <v>45826</v>
      </c>
      <c r="B27" s="2" t="s">
        <v>112</v>
      </c>
      <c r="F27" s="5" t="s">
        <v>80</v>
      </c>
      <c r="G27" s="52" t="n">
        <v>360</v>
      </c>
      <c r="I27" s="6" t="n">
        <f aca="false">IF((G27&lt;&gt;0),G27-H27," ")</f>
        <v>360</v>
      </c>
      <c r="J27" s="5"/>
      <c r="M27" s="7" t="n">
        <f aca="false">IF(G27&lt;&gt;0,G27-L27," ")</f>
        <v>360</v>
      </c>
      <c r="N27" s="8" t="n">
        <f aca="false">IF((G27-L27)&lt;&gt;0,N$1-A27," ")</f>
        <v>304</v>
      </c>
      <c r="O27" s="5"/>
      <c r="P27" s="19" t="n">
        <f aca="false">IF((F27="s"),I27," ")</f>
        <v>360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52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 t="n">
        <v>45826</v>
      </c>
      <c r="B28" s="2" t="s">
        <v>86</v>
      </c>
      <c r="F28" s="5" t="s">
        <v>24</v>
      </c>
      <c r="G28" s="52" t="n">
        <v>96</v>
      </c>
      <c r="I28" s="6" t="n">
        <f aca="false">IF((G28&lt;&gt;0),G28-H28," ")</f>
        <v>96</v>
      </c>
      <c r="J28" s="5"/>
      <c r="M28" s="7" t="n">
        <f aca="false">IF(G28&lt;&gt;0,G28-L28," ")</f>
        <v>96</v>
      </c>
      <c r="N28" s="8" t="n">
        <f aca="false">IF((G28-L28)&lt;&gt;0,N$1-A28," ")</f>
        <v>304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52" t="n">
        <f aca="false">IF((F28="v"),I28," ")</f>
        <v>96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 t="n">
        <v>45828</v>
      </c>
      <c r="B29" s="2" t="s">
        <v>87</v>
      </c>
      <c r="F29" s="5" t="s">
        <v>60</v>
      </c>
      <c r="G29" s="52" t="n">
        <v>60</v>
      </c>
      <c r="I29" s="6" t="n">
        <f aca="false">IF((G29&lt;&gt;0),G29-H29," ")</f>
        <v>60</v>
      </c>
      <c r="J29" s="5"/>
      <c r="M29" s="7" t="n">
        <f aca="false">IF(G29&lt;&gt;0,G29-L29," ")</f>
        <v>60</v>
      </c>
      <c r="N29" s="8" t="n">
        <f aca="false">IF((G29-L29)&lt;&gt;0,N$1-A29," ")</f>
        <v>302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n">
        <f aca="false">IF((F29="g"),I29," ")</f>
        <v>60</v>
      </c>
      <c r="W29" s="52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 t="n">
        <v>45829</v>
      </c>
      <c r="B30" s="2" t="s">
        <v>90</v>
      </c>
      <c r="F30" s="5" t="s">
        <v>75</v>
      </c>
      <c r="G30" s="52" t="n">
        <v>8</v>
      </c>
      <c r="I30" s="6" t="n">
        <f aca="false">IF((G30&lt;&gt;0),G30-H30," ")</f>
        <v>8</v>
      </c>
      <c r="J30" s="5"/>
      <c r="M30" s="7" t="n">
        <f aca="false">IF(G30&lt;&gt;0,G30-L30," ")</f>
        <v>8</v>
      </c>
      <c r="N30" s="8" t="n">
        <f aca="false">IF((G30-L30)&lt;&gt;0,N$1-A30," ")</f>
        <v>301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52" t="str">
        <f aca="false">IF((F30="v"),I30," ")</f>
        <v> </v>
      </c>
      <c r="X30" s="19" t="n">
        <f aca="false">IF((F30="h"),I30," ")</f>
        <v>8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 t="n">
        <v>45830</v>
      </c>
      <c r="B31" s="2" t="s">
        <v>91</v>
      </c>
      <c r="F31" s="5" t="s">
        <v>70</v>
      </c>
      <c r="G31" s="52" t="n">
        <v>18</v>
      </c>
      <c r="I31" s="6" t="n">
        <f aca="false">IF((G31&lt;&gt;0),G31-H31," ")</f>
        <v>18</v>
      </c>
      <c r="J31" s="5"/>
      <c r="M31" s="7" t="n">
        <f aca="false">IF(G31&lt;&gt;0,G31-L31," ")</f>
        <v>18</v>
      </c>
      <c r="N31" s="8" t="n">
        <f aca="false">IF((G31-L31)&lt;&gt;0,N$1-A31," ")</f>
        <v>300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52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 t="n">
        <v>45833</v>
      </c>
      <c r="B32" s="2" t="s">
        <v>113</v>
      </c>
      <c r="F32" s="5" t="s">
        <v>114</v>
      </c>
      <c r="G32" s="52" t="n">
        <v>360</v>
      </c>
      <c r="I32" s="6" t="n">
        <f aca="false">IF((G32&lt;&gt;0),G32-H32," ")</f>
        <v>360</v>
      </c>
      <c r="J32" s="5"/>
      <c r="M32" s="7" t="n">
        <f aca="false">IF(G32&lt;&gt;0,G32-L32," ")</f>
        <v>360</v>
      </c>
      <c r="N32" s="8" t="n">
        <f aca="false">IF((G32-L32)&lt;&gt;0,N$1-A32," ")</f>
        <v>297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n">
        <f aca="false">IF((F32="p"),I32," ")</f>
        <v>360</v>
      </c>
      <c r="U32" s="19" t="str">
        <f aca="false">IF((F32="m"),I32," ")</f>
        <v> </v>
      </c>
      <c r="V32" s="19" t="str">
        <f aca="false">IF((F32="g"),I32," ")</f>
        <v> </v>
      </c>
      <c r="W32" s="52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 t="n">
        <v>45833</v>
      </c>
      <c r="B33" s="2" t="s">
        <v>92</v>
      </c>
      <c r="F33" s="5" t="s">
        <v>70</v>
      </c>
      <c r="G33" s="52" t="n">
        <v>15</v>
      </c>
      <c r="I33" s="6" t="n">
        <f aca="false">IF((G33&lt;&gt;0),G33-H33," ")</f>
        <v>15</v>
      </c>
      <c r="J33" s="5"/>
      <c r="M33" s="7" t="n">
        <f aca="false">IF(G33&lt;&gt;0,G33-L33," ")</f>
        <v>15</v>
      </c>
      <c r="N33" s="8" t="n">
        <f aca="false">IF((G33-L33)&lt;&gt;0,N$1-A33," ")</f>
        <v>297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52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 t="n">
        <v>45833</v>
      </c>
      <c r="B34" s="2" t="s">
        <v>93</v>
      </c>
      <c r="F34" s="5" t="s">
        <v>24</v>
      </c>
      <c r="G34" s="52" t="n">
        <v>90</v>
      </c>
      <c r="I34" s="6" t="n">
        <f aca="false">IF((G34&lt;&gt;0),G34-H34," ")</f>
        <v>90</v>
      </c>
      <c r="J34" s="5"/>
      <c r="M34" s="7" t="n">
        <f aca="false">IF(G34&lt;&gt;0,G34-L34," ")</f>
        <v>90</v>
      </c>
      <c r="N34" s="8" t="n">
        <f aca="false">IF((G34-L34)&lt;&gt;0,N$1-A34," ")</f>
        <v>297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52" t="n">
        <f aca="false">IF((F34="v"),I34," ")</f>
        <v>90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 t="n">
        <v>45836</v>
      </c>
      <c r="B35" s="2" t="s">
        <v>19</v>
      </c>
      <c r="F35" s="5" t="s">
        <v>24</v>
      </c>
      <c r="G35" s="52" t="n">
        <v>120</v>
      </c>
      <c r="I35" s="6" t="n">
        <f aca="false">IF((G35&lt;&gt;0),G35-H35," ")</f>
        <v>120</v>
      </c>
      <c r="J35" s="5"/>
      <c r="M35" s="7" t="n">
        <f aca="false">IF(G35&lt;&gt;0,G35-L35," ")</f>
        <v>120</v>
      </c>
      <c r="N35" s="8" t="n">
        <f aca="false">IF((G35-L35)&lt;&gt;0,N$1-A35," ")</f>
        <v>294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52" t="n">
        <f aca="false">IF((F35="v"),I35," ")</f>
        <v>120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 t="n">
        <v>45838</v>
      </c>
      <c r="B36" s="2" t="s">
        <v>15</v>
      </c>
      <c r="F36" s="5" t="s">
        <v>94</v>
      </c>
      <c r="G36" s="52" t="n">
        <v>300</v>
      </c>
      <c r="I36" s="6" t="n">
        <f aca="false">IF((G36&lt;&gt;0),G36-H36," ")</f>
        <v>300</v>
      </c>
      <c r="J36" s="5"/>
      <c r="M36" s="7" t="n">
        <f aca="false">IF(G36&lt;&gt;0,G36-L36," ")</f>
        <v>300</v>
      </c>
      <c r="N36" s="8" t="n">
        <f aca="false">IF((G36-L36)&lt;&gt;0,N$1-A36," ")</f>
        <v>292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52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n">
        <f aca="false">IF((F36="l"),I36," ")</f>
        <v>300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 t="n">
        <v>45838</v>
      </c>
      <c r="B37" s="2" t="s">
        <v>115</v>
      </c>
      <c r="F37" s="5" t="s">
        <v>94</v>
      </c>
      <c r="G37" s="52" t="n">
        <v>250</v>
      </c>
      <c r="I37" s="6" t="n">
        <f aca="false">IF((G37&lt;&gt;0),G37-H37," ")</f>
        <v>250</v>
      </c>
      <c r="J37" s="5"/>
      <c r="M37" s="7" t="n">
        <f aca="false">IF(G37&lt;&gt;0,G37-L37," ")</f>
        <v>250</v>
      </c>
      <c r="N37" s="8" t="n">
        <f aca="false">IF((G37-L37)&lt;&gt;0,N$1-A37," ")</f>
        <v>292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52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n">
        <f aca="false">IF((F37="l"),I37," ")</f>
        <v>250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52"/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52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52"/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52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52"/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52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52"/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52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52"/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52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52"/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52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52"/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52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52"/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52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52"/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52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52"/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52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52"/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52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52"/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52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52"/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52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52"/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52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52"/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52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52"/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52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52"/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52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52"/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52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52"/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52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52"/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52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52"/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52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52"/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52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52"/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52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52"/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52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52"/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52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52"/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52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52"/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52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52"/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52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52"/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52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52"/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52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52"/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52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52"/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52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52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52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52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52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52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52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52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52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52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52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52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52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52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52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52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52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52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52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52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52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52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52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52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52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52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52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52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52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52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52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52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52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52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52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52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52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52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52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52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52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52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52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52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52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52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52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52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52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52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52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52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52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52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52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52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52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52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52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52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52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52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52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52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52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52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52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52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52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52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52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52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52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52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52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52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52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52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52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52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52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52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52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52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52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52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52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52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52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52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52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52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52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52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52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52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52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52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52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52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52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52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52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52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52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52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52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52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52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52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52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52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52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52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52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52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52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52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52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52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52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52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52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52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52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52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52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52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52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52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52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52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52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52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52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52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52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52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52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52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52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52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52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52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52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52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52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52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52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52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52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52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52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52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52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52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52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52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52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52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52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52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52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52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52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52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52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52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52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52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52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52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52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52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52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52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52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52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52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52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52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52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52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52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52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52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52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52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52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52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52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52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52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52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52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52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52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52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52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52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52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52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52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52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52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52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52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52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52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52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52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52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52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52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52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52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52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52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52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52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52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52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52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52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52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52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52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52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52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52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52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52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52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52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52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52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52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52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52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52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52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52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52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52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52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52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52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52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52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52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52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52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52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52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52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52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52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52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52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52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52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52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52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52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52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52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52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52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52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52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52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52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52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52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52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52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52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52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52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52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52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52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52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52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52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52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52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52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52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52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52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52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52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52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52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52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52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52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52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52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52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52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52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52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52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52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52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52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52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52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52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52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52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52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52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52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52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52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52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52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52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52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52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52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52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52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52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52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52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52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52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52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52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52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52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52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52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52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52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52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52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52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52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52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52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52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52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52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52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52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52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52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52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52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52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52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52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52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52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52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52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52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52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52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52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52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52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52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52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52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52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52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52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52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52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52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52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52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52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52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52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52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52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52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52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52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52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52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52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52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52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52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52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52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52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52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52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52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52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52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52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52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52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52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52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52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52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52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52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52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52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52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52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52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52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52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52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52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52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52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52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52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52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52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52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52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52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52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52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52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52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52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52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52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52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52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52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52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52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52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52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52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52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52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52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52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52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52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52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52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52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52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52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52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52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52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52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52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52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52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52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0"/>
      <c r="B300" s="31"/>
      <c r="C300" s="32"/>
      <c r="D300" s="33"/>
      <c r="E300" s="31"/>
      <c r="F300" s="53" t="str">
        <f aca="false">IF((G300&lt;&gt;0),"Enter Letter"," ")</f>
        <v> </v>
      </c>
      <c r="G300" s="54"/>
      <c r="H300" s="34" t="str">
        <f aca="false">IF(G300&lt;&gt;0,G300*H$2/(100+H$2)," ")</f>
        <v> </v>
      </c>
      <c r="I300" s="34" t="str">
        <f aca="false">IF((G300&lt;&gt;0),G300-H300," ")</f>
        <v> </v>
      </c>
      <c r="J300" s="55"/>
      <c r="K300" s="34"/>
      <c r="L300" s="34"/>
      <c r="M300" s="35" t="str">
        <f aca="false">IF(G300&lt;&gt;0,G300-L300," ")</f>
        <v> </v>
      </c>
      <c r="N300" s="36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3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2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7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8" t="n">
        <f aca="false">G1-H1-SUM(P1:AB1)</f>
        <v>5095</v>
      </c>
      <c r="B1" s="39" t="s">
        <v>21</v>
      </c>
      <c r="C1" s="39"/>
      <c r="D1" s="12" t="n">
        <f aca="false">SUM(D5:D300)</f>
        <v>0</v>
      </c>
      <c r="E1" s="13" t="s">
        <v>3</v>
      </c>
      <c r="F1" s="14"/>
      <c r="G1" s="13" t="n">
        <f aca="false">SUM(G2:G300)</f>
        <v>9059.25</v>
      </c>
      <c r="H1" s="13" t="n">
        <f aca="false">SUM(H5:H200)</f>
        <v>0</v>
      </c>
      <c r="I1" s="13" t="n">
        <f aca="false">SUM(I2:I200)</f>
        <v>9059.25</v>
      </c>
      <c r="J1" s="15"/>
      <c r="K1" s="16" t="s">
        <v>4</v>
      </c>
      <c r="L1" s="17" t="n">
        <f aca="false">SUM(L5:L300)</f>
        <v>0</v>
      </c>
      <c r="M1" s="17" t="n">
        <f aca="false">SUM(M5:M200)</f>
        <v>9059.25</v>
      </c>
      <c r="N1" s="18" t="n">
        <f aca="true">TODAY()</f>
        <v>46130</v>
      </c>
      <c r="O1" s="15"/>
      <c r="P1" s="13" t="n">
        <f aca="false">SUM(P5:P300)</f>
        <v>720</v>
      </c>
      <c r="Q1" s="13" t="n">
        <f aca="false">SUM(Q5:Q300)</f>
        <v>0</v>
      </c>
      <c r="R1" s="13" t="n">
        <f aca="false">SUM(R5:R300)</f>
        <v>249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180</v>
      </c>
      <c r="V1" s="13" t="n">
        <f aca="false">SUM(V5:V300)</f>
        <v>159</v>
      </c>
      <c r="W1" s="13" t="n">
        <f aca="false">SUM(W2:W300)</f>
        <v>584.25</v>
      </c>
      <c r="X1" s="13" t="n">
        <f aca="false">SUM(X5:X300)</f>
        <v>92</v>
      </c>
      <c r="Y1" s="13" t="n">
        <f aca="false">SUM(Y5:Y300)</f>
        <v>480</v>
      </c>
      <c r="Z1" s="13" t="n">
        <f aca="false">SUM(Z5:Z300)</f>
        <v>300</v>
      </c>
      <c r="AA1" s="13" t="n">
        <f aca="false">SUM(AA5:AA300)</f>
        <v>0</v>
      </c>
      <c r="AB1" s="13" t="n">
        <f aca="false">SUM(AB5:AB300)</f>
        <v>1200</v>
      </c>
      <c r="AC1" s="40"/>
      <c r="AD1" s="13" t="n">
        <f aca="false">SUM(AD5:AD300)</f>
        <v>0</v>
      </c>
      <c r="AE1" s="41"/>
    </row>
    <row r="2" s="19" customFormat="true" ht="13.5" hidden="false" customHeight="true" outlineLevel="0" collapsed="false">
      <c r="A2" s="42" t="n">
        <f aca="false">G2+Jun!A2</f>
        <v>0</v>
      </c>
      <c r="B2" s="43" t="s">
        <v>22</v>
      </c>
      <c r="C2" s="42" t="n">
        <f aca="false">Jun!C2+D1+[1]Jul!$D$1</f>
        <v>0</v>
      </c>
      <c r="D2" s="44" t="s">
        <v>23</v>
      </c>
      <c r="E2" s="20" t="s">
        <v>5</v>
      </c>
      <c r="F2" s="43" t="str">
        <f aca="false">Jun!F2</f>
        <v>v</v>
      </c>
      <c r="G2" s="45" t="n">
        <f aca="false">IF(C2&lt;[2]Admin!$F$22,(C2-Jun!C2)*[2]Admin!$G$21,C2*[2]Admin!$G$21-(C2-[2]Admin!$F$21)*([2]Admin!$G$21-[2]Admin!$G$22)-Jun!A2)</f>
        <v>0</v>
      </c>
      <c r="H2" s="21" t="n">
        <f aca="false">IF([1]Jul!$H$4&gt;0,0,[1]Jul!$H$2)</f>
        <v>20</v>
      </c>
      <c r="I2" s="46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7" t="s">
        <v>27</v>
      </c>
      <c r="U2" s="10" t="s">
        <v>28</v>
      </c>
      <c r="V2" s="10" t="s">
        <v>29</v>
      </c>
      <c r="W2" s="48" t="n">
        <f aca="false">IF((F2="v"),I2," ")</f>
        <v>0</v>
      </c>
      <c r="X2" s="10" t="s">
        <v>30</v>
      </c>
      <c r="Y2" s="10" t="s">
        <v>31</v>
      </c>
      <c r="Z2" s="10" t="s">
        <v>32</v>
      </c>
      <c r="AA2" s="10" t="s">
        <v>33</v>
      </c>
      <c r="AB2" s="49" t="n">
        <f aca="false">AB1+Jun!AB2</f>
        <v>3000</v>
      </c>
      <c r="AC2" s="40"/>
      <c r="AD2" s="10" t="s">
        <v>34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4"/>
      <c r="E3" s="44"/>
      <c r="F3" s="20" t="s">
        <v>35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36</v>
      </c>
      <c r="Q3" s="20" t="s">
        <v>37</v>
      </c>
      <c r="R3" s="20" t="s">
        <v>38</v>
      </c>
      <c r="S3" s="10"/>
      <c r="T3" s="20" t="s">
        <v>39</v>
      </c>
      <c r="U3" s="10"/>
      <c r="V3" s="10"/>
      <c r="W3" s="49" t="s">
        <v>40</v>
      </c>
      <c r="X3" s="10"/>
      <c r="Y3" s="10"/>
      <c r="Z3" s="10"/>
      <c r="AA3" s="10"/>
      <c r="AB3" s="49" t="s">
        <v>41</v>
      </c>
      <c r="AC3" s="40"/>
      <c r="AD3" s="10" t="s">
        <v>42</v>
      </c>
      <c r="AE3" s="10"/>
    </row>
    <row r="4" s="26" customFormat="true" ht="12.75" hidden="false" customHeight="true" outlineLevel="0" collapsed="false">
      <c r="A4" s="9"/>
      <c r="B4" s="10"/>
      <c r="C4" s="11"/>
      <c r="D4" s="44"/>
      <c r="E4" s="44"/>
      <c r="F4" s="20"/>
      <c r="G4" s="10"/>
      <c r="H4" s="10"/>
      <c r="I4" s="10"/>
      <c r="J4" s="15"/>
      <c r="K4" s="16"/>
      <c r="L4" s="23"/>
      <c r="M4" s="23"/>
      <c r="N4" s="24"/>
      <c r="O4" s="15"/>
      <c r="P4" s="50" t="s">
        <v>43</v>
      </c>
      <c r="Q4" s="50" t="s">
        <v>44</v>
      </c>
      <c r="R4" s="50" t="s">
        <v>45</v>
      </c>
      <c r="S4" s="50" t="s">
        <v>46</v>
      </c>
      <c r="T4" s="50" t="s">
        <v>47</v>
      </c>
      <c r="U4" s="50" t="s">
        <v>48</v>
      </c>
      <c r="V4" s="50" t="s">
        <v>49</v>
      </c>
      <c r="W4" s="51" t="s">
        <v>50</v>
      </c>
      <c r="X4" s="50" t="s">
        <v>51</v>
      </c>
      <c r="Y4" s="50" t="s">
        <v>52</v>
      </c>
      <c r="Z4" s="50" t="s">
        <v>53</v>
      </c>
      <c r="AA4" s="50" t="s">
        <v>54</v>
      </c>
      <c r="AB4" s="50" t="s">
        <v>55</v>
      </c>
      <c r="AC4" s="40"/>
      <c r="AD4" s="10" t="s">
        <v>56</v>
      </c>
      <c r="AE4" s="10" t="s">
        <v>57</v>
      </c>
    </row>
    <row r="5" s="5" customFormat="true" ht="12" hidden="false" customHeight="false" outlineLevel="0" collapsed="false">
      <c r="A5" s="27" t="n">
        <v>45839</v>
      </c>
      <c r="B5" s="5" t="s">
        <v>13</v>
      </c>
      <c r="F5" s="5" t="s">
        <v>58</v>
      </c>
      <c r="G5" s="52" t="n">
        <v>1200</v>
      </c>
      <c r="I5" s="6" t="n">
        <f aca="false">IF((G5&lt;&gt;0),G5-H5," ")</f>
        <v>1200</v>
      </c>
      <c r="K5" s="6"/>
      <c r="L5" s="6"/>
      <c r="M5" s="7" t="n">
        <f aca="false">IF(G5&lt;&gt;0,G5-L5," ")</f>
        <v>1200</v>
      </c>
      <c r="N5" s="8" t="n">
        <f aca="false">IF((G5-L5)&lt;&gt;0,N$1-A5," ")</f>
        <v>291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52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 t="n">
        <v>45839</v>
      </c>
      <c r="B6" s="2" t="s">
        <v>59</v>
      </c>
      <c r="F6" s="5" t="s">
        <v>60</v>
      </c>
      <c r="G6" s="52" t="n">
        <v>30</v>
      </c>
      <c r="I6" s="6" t="n">
        <f aca="false">IF((G6&lt;&gt;0),G6-H6," ")</f>
        <v>30</v>
      </c>
      <c r="J6" s="5"/>
      <c r="M6" s="7" t="n">
        <f aca="false">IF(G6&lt;&gt;0,G6-L6," ")</f>
        <v>30</v>
      </c>
      <c r="N6" s="8" t="n">
        <f aca="false">IF((G6-L6)&lt;&gt;0,N$1-A6," ")</f>
        <v>291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30</v>
      </c>
      <c r="W6" s="52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 t="n">
        <v>45839</v>
      </c>
      <c r="B7" s="2" t="s">
        <v>61</v>
      </c>
      <c r="F7" s="5" t="s">
        <v>60</v>
      </c>
      <c r="G7" s="52" t="n">
        <v>15</v>
      </c>
      <c r="I7" s="6" t="n">
        <f aca="false">IF((G7&lt;&gt;0),G7-H7," ")</f>
        <v>15</v>
      </c>
      <c r="J7" s="5"/>
      <c r="M7" s="7" t="n">
        <f aca="false">IF(G7&lt;&gt;0,G7-L7," ")</f>
        <v>15</v>
      </c>
      <c r="N7" s="8" t="n">
        <f aca="false">IF((G7-L7)&lt;&gt;0,N$1-A7," ")</f>
        <v>291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15</v>
      </c>
      <c r="W7" s="52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 t="n">
        <v>45839</v>
      </c>
      <c r="B8" s="2" t="s">
        <v>62</v>
      </c>
      <c r="F8" s="5" t="s">
        <v>63</v>
      </c>
      <c r="G8" s="52" t="n">
        <v>45</v>
      </c>
      <c r="I8" s="6" t="n">
        <f aca="false">IF((G8&lt;&gt;0),G8-H8," ")</f>
        <v>45</v>
      </c>
      <c r="J8" s="5"/>
      <c r="M8" s="7" t="n">
        <f aca="false">IF(G8&lt;&gt;0,G8-L8," ")</f>
        <v>45</v>
      </c>
      <c r="N8" s="8" t="n">
        <f aca="false">IF((G8-L8)&lt;&gt;0,N$1-A8," ")</f>
        <v>291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45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52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 t="n">
        <v>45839</v>
      </c>
      <c r="B9" s="2" t="s">
        <v>116</v>
      </c>
      <c r="F9" s="5" t="s">
        <v>117</v>
      </c>
      <c r="G9" s="52" t="n">
        <v>3000</v>
      </c>
      <c r="I9" s="6" t="n">
        <f aca="false">IF((G9&lt;&gt;0),G9-H9," ")</f>
        <v>3000</v>
      </c>
      <c r="J9" s="5"/>
      <c r="M9" s="7" t="n">
        <f aca="false">IF(G9&lt;&gt;0,G9-L9," ")</f>
        <v>3000</v>
      </c>
      <c r="N9" s="8" t="n">
        <f aca="false">IF((G9-L9)&lt;&gt;0,N$1-A9," ")</f>
        <v>291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52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 t="n">
        <v>45839</v>
      </c>
      <c r="B10" s="2" t="s">
        <v>66</v>
      </c>
      <c r="F10" s="5" t="s">
        <v>63</v>
      </c>
      <c r="G10" s="52" t="n">
        <v>24</v>
      </c>
      <c r="I10" s="6" t="n">
        <f aca="false">IF((G10&lt;&gt;0),G10-H10," ")</f>
        <v>24</v>
      </c>
      <c r="J10" s="5"/>
      <c r="M10" s="7" t="n">
        <f aca="false">IF(G10&lt;&gt;0,G10-L10," ")</f>
        <v>24</v>
      </c>
      <c r="N10" s="8" t="n">
        <f aca="false">IF((G10-L10)&lt;&gt;0,N$1-A10," ")</f>
        <v>291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n">
        <f aca="false">IF((F10="o"),I10," ")</f>
        <v>24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52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 t="n">
        <v>45839</v>
      </c>
      <c r="B11" s="2" t="s">
        <v>67</v>
      </c>
      <c r="F11" s="5" t="s">
        <v>60</v>
      </c>
      <c r="G11" s="52" t="n">
        <v>18</v>
      </c>
      <c r="I11" s="6" t="n">
        <f aca="false">IF((G11&lt;&gt;0),G11-H11," ")</f>
        <v>18</v>
      </c>
      <c r="J11" s="5"/>
      <c r="M11" s="7" t="n">
        <f aca="false">IF(G11&lt;&gt;0,G11-L11," ")</f>
        <v>18</v>
      </c>
      <c r="N11" s="8" t="n">
        <f aca="false">IF((G11-L11)&lt;&gt;0,N$1-A11," ")</f>
        <v>291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n">
        <f aca="false">IF((F11="g"),I11," ")</f>
        <v>18</v>
      </c>
      <c r="W11" s="52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 t="n">
        <v>45841</v>
      </c>
      <c r="B12" s="2" t="s">
        <v>68</v>
      </c>
      <c r="F12" s="5" t="s">
        <v>63</v>
      </c>
      <c r="G12" s="52" t="n">
        <v>180</v>
      </c>
      <c r="I12" s="6" t="n">
        <f aca="false">IF((G12&lt;&gt;0),G12-H12," ")</f>
        <v>180</v>
      </c>
      <c r="J12" s="5"/>
      <c r="M12" s="7" t="n">
        <f aca="false">IF(G12&lt;&gt;0,G12-L12," ")</f>
        <v>180</v>
      </c>
      <c r="N12" s="8" t="n">
        <f aca="false">IF((G12-L12)&lt;&gt;0,N$1-A12," ")</f>
        <v>289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n">
        <f aca="false">IF((F12="o"),I12," ")</f>
        <v>180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52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 t="n">
        <v>45841</v>
      </c>
      <c r="B13" s="2" t="s">
        <v>69</v>
      </c>
      <c r="F13" s="5" t="s">
        <v>70</v>
      </c>
      <c r="G13" s="52" t="n">
        <v>22</v>
      </c>
      <c r="I13" s="6" t="n">
        <f aca="false">IF((G13&lt;&gt;0),G13-H13," ")</f>
        <v>22</v>
      </c>
      <c r="J13" s="5"/>
      <c r="M13" s="7" t="n">
        <f aca="false">IF(G13&lt;&gt;0,G13-L13," ")</f>
        <v>22</v>
      </c>
      <c r="N13" s="8" t="n">
        <f aca="false">IF((G13-L13)&lt;&gt;0,N$1-A13," ")</f>
        <v>289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52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 t="n">
        <v>45843</v>
      </c>
      <c r="B14" s="2" t="s">
        <v>71</v>
      </c>
      <c r="F14" s="5" t="s">
        <v>70</v>
      </c>
      <c r="G14" s="52" t="n">
        <v>24</v>
      </c>
      <c r="I14" s="6" t="n">
        <f aca="false">IF((G14&lt;&gt;0),G14-H14," ")</f>
        <v>24</v>
      </c>
      <c r="J14" s="5"/>
      <c r="M14" s="7" t="n">
        <f aca="false">IF(G14&lt;&gt;0,G14-L14," ")</f>
        <v>24</v>
      </c>
      <c r="N14" s="8" t="n">
        <f aca="false">IF((G14-L14)&lt;&gt;0,N$1-A14," ")</f>
        <v>287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52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 t="n">
        <v>45843</v>
      </c>
      <c r="B15" s="2" t="s">
        <v>118</v>
      </c>
      <c r="F15" s="5" t="s">
        <v>99</v>
      </c>
      <c r="G15" s="52" t="n">
        <v>480</v>
      </c>
      <c r="I15" s="6" t="n">
        <f aca="false">IF((G15&lt;&gt;0),G15-H15," ")</f>
        <v>480</v>
      </c>
      <c r="J15" s="5"/>
      <c r="M15" s="7" t="n">
        <f aca="false">IF(G15&lt;&gt;0,G15-L15," ")</f>
        <v>480</v>
      </c>
      <c r="N15" s="8" t="n">
        <f aca="false">IF((G15-L15)&lt;&gt;0,N$1-A15," ")</f>
        <v>287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52" t="str">
        <f aca="false">IF((F15="v"),I15," ")</f>
        <v> </v>
      </c>
      <c r="X15" s="19" t="str">
        <f aca="false">IF((F15="h"),I15," ")</f>
        <v> </v>
      </c>
      <c r="Y15" s="19" t="n">
        <f aca="false">IF((F15="a"),I15," ")</f>
        <v>480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 t="n">
        <v>45843</v>
      </c>
      <c r="B16" s="2" t="s">
        <v>72</v>
      </c>
      <c r="F16" s="5" t="s">
        <v>24</v>
      </c>
      <c r="G16" s="52" t="n">
        <v>180</v>
      </c>
      <c r="I16" s="6" t="n">
        <f aca="false">IF((G16&lt;&gt;0),G16-H16," ")</f>
        <v>180</v>
      </c>
      <c r="J16" s="5"/>
      <c r="M16" s="7" t="n">
        <f aca="false">IF(G16&lt;&gt;0,G16-L16," ")</f>
        <v>180</v>
      </c>
      <c r="N16" s="8" t="n">
        <f aca="false">IF((G16-L16)&lt;&gt;0,N$1-A16," ")</f>
        <v>287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52" t="n">
        <f aca="false">IF((F16="v"),I16," ")</f>
        <v>180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 t="n">
        <v>45846</v>
      </c>
      <c r="B17" s="2" t="s">
        <v>74</v>
      </c>
      <c r="F17" s="5" t="s">
        <v>75</v>
      </c>
      <c r="G17" s="52" t="n">
        <v>48</v>
      </c>
      <c r="I17" s="6" t="n">
        <f aca="false">IF((G17&lt;&gt;0),G17-H17," ")</f>
        <v>48</v>
      </c>
      <c r="J17" s="5"/>
      <c r="M17" s="7" t="n">
        <f aca="false">IF(G17&lt;&gt;0,G17-L17," ")</f>
        <v>48</v>
      </c>
      <c r="N17" s="8" t="n">
        <f aca="false">IF((G17-L17)&lt;&gt;0,N$1-A17," ")</f>
        <v>284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52" t="str">
        <f aca="false">IF((F17="v"),I17," ")</f>
        <v> </v>
      </c>
      <c r="X17" s="19" t="n">
        <f aca="false">IF((F17="h"),I17," ")</f>
        <v>48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 t="n">
        <v>45848</v>
      </c>
      <c r="B18" s="2" t="s">
        <v>76</v>
      </c>
      <c r="F18" s="5" t="s">
        <v>70</v>
      </c>
      <c r="G18" s="52" t="n">
        <v>36</v>
      </c>
      <c r="I18" s="6" t="n">
        <f aca="false">IF((G18&lt;&gt;0),G18-H18," ")</f>
        <v>36</v>
      </c>
      <c r="J18" s="5"/>
      <c r="M18" s="7" t="n">
        <f aca="false">IF(G18&lt;&gt;0,G18-L18," ")</f>
        <v>36</v>
      </c>
      <c r="N18" s="8" t="n">
        <f aca="false">IF((G18-L18)&lt;&gt;0,N$1-A18," ")</f>
        <v>282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52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 t="n">
        <v>45848</v>
      </c>
      <c r="B19" s="2" t="s">
        <v>77</v>
      </c>
      <c r="F19" s="5" t="s">
        <v>78</v>
      </c>
      <c r="G19" s="52" t="n">
        <v>180</v>
      </c>
      <c r="I19" s="6" t="n">
        <f aca="false">IF((G19&lt;&gt;0),G19-H19," ")</f>
        <v>180</v>
      </c>
      <c r="J19" s="5"/>
      <c r="M19" s="7" t="n">
        <f aca="false">IF(G19&lt;&gt;0,G19-L19," ")</f>
        <v>180</v>
      </c>
      <c r="N19" s="8" t="n">
        <f aca="false">IF((G19-L19)&lt;&gt;0,N$1-A19," ")</f>
        <v>282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52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 t="n">
        <v>45848</v>
      </c>
      <c r="B20" s="2" t="s">
        <v>79</v>
      </c>
      <c r="F20" s="5" t="s">
        <v>80</v>
      </c>
      <c r="G20" s="52" t="n">
        <v>720</v>
      </c>
      <c r="I20" s="6" t="n">
        <f aca="false">IF((G20&lt;&gt;0),G20-H20," ")</f>
        <v>720</v>
      </c>
      <c r="J20" s="5"/>
      <c r="M20" s="7" t="n">
        <f aca="false">IF(G20&lt;&gt;0,G20-L20," ")</f>
        <v>720</v>
      </c>
      <c r="N20" s="8" t="n">
        <f aca="false">IF((G20-L20)&lt;&gt;0,N$1-A20," ")</f>
        <v>282</v>
      </c>
      <c r="O20" s="5"/>
      <c r="P20" s="19" t="n">
        <f aca="false">IF((F20="s"),I20," ")</f>
        <v>720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52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 t="n">
        <v>45850</v>
      </c>
      <c r="B21" s="2" t="s">
        <v>81</v>
      </c>
      <c r="F21" s="5" t="s">
        <v>24</v>
      </c>
      <c r="G21" s="52" t="n">
        <v>18</v>
      </c>
      <c r="I21" s="6" t="n">
        <f aca="false">IF((G21&lt;&gt;0),G21-H21," ")</f>
        <v>18</v>
      </c>
      <c r="J21" s="5"/>
      <c r="M21" s="7" t="n">
        <f aca="false">IF(G21&lt;&gt;0,G21-L21," ")</f>
        <v>18</v>
      </c>
      <c r="N21" s="8" t="n">
        <f aca="false">IF((G21-L21)&lt;&gt;0,N$1-A21," ")</f>
        <v>280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52" t="n">
        <f aca="false">IF((F21="v"),I21," ")</f>
        <v>18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 t="n">
        <v>45850</v>
      </c>
      <c r="B22" s="2" t="s">
        <v>119</v>
      </c>
      <c r="F22" s="5" t="s">
        <v>97</v>
      </c>
      <c r="G22" s="52" t="n">
        <v>480</v>
      </c>
      <c r="I22" s="6" t="n">
        <f aca="false">IF((G22&lt;&gt;0),G22-H22," ")</f>
        <v>480</v>
      </c>
      <c r="J22" s="5"/>
      <c r="M22" s="7" t="n">
        <f aca="false">IF(G22&lt;&gt;0,G22-L22," ")</f>
        <v>480</v>
      </c>
      <c r="N22" s="8" t="n">
        <f aca="false">IF((G22-L22)&lt;&gt;0,N$1-A22," ")</f>
        <v>280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52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 t="n">
        <v>45852</v>
      </c>
      <c r="B23" s="2" t="s">
        <v>83</v>
      </c>
      <c r="F23" s="5" t="s">
        <v>75</v>
      </c>
      <c r="G23" s="52" t="n">
        <v>24</v>
      </c>
      <c r="I23" s="6" t="n">
        <f aca="false">IF((G23&lt;&gt;0),G23-H23," ")</f>
        <v>24</v>
      </c>
      <c r="J23" s="5"/>
      <c r="M23" s="7" t="n">
        <f aca="false">IF(G23&lt;&gt;0,G23-L23," ")</f>
        <v>24</v>
      </c>
      <c r="N23" s="8" t="n">
        <f aca="false">IF((G23-L23)&lt;&gt;0,N$1-A23," ")</f>
        <v>278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52" t="str">
        <f aca="false">IF((F23="v"),I23," ")</f>
        <v> </v>
      </c>
      <c r="X23" s="19" t="n">
        <f aca="false">IF((F23="h"),I23," ")</f>
        <v>24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 t="n">
        <v>45852</v>
      </c>
      <c r="B24" s="2" t="s">
        <v>84</v>
      </c>
      <c r="F24" s="5" t="s">
        <v>75</v>
      </c>
      <c r="G24" s="52" t="n">
        <v>12</v>
      </c>
      <c r="I24" s="6" t="n">
        <f aca="false">IF((G24&lt;&gt;0),G24-H24," ")</f>
        <v>12</v>
      </c>
      <c r="J24" s="5"/>
      <c r="M24" s="7" t="n">
        <f aca="false">IF(G24&lt;&gt;0,G24-L24," ")</f>
        <v>12</v>
      </c>
      <c r="N24" s="8" t="n">
        <f aca="false">IF((G24-L24)&lt;&gt;0,N$1-A24," ")</f>
        <v>278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52" t="str">
        <f aca="false">IF((F24="v"),I24," ")</f>
        <v> </v>
      </c>
      <c r="X24" s="19" t="n">
        <f aca="false">IF((F24="h"),I24," ")</f>
        <v>12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 t="n">
        <v>45853</v>
      </c>
      <c r="B25" s="2" t="s">
        <v>19</v>
      </c>
      <c r="F25" s="5" t="s">
        <v>24</v>
      </c>
      <c r="G25" s="52" t="n">
        <v>150</v>
      </c>
      <c r="I25" s="6" t="n">
        <f aca="false">IF((G25&lt;&gt;0),G25-H25," ")</f>
        <v>150</v>
      </c>
      <c r="J25" s="5"/>
      <c r="M25" s="7" t="n">
        <f aca="false">IF(G25&lt;&gt;0,G25-L25," ")</f>
        <v>150</v>
      </c>
      <c r="N25" s="8" t="n">
        <f aca="false">IF((G25-L25)&lt;&gt;0,N$1-A25," ")</f>
        <v>277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52" t="n">
        <f aca="false">IF((F25="v"),I25," ")</f>
        <v>150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 t="n">
        <v>45853</v>
      </c>
      <c r="B26" s="2" t="s">
        <v>85</v>
      </c>
      <c r="F26" s="5" t="s">
        <v>60</v>
      </c>
      <c r="G26" s="52" t="n">
        <v>12</v>
      </c>
      <c r="I26" s="6" t="n">
        <f aca="false">IF((G26&lt;&gt;0),G26-H26," ")</f>
        <v>12</v>
      </c>
      <c r="J26" s="5"/>
      <c r="M26" s="7" t="n">
        <f aca="false">IF(G26&lt;&gt;0,G26-L26," ")</f>
        <v>12</v>
      </c>
      <c r="N26" s="8" t="n">
        <f aca="false">IF((G26-L26)&lt;&gt;0,N$1-A26," ")</f>
        <v>277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n">
        <f aca="false">IF((F26="g"),I26," ")</f>
        <v>12</v>
      </c>
      <c r="W26" s="52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 t="n">
        <v>45853</v>
      </c>
      <c r="B27" s="2" t="s">
        <v>120</v>
      </c>
      <c r="F27" s="5" t="s">
        <v>102</v>
      </c>
      <c r="G27" s="52" t="n">
        <v>1200</v>
      </c>
      <c r="I27" s="6" t="n">
        <f aca="false">IF((G27&lt;&gt;0),G27-H27," ")</f>
        <v>1200</v>
      </c>
      <c r="J27" s="5"/>
      <c r="M27" s="7" t="n">
        <f aca="false">IF(G27&lt;&gt;0,G27-L27," ")</f>
        <v>1200</v>
      </c>
      <c r="N27" s="8" t="n">
        <f aca="false">IF((G27-L27)&lt;&gt;0,N$1-A27," ")</f>
        <v>277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52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n">
        <f aca="false">IF((F27="fa"),I27," ")</f>
        <v>1200</v>
      </c>
    </row>
    <row r="28" customFormat="false" ht="12" hidden="false" customHeight="false" outlineLevel="0" collapsed="false">
      <c r="A28" s="27" t="n">
        <v>45854</v>
      </c>
      <c r="B28" s="2" t="s">
        <v>103</v>
      </c>
      <c r="F28" s="5" t="s">
        <v>60</v>
      </c>
      <c r="G28" s="52" t="n">
        <v>24</v>
      </c>
      <c r="I28" s="6" t="n">
        <f aca="false">IF((G28&lt;&gt;0),G28-H28," ")</f>
        <v>24</v>
      </c>
      <c r="J28" s="5"/>
      <c r="M28" s="7" t="n">
        <f aca="false">IF(G28&lt;&gt;0,G28-L28," ")</f>
        <v>24</v>
      </c>
      <c r="N28" s="8" t="n">
        <f aca="false">IF((G28-L28)&lt;&gt;0,N$1-A28," ")</f>
        <v>276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n">
        <f aca="false">IF((F28="g"),I28," ")</f>
        <v>24</v>
      </c>
      <c r="W28" s="52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 t="n">
        <v>45856</v>
      </c>
      <c r="B29" s="2" t="s">
        <v>86</v>
      </c>
      <c r="F29" s="5" t="s">
        <v>24</v>
      </c>
      <c r="G29" s="52" t="n">
        <v>96</v>
      </c>
      <c r="I29" s="6" t="n">
        <f aca="false">IF((G29&lt;&gt;0),G29-H29," ")</f>
        <v>96</v>
      </c>
      <c r="J29" s="5"/>
      <c r="M29" s="7" t="n">
        <f aca="false">IF(G29&lt;&gt;0,G29-L29," ")</f>
        <v>96</v>
      </c>
      <c r="N29" s="8" t="n">
        <f aca="false">IF((G29-L29)&lt;&gt;0,N$1-A29," ")</f>
        <v>274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52" t="n">
        <f aca="false">IF((F29="v"),I29," ")</f>
        <v>96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 t="n">
        <v>45858</v>
      </c>
      <c r="B30" s="2" t="s">
        <v>87</v>
      </c>
      <c r="F30" s="5" t="s">
        <v>60</v>
      </c>
      <c r="G30" s="52" t="n">
        <v>60</v>
      </c>
      <c r="I30" s="6" t="n">
        <f aca="false">IF((G30&lt;&gt;0),G30-H30," ")</f>
        <v>60</v>
      </c>
      <c r="J30" s="5"/>
      <c r="M30" s="7" t="n">
        <f aca="false">IF(G30&lt;&gt;0,G30-L30," ")</f>
        <v>60</v>
      </c>
      <c r="N30" s="8" t="n">
        <f aca="false">IF((G30-L30)&lt;&gt;0,N$1-A30," ")</f>
        <v>272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n">
        <f aca="false">IF((F30="g"),I30," ")</f>
        <v>60</v>
      </c>
      <c r="W30" s="52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 t="n">
        <v>45858</v>
      </c>
      <c r="B31" s="2" t="s">
        <v>121</v>
      </c>
      <c r="F31" s="5" t="s">
        <v>105</v>
      </c>
      <c r="G31" s="52" t="n">
        <v>120</v>
      </c>
      <c r="I31" s="6" t="n">
        <f aca="false">IF((G31&lt;&gt;0),G31-H31," ")</f>
        <v>120</v>
      </c>
      <c r="J31" s="5"/>
      <c r="M31" s="7" t="n">
        <f aca="false">IF(G31&lt;&gt;0,G31-L31," ")</f>
        <v>120</v>
      </c>
      <c r="N31" s="8" t="n">
        <f aca="false">IF((G31-L31)&lt;&gt;0,N$1-A31," ")</f>
        <v>272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52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 t="n">
        <v>45858</v>
      </c>
      <c r="B32" s="2" t="s">
        <v>88</v>
      </c>
      <c r="F32" s="5" t="s">
        <v>89</v>
      </c>
      <c r="G32" s="52" t="n">
        <v>180</v>
      </c>
      <c r="I32" s="6" t="n">
        <f aca="false">IF((G32&lt;&gt;0),G32-H32," ")</f>
        <v>180</v>
      </c>
      <c r="J32" s="5"/>
      <c r="M32" s="7" t="n">
        <f aca="false">IF(G32&lt;&gt;0,G32-L32," ")</f>
        <v>180</v>
      </c>
      <c r="N32" s="8" t="n">
        <f aca="false">IF((G32-L32)&lt;&gt;0,N$1-A32," ")</f>
        <v>272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n">
        <f aca="false">IF((F32="m"),I32," ")</f>
        <v>180</v>
      </c>
      <c r="V32" s="19" t="str">
        <f aca="false">IF((F32="g"),I32," ")</f>
        <v> </v>
      </c>
      <c r="W32" s="52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 t="n">
        <v>45859</v>
      </c>
      <c r="B33" s="2" t="s">
        <v>90</v>
      </c>
      <c r="F33" s="5" t="s">
        <v>75</v>
      </c>
      <c r="G33" s="52" t="n">
        <v>8</v>
      </c>
      <c r="I33" s="6" t="n">
        <f aca="false">IF((G33&lt;&gt;0),G33-H33," ")</f>
        <v>8</v>
      </c>
      <c r="J33" s="5"/>
      <c r="M33" s="7" t="n">
        <f aca="false">IF(G33&lt;&gt;0,G33-L33," ")</f>
        <v>8</v>
      </c>
      <c r="N33" s="8" t="n">
        <f aca="false">IF((G33-L33)&lt;&gt;0,N$1-A33," ")</f>
        <v>271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52" t="str">
        <f aca="false">IF((F33="v"),I33," ")</f>
        <v> </v>
      </c>
      <c r="X33" s="19" t="n">
        <f aca="false">IF((F33="h"),I33," ")</f>
        <v>8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 t="n">
        <v>45860</v>
      </c>
      <c r="B34" s="2" t="s">
        <v>91</v>
      </c>
      <c r="F34" s="5" t="s">
        <v>70</v>
      </c>
      <c r="G34" s="52" t="n">
        <v>18</v>
      </c>
      <c r="I34" s="6" t="n">
        <f aca="false">IF((G34&lt;&gt;0),G34-H34," ")</f>
        <v>18</v>
      </c>
      <c r="J34" s="5"/>
      <c r="M34" s="7" t="n">
        <f aca="false">IF(G34&lt;&gt;0,G34-L34," ")</f>
        <v>18</v>
      </c>
      <c r="N34" s="8" t="n">
        <f aca="false">IF((G34-L34)&lt;&gt;0,N$1-A34," ")</f>
        <v>270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52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 t="n">
        <v>45863</v>
      </c>
      <c r="B35" s="2" t="s">
        <v>92</v>
      </c>
      <c r="F35" s="5" t="s">
        <v>70</v>
      </c>
      <c r="G35" s="52" t="n">
        <v>15</v>
      </c>
      <c r="I35" s="6" t="n">
        <f aca="false">IF((G35&lt;&gt;0),G35-H35," ")</f>
        <v>15</v>
      </c>
      <c r="J35" s="5"/>
      <c r="M35" s="7" t="n">
        <f aca="false">IF(G35&lt;&gt;0,G35-L35," ")</f>
        <v>15</v>
      </c>
      <c r="N35" s="8" t="n">
        <f aca="false">IF((G35-L35)&lt;&gt;0,N$1-A35," ")</f>
        <v>267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52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 t="n">
        <v>45863</v>
      </c>
      <c r="B36" s="2" t="s">
        <v>93</v>
      </c>
      <c r="F36" s="5" t="s">
        <v>24</v>
      </c>
      <c r="G36" s="52" t="n">
        <v>20.25</v>
      </c>
      <c r="I36" s="6" t="n">
        <f aca="false">IF((G36&lt;&gt;0),G36-H36," ")</f>
        <v>20.25</v>
      </c>
      <c r="J36" s="5"/>
      <c r="M36" s="7" t="n">
        <f aca="false">IF(G36&lt;&gt;0,G36-L36," ")</f>
        <v>20.25</v>
      </c>
      <c r="N36" s="8" t="n">
        <f aca="false">IF((G36-L36)&lt;&gt;0,N$1-A36," ")</f>
        <v>267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52" t="n">
        <f aca="false">IF((F36="v"),I36," ")</f>
        <v>20.25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 t="n">
        <v>45866</v>
      </c>
      <c r="B37" s="2" t="s">
        <v>19</v>
      </c>
      <c r="F37" s="5" t="s">
        <v>24</v>
      </c>
      <c r="G37" s="52" t="n">
        <v>120</v>
      </c>
      <c r="I37" s="6" t="n">
        <f aca="false">IF((G37&lt;&gt;0),G37-H37," ")</f>
        <v>120</v>
      </c>
      <c r="J37" s="5"/>
      <c r="M37" s="7" t="n">
        <f aca="false">IF(G37&lt;&gt;0,G37-L37," ")</f>
        <v>120</v>
      </c>
      <c r="N37" s="8" t="n">
        <f aca="false">IF((G37-L37)&lt;&gt;0,N$1-A37," ")</f>
        <v>264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52" t="n">
        <f aca="false">IF((F37="v"),I37," ")</f>
        <v>120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 t="n">
        <v>45869</v>
      </c>
      <c r="B38" s="2" t="s">
        <v>15</v>
      </c>
      <c r="F38" s="5" t="s">
        <v>94</v>
      </c>
      <c r="G38" s="52" t="n">
        <v>300</v>
      </c>
      <c r="I38" s="6" t="n">
        <f aca="false">IF((G38&lt;&gt;0),G38-H38," ")</f>
        <v>300</v>
      </c>
      <c r="J38" s="5"/>
      <c r="M38" s="7" t="n">
        <f aca="false">IF(G38&lt;&gt;0,G38-L38," ")</f>
        <v>300</v>
      </c>
      <c r="N38" s="8" t="n">
        <f aca="false">IF((G38-L38)&lt;&gt;0,N$1-A38," ")</f>
        <v>261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52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n">
        <f aca="false">IF((F38="l"),I38," ")</f>
        <v>300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52"/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52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52"/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52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52"/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52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52"/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52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52"/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52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52"/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52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52"/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52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52"/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52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52"/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52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52"/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52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52"/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52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52"/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52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52"/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52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52"/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52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52"/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52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52"/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52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52"/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52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52"/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52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52"/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52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52"/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52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52"/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52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52"/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52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52"/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52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52"/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52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52"/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52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52"/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52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52"/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52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52"/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52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52"/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52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52"/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52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52"/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52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52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52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52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52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52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52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52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52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52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52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52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52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52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52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52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52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52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52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52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52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52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52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52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52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52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52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52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52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52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52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52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52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52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52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52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52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52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52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52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52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52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52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52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52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52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52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52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52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52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52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52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52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52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52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52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52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52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52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52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52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52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52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52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52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52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52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52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52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52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52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52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52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52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52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52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52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52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52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52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52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52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52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52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52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52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52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52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52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52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52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52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52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52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52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52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52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52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52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52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52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52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52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52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52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52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52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52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52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52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52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52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52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52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52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52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52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52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52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52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52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52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52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52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52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52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52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52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52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52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52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52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52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52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52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52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52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52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52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52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52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52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52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52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52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52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52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52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52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52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52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52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52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52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52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52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52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52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52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52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52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52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52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52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52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52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52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52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52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52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52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52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52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52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52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52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52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52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52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52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52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52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52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52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52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52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52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52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52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52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52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52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52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52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52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52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52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52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52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52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52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52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52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52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52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52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52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52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52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52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52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52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52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52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52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52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52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52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52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52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52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52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52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52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52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52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52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52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52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52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52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52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52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52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52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52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52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52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52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52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52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52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52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52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52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52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52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52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52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52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52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52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52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52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52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52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52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52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52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52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52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52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52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52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52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52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52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52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52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52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52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52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52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52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52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52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52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52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52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52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52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52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52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52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52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52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52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52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52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52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52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52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52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52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52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52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52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52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52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52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52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52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52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52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52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52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52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52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52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52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52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52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52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52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52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52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52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52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52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52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52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52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52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52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52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52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52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52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52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52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52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52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52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52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52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52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52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52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52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52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52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52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52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52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52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52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52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52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52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52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52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52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52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52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52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52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52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52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52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52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52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52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52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52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52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52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52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52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52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52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52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52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52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52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52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52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52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52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52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52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52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52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52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52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52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52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52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52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52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52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52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52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52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52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52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52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52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52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52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52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52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52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52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52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52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52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52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52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52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52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52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52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52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52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52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52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52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52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52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52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52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52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52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52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52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52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52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52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52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52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52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52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52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52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52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52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52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52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52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52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52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52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52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52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52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52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52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52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52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52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52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52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52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52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52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52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52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52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52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52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52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0"/>
      <c r="B300" s="31"/>
      <c r="C300" s="32"/>
      <c r="D300" s="33"/>
      <c r="E300" s="31"/>
      <c r="F300" s="53" t="str">
        <f aca="false">IF((G300&lt;&gt;0),"Enter Letter"," ")</f>
        <v> </v>
      </c>
      <c r="G300" s="54"/>
      <c r="H300" s="34" t="str">
        <f aca="false">IF(G300&lt;&gt;0,G300*H$2/(100+H$2)," ")</f>
        <v> </v>
      </c>
      <c r="I300" s="34" t="str">
        <f aca="false">IF((G300&lt;&gt;0),G300-H300," ")</f>
        <v> </v>
      </c>
      <c r="J300" s="55"/>
      <c r="K300" s="34"/>
      <c r="L300" s="34"/>
      <c r="M300" s="35" t="str">
        <f aca="false">IF(G300&lt;&gt;0,G300-L300," ")</f>
        <v> </v>
      </c>
      <c r="N300" s="36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3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2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7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8" t="n">
        <f aca="false">G1-H1-SUM(P1:AB1)</f>
        <v>1363</v>
      </c>
      <c r="B1" s="39" t="s">
        <v>21</v>
      </c>
      <c r="C1" s="39"/>
      <c r="D1" s="12" t="n">
        <f aca="false">SUM(D5:D300)</f>
        <v>0</v>
      </c>
      <c r="E1" s="13" t="s">
        <v>3</v>
      </c>
      <c r="F1" s="14"/>
      <c r="G1" s="13" t="n">
        <f aca="false">SUM(G2:G300)</f>
        <v>4405.25</v>
      </c>
      <c r="H1" s="13" t="n">
        <f aca="false">SUM(H5:H200)</f>
        <v>0</v>
      </c>
      <c r="I1" s="13" t="n">
        <f aca="false">SUM(I2:I200)</f>
        <v>4405.25</v>
      </c>
      <c r="J1" s="15"/>
      <c r="K1" s="16" t="s">
        <v>4</v>
      </c>
      <c r="L1" s="17" t="n">
        <f aca="false">SUM(L5:L300)</f>
        <v>0</v>
      </c>
      <c r="M1" s="17" t="n">
        <f aca="false">SUM(M5:M200)</f>
        <v>4405.25</v>
      </c>
      <c r="N1" s="18" t="n">
        <f aca="true">TODAY()</f>
        <v>46130</v>
      </c>
      <c r="O1" s="15"/>
      <c r="P1" s="13" t="n">
        <f aca="false">SUM(P5:P300)</f>
        <v>540</v>
      </c>
      <c r="Q1" s="13" t="n">
        <f aca="false">SUM(Q5:Q300)</f>
        <v>0</v>
      </c>
      <c r="R1" s="13" t="n">
        <f aca="false">SUM(R5:R300)</f>
        <v>285</v>
      </c>
      <c r="S1" s="13" t="n">
        <f aca="false">SUM(S5:S300)</f>
        <v>800</v>
      </c>
      <c r="T1" s="13" t="n">
        <f aca="false">SUM(T5:T300)</f>
        <v>0</v>
      </c>
      <c r="U1" s="13" t="n">
        <f aca="false">SUM(U5:U300)</f>
        <v>240</v>
      </c>
      <c r="V1" s="13" t="n">
        <f aca="false">SUM(V5:V300)</f>
        <v>135</v>
      </c>
      <c r="W1" s="13" t="n">
        <f aca="false">SUM(W2:W300)</f>
        <v>602.25</v>
      </c>
      <c r="X1" s="13" t="n">
        <f aca="false">SUM(X5:X300)</f>
        <v>140</v>
      </c>
      <c r="Y1" s="13" t="n">
        <f aca="false">SUM(Y5:Y300)</f>
        <v>0</v>
      </c>
      <c r="Z1" s="13" t="n">
        <f aca="false">SUM(Z5:Z300)</f>
        <v>300</v>
      </c>
      <c r="AA1" s="13" t="n">
        <f aca="false">SUM(AA5:AA300)</f>
        <v>0</v>
      </c>
      <c r="AB1" s="13" t="n">
        <f aca="false">SUM(AB5:AB300)</f>
        <v>0</v>
      </c>
      <c r="AC1" s="40"/>
      <c r="AD1" s="13" t="n">
        <f aca="false">SUM(AD5:AD300)</f>
        <v>0</v>
      </c>
      <c r="AE1" s="41"/>
    </row>
    <row r="2" s="19" customFormat="true" ht="13.5" hidden="false" customHeight="true" outlineLevel="0" collapsed="false">
      <c r="A2" s="42" t="n">
        <f aca="false">G2+Jul!A2</f>
        <v>0</v>
      </c>
      <c r="B2" s="43" t="s">
        <v>22</v>
      </c>
      <c r="C2" s="42" t="n">
        <f aca="false">Jul!C2+D1+[1]Aug!$D$1</f>
        <v>0</v>
      </c>
      <c r="D2" s="44" t="s">
        <v>23</v>
      </c>
      <c r="E2" s="20" t="s">
        <v>5</v>
      </c>
      <c r="F2" s="43" t="str">
        <f aca="false">Jul!F2</f>
        <v>v</v>
      </c>
      <c r="G2" s="45" t="n">
        <f aca="false">IF(C2&lt;[2]Admin!$F$22,(C2-Jul!C2)*[2]Admin!$G$21,C2*[2]Admin!$G$21-(C2-[2]Admin!$F$21)*([2]Admin!$G$21-[2]Admin!$G$22)-Jul!A2)</f>
        <v>0</v>
      </c>
      <c r="H2" s="21" t="n">
        <f aca="false">IF([1]Aug!$H$4&gt;0,0,[1]Aug!$H$2)</f>
        <v>20</v>
      </c>
      <c r="I2" s="46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7" t="s">
        <v>27</v>
      </c>
      <c r="U2" s="10" t="s">
        <v>28</v>
      </c>
      <c r="V2" s="10" t="s">
        <v>29</v>
      </c>
      <c r="W2" s="48" t="n">
        <f aca="false">IF((F2="v"),I2," ")</f>
        <v>0</v>
      </c>
      <c r="X2" s="10" t="s">
        <v>30</v>
      </c>
      <c r="Y2" s="10" t="s">
        <v>31</v>
      </c>
      <c r="Z2" s="10" t="s">
        <v>32</v>
      </c>
      <c r="AA2" s="10" t="s">
        <v>33</v>
      </c>
      <c r="AB2" s="49" t="n">
        <f aca="false">AB1+Jul!AB2</f>
        <v>3000</v>
      </c>
      <c r="AC2" s="40"/>
      <c r="AD2" s="10" t="s">
        <v>34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4"/>
      <c r="E3" s="44"/>
      <c r="F3" s="20" t="s">
        <v>35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36</v>
      </c>
      <c r="Q3" s="20" t="s">
        <v>37</v>
      </c>
      <c r="R3" s="20" t="s">
        <v>38</v>
      </c>
      <c r="S3" s="10"/>
      <c r="T3" s="20" t="s">
        <v>39</v>
      </c>
      <c r="U3" s="10"/>
      <c r="V3" s="10"/>
      <c r="W3" s="49" t="s">
        <v>40</v>
      </c>
      <c r="X3" s="10"/>
      <c r="Y3" s="10"/>
      <c r="Z3" s="10"/>
      <c r="AA3" s="10"/>
      <c r="AB3" s="49" t="s">
        <v>41</v>
      </c>
      <c r="AC3" s="40"/>
      <c r="AD3" s="10" t="s">
        <v>42</v>
      </c>
      <c r="AE3" s="10"/>
    </row>
    <row r="4" s="26" customFormat="true" ht="12.75" hidden="false" customHeight="true" outlineLevel="0" collapsed="false">
      <c r="A4" s="9"/>
      <c r="B4" s="10"/>
      <c r="C4" s="11"/>
      <c r="D4" s="44"/>
      <c r="E4" s="44"/>
      <c r="F4" s="20"/>
      <c r="G4" s="10"/>
      <c r="H4" s="10"/>
      <c r="I4" s="10"/>
      <c r="J4" s="15"/>
      <c r="K4" s="16"/>
      <c r="L4" s="23"/>
      <c r="M4" s="23"/>
      <c r="N4" s="24"/>
      <c r="O4" s="15"/>
      <c r="P4" s="50" t="s">
        <v>43</v>
      </c>
      <c r="Q4" s="50" t="s">
        <v>44</v>
      </c>
      <c r="R4" s="50" t="s">
        <v>45</v>
      </c>
      <c r="S4" s="50" t="s">
        <v>46</v>
      </c>
      <c r="T4" s="50" t="s">
        <v>47</v>
      </c>
      <c r="U4" s="50" t="s">
        <v>48</v>
      </c>
      <c r="V4" s="50" t="s">
        <v>49</v>
      </c>
      <c r="W4" s="51" t="s">
        <v>50</v>
      </c>
      <c r="X4" s="50" t="s">
        <v>51</v>
      </c>
      <c r="Y4" s="50" t="s">
        <v>52</v>
      </c>
      <c r="Z4" s="50" t="s">
        <v>53</v>
      </c>
      <c r="AA4" s="50" t="s">
        <v>54</v>
      </c>
      <c r="AB4" s="50" t="s">
        <v>55</v>
      </c>
      <c r="AC4" s="40"/>
      <c r="AD4" s="10" t="s">
        <v>56</v>
      </c>
      <c r="AE4" s="10" t="s">
        <v>57</v>
      </c>
    </row>
    <row r="5" s="5" customFormat="true" ht="12" hidden="false" customHeight="false" outlineLevel="0" collapsed="false">
      <c r="A5" s="27" t="n">
        <v>45870</v>
      </c>
      <c r="B5" s="5" t="s">
        <v>13</v>
      </c>
      <c r="F5" s="5" t="s">
        <v>58</v>
      </c>
      <c r="G5" s="52" t="n">
        <v>1200</v>
      </c>
      <c r="I5" s="6" t="n">
        <f aca="false">IF((G5&lt;&gt;0),G5-H5," ")</f>
        <v>1200</v>
      </c>
      <c r="K5" s="6"/>
      <c r="L5" s="6"/>
      <c r="M5" s="7" t="n">
        <f aca="false">IF(G5&lt;&gt;0,G5-L5," ")</f>
        <v>1200</v>
      </c>
      <c r="N5" s="8" t="n">
        <f aca="false">IF((G5-L5)&lt;&gt;0,N$1-A5," ")</f>
        <v>260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52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 t="n">
        <v>45870</v>
      </c>
      <c r="B6" s="2" t="s">
        <v>59</v>
      </c>
      <c r="F6" s="5" t="s">
        <v>60</v>
      </c>
      <c r="G6" s="52" t="n">
        <v>30</v>
      </c>
      <c r="I6" s="6" t="n">
        <f aca="false">IF((G6&lt;&gt;0),G6-H6," ")</f>
        <v>30</v>
      </c>
      <c r="J6" s="5"/>
      <c r="M6" s="7" t="n">
        <f aca="false">IF(G6&lt;&gt;0,G6-L6," ")</f>
        <v>30</v>
      </c>
      <c r="N6" s="8" t="n">
        <f aca="false">IF((G6-L6)&lt;&gt;0,N$1-A6," ")</f>
        <v>260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30</v>
      </c>
      <c r="W6" s="52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 t="n">
        <v>45870</v>
      </c>
      <c r="B7" s="2" t="s">
        <v>61</v>
      </c>
      <c r="F7" s="5" t="s">
        <v>60</v>
      </c>
      <c r="G7" s="52" t="n">
        <v>15</v>
      </c>
      <c r="I7" s="6" t="n">
        <f aca="false">IF((G7&lt;&gt;0),G7-H7," ")</f>
        <v>15</v>
      </c>
      <c r="J7" s="5"/>
      <c r="M7" s="7" t="n">
        <f aca="false">IF(G7&lt;&gt;0,G7-L7," ")</f>
        <v>15</v>
      </c>
      <c r="N7" s="8" t="n">
        <f aca="false">IF((G7-L7)&lt;&gt;0,N$1-A7," ")</f>
        <v>260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15</v>
      </c>
      <c r="W7" s="52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 t="n">
        <v>45870</v>
      </c>
      <c r="B8" s="2" t="s">
        <v>62</v>
      </c>
      <c r="F8" s="5" t="s">
        <v>63</v>
      </c>
      <c r="G8" s="52" t="n">
        <v>45</v>
      </c>
      <c r="I8" s="6" t="n">
        <f aca="false">IF((G8&lt;&gt;0),G8-H8," ")</f>
        <v>45</v>
      </c>
      <c r="J8" s="5"/>
      <c r="M8" s="7" t="n">
        <f aca="false">IF(G8&lt;&gt;0,G8-L8," ")</f>
        <v>45</v>
      </c>
      <c r="N8" s="8" t="n">
        <f aca="false">IF((G8-L8)&lt;&gt;0,N$1-A8," ")</f>
        <v>260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45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52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 t="n">
        <v>45870</v>
      </c>
      <c r="B9" s="2" t="s">
        <v>66</v>
      </c>
      <c r="F9" s="5" t="s">
        <v>63</v>
      </c>
      <c r="G9" s="52" t="n">
        <v>24</v>
      </c>
      <c r="I9" s="6" t="n">
        <f aca="false">IF((G9&lt;&gt;0),G9-H9," ")</f>
        <v>24</v>
      </c>
      <c r="J9" s="5"/>
      <c r="M9" s="7" t="n">
        <f aca="false">IF(G9&lt;&gt;0,G9-L9," ")</f>
        <v>24</v>
      </c>
      <c r="N9" s="8" t="n">
        <f aca="false">IF((G9-L9)&lt;&gt;0,N$1-A9," ")</f>
        <v>260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n">
        <f aca="false">IF((F9="o"),I9," ")</f>
        <v>24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52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 t="n">
        <v>45870</v>
      </c>
      <c r="B10" s="2" t="s">
        <v>67</v>
      </c>
      <c r="F10" s="5" t="s">
        <v>60</v>
      </c>
      <c r="G10" s="52" t="n">
        <v>18</v>
      </c>
      <c r="I10" s="6" t="n">
        <f aca="false">IF((G10&lt;&gt;0),G10-H10," ")</f>
        <v>18</v>
      </c>
      <c r="J10" s="5"/>
      <c r="M10" s="7" t="n">
        <f aca="false">IF(G10&lt;&gt;0,G10-L10," ")</f>
        <v>18</v>
      </c>
      <c r="N10" s="8" t="n">
        <f aca="false">IF((G10-L10)&lt;&gt;0,N$1-A10," ")</f>
        <v>260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n">
        <f aca="false">IF((F10="g"),I10," ")</f>
        <v>18</v>
      </c>
      <c r="W10" s="52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 t="n">
        <v>45872</v>
      </c>
      <c r="B11" s="2" t="s">
        <v>68</v>
      </c>
      <c r="F11" s="5" t="s">
        <v>63</v>
      </c>
      <c r="G11" s="52" t="n">
        <v>180</v>
      </c>
      <c r="I11" s="6" t="n">
        <f aca="false">IF((G11&lt;&gt;0),G11-H11," ")</f>
        <v>180</v>
      </c>
      <c r="J11" s="5"/>
      <c r="M11" s="7" t="n">
        <f aca="false">IF(G11&lt;&gt;0,G11-L11," ")</f>
        <v>180</v>
      </c>
      <c r="N11" s="8" t="n">
        <f aca="false">IF((G11-L11)&lt;&gt;0,N$1-A11," ")</f>
        <v>258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n">
        <f aca="false">IF((F11="o"),I11," ")</f>
        <v>180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52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 t="n">
        <v>45872</v>
      </c>
      <c r="B12" s="2" t="s">
        <v>69</v>
      </c>
      <c r="F12" s="5" t="s">
        <v>70</v>
      </c>
      <c r="G12" s="52" t="n">
        <v>22</v>
      </c>
      <c r="I12" s="6" t="n">
        <f aca="false">IF((G12&lt;&gt;0),G12-H12," ")</f>
        <v>22</v>
      </c>
      <c r="J12" s="5"/>
      <c r="M12" s="7" t="n">
        <f aca="false">IF(G12&lt;&gt;0,G12-L12," ")</f>
        <v>22</v>
      </c>
      <c r="N12" s="8" t="n">
        <f aca="false">IF((G12-L12)&lt;&gt;0,N$1-A12," ")</f>
        <v>258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52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 t="n">
        <v>45874</v>
      </c>
      <c r="B13" s="2" t="s">
        <v>71</v>
      </c>
      <c r="F13" s="5" t="s">
        <v>70</v>
      </c>
      <c r="G13" s="52" t="n">
        <v>24</v>
      </c>
      <c r="I13" s="6" t="n">
        <f aca="false">IF((G13&lt;&gt;0),G13-H13," ")</f>
        <v>24</v>
      </c>
      <c r="J13" s="5"/>
      <c r="M13" s="7" t="n">
        <f aca="false">IF(G13&lt;&gt;0,G13-L13," ")</f>
        <v>24</v>
      </c>
      <c r="N13" s="8" t="n">
        <f aca="false">IF((G13-L13)&lt;&gt;0,N$1-A13," ")</f>
        <v>256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52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 t="n">
        <v>45874</v>
      </c>
      <c r="B14" s="2" t="s">
        <v>72</v>
      </c>
      <c r="F14" s="5" t="s">
        <v>24</v>
      </c>
      <c r="G14" s="52" t="n">
        <v>180</v>
      </c>
      <c r="I14" s="6" t="n">
        <f aca="false">IF((G14&lt;&gt;0),G14-H14," ")</f>
        <v>180</v>
      </c>
      <c r="J14" s="5"/>
      <c r="M14" s="7" t="n">
        <f aca="false">IF(G14&lt;&gt;0,G14-L14," ")</f>
        <v>180</v>
      </c>
      <c r="N14" s="8" t="n">
        <f aca="false">IF((G14-L14)&lt;&gt;0,N$1-A14," ")</f>
        <v>256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52" t="n">
        <f aca="false">IF((F14="v"),I14," ")</f>
        <v>180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 t="n">
        <v>45874</v>
      </c>
      <c r="B15" s="2" t="s">
        <v>73</v>
      </c>
      <c r="F15" s="5" t="s">
        <v>63</v>
      </c>
      <c r="G15" s="52" t="n">
        <v>36</v>
      </c>
      <c r="I15" s="6" t="n">
        <f aca="false">IF((G15&lt;&gt;0),G15-H15," ")</f>
        <v>36</v>
      </c>
      <c r="J15" s="5"/>
      <c r="M15" s="7" t="n">
        <f aca="false">IF(G15&lt;&gt;0,G15-L15," ")</f>
        <v>36</v>
      </c>
      <c r="N15" s="8" t="n">
        <f aca="false">IF((G15-L15)&lt;&gt;0,N$1-A15," ")</f>
        <v>256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n">
        <f aca="false">IF((F15="o"),I15," ")</f>
        <v>36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52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 t="n">
        <v>45875</v>
      </c>
      <c r="B16" s="2" t="s">
        <v>95</v>
      </c>
      <c r="F16" s="5" t="s">
        <v>75</v>
      </c>
      <c r="G16" s="52" t="n">
        <v>48</v>
      </c>
      <c r="I16" s="6" t="n">
        <f aca="false">IF((G16&lt;&gt;0),G16-H16," ")</f>
        <v>48</v>
      </c>
      <c r="J16" s="5"/>
      <c r="M16" s="7" t="n">
        <f aca="false">IF(G16&lt;&gt;0,G16-L16," ")</f>
        <v>48</v>
      </c>
      <c r="N16" s="8" t="n">
        <f aca="false">IF((G16-L16)&lt;&gt;0,N$1-A16," ")</f>
        <v>255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52" t="str">
        <f aca="false">IF((F16="v"),I16," ")</f>
        <v> </v>
      </c>
      <c r="X16" s="19" t="n">
        <f aca="false">IF((F16="h"),I16," ")</f>
        <v>48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 t="n">
        <v>45877</v>
      </c>
      <c r="B17" s="2" t="s">
        <v>74</v>
      </c>
      <c r="F17" s="5" t="s">
        <v>75</v>
      </c>
      <c r="G17" s="52" t="n">
        <v>48</v>
      </c>
      <c r="I17" s="6" t="n">
        <f aca="false">IF((G17&lt;&gt;0),G17-H17," ")</f>
        <v>48</v>
      </c>
      <c r="J17" s="5"/>
      <c r="M17" s="7" t="n">
        <f aca="false">IF(G17&lt;&gt;0,G17-L17," ")</f>
        <v>48</v>
      </c>
      <c r="N17" s="8" t="n">
        <f aca="false">IF((G17-L17)&lt;&gt;0,N$1-A17," ")</f>
        <v>253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52" t="str">
        <f aca="false">IF((F17="v"),I17," ")</f>
        <v> </v>
      </c>
      <c r="X17" s="19" t="n">
        <f aca="false">IF((F17="h"),I17," ")</f>
        <v>48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 t="n">
        <v>45879</v>
      </c>
      <c r="B18" s="2" t="s">
        <v>76</v>
      </c>
      <c r="F18" s="5" t="s">
        <v>70</v>
      </c>
      <c r="G18" s="52" t="n">
        <v>36</v>
      </c>
      <c r="I18" s="6" t="n">
        <f aca="false">IF((G18&lt;&gt;0),G18-H18," ")</f>
        <v>36</v>
      </c>
      <c r="J18" s="5"/>
      <c r="M18" s="7" t="n">
        <f aca="false">IF(G18&lt;&gt;0,G18-L18," ")</f>
        <v>36</v>
      </c>
      <c r="N18" s="8" t="n">
        <f aca="false">IF((G18-L18)&lt;&gt;0,N$1-A18," ")</f>
        <v>251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52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 t="n">
        <v>45881</v>
      </c>
      <c r="B19" s="2" t="s">
        <v>81</v>
      </c>
      <c r="F19" s="5" t="s">
        <v>24</v>
      </c>
      <c r="G19" s="52" t="n">
        <v>18</v>
      </c>
      <c r="I19" s="6" t="n">
        <f aca="false">IF((G19&lt;&gt;0),G19-H19," ")</f>
        <v>18</v>
      </c>
      <c r="J19" s="5"/>
      <c r="M19" s="7" t="n">
        <f aca="false">IF(G19&lt;&gt;0,G19-L19," ")</f>
        <v>18</v>
      </c>
      <c r="N19" s="8" t="n">
        <f aca="false">IF((G19-L19)&lt;&gt;0,N$1-A19," ")</f>
        <v>249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52" t="n">
        <f aca="false">IF((F19="v"),I19," ")</f>
        <v>18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 t="n">
        <v>45883</v>
      </c>
      <c r="B20" s="2" t="s">
        <v>82</v>
      </c>
      <c r="F20" s="5" t="s">
        <v>70</v>
      </c>
      <c r="G20" s="52" t="n">
        <v>48</v>
      </c>
      <c r="I20" s="6" t="n">
        <f aca="false">IF((G20&lt;&gt;0),G20-H20," ")</f>
        <v>48</v>
      </c>
      <c r="J20" s="5"/>
      <c r="M20" s="7" t="n">
        <f aca="false">IF(G20&lt;&gt;0,G20-L20," ")</f>
        <v>48</v>
      </c>
      <c r="N20" s="8" t="n">
        <f aca="false">IF((G20-L20)&lt;&gt;0,N$1-A20," ")</f>
        <v>247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52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 t="n">
        <v>45883</v>
      </c>
      <c r="B21" s="2" t="s">
        <v>83</v>
      </c>
      <c r="F21" s="5" t="s">
        <v>75</v>
      </c>
      <c r="G21" s="52" t="n">
        <v>24</v>
      </c>
      <c r="I21" s="6" t="n">
        <f aca="false">IF((G21&lt;&gt;0),G21-H21," ")</f>
        <v>24</v>
      </c>
      <c r="J21" s="5"/>
      <c r="M21" s="7" t="n">
        <f aca="false">IF(G21&lt;&gt;0,G21-L21," ")</f>
        <v>24</v>
      </c>
      <c r="N21" s="8" t="n">
        <f aca="false">IF((G21-L21)&lt;&gt;0,N$1-A21," ")</f>
        <v>247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52" t="str">
        <f aca="false">IF((F21="v"),I21," ")</f>
        <v> </v>
      </c>
      <c r="X21" s="19" t="n">
        <f aca="false">IF((F21="h"),I21," ")</f>
        <v>24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 t="n">
        <v>45883</v>
      </c>
      <c r="B22" s="2" t="s">
        <v>84</v>
      </c>
      <c r="F22" s="5" t="s">
        <v>75</v>
      </c>
      <c r="G22" s="52" t="n">
        <v>12</v>
      </c>
      <c r="I22" s="6" t="n">
        <f aca="false">IF((G22&lt;&gt;0),G22-H22," ")</f>
        <v>12</v>
      </c>
      <c r="J22" s="5"/>
      <c r="M22" s="7" t="n">
        <f aca="false">IF(G22&lt;&gt;0,G22-L22," ")</f>
        <v>12</v>
      </c>
      <c r="N22" s="8" t="n">
        <f aca="false">IF((G22-L22)&lt;&gt;0,N$1-A22," ")</f>
        <v>247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52" t="str">
        <f aca="false">IF((F22="v"),I22," ")</f>
        <v> </v>
      </c>
      <c r="X22" s="19" t="n">
        <f aca="false">IF((F22="h"),I22," ")</f>
        <v>12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 t="n">
        <v>45884</v>
      </c>
      <c r="B23" s="2" t="s">
        <v>19</v>
      </c>
      <c r="F23" s="5" t="s">
        <v>24</v>
      </c>
      <c r="G23" s="52" t="n">
        <v>150</v>
      </c>
      <c r="I23" s="6" t="n">
        <f aca="false">IF((G23&lt;&gt;0),G23-H23," ")</f>
        <v>150</v>
      </c>
      <c r="J23" s="5"/>
      <c r="M23" s="7" t="n">
        <f aca="false">IF(G23&lt;&gt;0,G23-L23," ")</f>
        <v>150</v>
      </c>
      <c r="N23" s="8" t="n">
        <f aca="false">IF((G23-L23)&lt;&gt;0,N$1-A23," ")</f>
        <v>246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52" t="n">
        <f aca="false">IF((F23="v"),I23," ")</f>
        <v>150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 t="n">
        <v>45884</v>
      </c>
      <c r="B24" s="2" t="s">
        <v>85</v>
      </c>
      <c r="F24" s="5" t="s">
        <v>60</v>
      </c>
      <c r="G24" s="52" t="n">
        <v>12</v>
      </c>
      <c r="I24" s="6" t="n">
        <f aca="false">IF((G24&lt;&gt;0),G24-H24," ")</f>
        <v>12</v>
      </c>
      <c r="J24" s="5"/>
      <c r="M24" s="7" t="n">
        <f aca="false">IF(G24&lt;&gt;0,G24-L24," ")</f>
        <v>12</v>
      </c>
      <c r="N24" s="8" t="n">
        <f aca="false">IF((G24-L24)&lt;&gt;0,N$1-A24," ")</f>
        <v>246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n">
        <f aca="false">IF((F24="g"),I24," ")</f>
        <v>12</v>
      </c>
      <c r="W24" s="52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 t="n">
        <v>45884</v>
      </c>
      <c r="B25" s="2" t="s">
        <v>100</v>
      </c>
      <c r="F25" s="5" t="s">
        <v>80</v>
      </c>
      <c r="G25" s="52" t="n">
        <v>360</v>
      </c>
      <c r="I25" s="6" t="n">
        <f aca="false">IF((G25&lt;&gt;0),G25-H25," ")</f>
        <v>360</v>
      </c>
      <c r="J25" s="5"/>
      <c r="M25" s="7" t="n">
        <f aca="false">IF(G25&lt;&gt;0,G25-L25," ")</f>
        <v>360</v>
      </c>
      <c r="N25" s="8" t="n">
        <f aca="false">IF((G25-L25)&lt;&gt;0,N$1-A25," ")</f>
        <v>246</v>
      </c>
      <c r="O25" s="5"/>
      <c r="P25" s="19" t="n">
        <f aca="false">IF((F25="s"),I25," ")</f>
        <v>360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52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 t="n">
        <v>45887</v>
      </c>
      <c r="B26" s="2" t="s">
        <v>122</v>
      </c>
      <c r="F26" s="5" t="s">
        <v>89</v>
      </c>
      <c r="G26" s="52" t="n">
        <v>240</v>
      </c>
      <c r="I26" s="6" t="n">
        <f aca="false">IF((G26&lt;&gt;0),G26-H26," ")</f>
        <v>240</v>
      </c>
      <c r="J26" s="5"/>
      <c r="M26" s="7" t="n">
        <f aca="false">IF(G26&lt;&gt;0,G26-L26," ")</f>
        <v>240</v>
      </c>
      <c r="N26" s="8" t="n">
        <f aca="false">IF((G26-L26)&lt;&gt;0,N$1-A26," ")</f>
        <v>243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n">
        <f aca="false">IF((F26="m"),I26," ")</f>
        <v>240</v>
      </c>
      <c r="V26" s="19" t="str">
        <f aca="false">IF((F26="g"),I26," ")</f>
        <v> </v>
      </c>
      <c r="W26" s="52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 t="n">
        <v>45887</v>
      </c>
      <c r="B27" s="2" t="s">
        <v>86</v>
      </c>
      <c r="F27" s="5" t="s">
        <v>24</v>
      </c>
      <c r="G27" s="52" t="n">
        <v>96</v>
      </c>
      <c r="I27" s="6" t="n">
        <f aca="false">IF((G27&lt;&gt;0),G27-H27," ")</f>
        <v>96</v>
      </c>
      <c r="J27" s="5"/>
      <c r="M27" s="7" t="n">
        <f aca="false">IF(G27&lt;&gt;0,G27-L27," ")</f>
        <v>96</v>
      </c>
      <c r="N27" s="8" t="n">
        <f aca="false">IF((G27-L27)&lt;&gt;0,N$1-A27," ")</f>
        <v>243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52" t="n">
        <f aca="false">IF((F27="v"),I27," ")</f>
        <v>96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 t="n">
        <v>45889</v>
      </c>
      <c r="B28" s="2" t="s">
        <v>87</v>
      </c>
      <c r="F28" s="5" t="s">
        <v>60</v>
      </c>
      <c r="G28" s="52" t="n">
        <v>60</v>
      </c>
      <c r="I28" s="6" t="n">
        <f aca="false">IF((G28&lt;&gt;0),G28-H28," ")</f>
        <v>60</v>
      </c>
      <c r="J28" s="5"/>
      <c r="M28" s="7" t="n">
        <f aca="false">IF(G28&lt;&gt;0,G28-L28," ")</f>
        <v>60</v>
      </c>
      <c r="N28" s="8" t="n">
        <f aca="false">IF((G28-L28)&lt;&gt;0,N$1-A28," ")</f>
        <v>241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n">
        <f aca="false">IF((F28="g"),I28," ")</f>
        <v>60</v>
      </c>
      <c r="W28" s="52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 t="n">
        <v>45889</v>
      </c>
      <c r="B29" s="2" t="s">
        <v>123</v>
      </c>
      <c r="F29" s="5" t="s">
        <v>124</v>
      </c>
      <c r="G29" s="52" t="n">
        <v>800</v>
      </c>
      <c r="I29" s="6" t="n">
        <f aca="false">IF((G29&lt;&gt;0),G29-H29," ")</f>
        <v>800</v>
      </c>
      <c r="J29" s="5"/>
      <c r="M29" s="7" t="n">
        <f aca="false">IF(G29&lt;&gt;0,G29-L29," ")</f>
        <v>800</v>
      </c>
      <c r="N29" s="8" t="n">
        <f aca="false">IF((G29-L29)&lt;&gt;0,N$1-A29," ")</f>
        <v>241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n">
        <f aca="false">IF((F29="w"),I29," ")</f>
        <v>800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52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 t="n">
        <v>45889</v>
      </c>
      <c r="B30" s="2" t="s">
        <v>106</v>
      </c>
      <c r="F30" s="5" t="s">
        <v>80</v>
      </c>
      <c r="G30" s="52" t="n">
        <v>180</v>
      </c>
      <c r="I30" s="6" t="n">
        <f aca="false">IF((G30&lt;&gt;0),G30-H30," ")</f>
        <v>180</v>
      </c>
      <c r="J30" s="5"/>
      <c r="M30" s="7" t="n">
        <f aca="false">IF(G30&lt;&gt;0,G30-L30," ")</f>
        <v>180</v>
      </c>
      <c r="N30" s="8" t="n">
        <f aca="false">IF((G30-L30)&lt;&gt;0,N$1-A30," ")</f>
        <v>241</v>
      </c>
      <c r="O30" s="5"/>
      <c r="P30" s="19" t="n">
        <f aca="false">IF((F30="s"),I30," ")</f>
        <v>180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52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 t="n">
        <v>45890</v>
      </c>
      <c r="B31" s="2" t="s">
        <v>90</v>
      </c>
      <c r="F31" s="5" t="s">
        <v>75</v>
      </c>
      <c r="G31" s="52" t="n">
        <v>8</v>
      </c>
      <c r="I31" s="6" t="n">
        <f aca="false">IF((G31&lt;&gt;0),G31-H31," ")</f>
        <v>8</v>
      </c>
      <c r="J31" s="5"/>
      <c r="M31" s="7" t="n">
        <f aca="false">IF(G31&lt;&gt;0,G31-L31," ")</f>
        <v>8</v>
      </c>
      <c r="N31" s="8" t="n">
        <f aca="false">IF((G31-L31)&lt;&gt;0,N$1-A31," ")</f>
        <v>240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52" t="str">
        <f aca="false">IF((F31="v"),I31," ")</f>
        <v> </v>
      </c>
      <c r="X31" s="19" t="n">
        <f aca="false">IF((F31="h"),I31," ")</f>
        <v>8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 t="n">
        <v>45891</v>
      </c>
      <c r="B32" s="2" t="s">
        <v>91</v>
      </c>
      <c r="F32" s="5" t="s">
        <v>70</v>
      </c>
      <c r="G32" s="52" t="n">
        <v>18</v>
      </c>
      <c r="I32" s="6" t="n">
        <f aca="false">IF((G32&lt;&gt;0),G32-H32," ")</f>
        <v>18</v>
      </c>
      <c r="J32" s="5"/>
      <c r="M32" s="7" t="n">
        <f aca="false">IF(G32&lt;&gt;0,G32-L32," ")</f>
        <v>18</v>
      </c>
      <c r="N32" s="8" t="n">
        <f aca="false">IF((G32-L32)&lt;&gt;0,N$1-A32," ")</f>
        <v>239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52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 t="n">
        <v>45894</v>
      </c>
      <c r="B33" s="2" t="s">
        <v>92</v>
      </c>
      <c r="F33" s="5" t="s">
        <v>70</v>
      </c>
      <c r="G33" s="52" t="n">
        <v>15</v>
      </c>
      <c r="I33" s="6" t="n">
        <f aca="false">IF((G33&lt;&gt;0),G33-H33," ")</f>
        <v>15</v>
      </c>
      <c r="J33" s="5"/>
      <c r="M33" s="7" t="n">
        <f aca="false">IF(G33&lt;&gt;0,G33-L33," ")</f>
        <v>15</v>
      </c>
      <c r="N33" s="8" t="n">
        <f aca="false">IF((G33-L33)&lt;&gt;0,N$1-A33," ")</f>
        <v>236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52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 t="n">
        <v>45894</v>
      </c>
      <c r="B34" s="2" t="s">
        <v>93</v>
      </c>
      <c r="F34" s="5" t="s">
        <v>24</v>
      </c>
      <c r="G34" s="52" t="n">
        <v>38.25</v>
      </c>
      <c r="I34" s="6" t="n">
        <f aca="false">IF((G34&lt;&gt;0),G34-H34," ")</f>
        <v>38.25</v>
      </c>
      <c r="J34" s="5"/>
      <c r="M34" s="7" t="n">
        <f aca="false">IF(G34&lt;&gt;0,G34-L34," ")</f>
        <v>38.25</v>
      </c>
      <c r="N34" s="8" t="n">
        <f aca="false">IF((G34-L34)&lt;&gt;0,N$1-A34," ")</f>
        <v>236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52" t="n">
        <f aca="false">IF((F34="v"),I34," ")</f>
        <v>38.25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 t="n">
        <v>45897</v>
      </c>
      <c r="B35" s="2" t="s">
        <v>19</v>
      </c>
      <c r="F35" s="5" t="s">
        <v>24</v>
      </c>
      <c r="G35" s="52" t="n">
        <v>120</v>
      </c>
      <c r="I35" s="6" t="n">
        <f aca="false">IF((G35&lt;&gt;0),G35-H35," ")</f>
        <v>120</v>
      </c>
      <c r="J35" s="5"/>
      <c r="M35" s="7" t="n">
        <f aca="false">IF(G35&lt;&gt;0,G35-L35," ")</f>
        <v>120</v>
      </c>
      <c r="N35" s="8" t="n">
        <f aca="false">IF((G35-L35)&lt;&gt;0,N$1-A35," ")</f>
        <v>233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52" t="n">
        <f aca="false">IF((F35="v"),I35," ")</f>
        <v>120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 t="n">
        <v>45900</v>
      </c>
      <c r="B36" s="2" t="s">
        <v>15</v>
      </c>
      <c r="F36" s="5" t="s">
        <v>94</v>
      </c>
      <c r="G36" s="52" t="n">
        <v>300</v>
      </c>
      <c r="I36" s="6" t="n">
        <f aca="false">IF((G36&lt;&gt;0),G36-H36," ")</f>
        <v>300</v>
      </c>
      <c r="J36" s="5"/>
      <c r="M36" s="7" t="n">
        <f aca="false">IF(G36&lt;&gt;0,G36-L36," ")</f>
        <v>300</v>
      </c>
      <c r="N36" s="8" t="n">
        <f aca="false">IF((G36-L36)&lt;&gt;0,N$1-A36," ")</f>
        <v>230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52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n">
        <f aca="false">IF((F36="l"),I36," ")</f>
        <v>300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52"/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52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52"/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52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52"/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52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52"/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52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52"/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52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52"/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52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52"/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52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52"/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52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52"/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52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52"/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52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52"/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52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52"/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52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52"/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52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52"/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52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52"/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52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52"/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52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52"/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52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52"/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52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52"/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52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52"/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52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52"/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52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52"/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52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52"/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52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52"/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52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52"/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52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52"/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52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52"/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52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52"/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52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52"/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52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52"/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52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52"/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52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52"/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52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52"/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52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52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52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52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52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52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52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52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52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52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52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52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52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52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52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52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52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52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52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52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52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52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52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52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52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52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52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52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52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52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52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52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52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52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52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52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52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52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52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52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52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52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52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52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52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52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52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52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52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52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52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52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52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52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52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52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52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52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52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52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52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52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52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52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52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52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52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52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52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52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52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52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52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52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52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52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52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52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52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52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52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52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52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52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52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52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52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52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52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52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52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52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52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52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52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52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52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52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52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52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52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52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52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52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52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52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52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52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52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52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52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52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52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52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52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52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52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52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52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52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52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52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52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52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52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52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52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52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52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52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52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52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52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52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52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52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52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52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52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52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52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52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52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52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52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52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52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52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52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52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52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52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52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52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52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52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52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52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52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52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52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52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52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52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52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52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52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52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52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52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52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52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52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52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52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52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52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52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52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52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52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52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52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52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52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52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52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52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52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52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52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52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52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52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52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52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52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52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52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52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52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52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52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52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52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52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52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52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52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52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52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52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52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52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52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52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52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52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52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52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52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52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52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52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52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52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52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52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52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52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52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52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52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52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52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52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52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52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52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52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52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52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52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52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52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52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52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52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52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52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52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52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52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52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52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52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52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52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52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52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52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52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52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52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52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52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52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52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52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52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52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52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52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52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52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52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52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52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52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52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52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52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52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52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52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52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52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52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52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52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52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52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52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52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52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52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52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52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52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52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52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52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52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52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52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52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52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52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52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52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52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52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52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52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52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52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52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52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52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52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52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52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52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52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52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52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52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52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52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52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52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52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52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52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52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52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52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52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52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52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52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52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52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52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52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52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52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52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52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52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52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52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52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52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52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52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52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52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52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52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52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52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52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52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52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52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52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52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52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52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52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52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52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52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52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52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52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52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52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52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52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52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52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52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52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52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52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52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52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52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52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52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52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52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52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52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52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52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52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52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52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52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52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52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52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52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52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52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52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52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52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52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52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52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52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52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52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52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52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52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52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52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52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52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52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52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52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52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52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52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52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52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52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52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52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52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52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52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52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52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52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52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52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52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52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52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52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52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52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52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52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52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52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52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52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52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52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52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52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52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52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0"/>
      <c r="B300" s="31"/>
      <c r="C300" s="32"/>
      <c r="D300" s="33"/>
      <c r="E300" s="31"/>
      <c r="F300" s="53" t="str">
        <f aca="false">IF((G300&lt;&gt;0),"Enter Letter"," ")</f>
        <v> </v>
      </c>
      <c r="G300" s="54"/>
      <c r="H300" s="34" t="str">
        <f aca="false">IF(G300&lt;&gt;0,G300*H$2/(100+H$2)," ")</f>
        <v> </v>
      </c>
      <c r="I300" s="34" t="str">
        <f aca="false">IF((G300&lt;&gt;0),G300-H300," ")</f>
        <v> </v>
      </c>
      <c r="J300" s="55"/>
      <c r="K300" s="34"/>
      <c r="L300" s="34"/>
      <c r="M300" s="35" t="str">
        <f aca="false">IF(G300&lt;&gt;0,G300-L300," ")</f>
        <v> </v>
      </c>
      <c r="N300" s="36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89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7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8" t="n">
        <f aca="false">G1-H1-SUM(P1:AB1)</f>
        <v>1771</v>
      </c>
      <c r="B1" s="39" t="s">
        <v>21</v>
      </c>
      <c r="C1" s="39"/>
      <c r="D1" s="12" t="n">
        <f aca="false">SUM(D5:D300)</f>
        <v>0</v>
      </c>
      <c r="E1" s="13" t="s">
        <v>3</v>
      </c>
      <c r="F1" s="14"/>
      <c r="G1" s="13" t="n">
        <f aca="false">SUM(G2:G300)</f>
        <v>4975</v>
      </c>
      <c r="H1" s="13" t="n">
        <f aca="false">SUM(H5:H200)</f>
        <v>0</v>
      </c>
      <c r="I1" s="13" t="n">
        <f aca="false">SUM(I2:I200)</f>
        <v>4975</v>
      </c>
      <c r="J1" s="15"/>
      <c r="K1" s="16" t="s">
        <v>4</v>
      </c>
      <c r="L1" s="17" t="n">
        <f aca="false">SUM(L5:L300)</f>
        <v>0</v>
      </c>
      <c r="M1" s="17" t="n">
        <f aca="false">SUM(M5:M200)</f>
        <v>4975</v>
      </c>
      <c r="N1" s="18" t="n">
        <f aca="true">TODAY()</f>
        <v>46130</v>
      </c>
      <c r="O1" s="15"/>
      <c r="P1" s="13" t="n">
        <f aca="false">SUM(P5:P300)</f>
        <v>240</v>
      </c>
      <c r="Q1" s="13" t="n">
        <f aca="false">SUM(Q5:Q300)</f>
        <v>0</v>
      </c>
      <c r="R1" s="13" t="n">
        <f aca="false">SUM(R5:R300)</f>
        <v>249</v>
      </c>
      <c r="S1" s="13" t="n">
        <f aca="false">SUM(S5:S300)</f>
        <v>0</v>
      </c>
      <c r="T1" s="13" t="n">
        <f aca="false">SUM(T5:T300)</f>
        <v>300</v>
      </c>
      <c r="U1" s="13" t="n">
        <f aca="false">SUM(U5:U300)</f>
        <v>0</v>
      </c>
      <c r="V1" s="13" t="n">
        <f aca="false">SUM(V5:V300)</f>
        <v>147</v>
      </c>
      <c r="W1" s="13" t="n">
        <f aca="false">SUM(W2:W300)</f>
        <v>708</v>
      </c>
      <c r="X1" s="13" t="n">
        <f aca="false">SUM(X5:X300)</f>
        <v>92</v>
      </c>
      <c r="Y1" s="13" t="n">
        <f aca="false">SUM(Y5:Y300)</f>
        <v>0</v>
      </c>
      <c r="Z1" s="13" t="n">
        <f aca="false">SUM(Z5:Z300)</f>
        <v>1468</v>
      </c>
      <c r="AA1" s="13" t="n">
        <f aca="false">SUM(AA5:AA300)</f>
        <v>0</v>
      </c>
      <c r="AB1" s="13" t="n">
        <f aca="false">SUM(AB5:AB300)</f>
        <v>0</v>
      </c>
      <c r="AC1" s="40"/>
      <c r="AD1" s="13" t="n">
        <f aca="false">SUM(AD5:AD300)</f>
        <v>0</v>
      </c>
      <c r="AE1" s="41"/>
    </row>
    <row r="2" s="19" customFormat="true" ht="13.5" hidden="false" customHeight="true" outlineLevel="0" collapsed="false">
      <c r="A2" s="42" t="n">
        <f aca="false">G2+Aug!A2</f>
        <v>0</v>
      </c>
      <c r="B2" s="43" t="s">
        <v>22</v>
      </c>
      <c r="C2" s="42" t="n">
        <f aca="false">Aug!C2+D1+[1]Sep!$D$1</f>
        <v>0</v>
      </c>
      <c r="D2" s="44" t="s">
        <v>23</v>
      </c>
      <c r="E2" s="20" t="s">
        <v>5</v>
      </c>
      <c r="F2" s="43" t="str">
        <f aca="false">Aug!F2</f>
        <v>v</v>
      </c>
      <c r="G2" s="45" t="n">
        <f aca="false">IF(C2&lt;[2]Admin!$F$22,(C2-Aug!C2)*[2]Admin!$G$21,C2*[2]Admin!$G$21-(C2-[2]Admin!$F$21)*([2]Admin!$G$21-[2]Admin!$G$22)-Aug!A2)</f>
        <v>0</v>
      </c>
      <c r="H2" s="21" t="n">
        <f aca="false">IF([1]Sep!$H$4&gt;0,0,[1]Sep!$H$2)</f>
        <v>20</v>
      </c>
      <c r="I2" s="46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7" t="s">
        <v>27</v>
      </c>
      <c r="U2" s="10" t="s">
        <v>28</v>
      </c>
      <c r="V2" s="10" t="s">
        <v>29</v>
      </c>
      <c r="W2" s="48" t="n">
        <f aca="false">IF((F2="v"),I2," ")</f>
        <v>0</v>
      </c>
      <c r="X2" s="10" t="s">
        <v>30</v>
      </c>
      <c r="Y2" s="10" t="s">
        <v>31</v>
      </c>
      <c r="Z2" s="10" t="s">
        <v>32</v>
      </c>
      <c r="AA2" s="10" t="s">
        <v>33</v>
      </c>
      <c r="AB2" s="49" t="n">
        <f aca="false">AB1+Aug!AB2</f>
        <v>3000</v>
      </c>
      <c r="AC2" s="40"/>
      <c r="AD2" s="10" t="s">
        <v>34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4"/>
      <c r="E3" s="44"/>
      <c r="F3" s="20" t="s">
        <v>35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36</v>
      </c>
      <c r="Q3" s="20" t="s">
        <v>37</v>
      </c>
      <c r="R3" s="20" t="s">
        <v>38</v>
      </c>
      <c r="S3" s="10"/>
      <c r="T3" s="20" t="s">
        <v>39</v>
      </c>
      <c r="U3" s="10"/>
      <c r="V3" s="10"/>
      <c r="W3" s="49" t="s">
        <v>40</v>
      </c>
      <c r="X3" s="10"/>
      <c r="Y3" s="10"/>
      <c r="Z3" s="10"/>
      <c r="AA3" s="10"/>
      <c r="AB3" s="49" t="s">
        <v>41</v>
      </c>
      <c r="AC3" s="40"/>
      <c r="AD3" s="10" t="s">
        <v>42</v>
      </c>
      <c r="AE3" s="10"/>
    </row>
    <row r="4" s="26" customFormat="true" ht="12.75" hidden="false" customHeight="true" outlineLevel="0" collapsed="false">
      <c r="A4" s="9"/>
      <c r="B4" s="10"/>
      <c r="C4" s="11"/>
      <c r="D4" s="44"/>
      <c r="E4" s="44"/>
      <c r="F4" s="20"/>
      <c r="G4" s="10"/>
      <c r="H4" s="10"/>
      <c r="I4" s="10"/>
      <c r="J4" s="15"/>
      <c r="K4" s="16"/>
      <c r="L4" s="23"/>
      <c r="M4" s="23"/>
      <c r="N4" s="24"/>
      <c r="O4" s="15"/>
      <c r="P4" s="50" t="s">
        <v>43</v>
      </c>
      <c r="Q4" s="50" t="s">
        <v>44</v>
      </c>
      <c r="R4" s="50" t="s">
        <v>45</v>
      </c>
      <c r="S4" s="50" t="s">
        <v>46</v>
      </c>
      <c r="T4" s="50" t="s">
        <v>47</v>
      </c>
      <c r="U4" s="50" t="s">
        <v>48</v>
      </c>
      <c r="V4" s="50" t="s">
        <v>49</v>
      </c>
      <c r="W4" s="51" t="s">
        <v>50</v>
      </c>
      <c r="X4" s="50" t="s">
        <v>51</v>
      </c>
      <c r="Y4" s="50" t="s">
        <v>52</v>
      </c>
      <c r="Z4" s="50" t="s">
        <v>53</v>
      </c>
      <c r="AA4" s="50" t="s">
        <v>54</v>
      </c>
      <c r="AB4" s="50" t="s">
        <v>55</v>
      </c>
      <c r="AC4" s="40"/>
      <c r="AD4" s="10" t="s">
        <v>56</v>
      </c>
      <c r="AE4" s="10" t="s">
        <v>57</v>
      </c>
    </row>
    <row r="5" s="5" customFormat="true" ht="12" hidden="false" customHeight="false" outlineLevel="0" collapsed="false">
      <c r="A5" s="27" t="n">
        <v>45901</v>
      </c>
      <c r="B5" s="5" t="s">
        <v>13</v>
      </c>
      <c r="F5" s="5" t="s">
        <v>58</v>
      </c>
      <c r="G5" s="52" t="n">
        <v>1200</v>
      </c>
      <c r="I5" s="6" t="n">
        <f aca="false">IF((G5&lt;&gt;0),G5-H5," ")</f>
        <v>1200</v>
      </c>
      <c r="K5" s="6"/>
      <c r="L5" s="6"/>
      <c r="M5" s="7" t="n">
        <f aca="false">IF(G5&lt;&gt;0,G5-L5," ")</f>
        <v>1200</v>
      </c>
      <c r="N5" s="8" t="n">
        <f aca="false">IF((G5-L5)&lt;&gt;0,N$1-A5," ")</f>
        <v>229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52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 t="n">
        <v>45901</v>
      </c>
      <c r="B6" s="2" t="s">
        <v>59</v>
      </c>
      <c r="F6" s="5" t="s">
        <v>60</v>
      </c>
      <c r="G6" s="52" t="n">
        <v>30</v>
      </c>
      <c r="I6" s="6" t="n">
        <f aca="false">IF((G6&lt;&gt;0),G6-H6," ")</f>
        <v>30</v>
      </c>
      <c r="J6" s="5"/>
      <c r="M6" s="7" t="n">
        <f aca="false">IF(G6&lt;&gt;0,G6-L6," ")</f>
        <v>30</v>
      </c>
      <c r="N6" s="8" t="n">
        <f aca="false">IF((G6-L6)&lt;&gt;0,N$1-A6," ")</f>
        <v>229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30</v>
      </c>
      <c r="W6" s="52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 t="n">
        <v>45901</v>
      </c>
      <c r="B7" s="2" t="s">
        <v>61</v>
      </c>
      <c r="F7" s="5" t="s">
        <v>60</v>
      </c>
      <c r="G7" s="52" t="n">
        <v>15</v>
      </c>
      <c r="I7" s="6" t="n">
        <f aca="false">IF((G7&lt;&gt;0),G7-H7," ")</f>
        <v>15</v>
      </c>
      <c r="J7" s="5"/>
      <c r="M7" s="7" t="n">
        <f aca="false">IF(G7&lt;&gt;0,G7-L7," ")</f>
        <v>15</v>
      </c>
      <c r="N7" s="8" t="n">
        <f aca="false">IF((G7-L7)&lt;&gt;0,N$1-A7," ")</f>
        <v>229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15</v>
      </c>
      <c r="W7" s="52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 t="n">
        <v>45901</v>
      </c>
      <c r="B8" s="2" t="s">
        <v>62</v>
      </c>
      <c r="F8" s="5" t="s">
        <v>63</v>
      </c>
      <c r="G8" s="52" t="n">
        <v>45</v>
      </c>
      <c r="I8" s="6" t="n">
        <f aca="false">IF((G8&lt;&gt;0),G8-H8," ")</f>
        <v>45</v>
      </c>
      <c r="J8" s="5"/>
      <c r="M8" s="7" t="n">
        <f aca="false">IF(G8&lt;&gt;0,G8-L8," ")</f>
        <v>45</v>
      </c>
      <c r="N8" s="8" t="n">
        <f aca="false">IF((G8-L8)&lt;&gt;0,N$1-A8," ")</f>
        <v>229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45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52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 t="n">
        <v>45901</v>
      </c>
      <c r="B9" s="2" t="s">
        <v>66</v>
      </c>
      <c r="F9" s="5" t="s">
        <v>63</v>
      </c>
      <c r="G9" s="52" t="n">
        <v>24</v>
      </c>
      <c r="I9" s="6" t="n">
        <f aca="false">IF((G9&lt;&gt;0),G9-H9," ")</f>
        <v>24</v>
      </c>
      <c r="J9" s="5"/>
      <c r="M9" s="7" t="n">
        <f aca="false">IF(G9&lt;&gt;0,G9-L9," ")</f>
        <v>24</v>
      </c>
      <c r="N9" s="8" t="n">
        <f aca="false">IF((G9-L9)&lt;&gt;0,N$1-A9," ")</f>
        <v>229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n">
        <f aca="false">IF((F9="o"),I9," ")</f>
        <v>24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52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 t="n">
        <v>45901</v>
      </c>
      <c r="B10" s="2" t="s">
        <v>67</v>
      </c>
      <c r="F10" s="5" t="s">
        <v>60</v>
      </c>
      <c r="G10" s="52" t="n">
        <v>18</v>
      </c>
      <c r="I10" s="6" t="n">
        <f aca="false">IF((G10&lt;&gt;0),G10-H10," ")</f>
        <v>18</v>
      </c>
      <c r="J10" s="5"/>
      <c r="M10" s="7" t="n">
        <f aca="false">IF(G10&lt;&gt;0,G10-L10," ")</f>
        <v>18</v>
      </c>
      <c r="N10" s="8" t="n">
        <f aca="false">IF((G10-L10)&lt;&gt;0,N$1-A10," ")</f>
        <v>229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n">
        <f aca="false">IF((F10="g"),I10," ")</f>
        <v>18</v>
      </c>
      <c r="W10" s="52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 t="n">
        <v>45903</v>
      </c>
      <c r="B11" s="2" t="s">
        <v>68</v>
      </c>
      <c r="F11" s="5" t="s">
        <v>63</v>
      </c>
      <c r="G11" s="52" t="n">
        <v>180</v>
      </c>
      <c r="I11" s="6" t="n">
        <f aca="false">IF((G11&lt;&gt;0),G11-H11," ")</f>
        <v>180</v>
      </c>
      <c r="J11" s="5"/>
      <c r="M11" s="7" t="n">
        <f aca="false">IF(G11&lt;&gt;0,G11-L11," ")</f>
        <v>180</v>
      </c>
      <c r="N11" s="8" t="n">
        <f aca="false">IF((G11-L11)&lt;&gt;0,N$1-A11," ")</f>
        <v>227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n">
        <f aca="false">IF((F11="o"),I11," ")</f>
        <v>180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52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 t="n">
        <v>45903</v>
      </c>
      <c r="B12" s="2" t="s">
        <v>69</v>
      </c>
      <c r="F12" s="5" t="s">
        <v>70</v>
      </c>
      <c r="G12" s="52" t="n">
        <v>22</v>
      </c>
      <c r="I12" s="6" t="n">
        <f aca="false">IF((G12&lt;&gt;0),G12-H12," ")</f>
        <v>22</v>
      </c>
      <c r="J12" s="5"/>
      <c r="M12" s="7" t="n">
        <f aca="false">IF(G12&lt;&gt;0,G12-L12," ")</f>
        <v>22</v>
      </c>
      <c r="N12" s="8" t="n">
        <f aca="false">IF((G12-L12)&lt;&gt;0,N$1-A12," ")</f>
        <v>227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52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 t="n">
        <v>45905</v>
      </c>
      <c r="B13" s="2" t="s">
        <v>71</v>
      </c>
      <c r="F13" s="5" t="s">
        <v>70</v>
      </c>
      <c r="G13" s="52" t="n">
        <v>24</v>
      </c>
      <c r="I13" s="6" t="n">
        <f aca="false">IF((G13&lt;&gt;0),G13-H13," ")</f>
        <v>24</v>
      </c>
      <c r="J13" s="5"/>
      <c r="M13" s="7" t="n">
        <f aca="false">IF(G13&lt;&gt;0,G13-L13," ")</f>
        <v>24</v>
      </c>
      <c r="N13" s="8" t="n">
        <f aca="false">IF((G13-L13)&lt;&gt;0,N$1-A13," ")</f>
        <v>225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52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 t="n">
        <v>45905</v>
      </c>
      <c r="B14" s="2" t="s">
        <v>72</v>
      </c>
      <c r="F14" s="5" t="s">
        <v>24</v>
      </c>
      <c r="G14" s="52" t="n">
        <v>180</v>
      </c>
      <c r="I14" s="6" t="n">
        <f aca="false">IF((G14&lt;&gt;0),G14-H14," ")</f>
        <v>180</v>
      </c>
      <c r="J14" s="5"/>
      <c r="M14" s="7" t="n">
        <f aca="false">IF(G14&lt;&gt;0,G14-L14," ")</f>
        <v>180</v>
      </c>
      <c r="N14" s="8" t="n">
        <f aca="false">IF((G14-L14)&lt;&gt;0,N$1-A14," ")</f>
        <v>225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52" t="n">
        <f aca="false">IF((F14="v"),I14," ")</f>
        <v>180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 t="n">
        <v>45908</v>
      </c>
      <c r="B15" s="2" t="s">
        <v>74</v>
      </c>
      <c r="F15" s="5" t="s">
        <v>75</v>
      </c>
      <c r="G15" s="52" t="n">
        <v>48</v>
      </c>
      <c r="I15" s="6" t="n">
        <f aca="false">IF((G15&lt;&gt;0),G15-H15," ")</f>
        <v>48</v>
      </c>
      <c r="J15" s="5"/>
      <c r="M15" s="7" t="n">
        <f aca="false">IF(G15&lt;&gt;0,G15-L15," ")</f>
        <v>48</v>
      </c>
      <c r="N15" s="8" t="n">
        <f aca="false">IF((G15-L15)&lt;&gt;0,N$1-A15," ")</f>
        <v>222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52" t="str">
        <f aca="false">IF((F15="v"),I15," ")</f>
        <v> </v>
      </c>
      <c r="X15" s="19" t="n">
        <f aca="false">IF((F15="h"),I15," ")</f>
        <v>48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 t="n">
        <v>45908</v>
      </c>
      <c r="B16" s="2" t="s">
        <v>96</v>
      </c>
      <c r="F16" s="5" t="s">
        <v>97</v>
      </c>
      <c r="G16" s="52" t="n">
        <v>360</v>
      </c>
      <c r="I16" s="6" t="n">
        <f aca="false">IF((G16&lt;&gt;0),G16-H16," ")</f>
        <v>360</v>
      </c>
      <c r="J16" s="5"/>
      <c r="M16" s="7" t="n">
        <f aca="false">IF(G16&lt;&gt;0,G16-L16," ")</f>
        <v>360</v>
      </c>
      <c r="N16" s="8" t="n">
        <f aca="false">IF((G16-L16)&lt;&gt;0,N$1-A16," ")</f>
        <v>222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52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 t="n">
        <v>45910</v>
      </c>
      <c r="B17" s="2" t="s">
        <v>76</v>
      </c>
      <c r="F17" s="5" t="s">
        <v>70</v>
      </c>
      <c r="G17" s="52" t="n">
        <v>36</v>
      </c>
      <c r="I17" s="6" t="n">
        <f aca="false">IF((G17&lt;&gt;0),G17-H17," ")</f>
        <v>36</v>
      </c>
      <c r="J17" s="5"/>
      <c r="M17" s="7" t="n">
        <f aca="false">IF(G17&lt;&gt;0,G17-L17," ")</f>
        <v>36</v>
      </c>
      <c r="N17" s="8" t="n">
        <f aca="false">IF((G17-L17)&lt;&gt;0,N$1-A17," ")</f>
        <v>220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52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 t="n">
        <v>45910</v>
      </c>
      <c r="B18" s="2" t="s">
        <v>85</v>
      </c>
      <c r="F18" s="5" t="s">
        <v>105</v>
      </c>
      <c r="G18" s="52" t="n">
        <v>96</v>
      </c>
      <c r="I18" s="6" t="n">
        <f aca="false">IF((G18&lt;&gt;0),G18-H18," ")</f>
        <v>96</v>
      </c>
      <c r="J18" s="5"/>
      <c r="M18" s="7" t="n">
        <f aca="false">IF(G18&lt;&gt;0,G18-L18," ")</f>
        <v>96</v>
      </c>
      <c r="N18" s="8" t="n">
        <f aca="false">IF((G18-L18)&lt;&gt;0,N$1-A18," ")</f>
        <v>220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52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 t="n">
        <v>45912</v>
      </c>
      <c r="B19" s="2" t="s">
        <v>81</v>
      </c>
      <c r="F19" s="5" t="s">
        <v>24</v>
      </c>
      <c r="G19" s="52" t="n">
        <v>18</v>
      </c>
      <c r="I19" s="6" t="n">
        <f aca="false">IF((G19&lt;&gt;0),G19-H19," ")</f>
        <v>18</v>
      </c>
      <c r="J19" s="5"/>
      <c r="M19" s="7" t="n">
        <f aca="false">IF(G19&lt;&gt;0,G19-L19," ")</f>
        <v>18</v>
      </c>
      <c r="N19" s="8" t="n">
        <f aca="false">IF((G19-L19)&lt;&gt;0,N$1-A19," ")</f>
        <v>218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52" t="n">
        <f aca="false">IF((F19="v"),I19," ")</f>
        <v>18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 t="n">
        <v>45914</v>
      </c>
      <c r="B20" s="2" t="s">
        <v>83</v>
      </c>
      <c r="F20" s="5" t="s">
        <v>75</v>
      </c>
      <c r="G20" s="52" t="n">
        <v>24</v>
      </c>
      <c r="I20" s="6" t="n">
        <f aca="false">IF((G20&lt;&gt;0),G20-H20," ")</f>
        <v>24</v>
      </c>
      <c r="J20" s="5"/>
      <c r="M20" s="7" t="n">
        <f aca="false">IF(G20&lt;&gt;0,G20-L20," ")</f>
        <v>24</v>
      </c>
      <c r="N20" s="8" t="n">
        <f aca="false">IF((G20-L20)&lt;&gt;0,N$1-A20," ")</f>
        <v>216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52" t="str">
        <f aca="false">IF((F20="v"),I20," ")</f>
        <v> </v>
      </c>
      <c r="X20" s="19" t="n">
        <f aca="false">IF((F20="h"),I20," ")</f>
        <v>24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 t="n">
        <v>45914</v>
      </c>
      <c r="B21" s="2" t="s">
        <v>84</v>
      </c>
      <c r="F21" s="5" t="s">
        <v>75</v>
      </c>
      <c r="G21" s="52" t="n">
        <v>12</v>
      </c>
      <c r="I21" s="6" t="n">
        <f aca="false">IF((G21&lt;&gt;0),G21-H21," ")</f>
        <v>12</v>
      </c>
      <c r="J21" s="5"/>
      <c r="M21" s="7" t="n">
        <f aca="false">IF(G21&lt;&gt;0,G21-L21," ")</f>
        <v>12</v>
      </c>
      <c r="N21" s="8" t="n">
        <f aca="false">IF((G21-L21)&lt;&gt;0,N$1-A21," ")</f>
        <v>216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52" t="str">
        <f aca="false">IF((F21="v"),I21," ")</f>
        <v> </v>
      </c>
      <c r="X21" s="19" t="n">
        <f aca="false">IF((F21="h"),I21," ")</f>
        <v>12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 t="n">
        <v>45915</v>
      </c>
      <c r="B22" s="2" t="s">
        <v>19</v>
      </c>
      <c r="F22" s="5" t="s">
        <v>24</v>
      </c>
      <c r="G22" s="52" t="n">
        <v>150</v>
      </c>
      <c r="I22" s="6" t="n">
        <f aca="false">IF((G22&lt;&gt;0),G22-H22," ")</f>
        <v>150</v>
      </c>
      <c r="J22" s="5"/>
      <c r="M22" s="7" t="n">
        <f aca="false">IF(G22&lt;&gt;0,G22-L22," ")</f>
        <v>150</v>
      </c>
      <c r="N22" s="8" t="n">
        <f aca="false">IF((G22-L22)&lt;&gt;0,N$1-A22," ")</f>
        <v>215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52" t="n">
        <f aca="false">IF((F22="v"),I22," ")</f>
        <v>150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 t="n">
        <v>45915</v>
      </c>
      <c r="B23" s="2" t="s">
        <v>85</v>
      </c>
      <c r="F23" s="5" t="s">
        <v>60</v>
      </c>
      <c r="G23" s="52" t="n">
        <v>12</v>
      </c>
      <c r="I23" s="6" t="n">
        <f aca="false">IF((G23&lt;&gt;0),G23-H23," ")</f>
        <v>12</v>
      </c>
      <c r="J23" s="5"/>
      <c r="M23" s="7" t="n">
        <f aca="false">IF(G23&lt;&gt;0,G23-L23," ")</f>
        <v>12</v>
      </c>
      <c r="N23" s="8" t="n">
        <f aca="false">IF((G23-L23)&lt;&gt;0,N$1-A23," ")</f>
        <v>215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n">
        <f aca="false">IF((F23="g"),I23," ")</f>
        <v>12</v>
      </c>
      <c r="W23" s="52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 t="n">
        <v>45915</v>
      </c>
      <c r="B24" s="2" t="s">
        <v>125</v>
      </c>
      <c r="F24" s="5" t="s">
        <v>94</v>
      </c>
      <c r="G24" s="52" t="n">
        <v>960</v>
      </c>
      <c r="I24" s="6" t="n">
        <f aca="false">IF((G24&lt;&gt;0),G24-H24," ")</f>
        <v>960</v>
      </c>
      <c r="J24" s="5"/>
      <c r="M24" s="7" t="n">
        <f aca="false">IF(G24&lt;&gt;0,G24-L24," ")</f>
        <v>960</v>
      </c>
      <c r="N24" s="8" t="n">
        <f aca="false">IF((G24-L24)&lt;&gt;0,N$1-A24," ")</f>
        <v>215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52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n">
        <f aca="false">IF((F24="l"),I24," ")</f>
        <v>960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 t="n">
        <v>45916</v>
      </c>
      <c r="B25" s="2" t="s">
        <v>103</v>
      </c>
      <c r="F25" s="5" t="s">
        <v>60</v>
      </c>
      <c r="G25" s="52" t="n">
        <v>12</v>
      </c>
      <c r="I25" s="6" t="n">
        <f aca="false">IF((G25&lt;&gt;0),G25-H25," ")</f>
        <v>12</v>
      </c>
      <c r="J25" s="5"/>
      <c r="M25" s="7" t="n">
        <f aca="false">IF(G25&lt;&gt;0,G25-L25," ")</f>
        <v>12</v>
      </c>
      <c r="N25" s="8" t="n">
        <f aca="false">IF((G25-L25)&lt;&gt;0,N$1-A25," ")</f>
        <v>214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n">
        <f aca="false">IF((F25="g"),I25," ")</f>
        <v>12</v>
      </c>
      <c r="W25" s="52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 t="n">
        <v>45918</v>
      </c>
      <c r="B26" s="2" t="s">
        <v>112</v>
      </c>
      <c r="F26" s="5" t="s">
        <v>80</v>
      </c>
      <c r="G26" s="52" t="n">
        <v>240</v>
      </c>
      <c r="I26" s="6" t="n">
        <f aca="false">IF((G26&lt;&gt;0),G26-H26," ")</f>
        <v>240</v>
      </c>
      <c r="J26" s="5"/>
      <c r="M26" s="7" t="n">
        <f aca="false">IF(G26&lt;&gt;0,G26-L26," ")</f>
        <v>240</v>
      </c>
      <c r="N26" s="8" t="n">
        <f aca="false">IF((G26-L26)&lt;&gt;0,N$1-A26," ")</f>
        <v>212</v>
      </c>
      <c r="O26" s="5"/>
      <c r="P26" s="19" t="n">
        <f aca="false">IF((F26="s"),I26," ")</f>
        <v>240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52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 t="n">
        <v>45918</v>
      </c>
      <c r="B27" s="2" t="s">
        <v>86</v>
      </c>
      <c r="F27" s="5" t="s">
        <v>24</v>
      </c>
      <c r="G27" s="52" t="n">
        <v>96</v>
      </c>
      <c r="I27" s="6" t="n">
        <f aca="false">IF((G27&lt;&gt;0),G27-H27," ")</f>
        <v>96</v>
      </c>
      <c r="J27" s="5"/>
      <c r="M27" s="7" t="n">
        <f aca="false">IF(G27&lt;&gt;0,G27-L27," ")</f>
        <v>96</v>
      </c>
      <c r="N27" s="8" t="n">
        <f aca="false">IF((G27-L27)&lt;&gt;0,N$1-A27," ")</f>
        <v>212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52" t="n">
        <f aca="false">IF((F27="v"),I27," ")</f>
        <v>96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 t="n">
        <v>45920</v>
      </c>
      <c r="B28" s="2" t="s">
        <v>87</v>
      </c>
      <c r="F28" s="5" t="s">
        <v>60</v>
      </c>
      <c r="G28" s="52" t="n">
        <v>60</v>
      </c>
      <c r="I28" s="6" t="n">
        <f aca="false">IF((G28&lt;&gt;0),G28-H28," ")</f>
        <v>60</v>
      </c>
      <c r="J28" s="5"/>
      <c r="M28" s="7" t="n">
        <f aca="false">IF(G28&lt;&gt;0,G28-L28," ")</f>
        <v>60</v>
      </c>
      <c r="N28" s="8" t="n">
        <f aca="false">IF((G28-L28)&lt;&gt;0,N$1-A28," ")</f>
        <v>210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n">
        <f aca="false">IF((F28="g"),I28," ")</f>
        <v>60</v>
      </c>
      <c r="W28" s="52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 t="n">
        <v>45921</v>
      </c>
      <c r="B29" s="2" t="s">
        <v>90</v>
      </c>
      <c r="F29" s="5" t="s">
        <v>75</v>
      </c>
      <c r="G29" s="52" t="n">
        <v>8</v>
      </c>
      <c r="I29" s="6" t="n">
        <f aca="false">IF((G29&lt;&gt;0),G29-H29," ")</f>
        <v>8</v>
      </c>
      <c r="J29" s="5"/>
      <c r="M29" s="7" t="n">
        <f aca="false">IF(G29&lt;&gt;0,G29-L29," ")</f>
        <v>8</v>
      </c>
      <c r="N29" s="8" t="n">
        <f aca="false">IF((G29-L29)&lt;&gt;0,N$1-A29," ")</f>
        <v>209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52" t="str">
        <f aca="false">IF((F29="v"),I29," ")</f>
        <v> </v>
      </c>
      <c r="X29" s="19" t="n">
        <f aca="false">IF((F29="h"),I29," ")</f>
        <v>8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 t="n">
        <v>45922</v>
      </c>
      <c r="B30" s="2" t="s">
        <v>91</v>
      </c>
      <c r="F30" s="5" t="s">
        <v>70</v>
      </c>
      <c r="G30" s="52" t="n">
        <v>18</v>
      </c>
      <c r="I30" s="6" t="n">
        <f aca="false">IF((G30&lt;&gt;0),G30-H30," ")</f>
        <v>18</v>
      </c>
      <c r="J30" s="5"/>
      <c r="M30" s="7" t="n">
        <f aca="false">IF(G30&lt;&gt;0,G30-L30," ")</f>
        <v>18</v>
      </c>
      <c r="N30" s="8" t="n">
        <f aca="false">IF((G30-L30)&lt;&gt;0,N$1-A30," ")</f>
        <v>208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52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 t="n">
        <v>45922</v>
      </c>
      <c r="B31" s="2" t="s">
        <v>107</v>
      </c>
      <c r="F31" s="5" t="s">
        <v>24</v>
      </c>
      <c r="G31" s="52" t="n">
        <v>72</v>
      </c>
      <c r="I31" s="6" t="n">
        <f aca="false">IF((G31&lt;&gt;0),G31-H31," ")</f>
        <v>72</v>
      </c>
      <c r="J31" s="5"/>
      <c r="M31" s="7" t="n">
        <f aca="false">IF(G31&lt;&gt;0,G31-L31," ")</f>
        <v>72</v>
      </c>
      <c r="N31" s="8" t="n">
        <f aca="false">IF((G31-L31)&lt;&gt;0,N$1-A31," ")</f>
        <v>208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52" t="n">
        <f aca="false">IF((F31="v"),I31," ")</f>
        <v>72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 t="n">
        <v>45925</v>
      </c>
      <c r="B32" s="2" t="s">
        <v>113</v>
      </c>
      <c r="F32" s="5" t="s">
        <v>114</v>
      </c>
      <c r="G32" s="52" t="n">
        <v>300</v>
      </c>
      <c r="I32" s="6" t="n">
        <f aca="false">IF((G32&lt;&gt;0),G32-H32," ")</f>
        <v>300</v>
      </c>
      <c r="J32" s="5"/>
      <c r="M32" s="7" t="n">
        <f aca="false">IF(G32&lt;&gt;0,G32-L32," ")</f>
        <v>300</v>
      </c>
      <c r="N32" s="8" t="n">
        <f aca="false">IF((G32-L32)&lt;&gt;0,N$1-A32," ")</f>
        <v>205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n">
        <f aca="false">IF((F32="p"),I32," ")</f>
        <v>300</v>
      </c>
      <c r="U32" s="19" t="str">
        <f aca="false">IF((F32="m"),I32," ")</f>
        <v> </v>
      </c>
      <c r="V32" s="19" t="str">
        <f aca="false">IF((F32="g"),I32," ")</f>
        <v> </v>
      </c>
      <c r="W32" s="52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 t="n">
        <v>45925</v>
      </c>
      <c r="B33" s="2" t="s">
        <v>92</v>
      </c>
      <c r="F33" s="5" t="s">
        <v>70</v>
      </c>
      <c r="G33" s="52" t="n">
        <v>15</v>
      </c>
      <c r="I33" s="6" t="n">
        <f aca="false">IF((G33&lt;&gt;0),G33-H33," ")</f>
        <v>15</v>
      </c>
      <c r="J33" s="5"/>
      <c r="M33" s="7" t="n">
        <f aca="false">IF(G33&lt;&gt;0,G33-L33," ")</f>
        <v>15</v>
      </c>
      <c r="N33" s="8" t="n">
        <f aca="false">IF((G33-L33)&lt;&gt;0,N$1-A33," ")</f>
        <v>205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52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 t="n">
        <v>45925</v>
      </c>
      <c r="B34" s="2" t="s">
        <v>93</v>
      </c>
      <c r="F34" s="5" t="s">
        <v>24</v>
      </c>
      <c r="G34" s="52" t="n">
        <v>72</v>
      </c>
      <c r="I34" s="6" t="n">
        <f aca="false">IF((G34&lt;&gt;0),G34-H34," ")</f>
        <v>72</v>
      </c>
      <c r="J34" s="5"/>
      <c r="M34" s="7" t="n">
        <f aca="false">IF(G34&lt;&gt;0,G34-L34," ")</f>
        <v>72</v>
      </c>
      <c r="N34" s="8" t="n">
        <f aca="false">IF((G34-L34)&lt;&gt;0,N$1-A34," ")</f>
        <v>205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52" t="n">
        <f aca="false">IF((F34="v"),I34," ")</f>
        <v>72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 t="n">
        <v>45928</v>
      </c>
      <c r="B35" s="2" t="s">
        <v>19</v>
      </c>
      <c r="F35" s="5" t="s">
        <v>24</v>
      </c>
      <c r="G35" s="52" t="n">
        <v>120</v>
      </c>
      <c r="I35" s="6" t="n">
        <f aca="false">IF((G35&lt;&gt;0),G35-H35," ")</f>
        <v>120</v>
      </c>
      <c r="J35" s="5"/>
      <c r="M35" s="7" t="n">
        <f aca="false">IF(G35&lt;&gt;0,G35-L35," ")</f>
        <v>120</v>
      </c>
      <c r="N35" s="8" t="n">
        <f aca="false">IF((G35-L35)&lt;&gt;0,N$1-A35," ")</f>
        <v>202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52" t="n">
        <f aca="false">IF((F35="v"),I35," ")</f>
        <v>120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 t="n">
        <v>45930</v>
      </c>
      <c r="B36" s="2" t="s">
        <v>15</v>
      </c>
      <c r="F36" s="5" t="s">
        <v>94</v>
      </c>
      <c r="G36" s="52" t="n">
        <v>300</v>
      </c>
      <c r="I36" s="6" t="n">
        <f aca="false">IF((G36&lt;&gt;0),G36-H36," ")</f>
        <v>300</v>
      </c>
      <c r="J36" s="5"/>
      <c r="M36" s="7" t="n">
        <f aca="false">IF(G36&lt;&gt;0,G36-L36," ")</f>
        <v>300</v>
      </c>
      <c r="N36" s="8" t="n">
        <f aca="false">IF((G36-L36)&lt;&gt;0,N$1-A36," ")</f>
        <v>200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52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n">
        <f aca="false">IF((F36="l"),I36," ")</f>
        <v>300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 t="n">
        <v>45930</v>
      </c>
      <c r="B37" s="2" t="s">
        <v>115</v>
      </c>
      <c r="F37" s="5" t="s">
        <v>94</v>
      </c>
      <c r="G37" s="52" t="n">
        <v>208</v>
      </c>
      <c r="I37" s="6" t="n">
        <f aca="false">IF((G37&lt;&gt;0),G37-H37," ")</f>
        <v>208</v>
      </c>
      <c r="J37" s="5"/>
      <c r="M37" s="7" t="n">
        <f aca="false">IF(G37&lt;&gt;0,G37-L37," ")</f>
        <v>208</v>
      </c>
      <c r="N37" s="8" t="n">
        <f aca="false">IF((G37-L37)&lt;&gt;0,N$1-A37," ")</f>
        <v>200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52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n">
        <f aca="false">IF((F37="l"),I37," ")</f>
        <v>208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52"/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52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52"/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52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52"/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52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52"/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52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52"/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52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52"/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52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52"/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52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52"/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52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52"/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52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52"/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52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52"/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52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52"/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52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52"/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52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52"/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52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52"/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52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52"/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52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52"/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52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52"/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52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52"/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52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52"/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52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52"/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52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52"/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52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52"/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52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52"/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52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52"/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52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52"/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52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52"/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52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52"/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52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52"/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52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52"/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52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52"/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52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52"/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52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52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52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52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52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52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52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52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52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52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52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52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52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52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52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52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52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52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52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52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52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52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52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52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52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52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52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52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52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52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52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52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52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52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52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52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52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52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52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52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52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52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52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52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52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52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52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52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52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52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52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52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52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52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52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52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52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52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52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52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52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52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52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52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52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52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52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52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52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52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52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52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52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52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52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52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52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52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52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52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52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52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52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52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52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52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52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52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52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52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52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52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52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52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52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52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52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52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52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52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52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52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52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52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52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52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52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52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52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52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52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52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52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52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52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52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52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52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52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52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52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52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52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52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52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52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52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52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52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52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52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52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52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52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52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52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52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52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52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52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52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52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52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52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52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52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52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52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52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52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52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52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52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52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52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52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52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52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52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52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52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52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52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52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52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52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52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52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52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52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52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52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52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52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52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52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52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52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52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52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52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52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52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52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52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52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52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52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52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52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52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52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52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52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52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52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52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52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52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52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52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52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52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52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52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52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52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52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52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52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52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52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52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52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52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52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52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52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52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52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52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52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52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52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52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52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52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52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52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52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52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52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52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52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52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52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52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52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52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52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52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52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52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52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52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52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52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52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52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52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52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52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52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52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52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52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52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52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52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52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52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52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52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52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52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52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52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52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52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52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52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52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52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52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52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52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52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52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52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52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52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52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52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52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52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52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52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52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52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52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52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52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52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52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52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52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52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52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52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52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52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52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52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52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52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52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52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52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52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52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52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52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52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52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52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52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52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52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52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52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52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52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52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52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52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52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52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52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52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52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52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52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52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52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52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52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52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52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52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52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52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52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52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52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52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52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52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52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52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52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52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52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52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52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52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52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52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52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52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52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52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52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52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52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52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52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52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52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52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52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52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52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52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52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52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52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52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52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52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52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52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52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52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52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52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52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52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52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52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52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52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52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52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52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52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52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52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52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52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52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52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52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52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52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52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52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52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52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52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52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52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52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52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52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52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52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52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52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52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52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52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52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52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52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52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52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52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52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52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52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52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52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52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52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52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52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52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52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52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52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52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52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52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52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52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52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52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52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52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52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52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52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52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52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52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52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52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52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52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52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52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0"/>
      <c r="B300" s="31"/>
      <c r="C300" s="32"/>
      <c r="D300" s="33"/>
      <c r="E300" s="31"/>
      <c r="F300" s="53" t="str">
        <f aca="false">IF((G300&lt;&gt;0),"Enter Letter"," ")</f>
        <v> </v>
      </c>
      <c r="G300" s="54"/>
      <c r="H300" s="34" t="str">
        <f aca="false">IF(G300&lt;&gt;0,G300*H$2/(100+H$2)," ")</f>
        <v> </v>
      </c>
      <c r="I300" s="34" t="str">
        <f aca="false">IF((G300&lt;&gt;0),G300-H300," ")</f>
        <v> </v>
      </c>
      <c r="J300" s="55"/>
      <c r="K300" s="34"/>
      <c r="L300" s="34"/>
      <c r="M300" s="35" t="str">
        <f aca="false">IF(G300&lt;&gt;0,G300-L300," ")</f>
        <v> </v>
      </c>
      <c r="N300" s="36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4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4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82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7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8" t="n">
        <f aca="false">G1-H1-SUM(P1:AB1)</f>
        <v>1891</v>
      </c>
      <c r="B1" s="39" t="s">
        <v>21</v>
      </c>
      <c r="C1" s="39"/>
      <c r="D1" s="12" t="n">
        <f aca="false">SUM(D5:D300)</f>
        <v>0</v>
      </c>
      <c r="E1" s="13" t="s">
        <v>3</v>
      </c>
      <c r="F1" s="14"/>
      <c r="G1" s="13" t="n">
        <f aca="false">SUM(G2:G300)</f>
        <v>43005.75</v>
      </c>
      <c r="H1" s="13" t="n">
        <f aca="false">SUM(H5:H200)</f>
        <v>0</v>
      </c>
      <c r="I1" s="13" t="n">
        <f aca="false">SUM(I2:I200)</f>
        <v>43005.75</v>
      </c>
      <c r="J1" s="15"/>
      <c r="K1" s="16" t="s">
        <v>4</v>
      </c>
      <c r="L1" s="17" t="n">
        <f aca="false">SUM(L5:L300)</f>
        <v>0</v>
      </c>
      <c r="M1" s="17" t="n">
        <f aca="false">SUM(M5:M200)</f>
        <v>43005.75</v>
      </c>
      <c r="N1" s="18" t="n">
        <f aca="true">TODAY()</f>
        <v>46130</v>
      </c>
      <c r="O1" s="15"/>
      <c r="P1" s="13" t="n">
        <f aca="false">SUM(P5:P300)</f>
        <v>480</v>
      </c>
      <c r="Q1" s="13" t="n">
        <f aca="false">SUM(Q5:Q300)</f>
        <v>0</v>
      </c>
      <c r="R1" s="13" t="n">
        <f aca="false">SUM(R5:R300)</f>
        <v>285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96</v>
      </c>
      <c r="V1" s="13" t="n">
        <f aca="false">SUM(V5:V300)</f>
        <v>135</v>
      </c>
      <c r="W1" s="13" t="n">
        <f aca="false">SUM(W2:W300)</f>
        <v>606.75</v>
      </c>
      <c r="X1" s="13" t="n">
        <f aca="false">SUM(X5:X300)</f>
        <v>212</v>
      </c>
      <c r="Y1" s="13" t="n">
        <f aca="false">SUM(Y5:Y300)</f>
        <v>3000</v>
      </c>
      <c r="Z1" s="13" t="n">
        <f aca="false">SUM(Z5:Z300)</f>
        <v>300</v>
      </c>
      <c r="AA1" s="13" t="n">
        <f aca="false">SUM(AA5:AA300)</f>
        <v>0</v>
      </c>
      <c r="AB1" s="13" t="n">
        <f aca="false">SUM(AB5:AB300)</f>
        <v>36000</v>
      </c>
      <c r="AC1" s="40"/>
      <c r="AD1" s="13" t="n">
        <f aca="false">SUM(AD5:AD300)</f>
        <v>0</v>
      </c>
      <c r="AE1" s="41"/>
    </row>
    <row r="2" s="19" customFormat="true" ht="13.5" hidden="false" customHeight="true" outlineLevel="0" collapsed="false">
      <c r="A2" s="42" t="n">
        <f aca="false">G2+Sep!A2</f>
        <v>0</v>
      </c>
      <c r="B2" s="43" t="s">
        <v>22</v>
      </c>
      <c r="C2" s="42" t="n">
        <f aca="false">Sep!C2+D1+[1]Oct!$D$1</f>
        <v>0</v>
      </c>
      <c r="D2" s="44" t="s">
        <v>23</v>
      </c>
      <c r="E2" s="20" t="s">
        <v>5</v>
      </c>
      <c r="F2" s="43" t="str">
        <f aca="false">Sep!F2</f>
        <v>v</v>
      </c>
      <c r="G2" s="45" t="n">
        <f aca="false">IF(C2&lt;[2]Admin!$F$22,(C2-Sep!C2)*[2]Admin!$G$21,C2*[2]Admin!$G$21-(C2-[2]Admin!$F$21)*([2]Admin!$G$21-[2]Admin!$G$22)-Sep!A2)</f>
        <v>0</v>
      </c>
      <c r="H2" s="21" t="n">
        <f aca="false">IF([1]Oct!$H$4&gt;0,0,[1]Oct!$H$2)</f>
        <v>20</v>
      </c>
      <c r="I2" s="46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7" t="s">
        <v>27</v>
      </c>
      <c r="U2" s="10" t="s">
        <v>28</v>
      </c>
      <c r="V2" s="10" t="s">
        <v>29</v>
      </c>
      <c r="W2" s="48" t="n">
        <f aca="false">IF((F2="v"),I2," ")</f>
        <v>0</v>
      </c>
      <c r="X2" s="10" t="s">
        <v>30</v>
      </c>
      <c r="Y2" s="10" t="s">
        <v>31</v>
      </c>
      <c r="Z2" s="10" t="s">
        <v>32</v>
      </c>
      <c r="AA2" s="10" t="s">
        <v>33</v>
      </c>
      <c r="AB2" s="49" t="n">
        <f aca="false">AB1+Sep!AB2</f>
        <v>39000</v>
      </c>
      <c r="AC2" s="40"/>
      <c r="AD2" s="10" t="s">
        <v>34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4"/>
      <c r="E3" s="44"/>
      <c r="F3" s="20" t="s">
        <v>35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36</v>
      </c>
      <c r="Q3" s="20" t="s">
        <v>37</v>
      </c>
      <c r="R3" s="20" t="s">
        <v>38</v>
      </c>
      <c r="S3" s="10"/>
      <c r="T3" s="20" t="s">
        <v>39</v>
      </c>
      <c r="U3" s="10"/>
      <c r="V3" s="10"/>
      <c r="W3" s="49" t="s">
        <v>40</v>
      </c>
      <c r="X3" s="10"/>
      <c r="Y3" s="10"/>
      <c r="Z3" s="10"/>
      <c r="AA3" s="10"/>
      <c r="AB3" s="49" t="s">
        <v>41</v>
      </c>
      <c r="AC3" s="40"/>
      <c r="AD3" s="10" t="s">
        <v>42</v>
      </c>
      <c r="AE3" s="10"/>
    </row>
    <row r="4" s="26" customFormat="true" ht="12.75" hidden="false" customHeight="true" outlineLevel="0" collapsed="false">
      <c r="A4" s="9"/>
      <c r="B4" s="10"/>
      <c r="C4" s="11"/>
      <c r="D4" s="44"/>
      <c r="E4" s="44"/>
      <c r="F4" s="20"/>
      <c r="G4" s="10"/>
      <c r="H4" s="10"/>
      <c r="I4" s="10"/>
      <c r="J4" s="15"/>
      <c r="K4" s="16"/>
      <c r="L4" s="23"/>
      <c r="M4" s="23"/>
      <c r="N4" s="24"/>
      <c r="O4" s="15"/>
      <c r="P4" s="50" t="s">
        <v>43</v>
      </c>
      <c r="Q4" s="50" t="s">
        <v>44</v>
      </c>
      <c r="R4" s="50" t="s">
        <v>45</v>
      </c>
      <c r="S4" s="50" t="s">
        <v>46</v>
      </c>
      <c r="T4" s="50" t="s">
        <v>47</v>
      </c>
      <c r="U4" s="50" t="s">
        <v>48</v>
      </c>
      <c r="V4" s="50" t="s">
        <v>49</v>
      </c>
      <c r="W4" s="51" t="s">
        <v>50</v>
      </c>
      <c r="X4" s="50" t="s">
        <v>51</v>
      </c>
      <c r="Y4" s="50" t="s">
        <v>52</v>
      </c>
      <c r="Z4" s="50" t="s">
        <v>53</v>
      </c>
      <c r="AA4" s="50" t="s">
        <v>54</v>
      </c>
      <c r="AB4" s="50" t="s">
        <v>55</v>
      </c>
      <c r="AC4" s="40"/>
      <c r="AD4" s="10" t="s">
        <v>56</v>
      </c>
      <c r="AE4" s="10" t="s">
        <v>57</v>
      </c>
    </row>
    <row r="5" s="5" customFormat="true" ht="12" hidden="false" customHeight="false" outlineLevel="0" collapsed="false">
      <c r="A5" s="27" t="n">
        <v>45931</v>
      </c>
      <c r="B5" s="5" t="s">
        <v>13</v>
      </c>
      <c r="F5" s="5" t="s">
        <v>58</v>
      </c>
      <c r="G5" s="52" t="n">
        <v>1200</v>
      </c>
      <c r="I5" s="6" t="n">
        <f aca="false">IF((G5&lt;&gt;0),G5-H5," ")</f>
        <v>1200</v>
      </c>
      <c r="K5" s="6"/>
      <c r="L5" s="6"/>
      <c r="M5" s="7" t="n">
        <f aca="false">IF(G5&lt;&gt;0,G5-L5," ")</f>
        <v>1200</v>
      </c>
      <c r="N5" s="8" t="n">
        <f aca="false">IF((G5-L5)&lt;&gt;0,N$1-A5," ")</f>
        <v>199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52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 t="n">
        <v>45931</v>
      </c>
      <c r="B6" s="2" t="s">
        <v>59</v>
      </c>
      <c r="F6" s="5" t="s">
        <v>60</v>
      </c>
      <c r="G6" s="52" t="n">
        <v>30</v>
      </c>
      <c r="I6" s="6" t="n">
        <f aca="false">IF((G6&lt;&gt;0),G6-H6," ")</f>
        <v>30</v>
      </c>
      <c r="J6" s="5"/>
      <c r="M6" s="7" t="n">
        <f aca="false">IF(G6&lt;&gt;0,G6-L6," ")</f>
        <v>30</v>
      </c>
      <c r="N6" s="8" t="n">
        <f aca="false">IF((G6-L6)&lt;&gt;0,N$1-A6," ")</f>
        <v>199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30</v>
      </c>
      <c r="W6" s="52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 t="n">
        <v>45931</v>
      </c>
      <c r="B7" s="2" t="s">
        <v>61</v>
      </c>
      <c r="F7" s="5" t="s">
        <v>60</v>
      </c>
      <c r="G7" s="52" t="n">
        <v>15</v>
      </c>
      <c r="I7" s="6" t="n">
        <f aca="false">IF((G7&lt;&gt;0),G7-H7," ")</f>
        <v>15</v>
      </c>
      <c r="J7" s="5"/>
      <c r="M7" s="7" t="n">
        <f aca="false">IF(G7&lt;&gt;0,G7-L7," ")</f>
        <v>15</v>
      </c>
      <c r="N7" s="8" t="n">
        <f aca="false">IF((G7-L7)&lt;&gt;0,N$1-A7," ")</f>
        <v>199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15</v>
      </c>
      <c r="W7" s="52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 t="n">
        <v>45931</v>
      </c>
      <c r="B8" s="2" t="s">
        <v>62</v>
      </c>
      <c r="F8" s="5" t="s">
        <v>63</v>
      </c>
      <c r="G8" s="52" t="n">
        <v>45</v>
      </c>
      <c r="I8" s="6" t="n">
        <f aca="false">IF((G8&lt;&gt;0),G8-H8," ")</f>
        <v>45</v>
      </c>
      <c r="J8" s="5"/>
      <c r="M8" s="7" t="n">
        <f aca="false">IF(G8&lt;&gt;0,G8-L8," ")</f>
        <v>45</v>
      </c>
      <c r="N8" s="8" t="n">
        <f aca="false">IF((G8-L8)&lt;&gt;0,N$1-A8," ")</f>
        <v>199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45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52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 t="n">
        <v>45931</v>
      </c>
      <c r="B9" s="2" t="s">
        <v>126</v>
      </c>
      <c r="F9" s="5" t="s">
        <v>65</v>
      </c>
      <c r="G9" s="52" t="n">
        <v>360</v>
      </c>
      <c r="I9" s="6" t="n">
        <f aca="false">IF((G9&lt;&gt;0),G9-H9," ")</f>
        <v>360</v>
      </c>
      <c r="J9" s="5"/>
      <c r="M9" s="7" t="n">
        <f aca="false">IF(G9&lt;&gt;0,G9-L9," ")</f>
        <v>360</v>
      </c>
      <c r="N9" s="8" t="n">
        <f aca="false">IF((G9-L9)&lt;&gt;0,N$1-A9," ")</f>
        <v>199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52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 t="n">
        <v>45931</v>
      </c>
      <c r="B10" s="2" t="s">
        <v>66</v>
      </c>
      <c r="F10" s="5" t="s">
        <v>63</v>
      </c>
      <c r="G10" s="52" t="n">
        <v>24</v>
      </c>
      <c r="I10" s="6" t="n">
        <f aca="false">IF((G10&lt;&gt;0),G10-H10," ")</f>
        <v>24</v>
      </c>
      <c r="J10" s="5"/>
      <c r="M10" s="7" t="n">
        <f aca="false">IF(G10&lt;&gt;0,G10-L10," ")</f>
        <v>24</v>
      </c>
      <c r="N10" s="8" t="n">
        <f aca="false">IF((G10-L10)&lt;&gt;0,N$1-A10," ")</f>
        <v>199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n">
        <f aca="false">IF((F10="o"),I10," ")</f>
        <v>24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52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 t="n">
        <v>45931</v>
      </c>
      <c r="B11" s="2" t="s">
        <v>67</v>
      </c>
      <c r="F11" s="5" t="s">
        <v>60</v>
      </c>
      <c r="G11" s="52" t="n">
        <v>18</v>
      </c>
      <c r="I11" s="6" t="n">
        <f aca="false">IF((G11&lt;&gt;0),G11-H11," ")</f>
        <v>18</v>
      </c>
      <c r="J11" s="5"/>
      <c r="M11" s="7" t="n">
        <f aca="false">IF(G11&lt;&gt;0,G11-L11," ")</f>
        <v>18</v>
      </c>
      <c r="N11" s="8" t="n">
        <f aca="false">IF((G11-L11)&lt;&gt;0,N$1-A11," ")</f>
        <v>199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n">
        <f aca="false">IF((F11="g"),I11," ")</f>
        <v>18</v>
      </c>
      <c r="W11" s="52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 t="n">
        <v>45933</v>
      </c>
      <c r="B12" s="2" t="s">
        <v>68</v>
      </c>
      <c r="F12" s="5" t="s">
        <v>63</v>
      </c>
      <c r="G12" s="52" t="n">
        <v>180</v>
      </c>
      <c r="I12" s="6" t="n">
        <f aca="false">IF((G12&lt;&gt;0),G12-H12," ")</f>
        <v>180</v>
      </c>
      <c r="J12" s="5"/>
      <c r="M12" s="7" t="n">
        <f aca="false">IF(G12&lt;&gt;0,G12-L12," ")</f>
        <v>180</v>
      </c>
      <c r="N12" s="8" t="n">
        <f aca="false">IF((G12-L12)&lt;&gt;0,N$1-A12," ")</f>
        <v>197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n">
        <f aca="false">IF((F12="o"),I12," ")</f>
        <v>180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52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 t="n">
        <v>45933</v>
      </c>
      <c r="B13" s="2" t="s">
        <v>69</v>
      </c>
      <c r="F13" s="5" t="s">
        <v>70</v>
      </c>
      <c r="G13" s="52" t="n">
        <v>22</v>
      </c>
      <c r="I13" s="6" t="n">
        <f aca="false">IF((G13&lt;&gt;0),G13-H13," ")</f>
        <v>22</v>
      </c>
      <c r="J13" s="5"/>
      <c r="M13" s="7" t="n">
        <f aca="false">IF(G13&lt;&gt;0,G13-L13," ")</f>
        <v>22</v>
      </c>
      <c r="N13" s="8" t="n">
        <f aca="false">IF((G13-L13)&lt;&gt;0,N$1-A13," ")</f>
        <v>197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52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 t="n">
        <v>45935</v>
      </c>
      <c r="B14" s="2" t="s">
        <v>71</v>
      </c>
      <c r="F14" s="5" t="s">
        <v>70</v>
      </c>
      <c r="G14" s="52" t="n">
        <v>24</v>
      </c>
      <c r="I14" s="6" t="n">
        <f aca="false">IF((G14&lt;&gt;0),G14-H14," ")</f>
        <v>24</v>
      </c>
      <c r="J14" s="5"/>
      <c r="M14" s="7" t="n">
        <f aca="false">IF(G14&lt;&gt;0,G14-L14," ")</f>
        <v>24</v>
      </c>
      <c r="N14" s="8" t="n">
        <f aca="false">IF((G14-L14)&lt;&gt;0,N$1-A14," ")</f>
        <v>195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52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 t="n">
        <v>45935</v>
      </c>
      <c r="B15" s="2" t="s">
        <v>72</v>
      </c>
      <c r="F15" s="5" t="s">
        <v>24</v>
      </c>
      <c r="G15" s="52" t="n">
        <v>180</v>
      </c>
      <c r="I15" s="6" t="n">
        <f aca="false">IF((G15&lt;&gt;0),G15-H15," ")</f>
        <v>180</v>
      </c>
      <c r="J15" s="5"/>
      <c r="M15" s="7" t="n">
        <f aca="false">IF(G15&lt;&gt;0,G15-L15," ")</f>
        <v>180</v>
      </c>
      <c r="N15" s="8" t="n">
        <f aca="false">IF((G15-L15)&lt;&gt;0,N$1-A15," ")</f>
        <v>195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52" t="n">
        <f aca="false">IF((F15="v"),I15," ")</f>
        <v>180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 t="n">
        <v>45935</v>
      </c>
      <c r="B16" s="2" t="s">
        <v>73</v>
      </c>
      <c r="F16" s="5" t="s">
        <v>63</v>
      </c>
      <c r="G16" s="52" t="n">
        <v>36</v>
      </c>
      <c r="I16" s="6" t="n">
        <f aca="false">IF((G16&lt;&gt;0),G16-H16," ")</f>
        <v>36</v>
      </c>
      <c r="J16" s="5"/>
      <c r="M16" s="7" t="n">
        <f aca="false">IF(G16&lt;&gt;0,G16-L16," ")</f>
        <v>36</v>
      </c>
      <c r="N16" s="8" t="n">
        <f aca="false">IF((G16-L16)&lt;&gt;0,N$1-A16," ")</f>
        <v>195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n">
        <f aca="false">IF((F16="o"),I16," ")</f>
        <v>36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52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 t="n">
        <v>45938</v>
      </c>
      <c r="B17" s="2" t="s">
        <v>74</v>
      </c>
      <c r="F17" s="5" t="s">
        <v>75</v>
      </c>
      <c r="G17" s="52" t="n">
        <v>48</v>
      </c>
      <c r="I17" s="6" t="n">
        <f aca="false">IF((G17&lt;&gt;0),G17-H17," ")</f>
        <v>48</v>
      </c>
      <c r="J17" s="5"/>
      <c r="M17" s="7" t="n">
        <f aca="false">IF(G17&lt;&gt;0,G17-L17," ")</f>
        <v>48</v>
      </c>
      <c r="N17" s="8" t="n">
        <f aca="false">IF((G17-L17)&lt;&gt;0,N$1-A17," ")</f>
        <v>192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52" t="str">
        <f aca="false">IF((F17="v"),I17," ")</f>
        <v> </v>
      </c>
      <c r="X17" s="19" t="n">
        <f aca="false">IF((F17="h"),I17," ")</f>
        <v>48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 t="n">
        <v>45940</v>
      </c>
      <c r="B18" s="2" t="s">
        <v>76</v>
      </c>
      <c r="F18" s="5" t="s">
        <v>70</v>
      </c>
      <c r="G18" s="52" t="n">
        <v>36</v>
      </c>
      <c r="I18" s="6" t="n">
        <f aca="false">IF((G18&lt;&gt;0),G18-H18," ")</f>
        <v>36</v>
      </c>
      <c r="J18" s="5"/>
      <c r="M18" s="7" t="n">
        <f aca="false">IF(G18&lt;&gt;0,G18-L18," ")</f>
        <v>36</v>
      </c>
      <c r="N18" s="8" t="n">
        <f aca="false">IF((G18-L18)&lt;&gt;0,N$1-A18," ")</f>
        <v>190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52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 t="n">
        <v>45940</v>
      </c>
      <c r="B19" s="2" t="s">
        <v>77</v>
      </c>
      <c r="F19" s="5" t="s">
        <v>78</v>
      </c>
      <c r="G19" s="52" t="n">
        <v>180</v>
      </c>
      <c r="I19" s="6" t="n">
        <f aca="false">IF((G19&lt;&gt;0),G19-H19," ")</f>
        <v>180</v>
      </c>
      <c r="J19" s="5"/>
      <c r="M19" s="7" t="n">
        <f aca="false">IF(G19&lt;&gt;0,G19-L19," ")</f>
        <v>180</v>
      </c>
      <c r="N19" s="8" t="n">
        <f aca="false">IF((G19-L19)&lt;&gt;0,N$1-A19," ")</f>
        <v>190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52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 t="n">
        <v>45940</v>
      </c>
      <c r="B20" s="2" t="s">
        <v>79</v>
      </c>
      <c r="F20" s="5" t="s">
        <v>80</v>
      </c>
      <c r="G20" s="52" t="n">
        <v>480</v>
      </c>
      <c r="I20" s="6" t="n">
        <f aca="false">IF((G20&lt;&gt;0),G20-H20," ")</f>
        <v>480</v>
      </c>
      <c r="J20" s="5"/>
      <c r="M20" s="7" t="n">
        <f aca="false">IF(G20&lt;&gt;0,G20-L20," ")</f>
        <v>480</v>
      </c>
      <c r="N20" s="8" t="n">
        <f aca="false">IF((G20-L20)&lt;&gt;0,N$1-A20," ")</f>
        <v>190</v>
      </c>
      <c r="O20" s="5"/>
      <c r="P20" s="19" t="n">
        <f aca="false">IF((F20="s"),I20," ")</f>
        <v>480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52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 t="n">
        <v>45940</v>
      </c>
      <c r="B21" s="2" t="s">
        <v>98</v>
      </c>
      <c r="F21" s="5" t="s">
        <v>99</v>
      </c>
      <c r="G21" s="52" t="n">
        <v>1800</v>
      </c>
      <c r="I21" s="6" t="n">
        <f aca="false">IF((G21&lt;&gt;0),G21-H21," ")</f>
        <v>1800</v>
      </c>
      <c r="J21" s="5"/>
      <c r="M21" s="7" t="n">
        <f aca="false">IF(G21&lt;&gt;0,G21-L21," ")</f>
        <v>1800</v>
      </c>
      <c r="N21" s="8" t="n">
        <f aca="false">IF((G21-L21)&lt;&gt;0,N$1-A21," ")</f>
        <v>190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52" t="str">
        <f aca="false">IF((F21="v"),I21," ")</f>
        <v> </v>
      </c>
      <c r="X21" s="19" t="str">
        <f aca="false">IF((F21="h"),I21," ")</f>
        <v> </v>
      </c>
      <c r="Y21" s="19" t="n">
        <f aca="false">IF((F21="a"),I21," ")</f>
        <v>1800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 t="n">
        <v>45942</v>
      </c>
      <c r="B22" s="2" t="s">
        <v>81</v>
      </c>
      <c r="F22" s="5" t="s">
        <v>24</v>
      </c>
      <c r="G22" s="52" t="n">
        <v>18</v>
      </c>
      <c r="I22" s="6" t="n">
        <f aca="false">IF((G22&lt;&gt;0),G22-H22," ")</f>
        <v>18</v>
      </c>
      <c r="J22" s="5"/>
      <c r="M22" s="7" t="n">
        <f aca="false">IF(G22&lt;&gt;0,G22-L22," ")</f>
        <v>18</v>
      </c>
      <c r="N22" s="8" t="n">
        <f aca="false">IF((G22-L22)&lt;&gt;0,N$1-A22," ")</f>
        <v>188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52" t="n">
        <f aca="false">IF((F22="v"),I22," ")</f>
        <v>18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 t="n">
        <v>45944</v>
      </c>
      <c r="B23" s="2" t="s">
        <v>82</v>
      </c>
      <c r="F23" s="5" t="s">
        <v>70</v>
      </c>
      <c r="G23" s="52" t="n">
        <v>36</v>
      </c>
      <c r="I23" s="6" t="n">
        <f aca="false">IF((G23&lt;&gt;0),G23-H23," ")</f>
        <v>36</v>
      </c>
      <c r="J23" s="5"/>
      <c r="M23" s="7" t="n">
        <f aca="false">IF(G23&lt;&gt;0,G23-L23," ")</f>
        <v>36</v>
      </c>
      <c r="N23" s="8" t="n">
        <f aca="false">IF((G23-L23)&lt;&gt;0,N$1-A23," ")</f>
        <v>186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52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 t="n">
        <v>45944</v>
      </c>
      <c r="B24" s="2" t="s">
        <v>83</v>
      </c>
      <c r="F24" s="5" t="s">
        <v>75</v>
      </c>
      <c r="G24" s="52" t="n">
        <v>24</v>
      </c>
      <c r="I24" s="6" t="n">
        <f aca="false">IF((G24&lt;&gt;0),G24-H24," ")</f>
        <v>24</v>
      </c>
      <c r="J24" s="5"/>
      <c r="M24" s="7" t="n">
        <f aca="false">IF(G24&lt;&gt;0,G24-L24," ")</f>
        <v>24</v>
      </c>
      <c r="N24" s="8" t="n">
        <f aca="false">IF((G24-L24)&lt;&gt;0,N$1-A24," ")</f>
        <v>186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52" t="str">
        <f aca="false">IF((F24="v"),I24," ")</f>
        <v> </v>
      </c>
      <c r="X24" s="19" t="n">
        <f aca="false">IF((F24="h"),I24," ")</f>
        <v>24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 t="n">
        <v>45944</v>
      </c>
      <c r="B25" s="2" t="s">
        <v>84</v>
      </c>
      <c r="F25" s="5" t="s">
        <v>75</v>
      </c>
      <c r="G25" s="52" t="n">
        <v>12</v>
      </c>
      <c r="I25" s="6" t="n">
        <f aca="false">IF((G25&lt;&gt;0),G25-H25," ")</f>
        <v>12</v>
      </c>
      <c r="J25" s="5"/>
      <c r="M25" s="7" t="n">
        <f aca="false">IF(G25&lt;&gt;0,G25-L25," ")</f>
        <v>12</v>
      </c>
      <c r="N25" s="8" t="n">
        <f aca="false">IF((G25-L25)&lt;&gt;0,N$1-A25," ")</f>
        <v>186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52" t="str">
        <f aca="false">IF((F25="v"),I25," ")</f>
        <v> </v>
      </c>
      <c r="X25" s="19" t="n">
        <f aca="false">IF((F25="h"),I25," ")</f>
        <v>12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 t="n">
        <v>45945</v>
      </c>
      <c r="B26" s="2" t="s">
        <v>19</v>
      </c>
      <c r="F26" s="5" t="s">
        <v>24</v>
      </c>
      <c r="G26" s="52" t="n">
        <v>150</v>
      </c>
      <c r="I26" s="6" t="n">
        <f aca="false">IF((G26&lt;&gt;0),G26-H26," ")</f>
        <v>150</v>
      </c>
      <c r="J26" s="5"/>
      <c r="M26" s="7" t="n">
        <f aca="false">IF(G26&lt;&gt;0,G26-L26," ")</f>
        <v>150</v>
      </c>
      <c r="N26" s="8" t="n">
        <f aca="false">IF((G26-L26)&lt;&gt;0,N$1-A26," ")</f>
        <v>185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52" t="n">
        <f aca="false">IF((F26="v"),I26," ")</f>
        <v>150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 t="n">
        <v>45945</v>
      </c>
      <c r="B27" s="2" t="s">
        <v>85</v>
      </c>
      <c r="F27" s="5" t="s">
        <v>60</v>
      </c>
      <c r="G27" s="52" t="n">
        <v>12</v>
      </c>
      <c r="I27" s="6" t="n">
        <f aca="false">IF((G27&lt;&gt;0),G27-H27," ")</f>
        <v>12</v>
      </c>
      <c r="J27" s="5"/>
      <c r="M27" s="7" t="n">
        <f aca="false">IF(G27&lt;&gt;0,G27-L27," ")</f>
        <v>12</v>
      </c>
      <c r="N27" s="8" t="n">
        <f aca="false">IF((G27-L27)&lt;&gt;0,N$1-A27," ")</f>
        <v>185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n">
        <f aca="false">IF((F27="g"),I27," ")</f>
        <v>12</v>
      </c>
      <c r="W27" s="52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 t="n">
        <v>45945</v>
      </c>
      <c r="B28" s="2" t="s">
        <v>127</v>
      </c>
      <c r="F28" s="5" t="s">
        <v>99</v>
      </c>
      <c r="G28" s="52" t="n">
        <v>1200</v>
      </c>
      <c r="I28" s="6" t="n">
        <f aca="false">IF((G28&lt;&gt;0),G28-H28," ")</f>
        <v>1200</v>
      </c>
      <c r="J28" s="5"/>
      <c r="M28" s="7" t="n">
        <f aca="false">IF(G28&lt;&gt;0,G28-L28," ")</f>
        <v>1200</v>
      </c>
      <c r="N28" s="8" t="n">
        <f aca="false">IF((G28-L28)&lt;&gt;0,N$1-A28," ")</f>
        <v>185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52" t="str">
        <f aca="false">IF((F28="v"),I28," ")</f>
        <v> </v>
      </c>
      <c r="X28" s="19" t="str">
        <f aca="false">IF((F28="h"),I28," ")</f>
        <v> </v>
      </c>
      <c r="Y28" s="19" t="n">
        <f aca="false">IF((F28="a"),I28," ")</f>
        <v>1200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 t="n">
        <v>45948</v>
      </c>
      <c r="B29" s="2" t="s">
        <v>111</v>
      </c>
      <c r="F29" s="5" t="s">
        <v>75</v>
      </c>
      <c r="G29" s="52" t="n">
        <v>120</v>
      </c>
      <c r="I29" s="6" t="n">
        <f aca="false">IF((G29&lt;&gt;0),G29-H29," ")</f>
        <v>120</v>
      </c>
      <c r="J29" s="5"/>
      <c r="M29" s="7" t="n">
        <f aca="false">IF(G29&lt;&gt;0,G29-L29," ")</f>
        <v>120</v>
      </c>
      <c r="N29" s="8" t="n">
        <f aca="false">IF((G29-L29)&lt;&gt;0,N$1-A29," ")</f>
        <v>182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52" t="str">
        <f aca="false">IF((F29="v"),I29," ")</f>
        <v> </v>
      </c>
      <c r="X29" s="19" t="n">
        <f aca="false">IF((F29="h"),I29," ")</f>
        <v>120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 t="n">
        <v>45948</v>
      </c>
      <c r="B30" s="2" t="s">
        <v>86</v>
      </c>
      <c r="F30" s="5" t="s">
        <v>24</v>
      </c>
      <c r="G30" s="52" t="n">
        <v>96</v>
      </c>
      <c r="I30" s="6" t="n">
        <f aca="false">IF((G30&lt;&gt;0),G30-H30," ")</f>
        <v>96</v>
      </c>
      <c r="J30" s="5"/>
      <c r="M30" s="7" t="n">
        <f aca="false">IF(G30&lt;&gt;0,G30-L30," ")</f>
        <v>96</v>
      </c>
      <c r="N30" s="8" t="n">
        <f aca="false">IF((G30-L30)&lt;&gt;0,N$1-A30," ")</f>
        <v>182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52" t="n">
        <f aca="false">IF((F30="v"),I30," ")</f>
        <v>96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 t="n">
        <v>45950</v>
      </c>
      <c r="B31" s="2" t="s">
        <v>87</v>
      </c>
      <c r="F31" s="5" t="s">
        <v>60</v>
      </c>
      <c r="G31" s="52" t="n">
        <v>60</v>
      </c>
      <c r="I31" s="6" t="n">
        <f aca="false">IF((G31&lt;&gt;0),G31-H31," ")</f>
        <v>60</v>
      </c>
      <c r="J31" s="5"/>
      <c r="M31" s="7" t="n">
        <f aca="false">IF(G31&lt;&gt;0,G31-L31," ")</f>
        <v>60</v>
      </c>
      <c r="N31" s="8" t="n">
        <f aca="false">IF((G31-L31)&lt;&gt;0,N$1-A31," ")</f>
        <v>180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n">
        <f aca="false">IF((F31="g"),I31," ")</f>
        <v>60</v>
      </c>
      <c r="W31" s="52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 t="n">
        <v>45950</v>
      </c>
      <c r="B32" s="2" t="s">
        <v>88</v>
      </c>
      <c r="F32" s="5" t="s">
        <v>89</v>
      </c>
      <c r="G32" s="52" t="n">
        <v>96</v>
      </c>
      <c r="I32" s="6" t="n">
        <f aca="false">IF((G32&lt;&gt;0),G32-H32," ")</f>
        <v>96</v>
      </c>
      <c r="J32" s="5"/>
      <c r="M32" s="7" t="n">
        <f aca="false">IF(G32&lt;&gt;0,G32-L32," ")</f>
        <v>96</v>
      </c>
      <c r="N32" s="8" t="n">
        <f aca="false">IF((G32-L32)&lt;&gt;0,N$1-A32," ")</f>
        <v>180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n">
        <f aca="false">IF((F32="m"),I32," ")</f>
        <v>96</v>
      </c>
      <c r="V32" s="19" t="str">
        <f aca="false">IF((F32="g"),I32," ")</f>
        <v> </v>
      </c>
      <c r="W32" s="52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 t="n">
        <v>45951</v>
      </c>
      <c r="B33" s="2" t="s">
        <v>90</v>
      </c>
      <c r="F33" s="5" t="s">
        <v>75</v>
      </c>
      <c r="G33" s="52" t="n">
        <v>8</v>
      </c>
      <c r="I33" s="6" t="n">
        <f aca="false">IF((G33&lt;&gt;0),G33-H33," ")</f>
        <v>8</v>
      </c>
      <c r="J33" s="5"/>
      <c r="M33" s="7" t="n">
        <f aca="false">IF(G33&lt;&gt;0,G33-L33," ")</f>
        <v>8</v>
      </c>
      <c r="N33" s="8" t="n">
        <f aca="false">IF((G33-L33)&lt;&gt;0,N$1-A33," ")</f>
        <v>179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52" t="str">
        <f aca="false">IF((F33="v"),I33," ")</f>
        <v> </v>
      </c>
      <c r="X33" s="19" t="n">
        <f aca="false">IF((F33="h"),I33," ")</f>
        <v>8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 t="n">
        <v>45952</v>
      </c>
      <c r="B34" s="2" t="s">
        <v>91</v>
      </c>
      <c r="F34" s="5" t="s">
        <v>70</v>
      </c>
      <c r="G34" s="52" t="n">
        <v>18</v>
      </c>
      <c r="I34" s="6" t="n">
        <f aca="false">IF((G34&lt;&gt;0),G34-H34," ")</f>
        <v>18</v>
      </c>
      <c r="J34" s="5"/>
      <c r="M34" s="7" t="n">
        <f aca="false">IF(G34&lt;&gt;0,G34-L34," ")</f>
        <v>18</v>
      </c>
      <c r="N34" s="8" t="n">
        <f aca="false">IF((G34-L34)&lt;&gt;0,N$1-A34," ")</f>
        <v>178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52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 t="n">
        <v>45955</v>
      </c>
      <c r="B35" s="2" t="s">
        <v>92</v>
      </c>
      <c r="F35" s="5" t="s">
        <v>70</v>
      </c>
      <c r="G35" s="52" t="n">
        <v>15</v>
      </c>
      <c r="I35" s="6" t="n">
        <f aca="false">IF((G35&lt;&gt;0),G35-H35," ")</f>
        <v>15</v>
      </c>
      <c r="J35" s="5"/>
      <c r="M35" s="7" t="n">
        <f aca="false">IF(G35&lt;&gt;0,G35-L35," ")</f>
        <v>15</v>
      </c>
      <c r="N35" s="8" t="n">
        <f aca="false">IF((G35-L35)&lt;&gt;0,N$1-A35," ")</f>
        <v>175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52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 t="n">
        <v>45955</v>
      </c>
      <c r="B36" s="2" t="s">
        <v>93</v>
      </c>
      <c r="F36" s="5" t="s">
        <v>24</v>
      </c>
      <c r="G36" s="52" t="n">
        <v>42.75</v>
      </c>
      <c r="I36" s="6" t="n">
        <f aca="false">IF((G36&lt;&gt;0),G36-H36," ")</f>
        <v>42.75</v>
      </c>
      <c r="J36" s="5"/>
      <c r="M36" s="7" t="n">
        <f aca="false">IF(G36&lt;&gt;0,G36-L36," ")</f>
        <v>42.75</v>
      </c>
      <c r="N36" s="8" t="n">
        <f aca="false">IF((G36-L36)&lt;&gt;0,N$1-A36," ")</f>
        <v>175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52" t="n">
        <f aca="false">IF((F36="v"),I36," ")</f>
        <v>42.75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 t="n">
        <v>45955</v>
      </c>
      <c r="B37" s="2" t="s">
        <v>128</v>
      </c>
      <c r="F37" s="5" t="s">
        <v>102</v>
      </c>
      <c r="G37" s="52" t="n">
        <v>36000</v>
      </c>
      <c r="I37" s="6" t="n">
        <f aca="false">IF((G37&lt;&gt;0),G37-H37," ")</f>
        <v>36000</v>
      </c>
      <c r="J37" s="5"/>
      <c r="M37" s="7" t="n">
        <f aca="false">IF(G37&lt;&gt;0,G37-L37," ")</f>
        <v>36000</v>
      </c>
      <c r="N37" s="8" t="n">
        <f aca="false">IF((G37-L37)&lt;&gt;0,N$1-A37," ")</f>
        <v>175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52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n">
        <f aca="false">IF((F37="fa"),I37," ")</f>
        <v>36000</v>
      </c>
    </row>
    <row r="38" customFormat="false" ht="12" hidden="false" customHeight="false" outlineLevel="0" collapsed="false">
      <c r="A38" s="27" t="n">
        <v>45958</v>
      </c>
      <c r="B38" s="2" t="s">
        <v>19</v>
      </c>
      <c r="F38" s="5" t="s">
        <v>24</v>
      </c>
      <c r="G38" s="52" t="n">
        <v>120</v>
      </c>
      <c r="I38" s="6" t="n">
        <f aca="false">IF((G38&lt;&gt;0),G38-H38," ")</f>
        <v>120</v>
      </c>
      <c r="J38" s="5"/>
      <c r="M38" s="7" t="n">
        <f aca="false">IF(G38&lt;&gt;0,G38-L38," ")</f>
        <v>120</v>
      </c>
      <c r="N38" s="8" t="n">
        <f aca="false">IF((G38-L38)&lt;&gt;0,N$1-A38," ")</f>
        <v>172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52" t="n">
        <f aca="false">IF((F38="v"),I38," ")</f>
        <v>120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 t="n">
        <v>45961</v>
      </c>
      <c r="B39" s="2" t="s">
        <v>15</v>
      </c>
      <c r="F39" s="5" t="s">
        <v>94</v>
      </c>
      <c r="G39" s="52" t="n">
        <v>300</v>
      </c>
      <c r="I39" s="6" t="n">
        <f aca="false">IF((G39&lt;&gt;0),G39-H39," ")</f>
        <v>300</v>
      </c>
      <c r="J39" s="5"/>
      <c r="M39" s="7" t="n">
        <f aca="false">IF(G39&lt;&gt;0,G39-L39," ")</f>
        <v>300</v>
      </c>
      <c r="N39" s="8" t="n">
        <f aca="false">IF((G39-L39)&lt;&gt;0,N$1-A39," ")</f>
        <v>169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52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n">
        <f aca="false">IF((F39="l"),I39," ")</f>
        <v>300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52"/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52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52"/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52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52"/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52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52"/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52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52"/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52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52"/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52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52"/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52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52"/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52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52"/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52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52"/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52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52"/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52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52"/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52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52"/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52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52"/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52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52"/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52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52"/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52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52"/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52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52"/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52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52"/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52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52"/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52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52"/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52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52"/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52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52"/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52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52"/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52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52"/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52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52"/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52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52"/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52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52"/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52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52"/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52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52"/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52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52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52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52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52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52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52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52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52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52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52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52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52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52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52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52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52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52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52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52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52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52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52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52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52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52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52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52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52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52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52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52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52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52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52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52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52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52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52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52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52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52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52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52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52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52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52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52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52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52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52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52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52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52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52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52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52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52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52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52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52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52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52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52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52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52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52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52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52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52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52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52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52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52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52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52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52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52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52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52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52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52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52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52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52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52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52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52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52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52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52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52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52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52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52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52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52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52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52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52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52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52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52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52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52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52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52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52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52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52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52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52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52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52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52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52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52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52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52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52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52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52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52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52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52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52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52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52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52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52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52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52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52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52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52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52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52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52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52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52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52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52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52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52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52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52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52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52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52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52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52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52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52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52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52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52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52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52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52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52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52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52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52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52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52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52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52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52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52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52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52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52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52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52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52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52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52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52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52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52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52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52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52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52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52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52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52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52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52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52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52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52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52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52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52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52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52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52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52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52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52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52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52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52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52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52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52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52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52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52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52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52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52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52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52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52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52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52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52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52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52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52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52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52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52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52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52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52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52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52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52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52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52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52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52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52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52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52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52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52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52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52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52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52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52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52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52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52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52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52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52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52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52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52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52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52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52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52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52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52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52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52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52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52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52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52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52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52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52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52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52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52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52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52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52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52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52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52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52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52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52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52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52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52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52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52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52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52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52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52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52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52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52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52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52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52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52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52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52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52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52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52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52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52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52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52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52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52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52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52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52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52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52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52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52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52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52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52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52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52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52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52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52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52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52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52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52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52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52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52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52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52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52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52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52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52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52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52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52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52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52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52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52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52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52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52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52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52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52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52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52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52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52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52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52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52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52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52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52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52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52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52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52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52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52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52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52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52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52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52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52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52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52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52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52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52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52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52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52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52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52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52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52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52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52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52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52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52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52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52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52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52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52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52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52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52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52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52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52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52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52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52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52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52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52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52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52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52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52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52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52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52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52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52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52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52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52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52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52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52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52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52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52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52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52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52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52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52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52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52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52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52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52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52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52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52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52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52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52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52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52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52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52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52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52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52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52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52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52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52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52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52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52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52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52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52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52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52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52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52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52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0"/>
      <c r="B300" s="31"/>
      <c r="C300" s="32"/>
      <c r="D300" s="33"/>
      <c r="E300" s="31"/>
      <c r="F300" s="53" t="str">
        <f aca="false">IF((G300&lt;&gt;0),"Enter Letter"," ")</f>
        <v> </v>
      </c>
      <c r="G300" s="54"/>
      <c r="H300" s="34" t="str">
        <f aca="false">IF(G300&lt;&gt;0,G300*H$2/(100+H$2)," ")</f>
        <v> </v>
      </c>
      <c r="I300" s="34" t="str">
        <f aca="false">IF((G300&lt;&gt;0),G300-H300," ")</f>
        <v> </v>
      </c>
      <c r="J300" s="55"/>
      <c r="K300" s="34"/>
      <c r="L300" s="34"/>
      <c r="M300" s="35" t="str">
        <f aca="false">IF(G300&lt;&gt;0,G300-L300," ")</f>
        <v> </v>
      </c>
      <c r="N300" s="36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7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8" t="n">
        <f aca="false">G1-H1-SUM(P1:AB1)</f>
        <v>1555</v>
      </c>
      <c r="B1" s="39" t="s">
        <v>21</v>
      </c>
      <c r="C1" s="39"/>
      <c r="D1" s="12" t="n">
        <f aca="false">SUM(D5:D300)</f>
        <v>0</v>
      </c>
      <c r="E1" s="13" t="s">
        <v>3</v>
      </c>
      <c r="F1" s="14"/>
      <c r="G1" s="13" t="n">
        <f aca="false">SUM(G2:G300)</f>
        <v>6918</v>
      </c>
      <c r="H1" s="13" t="n">
        <f aca="false">SUM(H5:H200)</f>
        <v>0</v>
      </c>
      <c r="I1" s="13" t="n">
        <f aca="false">SUM(I2:I200)</f>
        <v>6918</v>
      </c>
      <c r="J1" s="15"/>
      <c r="K1" s="16" t="s">
        <v>4</v>
      </c>
      <c r="L1" s="17" t="n">
        <f aca="false">SUM(L5:L300)</f>
        <v>0</v>
      </c>
      <c r="M1" s="17" t="n">
        <f aca="false">SUM(M5:M200)</f>
        <v>6918</v>
      </c>
      <c r="N1" s="18" t="n">
        <f aca="true">TODAY()</f>
        <v>46130</v>
      </c>
      <c r="O1" s="15"/>
      <c r="P1" s="13" t="n">
        <f aca="false">SUM(P5:P300)</f>
        <v>840</v>
      </c>
      <c r="Q1" s="13" t="n">
        <f aca="false">SUM(Q5:Q300)</f>
        <v>3000</v>
      </c>
      <c r="R1" s="13" t="n">
        <f aca="false">SUM(R5:R300)</f>
        <v>249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165</v>
      </c>
      <c r="W1" s="13" t="n">
        <f aca="false">SUM(W2:W300)</f>
        <v>645</v>
      </c>
      <c r="X1" s="13" t="n">
        <f aca="false">SUM(X5:X300)</f>
        <v>164</v>
      </c>
      <c r="Y1" s="13" t="n">
        <f aca="false">SUM(Y5:Y300)</f>
        <v>0</v>
      </c>
      <c r="Z1" s="13" t="n">
        <f aca="false">SUM(Z5:Z300)</f>
        <v>300</v>
      </c>
      <c r="AA1" s="13" t="n">
        <f aca="false">SUM(AA5:AA300)</f>
        <v>0</v>
      </c>
      <c r="AB1" s="13" t="n">
        <f aca="false">SUM(AB5:AB300)</f>
        <v>0</v>
      </c>
      <c r="AC1" s="40"/>
      <c r="AD1" s="13" t="n">
        <f aca="false">SUM(AD5:AD300)</f>
        <v>0</v>
      </c>
      <c r="AE1" s="41"/>
    </row>
    <row r="2" s="19" customFormat="true" ht="13.5" hidden="false" customHeight="true" outlineLevel="0" collapsed="false">
      <c r="A2" s="42" t="n">
        <f aca="false">G2+Oct!A2</f>
        <v>0</v>
      </c>
      <c r="B2" s="43" t="s">
        <v>22</v>
      </c>
      <c r="C2" s="42" t="n">
        <f aca="false">Oct!C2+D1+[1]Nov!$D$1</f>
        <v>0</v>
      </c>
      <c r="D2" s="44" t="s">
        <v>23</v>
      </c>
      <c r="E2" s="20" t="s">
        <v>5</v>
      </c>
      <c r="F2" s="43" t="str">
        <f aca="false">Oct!F2</f>
        <v>v</v>
      </c>
      <c r="G2" s="45" t="n">
        <f aca="false">IF(C2&lt;[2]Admin!$F$22,(C2-Oct!C2)*[2]Admin!$G$21,C2*[2]Admin!$G$21-(C2-[2]Admin!$F$21)*([2]Admin!$G$21-[2]Admin!$G$22)-Oct!A2)</f>
        <v>0</v>
      </c>
      <c r="H2" s="21" t="n">
        <f aca="false">IF([1]Nov!$H$4&gt;0,0,[1]Nov!$H$2)</f>
        <v>20</v>
      </c>
      <c r="I2" s="46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7" t="s">
        <v>27</v>
      </c>
      <c r="U2" s="10" t="s">
        <v>28</v>
      </c>
      <c r="V2" s="10" t="s">
        <v>29</v>
      </c>
      <c r="W2" s="48" t="n">
        <f aca="false">IF((F2="v"),I2," ")</f>
        <v>0</v>
      </c>
      <c r="X2" s="10" t="s">
        <v>30</v>
      </c>
      <c r="Y2" s="10" t="s">
        <v>31</v>
      </c>
      <c r="Z2" s="10" t="s">
        <v>32</v>
      </c>
      <c r="AA2" s="10" t="s">
        <v>33</v>
      </c>
      <c r="AB2" s="49" t="n">
        <f aca="false">AB1+Oct!AB2</f>
        <v>39000</v>
      </c>
      <c r="AC2" s="40"/>
      <c r="AD2" s="10" t="s">
        <v>34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4"/>
      <c r="E3" s="44"/>
      <c r="F3" s="20" t="s">
        <v>35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36</v>
      </c>
      <c r="Q3" s="20" t="s">
        <v>37</v>
      </c>
      <c r="R3" s="20" t="s">
        <v>38</v>
      </c>
      <c r="S3" s="10"/>
      <c r="T3" s="20" t="s">
        <v>39</v>
      </c>
      <c r="U3" s="10"/>
      <c r="V3" s="10"/>
      <c r="W3" s="49" t="s">
        <v>40</v>
      </c>
      <c r="X3" s="10"/>
      <c r="Y3" s="10"/>
      <c r="Z3" s="10"/>
      <c r="AA3" s="10"/>
      <c r="AB3" s="49" t="s">
        <v>41</v>
      </c>
      <c r="AC3" s="40"/>
      <c r="AD3" s="10" t="s">
        <v>42</v>
      </c>
      <c r="AE3" s="10"/>
    </row>
    <row r="4" s="26" customFormat="true" ht="12.75" hidden="false" customHeight="true" outlineLevel="0" collapsed="false">
      <c r="A4" s="9"/>
      <c r="B4" s="10"/>
      <c r="C4" s="11"/>
      <c r="D4" s="44"/>
      <c r="E4" s="44"/>
      <c r="F4" s="20"/>
      <c r="G4" s="10"/>
      <c r="H4" s="10"/>
      <c r="I4" s="10"/>
      <c r="J4" s="15"/>
      <c r="K4" s="16"/>
      <c r="L4" s="23"/>
      <c r="M4" s="23"/>
      <c r="N4" s="24"/>
      <c r="O4" s="15"/>
      <c r="P4" s="50" t="s">
        <v>43</v>
      </c>
      <c r="Q4" s="50" t="s">
        <v>44</v>
      </c>
      <c r="R4" s="50" t="s">
        <v>45</v>
      </c>
      <c r="S4" s="50" t="s">
        <v>46</v>
      </c>
      <c r="T4" s="50" t="s">
        <v>47</v>
      </c>
      <c r="U4" s="50" t="s">
        <v>48</v>
      </c>
      <c r="V4" s="50" t="s">
        <v>49</v>
      </c>
      <c r="W4" s="51" t="s">
        <v>50</v>
      </c>
      <c r="X4" s="50" t="s">
        <v>51</v>
      </c>
      <c r="Y4" s="50" t="s">
        <v>52</v>
      </c>
      <c r="Z4" s="50" t="s">
        <v>53</v>
      </c>
      <c r="AA4" s="50" t="s">
        <v>54</v>
      </c>
      <c r="AB4" s="50" t="s">
        <v>55</v>
      </c>
      <c r="AC4" s="40"/>
      <c r="AD4" s="10" t="s">
        <v>56</v>
      </c>
      <c r="AE4" s="10" t="s">
        <v>57</v>
      </c>
    </row>
    <row r="5" s="5" customFormat="true" ht="12" hidden="false" customHeight="false" outlineLevel="0" collapsed="false">
      <c r="A5" s="27" t="n">
        <v>45962</v>
      </c>
      <c r="B5" s="5" t="s">
        <v>13</v>
      </c>
      <c r="F5" s="5" t="s">
        <v>58</v>
      </c>
      <c r="G5" s="52" t="n">
        <v>1200</v>
      </c>
      <c r="I5" s="6" t="n">
        <f aca="false">IF((G5&lt;&gt;0),G5-H5," ")</f>
        <v>1200</v>
      </c>
      <c r="K5" s="6"/>
      <c r="L5" s="6"/>
      <c r="M5" s="7" t="n">
        <f aca="false">IF(G5&lt;&gt;0,G5-L5," ")</f>
        <v>1200</v>
      </c>
      <c r="N5" s="8" t="n">
        <f aca="false">IF((G5-L5)&lt;&gt;0,N$1-A5," ")</f>
        <v>168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52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 t="n">
        <v>45962</v>
      </c>
      <c r="B6" s="2" t="s">
        <v>59</v>
      </c>
      <c r="F6" s="5" t="s">
        <v>60</v>
      </c>
      <c r="G6" s="52" t="n">
        <v>30</v>
      </c>
      <c r="I6" s="6" t="n">
        <f aca="false">IF((G6&lt;&gt;0),G6-H6," ")</f>
        <v>30</v>
      </c>
      <c r="J6" s="5"/>
      <c r="M6" s="7" t="n">
        <f aca="false">IF(G6&lt;&gt;0,G6-L6," ")</f>
        <v>30</v>
      </c>
      <c r="N6" s="8" t="n">
        <f aca="false">IF((G6-L6)&lt;&gt;0,N$1-A6," ")</f>
        <v>168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30</v>
      </c>
      <c r="W6" s="52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 t="n">
        <v>45962</v>
      </c>
      <c r="B7" s="2" t="s">
        <v>61</v>
      </c>
      <c r="F7" s="5" t="s">
        <v>60</v>
      </c>
      <c r="G7" s="52" t="n">
        <v>15</v>
      </c>
      <c r="I7" s="6" t="n">
        <f aca="false">IF((G7&lt;&gt;0),G7-H7," ")</f>
        <v>15</v>
      </c>
      <c r="J7" s="5"/>
      <c r="M7" s="7" t="n">
        <f aca="false">IF(G7&lt;&gt;0,G7-L7," ")</f>
        <v>15</v>
      </c>
      <c r="N7" s="8" t="n">
        <f aca="false">IF((G7-L7)&lt;&gt;0,N$1-A7," ")</f>
        <v>168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15</v>
      </c>
      <c r="W7" s="52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 t="n">
        <v>45962</v>
      </c>
      <c r="B8" s="2" t="s">
        <v>62</v>
      </c>
      <c r="F8" s="5" t="s">
        <v>63</v>
      </c>
      <c r="G8" s="52" t="n">
        <v>45</v>
      </c>
      <c r="I8" s="6" t="n">
        <f aca="false">IF((G8&lt;&gt;0),G8-H8," ")</f>
        <v>45</v>
      </c>
      <c r="J8" s="5"/>
      <c r="M8" s="7" t="n">
        <f aca="false">IF(G8&lt;&gt;0,G8-L8," ")</f>
        <v>45</v>
      </c>
      <c r="N8" s="8" t="n">
        <f aca="false">IF((G8-L8)&lt;&gt;0,N$1-A8," ")</f>
        <v>168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45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52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 t="n">
        <v>45962</v>
      </c>
      <c r="B9" s="2" t="s">
        <v>66</v>
      </c>
      <c r="F9" s="5" t="s">
        <v>63</v>
      </c>
      <c r="G9" s="52" t="n">
        <v>24</v>
      </c>
      <c r="I9" s="6" t="n">
        <f aca="false">IF((G9&lt;&gt;0),G9-H9," ")</f>
        <v>24</v>
      </c>
      <c r="J9" s="5"/>
      <c r="M9" s="7" t="n">
        <f aca="false">IF(G9&lt;&gt;0,G9-L9," ")</f>
        <v>24</v>
      </c>
      <c r="N9" s="8" t="n">
        <f aca="false">IF((G9-L9)&lt;&gt;0,N$1-A9," ")</f>
        <v>168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n">
        <f aca="false">IF((F9="o"),I9," ")</f>
        <v>24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52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 t="n">
        <v>45962</v>
      </c>
      <c r="B10" s="2" t="s">
        <v>67</v>
      </c>
      <c r="F10" s="5" t="s">
        <v>60</v>
      </c>
      <c r="G10" s="52" t="n">
        <v>18</v>
      </c>
      <c r="I10" s="6" t="n">
        <f aca="false">IF((G10&lt;&gt;0),G10-H10," ")</f>
        <v>18</v>
      </c>
      <c r="J10" s="5"/>
      <c r="M10" s="7" t="n">
        <f aca="false">IF(G10&lt;&gt;0,G10-L10," ")</f>
        <v>18</v>
      </c>
      <c r="N10" s="8" t="n">
        <f aca="false">IF((G10-L10)&lt;&gt;0,N$1-A10," ")</f>
        <v>168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n">
        <f aca="false">IF((F10="g"),I10," ")</f>
        <v>18</v>
      </c>
      <c r="W10" s="52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 t="n">
        <v>45964</v>
      </c>
      <c r="B11" s="2" t="s">
        <v>68</v>
      </c>
      <c r="F11" s="5" t="s">
        <v>63</v>
      </c>
      <c r="G11" s="52" t="n">
        <v>180</v>
      </c>
      <c r="I11" s="6" t="n">
        <f aca="false">IF((G11&lt;&gt;0),G11-H11," ")</f>
        <v>180</v>
      </c>
      <c r="J11" s="5"/>
      <c r="M11" s="7" t="n">
        <f aca="false">IF(G11&lt;&gt;0,G11-L11," ")</f>
        <v>180</v>
      </c>
      <c r="N11" s="8" t="n">
        <f aca="false">IF((G11-L11)&lt;&gt;0,N$1-A11," ")</f>
        <v>166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n">
        <f aca="false">IF((F11="o"),I11," ")</f>
        <v>180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52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 t="n">
        <v>45964</v>
      </c>
      <c r="B12" s="2" t="s">
        <v>69</v>
      </c>
      <c r="F12" s="5" t="s">
        <v>70</v>
      </c>
      <c r="G12" s="52" t="n">
        <v>22</v>
      </c>
      <c r="I12" s="6" t="n">
        <f aca="false">IF((G12&lt;&gt;0),G12-H12," ")</f>
        <v>22</v>
      </c>
      <c r="J12" s="5"/>
      <c r="M12" s="7" t="n">
        <f aca="false">IF(G12&lt;&gt;0,G12-L12," ")</f>
        <v>22</v>
      </c>
      <c r="N12" s="8" t="n">
        <f aca="false">IF((G12-L12)&lt;&gt;0,N$1-A12," ")</f>
        <v>166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52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 t="n">
        <v>45966</v>
      </c>
      <c r="B13" s="2" t="s">
        <v>71</v>
      </c>
      <c r="F13" s="5" t="s">
        <v>70</v>
      </c>
      <c r="G13" s="52" t="n">
        <v>24</v>
      </c>
      <c r="I13" s="6" t="n">
        <f aca="false">IF((G13&lt;&gt;0),G13-H13," ")</f>
        <v>24</v>
      </c>
      <c r="J13" s="5"/>
      <c r="M13" s="7" t="n">
        <f aca="false">IF(G13&lt;&gt;0,G13-L13," ")</f>
        <v>24</v>
      </c>
      <c r="N13" s="8" t="n">
        <f aca="false">IF((G13-L13)&lt;&gt;0,N$1-A13," ")</f>
        <v>164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52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 t="n">
        <v>45966</v>
      </c>
      <c r="B14" s="2" t="s">
        <v>72</v>
      </c>
      <c r="F14" s="5" t="s">
        <v>24</v>
      </c>
      <c r="G14" s="52" t="n">
        <v>180</v>
      </c>
      <c r="I14" s="6" t="n">
        <f aca="false">IF((G14&lt;&gt;0),G14-H14," ")</f>
        <v>180</v>
      </c>
      <c r="J14" s="5"/>
      <c r="M14" s="7" t="n">
        <f aca="false">IF(G14&lt;&gt;0,G14-L14," ")</f>
        <v>180</v>
      </c>
      <c r="N14" s="8" t="n">
        <f aca="false">IF((G14-L14)&lt;&gt;0,N$1-A14," ")</f>
        <v>164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52" t="n">
        <f aca="false">IF((F14="v"),I14," ")</f>
        <v>180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 t="n">
        <v>45967</v>
      </c>
      <c r="B15" s="2" t="s">
        <v>95</v>
      </c>
      <c r="F15" s="5" t="s">
        <v>75</v>
      </c>
      <c r="G15" s="52" t="n">
        <v>72</v>
      </c>
      <c r="I15" s="6" t="n">
        <f aca="false">IF((G15&lt;&gt;0),G15-H15," ")</f>
        <v>72</v>
      </c>
      <c r="J15" s="5"/>
      <c r="M15" s="7" t="n">
        <f aca="false">IF(G15&lt;&gt;0,G15-L15," ")</f>
        <v>72</v>
      </c>
      <c r="N15" s="8" t="n">
        <f aca="false">IF((G15-L15)&lt;&gt;0,N$1-A15," ")</f>
        <v>163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52" t="str">
        <f aca="false">IF((F15="v"),I15," ")</f>
        <v> </v>
      </c>
      <c r="X15" s="19" t="n">
        <f aca="false">IF((F15="h"),I15," ")</f>
        <v>72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 t="n">
        <v>45969</v>
      </c>
      <c r="B16" s="2" t="s">
        <v>74</v>
      </c>
      <c r="F16" s="5" t="s">
        <v>75</v>
      </c>
      <c r="G16" s="52" t="n">
        <v>48</v>
      </c>
      <c r="I16" s="6" t="n">
        <f aca="false">IF((G16&lt;&gt;0),G16-H16," ")</f>
        <v>48</v>
      </c>
      <c r="J16" s="5"/>
      <c r="M16" s="7" t="n">
        <f aca="false">IF(G16&lt;&gt;0,G16-L16," ")</f>
        <v>48</v>
      </c>
      <c r="N16" s="8" t="n">
        <f aca="false">IF((G16-L16)&lt;&gt;0,N$1-A16," ")</f>
        <v>161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52" t="str">
        <f aca="false">IF((F16="v"),I16," ")</f>
        <v> </v>
      </c>
      <c r="X16" s="19" t="n">
        <f aca="false">IF((F16="h"),I16," ")</f>
        <v>48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 t="n">
        <v>45971</v>
      </c>
      <c r="B17" s="2" t="s">
        <v>76</v>
      </c>
      <c r="F17" s="5" t="s">
        <v>70</v>
      </c>
      <c r="G17" s="52" t="n">
        <v>36</v>
      </c>
      <c r="I17" s="6" t="n">
        <f aca="false">IF((G17&lt;&gt;0),G17-H17," ")</f>
        <v>36</v>
      </c>
      <c r="J17" s="5"/>
      <c r="M17" s="7" t="n">
        <f aca="false">IF(G17&lt;&gt;0,G17-L17," ")</f>
        <v>36</v>
      </c>
      <c r="N17" s="8" t="n">
        <f aca="false">IF((G17-L17)&lt;&gt;0,N$1-A17," ")</f>
        <v>159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52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 t="n">
        <v>45973</v>
      </c>
      <c r="B18" s="2" t="s">
        <v>81</v>
      </c>
      <c r="F18" s="5" t="s">
        <v>24</v>
      </c>
      <c r="G18" s="52" t="n">
        <v>18</v>
      </c>
      <c r="I18" s="6" t="n">
        <f aca="false">IF((G18&lt;&gt;0),G18-H18," ")</f>
        <v>18</v>
      </c>
      <c r="J18" s="5"/>
      <c r="M18" s="7" t="n">
        <f aca="false">IF(G18&lt;&gt;0,G18-L18," ")</f>
        <v>18</v>
      </c>
      <c r="N18" s="8" t="n">
        <f aca="false">IF((G18-L18)&lt;&gt;0,N$1-A18," ")</f>
        <v>157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52" t="n">
        <f aca="false">IF((F18="v"),I18," ")</f>
        <v>18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 t="n">
        <v>45975</v>
      </c>
      <c r="B19" s="2" t="s">
        <v>83</v>
      </c>
      <c r="F19" s="5" t="s">
        <v>75</v>
      </c>
      <c r="G19" s="52" t="n">
        <v>24</v>
      </c>
      <c r="I19" s="6" t="n">
        <f aca="false">IF((G19&lt;&gt;0),G19-H19," ")</f>
        <v>24</v>
      </c>
      <c r="J19" s="5"/>
      <c r="M19" s="7" t="n">
        <f aca="false">IF(G19&lt;&gt;0,G19-L19," ")</f>
        <v>24</v>
      </c>
      <c r="N19" s="8" t="n">
        <f aca="false">IF((G19-L19)&lt;&gt;0,N$1-A19," ")</f>
        <v>155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52" t="str">
        <f aca="false">IF((F19="v"),I19," ")</f>
        <v> </v>
      </c>
      <c r="X19" s="19" t="n">
        <f aca="false">IF((F19="h"),I19," ")</f>
        <v>24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 t="n">
        <v>45975</v>
      </c>
      <c r="B20" s="2" t="s">
        <v>84</v>
      </c>
      <c r="F20" s="5" t="s">
        <v>75</v>
      </c>
      <c r="G20" s="52" t="n">
        <v>12</v>
      </c>
      <c r="I20" s="6" t="n">
        <f aca="false">IF((G20&lt;&gt;0),G20-H20," ")</f>
        <v>12</v>
      </c>
      <c r="J20" s="5"/>
      <c r="M20" s="7" t="n">
        <f aca="false">IF(G20&lt;&gt;0,G20-L20," ")</f>
        <v>12</v>
      </c>
      <c r="N20" s="8" t="n">
        <f aca="false">IF((G20-L20)&lt;&gt;0,N$1-A20," ")</f>
        <v>155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52" t="str">
        <f aca="false">IF((F20="v"),I20," ")</f>
        <v> </v>
      </c>
      <c r="X20" s="19" t="n">
        <f aca="false">IF((F20="h"),I20," ")</f>
        <v>12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 t="n">
        <v>45976</v>
      </c>
      <c r="B21" s="2" t="s">
        <v>19</v>
      </c>
      <c r="F21" s="5" t="s">
        <v>24</v>
      </c>
      <c r="G21" s="52" t="n">
        <v>150</v>
      </c>
      <c r="I21" s="6" t="n">
        <f aca="false">IF((G21&lt;&gt;0),G21-H21," ")</f>
        <v>150</v>
      </c>
      <c r="J21" s="5"/>
      <c r="M21" s="7" t="n">
        <f aca="false">IF(G21&lt;&gt;0,G21-L21," ")</f>
        <v>150</v>
      </c>
      <c r="N21" s="8" t="n">
        <f aca="false">IF((G21-L21)&lt;&gt;0,N$1-A21," ")</f>
        <v>154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52" t="n">
        <f aca="false">IF((F21="v"),I21," ")</f>
        <v>150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 t="n">
        <v>45976</v>
      </c>
      <c r="B22" s="2" t="s">
        <v>85</v>
      </c>
      <c r="F22" s="5" t="s">
        <v>60</v>
      </c>
      <c r="G22" s="52" t="n">
        <v>12</v>
      </c>
      <c r="I22" s="6" t="n">
        <f aca="false">IF((G22&lt;&gt;0),G22-H22," ")</f>
        <v>12</v>
      </c>
      <c r="J22" s="5"/>
      <c r="M22" s="7" t="n">
        <f aca="false">IF(G22&lt;&gt;0,G22-L22," ")</f>
        <v>12</v>
      </c>
      <c r="N22" s="8" t="n">
        <f aca="false">IF((G22-L22)&lt;&gt;0,N$1-A22," ")</f>
        <v>154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n">
        <f aca="false">IF((F22="g"),I22," ")</f>
        <v>12</v>
      </c>
      <c r="W22" s="52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 t="n">
        <v>45976</v>
      </c>
      <c r="B23" s="2" t="s">
        <v>100</v>
      </c>
      <c r="F23" s="5" t="s">
        <v>80</v>
      </c>
      <c r="G23" s="52" t="n">
        <v>540</v>
      </c>
      <c r="I23" s="6" t="n">
        <f aca="false">IF((G23&lt;&gt;0),G23-H23," ")</f>
        <v>540</v>
      </c>
      <c r="J23" s="5"/>
      <c r="M23" s="7" t="n">
        <f aca="false">IF(G23&lt;&gt;0,G23-L23," ")</f>
        <v>540</v>
      </c>
      <c r="N23" s="8" t="n">
        <f aca="false">IF((G23-L23)&lt;&gt;0,N$1-A23," ")</f>
        <v>154</v>
      </c>
      <c r="O23" s="5"/>
      <c r="P23" s="19" t="n">
        <f aca="false">IF((F23="s"),I23," ")</f>
        <v>540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52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 t="n">
        <v>45976</v>
      </c>
      <c r="B24" s="2" t="s">
        <v>109</v>
      </c>
      <c r="F24" s="5" t="s">
        <v>110</v>
      </c>
      <c r="G24" s="52" t="n">
        <v>3000</v>
      </c>
      <c r="I24" s="6" t="n">
        <f aca="false">IF((G24&lt;&gt;0),G24-H24," ")</f>
        <v>3000</v>
      </c>
      <c r="J24" s="5"/>
      <c r="M24" s="7" t="n">
        <f aca="false">IF(G24&lt;&gt;0,G24-L24," ")</f>
        <v>3000</v>
      </c>
      <c r="N24" s="8" t="n">
        <f aca="false">IF((G24-L24)&lt;&gt;0,N$1-A24," ")</f>
        <v>154</v>
      </c>
      <c r="O24" s="5"/>
      <c r="P24" s="19" t="str">
        <f aca="false">IF((F24="s"),I24," ")</f>
        <v> </v>
      </c>
      <c r="Q24" s="19" t="n">
        <f aca="false">IF((F24="c"),I24," ")</f>
        <v>3000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52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 t="n">
        <v>45977</v>
      </c>
      <c r="B25" s="2" t="s">
        <v>103</v>
      </c>
      <c r="F25" s="5" t="s">
        <v>60</v>
      </c>
      <c r="G25" s="52" t="n">
        <v>30</v>
      </c>
      <c r="I25" s="6" t="n">
        <f aca="false">IF((G25&lt;&gt;0),G25-H25," ")</f>
        <v>30</v>
      </c>
      <c r="J25" s="5"/>
      <c r="M25" s="7" t="n">
        <f aca="false">IF(G25&lt;&gt;0,G25-L25," ")</f>
        <v>30</v>
      </c>
      <c r="N25" s="8" t="n">
        <f aca="false">IF((G25-L25)&lt;&gt;0,N$1-A25," ")</f>
        <v>153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n">
        <f aca="false">IF((F25="g"),I25," ")</f>
        <v>30</v>
      </c>
      <c r="W25" s="52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 t="n">
        <v>45979</v>
      </c>
      <c r="B26" s="2" t="s">
        <v>86</v>
      </c>
      <c r="F26" s="5" t="s">
        <v>24</v>
      </c>
      <c r="G26" s="52" t="n">
        <v>96</v>
      </c>
      <c r="I26" s="6" t="n">
        <f aca="false">IF((G26&lt;&gt;0),G26-H26," ")</f>
        <v>96</v>
      </c>
      <c r="J26" s="5"/>
      <c r="M26" s="7" t="n">
        <f aca="false">IF(G26&lt;&gt;0,G26-L26," ")</f>
        <v>96</v>
      </c>
      <c r="N26" s="8" t="n">
        <f aca="false">IF((G26-L26)&lt;&gt;0,N$1-A26," ")</f>
        <v>151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52" t="n">
        <f aca="false">IF((F26="v"),I26," ")</f>
        <v>96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 t="n">
        <v>45981</v>
      </c>
      <c r="B27" s="2" t="s">
        <v>87</v>
      </c>
      <c r="F27" s="5" t="s">
        <v>60</v>
      </c>
      <c r="G27" s="52" t="n">
        <v>60</v>
      </c>
      <c r="I27" s="6" t="n">
        <f aca="false">IF((G27&lt;&gt;0),G27-H27," ")</f>
        <v>60</v>
      </c>
      <c r="J27" s="5"/>
      <c r="M27" s="7" t="n">
        <f aca="false">IF(G27&lt;&gt;0,G27-L27," ")</f>
        <v>60</v>
      </c>
      <c r="N27" s="8" t="n">
        <f aca="false">IF((G27-L27)&lt;&gt;0,N$1-A27," ")</f>
        <v>149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n">
        <f aca="false">IF((F27="g"),I27," ")</f>
        <v>60</v>
      </c>
      <c r="W27" s="52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 t="n">
        <v>45981</v>
      </c>
      <c r="B28" s="2" t="s">
        <v>104</v>
      </c>
      <c r="F28" s="5" t="s">
        <v>105</v>
      </c>
      <c r="G28" s="52" t="n">
        <v>240</v>
      </c>
      <c r="I28" s="6" t="n">
        <f aca="false">IF((G28&lt;&gt;0),G28-H28," ")</f>
        <v>240</v>
      </c>
      <c r="J28" s="5"/>
      <c r="M28" s="7" t="n">
        <f aca="false">IF(G28&lt;&gt;0,G28-L28," ")</f>
        <v>240</v>
      </c>
      <c r="N28" s="8" t="n">
        <f aca="false">IF((G28-L28)&lt;&gt;0,N$1-A28," ")</f>
        <v>149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52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 t="n">
        <v>45981</v>
      </c>
      <c r="B29" s="2" t="s">
        <v>106</v>
      </c>
      <c r="F29" s="5" t="s">
        <v>80</v>
      </c>
      <c r="G29" s="52" t="n">
        <v>300</v>
      </c>
      <c r="I29" s="6" t="n">
        <f aca="false">IF((G29&lt;&gt;0),G29-H29," ")</f>
        <v>300</v>
      </c>
      <c r="J29" s="5"/>
      <c r="M29" s="7" t="n">
        <f aca="false">IF(G29&lt;&gt;0,G29-L29," ")</f>
        <v>300</v>
      </c>
      <c r="N29" s="8" t="n">
        <f aca="false">IF((G29-L29)&lt;&gt;0,N$1-A29," ")</f>
        <v>149</v>
      </c>
      <c r="O29" s="5"/>
      <c r="P29" s="19" t="n">
        <f aca="false">IF((F29="s"),I29," ")</f>
        <v>300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52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 t="n">
        <v>45982</v>
      </c>
      <c r="B30" s="2" t="s">
        <v>90</v>
      </c>
      <c r="F30" s="5" t="s">
        <v>75</v>
      </c>
      <c r="G30" s="52" t="n">
        <v>8</v>
      </c>
      <c r="I30" s="6" t="n">
        <f aca="false">IF((G30&lt;&gt;0),G30-H30," ")</f>
        <v>8</v>
      </c>
      <c r="J30" s="5"/>
      <c r="M30" s="7" t="n">
        <f aca="false">IF(G30&lt;&gt;0,G30-L30," ")</f>
        <v>8</v>
      </c>
      <c r="N30" s="8" t="n">
        <f aca="false">IF((G30-L30)&lt;&gt;0,N$1-A30," ")</f>
        <v>148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52" t="str">
        <f aca="false">IF((F30="v"),I30," ")</f>
        <v> </v>
      </c>
      <c r="X30" s="19" t="n">
        <f aca="false">IF((F30="h"),I30," ")</f>
        <v>8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 t="n">
        <v>45983</v>
      </c>
      <c r="B31" s="2" t="s">
        <v>91</v>
      </c>
      <c r="F31" s="5" t="s">
        <v>70</v>
      </c>
      <c r="G31" s="52" t="n">
        <v>18</v>
      </c>
      <c r="I31" s="6" t="n">
        <f aca="false">IF((G31&lt;&gt;0),G31-H31," ")</f>
        <v>18</v>
      </c>
      <c r="J31" s="5"/>
      <c r="M31" s="7" t="n">
        <f aca="false">IF(G31&lt;&gt;0,G31-L31," ")</f>
        <v>18</v>
      </c>
      <c r="N31" s="8" t="n">
        <f aca="false">IF((G31-L31)&lt;&gt;0,N$1-A31," ")</f>
        <v>147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52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 t="n">
        <v>45986</v>
      </c>
      <c r="B32" s="2" t="s">
        <v>92</v>
      </c>
      <c r="F32" s="5" t="s">
        <v>70</v>
      </c>
      <c r="G32" s="52" t="n">
        <v>15</v>
      </c>
      <c r="I32" s="6" t="n">
        <f aca="false">IF((G32&lt;&gt;0),G32-H32," ")</f>
        <v>15</v>
      </c>
      <c r="J32" s="5"/>
      <c r="M32" s="7" t="n">
        <f aca="false">IF(G32&lt;&gt;0,G32-L32," ")</f>
        <v>15</v>
      </c>
      <c r="N32" s="8" t="n">
        <f aca="false">IF((G32-L32)&lt;&gt;0,N$1-A32," ")</f>
        <v>144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52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 t="n">
        <v>45986</v>
      </c>
      <c r="B33" s="2" t="s">
        <v>93</v>
      </c>
      <c r="F33" s="5" t="s">
        <v>24</v>
      </c>
      <c r="G33" s="52" t="n">
        <v>81</v>
      </c>
      <c r="I33" s="6" t="n">
        <f aca="false">IF((G33&lt;&gt;0),G33-H33," ")</f>
        <v>81</v>
      </c>
      <c r="J33" s="5"/>
      <c r="M33" s="7" t="n">
        <f aca="false">IF(G33&lt;&gt;0,G33-L33," ")</f>
        <v>81</v>
      </c>
      <c r="N33" s="8" t="n">
        <f aca="false">IF((G33-L33)&lt;&gt;0,N$1-A33," ")</f>
        <v>144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52" t="n">
        <f aca="false">IF((F33="v"),I33," ")</f>
        <v>81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 t="n">
        <v>45989</v>
      </c>
      <c r="B34" s="2" t="s">
        <v>19</v>
      </c>
      <c r="F34" s="5" t="s">
        <v>24</v>
      </c>
      <c r="G34" s="52" t="n">
        <v>120</v>
      </c>
      <c r="I34" s="6" t="n">
        <f aca="false">IF((G34&lt;&gt;0),G34-H34," ")</f>
        <v>120</v>
      </c>
      <c r="J34" s="5"/>
      <c r="M34" s="7" t="n">
        <f aca="false">IF(G34&lt;&gt;0,G34-L34," ")</f>
        <v>120</v>
      </c>
      <c r="N34" s="8" t="n">
        <f aca="false">IF((G34-L34)&lt;&gt;0,N$1-A34," ")</f>
        <v>141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52" t="n">
        <f aca="false">IF((F34="v"),I34," ")</f>
        <v>120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 t="n">
        <v>45991</v>
      </c>
      <c r="B35" s="2" t="s">
        <v>15</v>
      </c>
      <c r="F35" s="5" t="s">
        <v>94</v>
      </c>
      <c r="G35" s="52" t="n">
        <v>300</v>
      </c>
      <c r="I35" s="6" t="n">
        <f aca="false">IF((G35&lt;&gt;0),G35-H35," ")</f>
        <v>300</v>
      </c>
      <c r="J35" s="5"/>
      <c r="M35" s="7" t="n">
        <f aca="false">IF(G35&lt;&gt;0,G35-L35," ")</f>
        <v>300</v>
      </c>
      <c r="N35" s="8" t="n">
        <f aca="false">IF((G35-L35)&lt;&gt;0,N$1-A35," ")</f>
        <v>139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52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n">
        <f aca="false">IF((F35="l"),I35," ")</f>
        <v>300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52"/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52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52"/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52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52"/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52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52"/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52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52"/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52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52"/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52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52"/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52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52"/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52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52"/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52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52"/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52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52"/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52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52"/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52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52"/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52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52"/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52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52"/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52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52"/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52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52"/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52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52"/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52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52"/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52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52"/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52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52"/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52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52"/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52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52"/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52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52"/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52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52"/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52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52"/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52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52"/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52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52"/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52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52"/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52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52"/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52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52"/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52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52"/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52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52"/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52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52"/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52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52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52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52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52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52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52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52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52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52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52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52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52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52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52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52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52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52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52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52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52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52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52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52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52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52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52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52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52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52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52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52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52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52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52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52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52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52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52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52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52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52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52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52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52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52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52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52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52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52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52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52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52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52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52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52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52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52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52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52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52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52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52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52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52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52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52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52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52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52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52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52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52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52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52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52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52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52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52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52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52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52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52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52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52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52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52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52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52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52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52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52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52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52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52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52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52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52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52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52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52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52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52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52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52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52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52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52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52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52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52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52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52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52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52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52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52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52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52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52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52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52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52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52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52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52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52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52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52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52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52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52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52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52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52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52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52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52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52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52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52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52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52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52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52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52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52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52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52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52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52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52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52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52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52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52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52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52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52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52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52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52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52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52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52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52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52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52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52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52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52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52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52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52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52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52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52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52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52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52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52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52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52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52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52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52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52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52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52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52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52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52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52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52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52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52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52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52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52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52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52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52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52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52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52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52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52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52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52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52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52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52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52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52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52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52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52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52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52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52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52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52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52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52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52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52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52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52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52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52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52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52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52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52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52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52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52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52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52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52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52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52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52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52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52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52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52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52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52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52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52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52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52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52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52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52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52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52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52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52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52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52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52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52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52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52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52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52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52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52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52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52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52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52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52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52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52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52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52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52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52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52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52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52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52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52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52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52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52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52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52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52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52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52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52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52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52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52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52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52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52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52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52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52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52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52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52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52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52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52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52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52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52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52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52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52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52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52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52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52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52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52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52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52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52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52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52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52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52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52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52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52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52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52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52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52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52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52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52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52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52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52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52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52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52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52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52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52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52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52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52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52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52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52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52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52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52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52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52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52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52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52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52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52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52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52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52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52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52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52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52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52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52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52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52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52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52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52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52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52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52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52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52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52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52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52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52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52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52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52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52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52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52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52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52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52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52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52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52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52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52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52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52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52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52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52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52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52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52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52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52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52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52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52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52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52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52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52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52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52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52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52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52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52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52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52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52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52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52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52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52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52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52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52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52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52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52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52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52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52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52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52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52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52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52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52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52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52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52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52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52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52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52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52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52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52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52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52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52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52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52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0"/>
      <c r="B300" s="31"/>
      <c r="C300" s="32"/>
      <c r="D300" s="33"/>
      <c r="E300" s="31"/>
      <c r="F300" s="53" t="str">
        <f aca="false">IF((G300&lt;&gt;0),"Enter Letter"," ")</f>
        <v> </v>
      </c>
      <c r="G300" s="54"/>
      <c r="H300" s="34" t="str">
        <f aca="false">IF(G300&lt;&gt;0,G300*H$2/(100+H$2)," ")</f>
        <v> </v>
      </c>
      <c r="I300" s="34" t="str">
        <f aca="false">IF((G300&lt;&gt;0),G300-H300," ")</f>
        <v> </v>
      </c>
      <c r="J300" s="55"/>
      <c r="K300" s="34"/>
      <c r="L300" s="34"/>
      <c r="M300" s="35" t="str">
        <f aca="false">IF(G300&lt;&gt;0,G300-L300," ")</f>
        <v> </v>
      </c>
      <c r="N300" s="36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4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39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7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8" t="n">
        <f aca="false">G1-H1-SUM(P1:AB1)</f>
        <v>1339</v>
      </c>
      <c r="B1" s="39" t="s">
        <v>21</v>
      </c>
      <c r="C1" s="39"/>
      <c r="D1" s="12" t="n">
        <f aca="false">SUM(D5:D300)</f>
        <v>0</v>
      </c>
      <c r="E1" s="13" t="s">
        <v>3</v>
      </c>
      <c r="F1" s="14"/>
      <c r="G1" s="13" t="n">
        <f aca="false">SUM(G2:G300)</f>
        <v>9451.5</v>
      </c>
      <c r="H1" s="13" t="n">
        <f aca="false">SUM(H5:H200)</f>
        <v>0</v>
      </c>
      <c r="I1" s="13" t="n">
        <f aca="false">SUM(I2:I200)</f>
        <v>9451.5</v>
      </c>
      <c r="J1" s="15"/>
      <c r="K1" s="16" t="s">
        <v>4</v>
      </c>
      <c r="L1" s="17" t="n">
        <f aca="false">SUM(L5:L300)</f>
        <v>0</v>
      </c>
      <c r="M1" s="17" t="n">
        <f aca="false">SUM(M5:M200)</f>
        <v>9451.5</v>
      </c>
      <c r="N1" s="18" t="n">
        <f aca="true">TODAY()</f>
        <v>46130</v>
      </c>
      <c r="O1" s="15"/>
      <c r="P1" s="13" t="n">
        <f aca="false">SUM(P5:P300)</f>
        <v>480</v>
      </c>
      <c r="Q1" s="13" t="n">
        <f aca="false">SUM(Q5:Q300)</f>
        <v>0</v>
      </c>
      <c r="R1" s="13" t="n">
        <f aca="false">SUM(R5:R300)</f>
        <v>285</v>
      </c>
      <c r="S1" s="13" t="n">
        <f aca="false">SUM(S5:S300)</f>
        <v>5000</v>
      </c>
      <c r="T1" s="13" t="n">
        <f aca="false">SUM(T5:T300)</f>
        <v>420</v>
      </c>
      <c r="U1" s="13" t="n">
        <f aca="false">SUM(U5:U300)</f>
        <v>0</v>
      </c>
      <c r="V1" s="13" t="n">
        <f aca="false">SUM(V5:V300)</f>
        <v>255</v>
      </c>
      <c r="W1" s="13" t="n">
        <f aca="false">SUM(W2:W300)</f>
        <v>613.5</v>
      </c>
      <c r="X1" s="13" t="n">
        <f aca="false">SUM(X5:X300)</f>
        <v>92</v>
      </c>
      <c r="Y1" s="13" t="n">
        <f aca="false">SUM(Y5:Y300)</f>
        <v>0</v>
      </c>
      <c r="Z1" s="13" t="n">
        <f aca="false">SUM(Z5:Z300)</f>
        <v>467</v>
      </c>
      <c r="AA1" s="13" t="n">
        <f aca="false">SUM(AA5:AA300)</f>
        <v>500</v>
      </c>
      <c r="AB1" s="13" t="n">
        <f aca="false">SUM(AB5:AB300)</f>
        <v>0</v>
      </c>
      <c r="AC1" s="40"/>
      <c r="AD1" s="13" t="n">
        <f aca="false">SUM(AD5:AD300)</f>
        <v>0</v>
      </c>
      <c r="AE1" s="41"/>
    </row>
    <row r="2" s="19" customFormat="true" ht="13.5" hidden="false" customHeight="true" outlineLevel="0" collapsed="false">
      <c r="A2" s="42" t="n">
        <f aca="false">G2+Nov!A2</f>
        <v>0</v>
      </c>
      <c r="B2" s="43" t="s">
        <v>22</v>
      </c>
      <c r="C2" s="42" t="n">
        <f aca="false">Nov!C2+D1+[1]Dec!$D$1</f>
        <v>0</v>
      </c>
      <c r="D2" s="44" t="s">
        <v>23</v>
      </c>
      <c r="E2" s="20" t="s">
        <v>5</v>
      </c>
      <c r="F2" s="43" t="str">
        <f aca="false">Nov!F2</f>
        <v>v</v>
      </c>
      <c r="G2" s="45" t="n">
        <f aca="false">IF(C2&lt;[2]Admin!$F$22,(C2-Nov!C2)*[2]Admin!$G$21,C2*[2]Admin!$G$21-(C2-[2]Admin!$F$21)*([2]Admin!$G$21-[2]Admin!$G$22)-Nov!A2)</f>
        <v>0</v>
      </c>
      <c r="H2" s="21" t="n">
        <f aca="false">IF([1]Dec!$H$4&gt;0,0,[1]Dec!$H$2)</f>
        <v>20</v>
      </c>
      <c r="I2" s="46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7" t="s">
        <v>27</v>
      </c>
      <c r="U2" s="10" t="s">
        <v>28</v>
      </c>
      <c r="V2" s="10" t="s">
        <v>29</v>
      </c>
      <c r="W2" s="48" t="n">
        <f aca="false">IF((F2="v"),I2," ")</f>
        <v>0</v>
      </c>
      <c r="X2" s="10" t="s">
        <v>30</v>
      </c>
      <c r="Y2" s="10" t="s">
        <v>31</v>
      </c>
      <c r="Z2" s="10" t="s">
        <v>32</v>
      </c>
      <c r="AA2" s="10" t="s">
        <v>33</v>
      </c>
      <c r="AB2" s="49" t="n">
        <f aca="false">AB1+Nov!AB2</f>
        <v>39000</v>
      </c>
      <c r="AC2" s="40"/>
      <c r="AD2" s="10" t="s">
        <v>34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4"/>
      <c r="E3" s="44"/>
      <c r="F3" s="20" t="s">
        <v>35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36</v>
      </c>
      <c r="Q3" s="20" t="s">
        <v>37</v>
      </c>
      <c r="R3" s="20" t="s">
        <v>38</v>
      </c>
      <c r="S3" s="10"/>
      <c r="T3" s="20" t="s">
        <v>39</v>
      </c>
      <c r="U3" s="10"/>
      <c r="V3" s="10"/>
      <c r="W3" s="49" t="s">
        <v>40</v>
      </c>
      <c r="X3" s="10"/>
      <c r="Y3" s="10"/>
      <c r="Z3" s="10"/>
      <c r="AA3" s="10"/>
      <c r="AB3" s="49" t="s">
        <v>41</v>
      </c>
      <c r="AC3" s="40"/>
      <c r="AD3" s="10" t="s">
        <v>42</v>
      </c>
      <c r="AE3" s="10"/>
    </row>
    <row r="4" s="26" customFormat="true" ht="12.75" hidden="false" customHeight="true" outlineLevel="0" collapsed="false">
      <c r="A4" s="9"/>
      <c r="B4" s="10"/>
      <c r="C4" s="11"/>
      <c r="D4" s="44"/>
      <c r="E4" s="44"/>
      <c r="F4" s="20"/>
      <c r="G4" s="10"/>
      <c r="H4" s="10"/>
      <c r="I4" s="10"/>
      <c r="J4" s="15"/>
      <c r="K4" s="16"/>
      <c r="L4" s="23"/>
      <c r="M4" s="23"/>
      <c r="N4" s="24"/>
      <c r="O4" s="15"/>
      <c r="P4" s="50" t="s">
        <v>43</v>
      </c>
      <c r="Q4" s="50" t="s">
        <v>44</v>
      </c>
      <c r="R4" s="50" t="s">
        <v>45</v>
      </c>
      <c r="S4" s="50" t="s">
        <v>46</v>
      </c>
      <c r="T4" s="50" t="s">
        <v>47</v>
      </c>
      <c r="U4" s="50" t="s">
        <v>48</v>
      </c>
      <c r="V4" s="50" t="s">
        <v>49</v>
      </c>
      <c r="W4" s="51" t="s">
        <v>50</v>
      </c>
      <c r="X4" s="50" t="s">
        <v>51</v>
      </c>
      <c r="Y4" s="50" t="s">
        <v>52</v>
      </c>
      <c r="Z4" s="50" t="s">
        <v>53</v>
      </c>
      <c r="AA4" s="50" t="s">
        <v>54</v>
      </c>
      <c r="AB4" s="50" t="s">
        <v>55</v>
      </c>
      <c r="AC4" s="40"/>
      <c r="AD4" s="10" t="s">
        <v>56</v>
      </c>
      <c r="AE4" s="10" t="s">
        <v>57</v>
      </c>
    </row>
    <row r="5" s="5" customFormat="true" ht="12" hidden="false" customHeight="false" outlineLevel="0" collapsed="false">
      <c r="A5" s="27" t="n">
        <v>45992</v>
      </c>
      <c r="B5" s="5" t="s">
        <v>13</v>
      </c>
      <c r="F5" s="5" t="s">
        <v>58</v>
      </c>
      <c r="G5" s="52" t="n">
        <v>1200</v>
      </c>
      <c r="I5" s="6" t="n">
        <f aca="false">IF((G5&lt;&gt;0),G5-H5," ")</f>
        <v>1200</v>
      </c>
      <c r="K5" s="6"/>
      <c r="L5" s="6"/>
      <c r="M5" s="7" t="n">
        <f aca="false">IF(G5&lt;&gt;0,G5-L5," ")</f>
        <v>1200</v>
      </c>
      <c r="N5" s="8" t="n">
        <f aca="false">IF((G5-L5)&lt;&gt;0,N$1-A5," ")</f>
        <v>138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52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 t="n">
        <v>45992</v>
      </c>
      <c r="B6" s="2" t="s">
        <v>59</v>
      </c>
      <c r="F6" s="5" t="s">
        <v>60</v>
      </c>
      <c r="G6" s="52" t="n">
        <v>30</v>
      </c>
      <c r="I6" s="6" t="n">
        <f aca="false">IF((G6&lt;&gt;0),G6-H6," ")</f>
        <v>30</v>
      </c>
      <c r="J6" s="5"/>
      <c r="M6" s="7" t="n">
        <f aca="false">IF(G6&lt;&gt;0,G6-L6," ")</f>
        <v>30</v>
      </c>
      <c r="N6" s="8" t="n">
        <f aca="false">IF((G6-L6)&lt;&gt;0,N$1-A6," ")</f>
        <v>138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30</v>
      </c>
      <c r="W6" s="52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 t="n">
        <v>45992</v>
      </c>
      <c r="B7" s="2" t="s">
        <v>61</v>
      </c>
      <c r="F7" s="5" t="s">
        <v>60</v>
      </c>
      <c r="G7" s="52" t="n">
        <v>15</v>
      </c>
      <c r="I7" s="6" t="n">
        <f aca="false">IF((G7&lt;&gt;0),G7-H7," ")</f>
        <v>15</v>
      </c>
      <c r="J7" s="5"/>
      <c r="M7" s="7" t="n">
        <f aca="false">IF(G7&lt;&gt;0,G7-L7," ")</f>
        <v>15</v>
      </c>
      <c r="N7" s="8" t="n">
        <f aca="false">IF((G7-L7)&lt;&gt;0,N$1-A7," ")</f>
        <v>138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15</v>
      </c>
      <c r="W7" s="52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 t="n">
        <v>45992</v>
      </c>
      <c r="B8" s="2" t="s">
        <v>62</v>
      </c>
      <c r="F8" s="5" t="s">
        <v>63</v>
      </c>
      <c r="G8" s="52" t="n">
        <v>45</v>
      </c>
      <c r="I8" s="6" t="n">
        <f aca="false">IF((G8&lt;&gt;0),G8-H8," ")</f>
        <v>45</v>
      </c>
      <c r="J8" s="5"/>
      <c r="M8" s="7" t="n">
        <f aca="false">IF(G8&lt;&gt;0,G8-L8," ")</f>
        <v>45</v>
      </c>
      <c r="N8" s="8" t="n">
        <f aca="false">IF((G8-L8)&lt;&gt;0,N$1-A8," ")</f>
        <v>138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45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52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 t="n">
        <v>45992</v>
      </c>
      <c r="B9" s="2" t="s">
        <v>66</v>
      </c>
      <c r="F9" s="5" t="s">
        <v>63</v>
      </c>
      <c r="G9" s="52" t="n">
        <v>24</v>
      </c>
      <c r="I9" s="6" t="n">
        <f aca="false">IF((G9&lt;&gt;0),G9-H9," ")</f>
        <v>24</v>
      </c>
      <c r="J9" s="5"/>
      <c r="M9" s="7" t="n">
        <f aca="false">IF(G9&lt;&gt;0,G9-L9," ")</f>
        <v>24</v>
      </c>
      <c r="N9" s="8" t="n">
        <f aca="false">IF((G9-L9)&lt;&gt;0,N$1-A9," ")</f>
        <v>138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n">
        <f aca="false">IF((F9="o"),I9," ")</f>
        <v>24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52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 t="n">
        <v>45992</v>
      </c>
      <c r="B10" s="2" t="s">
        <v>67</v>
      </c>
      <c r="F10" s="5" t="s">
        <v>60</v>
      </c>
      <c r="G10" s="52" t="n">
        <v>18</v>
      </c>
      <c r="I10" s="6" t="n">
        <f aca="false">IF((G10&lt;&gt;0),G10-H10," ")</f>
        <v>18</v>
      </c>
      <c r="J10" s="5"/>
      <c r="M10" s="7" t="n">
        <f aca="false">IF(G10&lt;&gt;0,G10-L10," ")</f>
        <v>18</v>
      </c>
      <c r="N10" s="8" t="n">
        <f aca="false">IF((G10-L10)&lt;&gt;0,N$1-A10," ")</f>
        <v>138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n">
        <f aca="false">IF((F10="g"),I10," ")</f>
        <v>18</v>
      </c>
      <c r="W10" s="52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 t="n">
        <v>45994</v>
      </c>
      <c r="B11" s="2" t="s">
        <v>68</v>
      </c>
      <c r="F11" s="5" t="s">
        <v>63</v>
      </c>
      <c r="G11" s="52" t="n">
        <v>180</v>
      </c>
      <c r="I11" s="6" t="n">
        <f aca="false">IF((G11&lt;&gt;0),G11-H11," ")</f>
        <v>180</v>
      </c>
      <c r="J11" s="5"/>
      <c r="M11" s="7" t="n">
        <f aca="false">IF(G11&lt;&gt;0,G11-L11," ")</f>
        <v>180</v>
      </c>
      <c r="N11" s="8" t="n">
        <f aca="false">IF((G11-L11)&lt;&gt;0,N$1-A11," ")</f>
        <v>136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n">
        <f aca="false">IF((F11="o"),I11," ")</f>
        <v>180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52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 t="n">
        <v>45994</v>
      </c>
      <c r="B12" s="2" t="s">
        <v>69</v>
      </c>
      <c r="F12" s="5" t="s">
        <v>70</v>
      </c>
      <c r="G12" s="52" t="n">
        <v>22</v>
      </c>
      <c r="I12" s="6" t="n">
        <f aca="false">IF((G12&lt;&gt;0),G12-H12," ")</f>
        <v>22</v>
      </c>
      <c r="J12" s="5"/>
      <c r="M12" s="7" t="n">
        <f aca="false">IF(G12&lt;&gt;0,G12-L12," ")</f>
        <v>22</v>
      </c>
      <c r="N12" s="8" t="n">
        <f aca="false">IF((G12-L12)&lt;&gt;0,N$1-A12," ")</f>
        <v>136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52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 t="n">
        <v>45996</v>
      </c>
      <c r="B13" s="2" t="s">
        <v>71</v>
      </c>
      <c r="F13" s="5" t="s">
        <v>70</v>
      </c>
      <c r="G13" s="52" t="n">
        <v>24</v>
      </c>
      <c r="I13" s="6" t="n">
        <f aca="false">IF((G13&lt;&gt;0),G13-H13," ")</f>
        <v>24</v>
      </c>
      <c r="J13" s="5"/>
      <c r="M13" s="7" t="n">
        <f aca="false">IF(G13&lt;&gt;0,G13-L13," ")</f>
        <v>24</v>
      </c>
      <c r="N13" s="8" t="n">
        <f aca="false">IF((G13-L13)&lt;&gt;0,N$1-A13," ")</f>
        <v>134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52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 t="n">
        <v>45996</v>
      </c>
      <c r="B14" s="2" t="s">
        <v>72</v>
      </c>
      <c r="F14" s="5" t="s">
        <v>24</v>
      </c>
      <c r="G14" s="52" t="n">
        <v>180</v>
      </c>
      <c r="I14" s="6" t="n">
        <f aca="false">IF((G14&lt;&gt;0),G14-H14," ")</f>
        <v>180</v>
      </c>
      <c r="J14" s="5"/>
      <c r="M14" s="7" t="n">
        <f aca="false">IF(G14&lt;&gt;0,G14-L14," ")</f>
        <v>180</v>
      </c>
      <c r="N14" s="8" t="n">
        <f aca="false">IF((G14-L14)&lt;&gt;0,N$1-A14," ")</f>
        <v>134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52" t="n">
        <f aca="false">IF((F14="v"),I14," ")</f>
        <v>180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 t="n">
        <v>45996</v>
      </c>
      <c r="B15" s="2" t="s">
        <v>73</v>
      </c>
      <c r="F15" s="5" t="s">
        <v>63</v>
      </c>
      <c r="G15" s="52" t="n">
        <v>36</v>
      </c>
      <c r="I15" s="6" t="n">
        <f aca="false">IF((G15&lt;&gt;0),G15-H15," ")</f>
        <v>36</v>
      </c>
      <c r="J15" s="5"/>
      <c r="M15" s="7" t="n">
        <f aca="false">IF(G15&lt;&gt;0,G15-L15," ")</f>
        <v>36</v>
      </c>
      <c r="N15" s="8" t="n">
        <f aca="false">IF((G15-L15)&lt;&gt;0,N$1-A15," ")</f>
        <v>134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n">
        <f aca="false">IF((F15="o"),I15," ")</f>
        <v>36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52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 t="n">
        <v>45999</v>
      </c>
      <c r="B16" s="2" t="s">
        <v>74</v>
      </c>
      <c r="F16" s="5" t="s">
        <v>75</v>
      </c>
      <c r="G16" s="52" t="n">
        <v>48</v>
      </c>
      <c r="I16" s="6" t="n">
        <f aca="false">IF((G16&lt;&gt;0),G16-H16," ")</f>
        <v>48</v>
      </c>
      <c r="J16" s="5"/>
      <c r="M16" s="7" t="n">
        <f aca="false">IF(G16&lt;&gt;0,G16-L16," ")</f>
        <v>48</v>
      </c>
      <c r="N16" s="8" t="n">
        <f aca="false">IF((G16-L16)&lt;&gt;0,N$1-A16," ")</f>
        <v>131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52" t="str">
        <f aca="false">IF((F16="v"),I16," ")</f>
        <v> </v>
      </c>
      <c r="X16" s="19" t="n">
        <f aca="false">IF((F16="h"),I16," ")</f>
        <v>48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 t="n">
        <v>46001</v>
      </c>
      <c r="B17" s="2" t="s">
        <v>76</v>
      </c>
      <c r="F17" s="5" t="s">
        <v>70</v>
      </c>
      <c r="G17" s="52" t="n">
        <v>36</v>
      </c>
      <c r="I17" s="6" t="n">
        <f aca="false">IF((G17&lt;&gt;0),G17-H17," ")</f>
        <v>36</v>
      </c>
      <c r="J17" s="5"/>
      <c r="M17" s="7" t="n">
        <f aca="false">IF(G17&lt;&gt;0,G17-L17," ")</f>
        <v>36</v>
      </c>
      <c r="N17" s="8" t="n">
        <f aca="false">IF((G17-L17)&lt;&gt;0,N$1-A17," ")</f>
        <v>129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52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 t="n">
        <v>46001</v>
      </c>
      <c r="B18" s="2" t="s">
        <v>108</v>
      </c>
      <c r="F18" s="5" t="s">
        <v>60</v>
      </c>
      <c r="G18" s="52" t="n">
        <v>120</v>
      </c>
      <c r="I18" s="6" t="n">
        <f aca="false">IF((G18&lt;&gt;0),G18-H18," ")</f>
        <v>120</v>
      </c>
      <c r="J18" s="5"/>
      <c r="M18" s="7" t="n">
        <f aca="false">IF(G18&lt;&gt;0,G18-L18," ")</f>
        <v>120</v>
      </c>
      <c r="N18" s="8" t="n">
        <f aca="false">IF((G18-L18)&lt;&gt;0,N$1-A18," ")</f>
        <v>129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n">
        <f aca="false">IF((F18="g"),I18," ")</f>
        <v>120</v>
      </c>
      <c r="W18" s="52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 t="n">
        <v>46003</v>
      </c>
      <c r="B19" s="2" t="s">
        <v>81</v>
      </c>
      <c r="F19" s="5" t="s">
        <v>24</v>
      </c>
      <c r="G19" s="52" t="n">
        <v>18</v>
      </c>
      <c r="I19" s="6" t="n">
        <f aca="false">IF((G19&lt;&gt;0),G19-H19," ")</f>
        <v>18</v>
      </c>
      <c r="J19" s="5"/>
      <c r="M19" s="7" t="n">
        <f aca="false">IF(G19&lt;&gt;0,G19-L19," ")</f>
        <v>18</v>
      </c>
      <c r="N19" s="8" t="n">
        <f aca="false">IF((G19-L19)&lt;&gt;0,N$1-A19," ")</f>
        <v>127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52" t="n">
        <f aca="false">IF((F19="v"),I19," ")</f>
        <v>18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 t="n">
        <v>46005</v>
      </c>
      <c r="B20" s="2" t="s">
        <v>82</v>
      </c>
      <c r="F20" s="5" t="s">
        <v>70</v>
      </c>
      <c r="G20" s="52" t="n">
        <v>24</v>
      </c>
      <c r="I20" s="6" t="n">
        <f aca="false">IF((G20&lt;&gt;0),G20-H20," ")</f>
        <v>24</v>
      </c>
      <c r="J20" s="5"/>
      <c r="M20" s="7" t="n">
        <f aca="false">IF(G20&lt;&gt;0,G20-L20," ")</f>
        <v>24</v>
      </c>
      <c r="N20" s="8" t="n">
        <f aca="false">IF((G20-L20)&lt;&gt;0,N$1-A20," ")</f>
        <v>125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52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 t="n">
        <v>46005</v>
      </c>
      <c r="B21" s="2" t="s">
        <v>83</v>
      </c>
      <c r="F21" s="5" t="s">
        <v>75</v>
      </c>
      <c r="G21" s="52" t="n">
        <v>24</v>
      </c>
      <c r="I21" s="6" t="n">
        <f aca="false">IF((G21&lt;&gt;0),G21-H21," ")</f>
        <v>24</v>
      </c>
      <c r="J21" s="5"/>
      <c r="M21" s="7" t="n">
        <f aca="false">IF(G21&lt;&gt;0,G21-L21," ")</f>
        <v>24</v>
      </c>
      <c r="N21" s="8" t="n">
        <f aca="false">IF((G21-L21)&lt;&gt;0,N$1-A21," ")</f>
        <v>125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52" t="str">
        <f aca="false">IF((F21="v"),I21," ")</f>
        <v> </v>
      </c>
      <c r="X21" s="19" t="n">
        <f aca="false">IF((F21="h"),I21," ")</f>
        <v>24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 t="n">
        <v>46005</v>
      </c>
      <c r="B22" s="2" t="s">
        <v>84</v>
      </c>
      <c r="F22" s="5" t="s">
        <v>75</v>
      </c>
      <c r="G22" s="52" t="n">
        <v>12</v>
      </c>
      <c r="I22" s="6" t="n">
        <f aca="false">IF((G22&lt;&gt;0),G22-H22," ")</f>
        <v>12</v>
      </c>
      <c r="J22" s="5"/>
      <c r="M22" s="7" t="n">
        <f aca="false">IF(G22&lt;&gt;0,G22-L22," ")</f>
        <v>12</v>
      </c>
      <c r="N22" s="8" t="n">
        <f aca="false">IF((G22-L22)&lt;&gt;0,N$1-A22," ")</f>
        <v>125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52" t="str">
        <f aca="false">IF((F22="v"),I22," ")</f>
        <v> </v>
      </c>
      <c r="X22" s="19" t="n">
        <f aca="false">IF((F22="h"),I22," ")</f>
        <v>12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 t="n">
        <v>46006</v>
      </c>
      <c r="B23" s="2" t="s">
        <v>19</v>
      </c>
      <c r="F23" s="5" t="s">
        <v>24</v>
      </c>
      <c r="G23" s="52" t="n">
        <v>150</v>
      </c>
      <c r="I23" s="6" t="n">
        <f aca="false">IF((G23&lt;&gt;0),G23-H23," ")</f>
        <v>150</v>
      </c>
      <c r="J23" s="5"/>
      <c r="M23" s="7" t="n">
        <f aca="false">IF(G23&lt;&gt;0,G23-L23," ")</f>
        <v>150</v>
      </c>
      <c r="N23" s="8" t="n">
        <f aca="false">IF((G23-L23)&lt;&gt;0,N$1-A23," ")</f>
        <v>124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52" t="n">
        <f aca="false">IF((F23="v"),I23," ")</f>
        <v>150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 t="n">
        <v>46006</v>
      </c>
      <c r="B24" s="2" t="s">
        <v>85</v>
      </c>
      <c r="F24" s="5" t="s">
        <v>60</v>
      </c>
      <c r="G24" s="52" t="n">
        <v>12</v>
      </c>
      <c r="I24" s="6" t="n">
        <f aca="false">IF((G24&lt;&gt;0),G24-H24," ")</f>
        <v>12</v>
      </c>
      <c r="J24" s="5"/>
      <c r="M24" s="7" t="n">
        <f aca="false">IF(G24&lt;&gt;0,G24-L24," ")</f>
        <v>12</v>
      </c>
      <c r="N24" s="8" t="n">
        <f aca="false">IF((G24-L24)&lt;&gt;0,N$1-A24," ")</f>
        <v>124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n">
        <f aca="false">IF((F24="g"),I24," ")</f>
        <v>12</v>
      </c>
      <c r="W24" s="52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 t="n">
        <v>46006</v>
      </c>
      <c r="B25" s="2" t="s">
        <v>129</v>
      </c>
      <c r="F25" s="5" t="s">
        <v>130</v>
      </c>
      <c r="G25" s="52" t="n">
        <v>500</v>
      </c>
      <c r="I25" s="6" t="n">
        <f aca="false">IF((G25&lt;&gt;0),G25-H25," ")</f>
        <v>500</v>
      </c>
      <c r="J25" s="5"/>
      <c r="M25" s="7" t="n">
        <f aca="false">IF(G25&lt;&gt;0,G25-L25," ")</f>
        <v>500</v>
      </c>
      <c r="N25" s="8" t="n">
        <f aca="false">IF((G25-L25)&lt;&gt;0,N$1-A25," ")</f>
        <v>124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52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n">
        <f aca="false">IF((F25="y"),I25," ")</f>
        <v>500</v>
      </c>
      <c r="AB25" s="19" t="str">
        <f aca="false">IF((F25="fa"),I25," ")</f>
        <v> </v>
      </c>
    </row>
    <row r="26" customFormat="false" ht="12" hidden="false" customHeight="false" outlineLevel="0" collapsed="false">
      <c r="A26" s="27" t="n">
        <v>46009</v>
      </c>
      <c r="B26" s="2" t="s">
        <v>112</v>
      </c>
      <c r="F26" s="5" t="s">
        <v>80</v>
      </c>
      <c r="G26" s="52" t="n">
        <v>480</v>
      </c>
      <c r="I26" s="6" t="n">
        <f aca="false">IF((G26&lt;&gt;0),G26-H26," ")</f>
        <v>480</v>
      </c>
      <c r="J26" s="5"/>
      <c r="M26" s="7" t="n">
        <f aca="false">IF(G26&lt;&gt;0,G26-L26," ")</f>
        <v>480</v>
      </c>
      <c r="N26" s="8" t="n">
        <f aca="false">IF((G26-L26)&lt;&gt;0,N$1-A26," ")</f>
        <v>121</v>
      </c>
      <c r="O26" s="5"/>
      <c r="P26" s="19" t="n">
        <f aca="false">IF((F26="s"),I26," ")</f>
        <v>480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52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 t="n">
        <v>46009</v>
      </c>
      <c r="B27" s="2" t="s">
        <v>86</v>
      </c>
      <c r="F27" s="5" t="s">
        <v>24</v>
      </c>
      <c r="G27" s="52" t="n">
        <v>96</v>
      </c>
      <c r="I27" s="6" t="n">
        <f aca="false">IF((G27&lt;&gt;0),G27-H27," ")</f>
        <v>96</v>
      </c>
      <c r="J27" s="5"/>
      <c r="M27" s="7" t="n">
        <f aca="false">IF(G27&lt;&gt;0,G27-L27," ")</f>
        <v>96</v>
      </c>
      <c r="N27" s="8" t="n">
        <f aca="false">IF((G27-L27)&lt;&gt;0,N$1-A27," ")</f>
        <v>121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52" t="n">
        <f aca="false">IF((F27="v"),I27," ")</f>
        <v>96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 t="n">
        <v>46011</v>
      </c>
      <c r="B28" s="2" t="s">
        <v>87</v>
      </c>
      <c r="F28" s="5" t="s">
        <v>60</v>
      </c>
      <c r="G28" s="52" t="n">
        <v>60</v>
      </c>
      <c r="I28" s="6" t="n">
        <f aca="false">IF((G28&lt;&gt;0),G28-H28," ")</f>
        <v>60</v>
      </c>
      <c r="J28" s="5"/>
      <c r="M28" s="7" t="n">
        <f aca="false">IF(G28&lt;&gt;0,G28-L28," ")</f>
        <v>60</v>
      </c>
      <c r="N28" s="8" t="n">
        <f aca="false">IF((G28-L28)&lt;&gt;0,N$1-A28," ")</f>
        <v>119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n">
        <f aca="false">IF((F28="g"),I28," ")</f>
        <v>60</v>
      </c>
      <c r="W28" s="52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 t="n">
        <v>46012</v>
      </c>
      <c r="B29" s="2" t="s">
        <v>90</v>
      </c>
      <c r="F29" s="5" t="s">
        <v>75</v>
      </c>
      <c r="G29" s="52" t="n">
        <v>8</v>
      </c>
      <c r="I29" s="6" t="n">
        <f aca="false">IF((G29&lt;&gt;0),G29-H29," ")</f>
        <v>8</v>
      </c>
      <c r="J29" s="5"/>
      <c r="M29" s="7" t="n">
        <f aca="false">IF(G29&lt;&gt;0,G29-L29," ")</f>
        <v>8</v>
      </c>
      <c r="N29" s="8" t="n">
        <f aca="false">IF((G29-L29)&lt;&gt;0,N$1-A29," ")</f>
        <v>118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52" t="str">
        <f aca="false">IF((F29="v"),I29," ")</f>
        <v> </v>
      </c>
      <c r="X29" s="19" t="n">
        <f aca="false">IF((F29="h"),I29," ")</f>
        <v>8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 t="n">
        <v>46013</v>
      </c>
      <c r="B30" s="2" t="s">
        <v>91</v>
      </c>
      <c r="F30" s="5" t="s">
        <v>70</v>
      </c>
      <c r="G30" s="52" t="n">
        <v>18</v>
      </c>
      <c r="I30" s="6" t="n">
        <f aca="false">IF((G30&lt;&gt;0),G30-H30," ")</f>
        <v>18</v>
      </c>
      <c r="J30" s="5"/>
      <c r="M30" s="7" t="n">
        <f aca="false">IF(G30&lt;&gt;0,G30-L30," ")</f>
        <v>18</v>
      </c>
      <c r="N30" s="8" t="n">
        <f aca="false">IF((G30-L30)&lt;&gt;0,N$1-A30," ")</f>
        <v>117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52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 t="n">
        <v>46016</v>
      </c>
      <c r="B31" s="2" t="s">
        <v>113</v>
      </c>
      <c r="F31" s="5" t="s">
        <v>114</v>
      </c>
      <c r="G31" s="52" t="n">
        <v>420</v>
      </c>
      <c r="I31" s="6" t="n">
        <f aca="false">IF((G31&lt;&gt;0),G31-H31," ")</f>
        <v>420</v>
      </c>
      <c r="J31" s="5"/>
      <c r="M31" s="7" t="n">
        <f aca="false">IF(G31&lt;&gt;0,G31-L31," ")</f>
        <v>420</v>
      </c>
      <c r="N31" s="8" t="n">
        <f aca="false">IF((G31-L31)&lt;&gt;0,N$1-A31," ")</f>
        <v>114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n">
        <f aca="false">IF((F31="p"),I31," ")</f>
        <v>420</v>
      </c>
      <c r="U31" s="19" t="str">
        <f aca="false">IF((F31="m"),I31," ")</f>
        <v> </v>
      </c>
      <c r="V31" s="19" t="str">
        <f aca="false">IF((F31="g"),I31," ")</f>
        <v> </v>
      </c>
      <c r="W31" s="52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 t="n">
        <v>46016</v>
      </c>
      <c r="B32" s="2" t="s">
        <v>92</v>
      </c>
      <c r="F32" s="5" t="s">
        <v>70</v>
      </c>
      <c r="G32" s="52" t="n">
        <v>15</v>
      </c>
      <c r="I32" s="6" t="n">
        <f aca="false">IF((G32&lt;&gt;0),G32-H32," ")</f>
        <v>15</v>
      </c>
      <c r="J32" s="5"/>
      <c r="M32" s="7" t="n">
        <f aca="false">IF(G32&lt;&gt;0,G32-L32," ")</f>
        <v>15</v>
      </c>
      <c r="N32" s="8" t="n">
        <f aca="false">IF((G32-L32)&lt;&gt;0,N$1-A32," ")</f>
        <v>114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52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 t="n">
        <v>46016</v>
      </c>
      <c r="B33" s="2" t="s">
        <v>93</v>
      </c>
      <c r="F33" s="5" t="s">
        <v>24</v>
      </c>
      <c r="G33" s="52" t="n">
        <v>49.5</v>
      </c>
      <c r="I33" s="6" t="n">
        <f aca="false">IF((G33&lt;&gt;0),G33-H33," ")</f>
        <v>49.5</v>
      </c>
      <c r="J33" s="5"/>
      <c r="M33" s="7" t="n">
        <f aca="false">IF(G33&lt;&gt;0,G33-L33," ")</f>
        <v>49.5</v>
      </c>
      <c r="N33" s="8" t="n">
        <f aca="false">IF((G33-L33)&lt;&gt;0,N$1-A33," ")</f>
        <v>114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52" t="n">
        <f aca="false">IF((F33="v"),I33," ")</f>
        <v>49.5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 t="n">
        <v>46019</v>
      </c>
      <c r="B34" s="2" t="s">
        <v>19</v>
      </c>
      <c r="F34" s="5" t="s">
        <v>24</v>
      </c>
      <c r="G34" s="52" t="n">
        <v>120</v>
      </c>
      <c r="I34" s="6" t="n">
        <f aca="false">IF((G34&lt;&gt;0),G34-H34," ")</f>
        <v>120</v>
      </c>
      <c r="J34" s="5"/>
      <c r="M34" s="7" t="n">
        <f aca="false">IF(G34&lt;&gt;0,G34-L34," ")</f>
        <v>120</v>
      </c>
      <c r="N34" s="8" t="n">
        <f aca="false">IF((G34-L34)&lt;&gt;0,N$1-A34," ")</f>
        <v>111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52" t="n">
        <f aca="false">IF((F34="v"),I34," ")</f>
        <v>120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 t="n">
        <v>46022</v>
      </c>
      <c r="B35" s="2" t="s">
        <v>15</v>
      </c>
      <c r="F35" s="5" t="s">
        <v>94</v>
      </c>
      <c r="G35" s="52" t="n">
        <v>300</v>
      </c>
      <c r="I35" s="6" t="n">
        <f aca="false">IF((G35&lt;&gt;0),G35-H35," ")</f>
        <v>300</v>
      </c>
      <c r="J35" s="5"/>
      <c r="M35" s="7" t="n">
        <f aca="false">IF(G35&lt;&gt;0,G35-L35," ")</f>
        <v>300</v>
      </c>
      <c r="N35" s="8" t="n">
        <f aca="false">IF((G35-L35)&lt;&gt;0,N$1-A35," ")</f>
        <v>108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52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n">
        <f aca="false">IF((F35="l"),I35," ")</f>
        <v>300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 t="n">
        <v>46022</v>
      </c>
      <c r="B36" s="2" t="s">
        <v>131</v>
      </c>
      <c r="F36" s="5" t="s">
        <v>124</v>
      </c>
      <c r="G36" s="52" t="n">
        <v>5000</v>
      </c>
      <c r="I36" s="6" t="n">
        <f aca="false">IF((G36&lt;&gt;0),G36-H36," ")</f>
        <v>5000</v>
      </c>
      <c r="J36" s="5"/>
      <c r="M36" s="7" t="n">
        <f aca="false">IF(G36&lt;&gt;0,G36-L36," ")</f>
        <v>5000</v>
      </c>
      <c r="N36" s="8" t="n">
        <f aca="false">IF((G36-L36)&lt;&gt;0,N$1-A36," ")</f>
        <v>108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n">
        <f aca="false">IF((F36="w"),I36," ")</f>
        <v>5000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52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 t="n">
        <v>46022</v>
      </c>
      <c r="B37" s="2" t="s">
        <v>115</v>
      </c>
      <c r="F37" s="5" t="s">
        <v>94</v>
      </c>
      <c r="G37" s="52" t="n">
        <v>167</v>
      </c>
      <c r="I37" s="6" t="n">
        <f aca="false">IF((G37&lt;&gt;0),G37-H37," ")</f>
        <v>167</v>
      </c>
      <c r="J37" s="5"/>
      <c r="M37" s="7" t="n">
        <f aca="false">IF(G37&lt;&gt;0,G37-L37," ")</f>
        <v>167</v>
      </c>
      <c r="N37" s="8" t="n">
        <f aca="false">IF((G37-L37)&lt;&gt;0,N$1-A37," ")</f>
        <v>108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52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n">
        <f aca="false">IF((F37="l"),I37," ")</f>
        <v>167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52"/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52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52"/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52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52"/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52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52"/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52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52"/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52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52"/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52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52"/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52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52"/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52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52"/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52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52"/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52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52"/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52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52"/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52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52"/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52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52"/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52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52"/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52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52"/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52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52"/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52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52"/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52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52"/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52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52"/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52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52"/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52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52"/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52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52"/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52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52"/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52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52"/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52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52"/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52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52"/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52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52"/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52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52"/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52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52"/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52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52"/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52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52"/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52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52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52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52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52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52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52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52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52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52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52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52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52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52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52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52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52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52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52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52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52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52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52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52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52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52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52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52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52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52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52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52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52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52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52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52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52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52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52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52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52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52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52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52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52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52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52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52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52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52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52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52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52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52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52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52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52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52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52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52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52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52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52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52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52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52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52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52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52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52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52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52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52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52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52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52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52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52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52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52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52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52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52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52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52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52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52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52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52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52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52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52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52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52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52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52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52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52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52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52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52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52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52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52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52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52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52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52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52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52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52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52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52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52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52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52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52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52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52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52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52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52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52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52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52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52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52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52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52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52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52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52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52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52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52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52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52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52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52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52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52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52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52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52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52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52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52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52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52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52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52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52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52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52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52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52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52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52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52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52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52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52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52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52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52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52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52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52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52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52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52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52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52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52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52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52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52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52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52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52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52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52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52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52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52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52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52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52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52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52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52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52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52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52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52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52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52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52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52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52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52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52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52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52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52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52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52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52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52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52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52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52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52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52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52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52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52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52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52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52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52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52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52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52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52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52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52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52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52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52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52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52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52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52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52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52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52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52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52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52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52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52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52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52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52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52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52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52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52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52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52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52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52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52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52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52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52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52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52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52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52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52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52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52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52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52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52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52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52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52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52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52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52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52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52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52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52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52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52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52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52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52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52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52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52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52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52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52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52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52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52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52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52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52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52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52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52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52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52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52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52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52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52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52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52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52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52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52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52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52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52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52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52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52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52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52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52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52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52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52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52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52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52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52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52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52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52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52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52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52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52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52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52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52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52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52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52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52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52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52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52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52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52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52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52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52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52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52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52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52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52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52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52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52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52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52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52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52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52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52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52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52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52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52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52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52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52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52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52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52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52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52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52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52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52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52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52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52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52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52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52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52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52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52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52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52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52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52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52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52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52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52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52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52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52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52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52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52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52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52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52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52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52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52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52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52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52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52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52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52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52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52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52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52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52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52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52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52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52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52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52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52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52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52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52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52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52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52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52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52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52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52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52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52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52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52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52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52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52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52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52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52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52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52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52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52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52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52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52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52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52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52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52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52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52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52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52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52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52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52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52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0"/>
      <c r="B300" s="31"/>
      <c r="C300" s="32"/>
      <c r="D300" s="33"/>
      <c r="E300" s="31"/>
      <c r="F300" s="53" t="str">
        <f aca="false">IF((G300&lt;&gt;0),"Enter Letter"," ")</f>
        <v> </v>
      </c>
      <c r="G300" s="54"/>
      <c r="H300" s="34" t="str">
        <f aca="false">IF(G300&lt;&gt;0,G300*H$2/(100+H$2)," ")</f>
        <v> </v>
      </c>
      <c r="I300" s="34" t="str">
        <f aca="false">IF((G300&lt;&gt;0),G300-H300," ")</f>
        <v> </v>
      </c>
      <c r="J300" s="55"/>
      <c r="K300" s="34"/>
      <c r="L300" s="34"/>
      <c r="M300" s="35" t="str">
        <f aca="false">IF(G300&lt;&gt;0,G300-L300," ")</f>
        <v> </v>
      </c>
      <c r="N300" s="36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8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79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99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7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8" t="n">
        <f aca="false">G1-H1-SUM(P1:AB1)</f>
        <v>1855</v>
      </c>
      <c r="B1" s="39" t="s">
        <v>21</v>
      </c>
      <c r="C1" s="39"/>
      <c r="D1" s="12" t="n">
        <f aca="false">SUM(D5:D300)</f>
        <v>0</v>
      </c>
      <c r="E1" s="13" t="s">
        <v>3</v>
      </c>
      <c r="F1" s="14"/>
      <c r="G1" s="13" t="n">
        <f aca="false">SUM(G2:G300)</f>
        <v>4511.25</v>
      </c>
      <c r="H1" s="13" t="n">
        <f aca="false">SUM(H5:H200)</f>
        <v>0</v>
      </c>
      <c r="I1" s="13" t="n">
        <f aca="false">SUM(I2:I200)</f>
        <v>4511.25</v>
      </c>
      <c r="J1" s="15"/>
      <c r="K1" s="16" t="s">
        <v>4</v>
      </c>
      <c r="L1" s="17" t="n">
        <f aca="false">SUM(L5:L300)</f>
        <v>0</v>
      </c>
      <c r="M1" s="17" t="n">
        <f aca="false">SUM(M5:M200)</f>
        <v>4511.25</v>
      </c>
      <c r="N1" s="18" t="n">
        <f aca="true">TODAY()</f>
        <v>46130</v>
      </c>
      <c r="O1" s="15"/>
      <c r="P1" s="13" t="n">
        <f aca="false">SUM(P5:P300)</f>
        <v>600</v>
      </c>
      <c r="Q1" s="13" t="n">
        <f aca="false">SUM(Q5:Q300)</f>
        <v>0</v>
      </c>
      <c r="R1" s="13" t="n">
        <f aca="false">SUM(R5:R300)</f>
        <v>249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144</v>
      </c>
      <c r="V1" s="13" t="n">
        <f aca="false">SUM(V5:V300)</f>
        <v>153</v>
      </c>
      <c r="W1" s="13" t="n">
        <f aca="false">SUM(W2:W300)</f>
        <v>638.25</v>
      </c>
      <c r="X1" s="13" t="n">
        <f aca="false">SUM(X5:X300)</f>
        <v>92</v>
      </c>
      <c r="Y1" s="13" t="n">
        <f aca="false">SUM(Y5:Y300)</f>
        <v>480</v>
      </c>
      <c r="Z1" s="13" t="n">
        <f aca="false">SUM(Z5:Z300)</f>
        <v>300</v>
      </c>
      <c r="AA1" s="13" t="n">
        <f aca="false">SUM(AA5:AA300)</f>
        <v>0</v>
      </c>
      <c r="AB1" s="13" t="n">
        <f aca="false">SUM(AB5:AB300)</f>
        <v>0</v>
      </c>
      <c r="AC1" s="40"/>
      <c r="AD1" s="13" t="n">
        <f aca="false">SUM(AD5:AD300)</f>
        <v>0</v>
      </c>
      <c r="AE1" s="41"/>
    </row>
    <row r="2" s="19" customFormat="true" ht="13.5" hidden="false" customHeight="true" outlineLevel="0" collapsed="false">
      <c r="A2" s="42" t="n">
        <f aca="false">G2+Dec!A2</f>
        <v>0</v>
      </c>
      <c r="B2" s="43" t="s">
        <v>22</v>
      </c>
      <c r="C2" s="42" t="n">
        <f aca="false">Dec!C2+D1+[1]Jan!$D$1</f>
        <v>0</v>
      </c>
      <c r="D2" s="44" t="s">
        <v>23</v>
      </c>
      <c r="E2" s="20" t="s">
        <v>5</v>
      </c>
      <c r="F2" s="43" t="str">
        <f aca="false">Dec!F2</f>
        <v>v</v>
      </c>
      <c r="G2" s="45" t="n">
        <f aca="false">IF(C2&lt;[2]Admin!$F$22,(C2-Dec!C2)*[2]Admin!$G$21,C2*[2]Admin!$G$21-(C2-[2]Admin!$F$21)*([2]Admin!$G$21-[2]Admin!$G$22)-Dec!A2)</f>
        <v>0</v>
      </c>
      <c r="H2" s="21" t="n">
        <f aca="false">IF([1]Jan!$H$4&gt;0,0,[1]Jan!$H$2)</f>
        <v>20</v>
      </c>
      <c r="I2" s="46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7" t="s">
        <v>27</v>
      </c>
      <c r="U2" s="10" t="s">
        <v>28</v>
      </c>
      <c r="V2" s="10" t="s">
        <v>29</v>
      </c>
      <c r="W2" s="48" t="n">
        <f aca="false">IF((F2="v"),I2," ")</f>
        <v>0</v>
      </c>
      <c r="X2" s="10" t="s">
        <v>30</v>
      </c>
      <c r="Y2" s="10" t="s">
        <v>31</v>
      </c>
      <c r="Z2" s="10" t="s">
        <v>32</v>
      </c>
      <c r="AA2" s="10" t="s">
        <v>33</v>
      </c>
      <c r="AB2" s="49" t="n">
        <f aca="false">AB1+Dec!AB2</f>
        <v>39000</v>
      </c>
      <c r="AC2" s="40"/>
      <c r="AD2" s="10" t="s">
        <v>34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4"/>
      <c r="E3" s="44"/>
      <c r="F3" s="20" t="s">
        <v>35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36</v>
      </c>
      <c r="Q3" s="20" t="s">
        <v>37</v>
      </c>
      <c r="R3" s="20" t="s">
        <v>38</v>
      </c>
      <c r="S3" s="10"/>
      <c r="T3" s="20" t="s">
        <v>39</v>
      </c>
      <c r="U3" s="10"/>
      <c r="V3" s="10"/>
      <c r="W3" s="49" t="s">
        <v>40</v>
      </c>
      <c r="X3" s="10"/>
      <c r="Y3" s="10"/>
      <c r="Z3" s="10"/>
      <c r="AA3" s="10"/>
      <c r="AB3" s="49" t="s">
        <v>41</v>
      </c>
      <c r="AC3" s="40"/>
      <c r="AD3" s="10" t="s">
        <v>42</v>
      </c>
      <c r="AE3" s="10"/>
    </row>
    <row r="4" s="26" customFormat="true" ht="12.75" hidden="false" customHeight="true" outlineLevel="0" collapsed="false">
      <c r="A4" s="9"/>
      <c r="B4" s="10"/>
      <c r="C4" s="11"/>
      <c r="D4" s="44"/>
      <c r="E4" s="44"/>
      <c r="F4" s="20"/>
      <c r="G4" s="10"/>
      <c r="H4" s="10"/>
      <c r="I4" s="10"/>
      <c r="J4" s="15"/>
      <c r="K4" s="16"/>
      <c r="L4" s="23"/>
      <c r="M4" s="23"/>
      <c r="N4" s="24"/>
      <c r="O4" s="15"/>
      <c r="P4" s="50" t="s">
        <v>43</v>
      </c>
      <c r="Q4" s="50" t="s">
        <v>44</v>
      </c>
      <c r="R4" s="50" t="s">
        <v>45</v>
      </c>
      <c r="S4" s="50" t="s">
        <v>46</v>
      </c>
      <c r="T4" s="50" t="s">
        <v>47</v>
      </c>
      <c r="U4" s="50" t="s">
        <v>48</v>
      </c>
      <c r="V4" s="50" t="s">
        <v>49</v>
      </c>
      <c r="W4" s="51" t="s">
        <v>50</v>
      </c>
      <c r="X4" s="50" t="s">
        <v>51</v>
      </c>
      <c r="Y4" s="50" t="s">
        <v>52</v>
      </c>
      <c r="Z4" s="50" t="s">
        <v>53</v>
      </c>
      <c r="AA4" s="50" t="s">
        <v>54</v>
      </c>
      <c r="AB4" s="50" t="s">
        <v>55</v>
      </c>
      <c r="AC4" s="40"/>
      <c r="AD4" s="10" t="s">
        <v>56</v>
      </c>
      <c r="AE4" s="10" t="s">
        <v>57</v>
      </c>
    </row>
    <row r="5" s="5" customFormat="true" ht="12" hidden="false" customHeight="false" outlineLevel="0" collapsed="false">
      <c r="A5" s="27" t="n">
        <v>46023</v>
      </c>
      <c r="B5" s="5" t="s">
        <v>13</v>
      </c>
      <c r="F5" s="5" t="s">
        <v>58</v>
      </c>
      <c r="G5" s="52" t="n">
        <v>1200</v>
      </c>
      <c r="I5" s="6" t="n">
        <f aca="false">IF((G5&lt;&gt;0),G5-H5," ")</f>
        <v>1200</v>
      </c>
      <c r="K5" s="6"/>
      <c r="L5" s="6"/>
      <c r="M5" s="7" t="n">
        <f aca="false">IF(G5&lt;&gt;0,G5-L5," ")</f>
        <v>1200</v>
      </c>
      <c r="N5" s="8" t="n">
        <f aca="false">IF((G5-L5)&lt;&gt;0,N$1-A5," ")</f>
        <v>107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52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 t="n">
        <v>46023</v>
      </c>
      <c r="B6" s="2" t="s">
        <v>59</v>
      </c>
      <c r="F6" s="5" t="s">
        <v>60</v>
      </c>
      <c r="G6" s="52" t="n">
        <v>30</v>
      </c>
      <c r="I6" s="6" t="n">
        <f aca="false">IF((G6&lt;&gt;0),G6-H6," ")</f>
        <v>30</v>
      </c>
      <c r="J6" s="5"/>
      <c r="M6" s="7" t="n">
        <f aca="false">IF(G6&lt;&gt;0,G6-L6," ")</f>
        <v>30</v>
      </c>
      <c r="N6" s="8" t="n">
        <f aca="false">IF((G6-L6)&lt;&gt;0,N$1-A6," ")</f>
        <v>107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30</v>
      </c>
      <c r="W6" s="52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 t="n">
        <v>46023</v>
      </c>
      <c r="B7" s="2" t="s">
        <v>61</v>
      </c>
      <c r="F7" s="5" t="s">
        <v>60</v>
      </c>
      <c r="G7" s="52" t="n">
        <v>15</v>
      </c>
      <c r="I7" s="6" t="n">
        <f aca="false">IF((G7&lt;&gt;0),G7-H7," ")</f>
        <v>15</v>
      </c>
      <c r="J7" s="5"/>
      <c r="M7" s="7" t="n">
        <f aca="false">IF(G7&lt;&gt;0,G7-L7," ")</f>
        <v>15</v>
      </c>
      <c r="N7" s="8" t="n">
        <f aca="false">IF((G7-L7)&lt;&gt;0,N$1-A7," ")</f>
        <v>107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15</v>
      </c>
      <c r="W7" s="52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 t="n">
        <v>46023</v>
      </c>
      <c r="B8" s="2" t="s">
        <v>62</v>
      </c>
      <c r="F8" s="5" t="s">
        <v>63</v>
      </c>
      <c r="G8" s="52" t="n">
        <v>45</v>
      </c>
      <c r="I8" s="6" t="n">
        <f aca="false">IF((G8&lt;&gt;0),G8-H8," ")</f>
        <v>45</v>
      </c>
      <c r="J8" s="5"/>
      <c r="M8" s="7" t="n">
        <f aca="false">IF(G8&lt;&gt;0,G8-L8," ")</f>
        <v>45</v>
      </c>
      <c r="N8" s="8" t="n">
        <f aca="false">IF((G8-L8)&lt;&gt;0,N$1-A8," ")</f>
        <v>107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45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52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 t="n">
        <v>46023</v>
      </c>
      <c r="B9" s="2" t="s">
        <v>66</v>
      </c>
      <c r="F9" s="5" t="s">
        <v>63</v>
      </c>
      <c r="G9" s="52" t="n">
        <v>24</v>
      </c>
      <c r="I9" s="6" t="n">
        <f aca="false">IF((G9&lt;&gt;0),G9-H9," ")</f>
        <v>24</v>
      </c>
      <c r="J9" s="5"/>
      <c r="M9" s="7" t="n">
        <f aca="false">IF(G9&lt;&gt;0,G9-L9," ")</f>
        <v>24</v>
      </c>
      <c r="N9" s="8" t="n">
        <f aca="false">IF((G9-L9)&lt;&gt;0,N$1-A9," ")</f>
        <v>107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n">
        <f aca="false">IF((F9="o"),I9," ")</f>
        <v>24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52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 t="n">
        <v>46023</v>
      </c>
      <c r="B10" s="2" t="s">
        <v>67</v>
      </c>
      <c r="F10" s="5" t="s">
        <v>60</v>
      </c>
      <c r="G10" s="52" t="n">
        <v>18</v>
      </c>
      <c r="I10" s="6" t="n">
        <f aca="false">IF((G10&lt;&gt;0),G10-H10," ")</f>
        <v>18</v>
      </c>
      <c r="J10" s="5"/>
      <c r="M10" s="7" t="n">
        <f aca="false">IF(G10&lt;&gt;0,G10-L10," ")</f>
        <v>18</v>
      </c>
      <c r="N10" s="8" t="n">
        <f aca="false">IF((G10-L10)&lt;&gt;0,N$1-A10," ")</f>
        <v>107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n">
        <f aca="false">IF((F10="g"),I10," ")</f>
        <v>18</v>
      </c>
      <c r="W10" s="52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 t="n">
        <v>46025</v>
      </c>
      <c r="B11" s="2" t="s">
        <v>68</v>
      </c>
      <c r="F11" s="5" t="s">
        <v>63</v>
      </c>
      <c r="G11" s="52" t="n">
        <v>180</v>
      </c>
      <c r="I11" s="6" t="n">
        <f aca="false">IF((G11&lt;&gt;0),G11-H11," ")</f>
        <v>180</v>
      </c>
      <c r="J11" s="5"/>
      <c r="M11" s="7" t="n">
        <f aca="false">IF(G11&lt;&gt;0,G11-L11," ")</f>
        <v>180</v>
      </c>
      <c r="N11" s="8" t="n">
        <f aca="false">IF((G11-L11)&lt;&gt;0,N$1-A11," ")</f>
        <v>105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n">
        <f aca="false">IF((F11="o"),I11," ")</f>
        <v>180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52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 t="n">
        <v>46025</v>
      </c>
      <c r="B12" s="2" t="s">
        <v>69</v>
      </c>
      <c r="F12" s="5" t="s">
        <v>70</v>
      </c>
      <c r="G12" s="52" t="n">
        <v>22</v>
      </c>
      <c r="I12" s="6" t="n">
        <f aca="false">IF((G12&lt;&gt;0),G12-H12," ")</f>
        <v>22</v>
      </c>
      <c r="J12" s="5"/>
      <c r="M12" s="7" t="n">
        <f aca="false">IF(G12&lt;&gt;0,G12-L12," ")</f>
        <v>22</v>
      </c>
      <c r="N12" s="8" t="n">
        <f aca="false">IF((G12-L12)&lt;&gt;0,N$1-A12," ")</f>
        <v>105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52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 t="n">
        <v>46027</v>
      </c>
      <c r="B13" s="2" t="s">
        <v>71</v>
      </c>
      <c r="F13" s="5" t="s">
        <v>70</v>
      </c>
      <c r="G13" s="52" t="n">
        <v>24</v>
      </c>
      <c r="I13" s="6" t="n">
        <f aca="false">IF((G13&lt;&gt;0),G13-H13," ")</f>
        <v>24</v>
      </c>
      <c r="J13" s="5"/>
      <c r="M13" s="7" t="n">
        <f aca="false">IF(G13&lt;&gt;0,G13-L13," ")</f>
        <v>24</v>
      </c>
      <c r="N13" s="8" t="n">
        <f aca="false">IF((G13-L13)&lt;&gt;0,N$1-A13," ")</f>
        <v>103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52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 t="n">
        <v>46027</v>
      </c>
      <c r="B14" s="2" t="s">
        <v>118</v>
      </c>
      <c r="F14" s="5" t="s">
        <v>99</v>
      </c>
      <c r="G14" s="52" t="n">
        <v>480</v>
      </c>
      <c r="I14" s="6" t="n">
        <f aca="false">IF((G14&lt;&gt;0),G14-H14," ")</f>
        <v>480</v>
      </c>
      <c r="J14" s="5"/>
      <c r="M14" s="7" t="n">
        <f aca="false">IF(G14&lt;&gt;0,G14-L14," ")</f>
        <v>480</v>
      </c>
      <c r="N14" s="8" t="n">
        <f aca="false">IF((G14-L14)&lt;&gt;0,N$1-A14," ")</f>
        <v>103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52" t="str">
        <f aca="false">IF((F14="v"),I14," ")</f>
        <v> </v>
      </c>
      <c r="X14" s="19" t="str">
        <f aca="false">IF((F14="h"),I14," ")</f>
        <v> </v>
      </c>
      <c r="Y14" s="19" t="n">
        <f aca="false">IF((F14="a"),I14," ")</f>
        <v>480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 t="n">
        <v>46027</v>
      </c>
      <c r="B15" s="2" t="s">
        <v>72</v>
      </c>
      <c r="F15" s="5" t="s">
        <v>24</v>
      </c>
      <c r="G15" s="52" t="n">
        <v>180</v>
      </c>
      <c r="I15" s="6" t="n">
        <f aca="false">IF((G15&lt;&gt;0),G15-H15," ")</f>
        <v>180</v>
      </c>
      <c r="J15" s="5"/>
      <c r="M15" s="7" t="n">
        <f aca="false">IF(G15&lt;&gt;0,G15-L15," ")</f>
        <v>180</v>
      </c>
      <c r="N15" s="8" t="n">
        <f aca="false">IF((G15-L15)&lt;&gt;0,N$1-A15," ")</f>
        <v>103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52" t="n">
        <f aca="false">IF((F15="v"),I15," ")</f>
        <v>180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 t="n">
        <v>46030</v>
      </c>
      <c r="B16" s="2" t="s">
        <v>74</v>
      </c>
      <c r="F16" s="5" t="s">
        <v>75</v>
      </c>
      <c r="G16" s="52" t="n">
        <v>48</v>
      </c>
      <c r="I16" s="6" t="n">
        <f aca="false">IF((G16&lt;&gt;0),G16-H16," ")</f>
        <v>48</v>
      </c>
      <c r="J16" s="5"/>
      <c r="M16" s="7" t="n">
        <f aca="false">IF(G16&lt;&gt;0,G16-L16," ")</f>
        <v>48</v>
      </c>
      <c r="N16" s="8" t="n">
        <f aca="false">IF((G16-L16)&lt;&gt;0,N$1-A16," ")</f>
        <v>100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52" t="str">
        <f aca="false">IF((F16="v"),I16," ")</f>
        <v> </v>
      </c>
      <c r="X16" s="19" t="n">
        <f aca="false">IF((F16="h"),I16," ")</f>
        <v>48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 t="n">
        <v>46030</v>
      </c>
      <c r="B17" s="2" t="s">
        <v>96</v>
      </c>
      <c r="F17" s="5" t="s">
        <v>97</v>
      </c>
      <c r="G17" s="52" t="n">
        <v>180</v>
      </c>
      <c r="I17" s="6" t="n">
        <f aca="false">IF((G17&lt;&gt;0),G17-H17," ")</f>
        <v>180</v>
      </c>
      <c r="J17" s="5"/>
      <c r="M17" s="7" t="n">
        <f aca="false">IF(G17&lt;&gt;0,G17-L17," ")</f>
        <v>180</v>
      </c>
      <c r="N17" s="8" t="n">
        <f aca="false">IF((G17-L17)&lt;&gt;0,N$1-A17," ")</f>
        <v>100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52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 t="n">
        <v>46032</v>
      </c>
      <c r="B18" s="2" t="s">
        <v>76</v>
      </c>
      <c r="F18" s="5" t="s">
        <v>70</v>
      </c>
      <c r="G18" s="52" t="n">
        <v>36</v>
      </c>
      <c r="I18" s="6" t="n">
        <f aca="false">IF((G18&lt;&gt;0),G18-H18," ")</f>
        <v>36</v>
      </c>
      <c r="J18" s="5"/>
      <c r="M18" s="7" t="n">
        <f aca="false">IF(G18&lt;&gt;0,G18-L18," ")</f>
        <v>36</v>
      </c>
      <c r="N18" s="8" t="n">
        <f aca="false">IF((G18-L18)&lt;&gt;0,N$1-A18," ")</f>
        <v>98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52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 t="n">
        <v>46032</v>
      </c>
      <c r="B19" s="2" t="s">
        <v>77</v>
      </c>
      <c r="F19" s="5" t="s">
        <v>78</v>
      </c>
      <c r="G19" s="52" t="n">
        <v>180</v>
      </c>
      <c r="I19" s="6" t="n">
        <f aca="false">IF((G19&lt;&gt;0),G19-H19," ")</f>
        <v>180</v>
      </c>
      <c r="J19" s="5"/>
      <c r="M19" s="7" t="n">
        <f aca="false">IF(G19&lt;&gt;0,G19-L19," ")</f>
        <v>180</v>
      </c>
      <c r="N19" s="8" t="n">
        <f aca="false">IF((G19-L19)&lt;&gt;0,N$1-A19," ")</f>
        <v>98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52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 t="n">
        <v>46032</v>
      </c>
      <c r="B20" s="2" t="s">
        <v>79</v>
      </c>
      <c r="F20" s="5" t="s">
        <v>80</v>
      </c>
      <c r="G20" s="52" t="n">
        <v>600</v>
      </c>
      <c r="I20" s="6" t="n">
        <f aca="false">IF((G20&lt;&gt;0),G20-H20," ")</f>
        <v>600</v>
      </c>
      <c r="J20" s="5"/>
      <c r="M20" s="7" t="n">
        <f aca="false">IF(G20&lt;&gt;0,G20-L20," ")</f>
        <v>600</v>
      </c>
      <c r="N20" s="8" t="n">
        <f aca="false">IF((G20-L20)&lt;&gt;0,N$1-A20," ")</f>
        <v>98</v>
      </c>
      <c r="O20" s="5"/>
      <c r="P20" s="19" t="n">
        <f aca="false">IF((F20="s"),I20," ")</f>
        <v>600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52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 t="n">
        <v>46034</v>
      </c>
      <c r="B21" s="2" t="s">
        <v>81</v>
      </c>
      <c r="F21" s="5" t="s">
        <v>24</v>
      </c>
      <c r="G21" s="52" t="n">
        <v>18</v>
      </c>
      <c r="I21" s="6" t="n">
        <f aca="false">IF((G21&lt;&gt;0),G21-H21," ")</f>
        <v>18</v>
      </c>
      <c r="J21" s="5"/>
      <c r="M21" s="7" t="n">
        <f aca="false">IF(G21&lt;&gt;0,G21-L21," ")</f>
        <v>18</v>
      </c>
      <c r="N21" s="8" t="n">
        <f aca="false">IF((G21-L21)&lt;&gt;0,N$1-A21," ")</f>
        <v>96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52" t="n">
        <f aca="false">IF((F21="v"),I21," ")</f>
        <v>18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 t="n">
        <v>46036</v>
      </c>
      <c r="B22" s="2" t="s">
        <v>83</v>
      </c>
      <c r="F22" s="5" t="s">
        <v>75</v>
      </c>
      <c r="G22" s="52" t="n">
        <v>24</v>
      </c>
      <c r="I22" s="6" t="n">
        <f aca="false">IF((G22&lt;&gt;0),G22-H22," ")</f>
        <v>24</v>
      </c>
      <c r="J22" s="5"/>
      <c r="M22" s="7" t="n">
        <f aca="false">IF(G22&lt;&gt;0,G22-L22," ")</f>
        <v>24</v>
      </c>
      <c r="N22" s="8" t="n">
        <f aca="false">IF((G22-L22)&lt;&gt;0,N$1-A22," ")</f>
        <v>94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52" t="str">
        <f aca="false">IF((F22="v"),I22," ")</f>
        <v> </v>
      </c>
      <c r="X22" s="19" t="n">
        <f aca="false">IF((F22="h"),I22," ")</f>
        <v>24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 t="n">
        <v>46036</v>
      </c>
      <c r="B23" s="2" t="s">
        <v>84</v>
      </c>
      <c r="F23" s="5" t="s">
        <v>75</v>
      </c>
      <c r="G23" s="52" t="n">
        <v>12</v>
      </c>
      <c r="I23" s="6" t="n">
        <f aca="false">IF((G23&lt;&gt;0),G23-H23," ")</f>
        <v>12</v>
      </c>
      <c r="J23" s="5"/>
      <c r="M23" s="7" t="n">
        <f aca="false">IF(G23&lt;&gt;0,G23-L23," ")</f>
        <v>12</v>
      </c>
      <c r="N23" s="8" t="n">
        <f aca="false">IF((G23-L23)&lt;&gt;0,N$1-A23," ")</f>
        <v>94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52" t="str">
        <f aca="false">IF((F23="v"),I23," ")</f>
        <v> </v>
      </c>
      <c r="X23" s="19" t="n">
        <f aca="false">IF((F23="h"),I23," ")</f>
        <v>12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 t="n">
        <v>46037</v>
      </c>
      <c r="B24" s="2" t="s">
        <v>19</v>
      </c>
      <c r="F24" s="5" t="s">
        <v>24</v>
      </c>
      <c r="G24" s="52" t="n">
        <v>150</v>
      </c>
      <c r="I24" s="6" t="n">
        <f aca="false">IF((G24&lt;&gt;0),G24-H24," ")</f>
        <v>150</v>
      </c>
      <c r="J24" s="5"/>
      <c r="M24" s="7" t="n">
        <f aca="false">IF(G24&lt;&gt;0,G24-L24," ")</f>
        <v>150</v>
      </c>
      <c r="N24" s="8" t="n">
        <f aca="false">IF((G24-L24)&lt;&gt;0,N$1-A24," ")</f>
        <v>93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52" t="n">
        <f aca="false">IF((F24="v"),I24," ")</f>
        <v>150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 t="n">
        <v>46037</v>
      </c>
      <c r="B25" s="2" t="s">
        <v>85</v>
      </c>
      <c r="F25" s="5" t="s">
        <v>60</v>
      </c>
      <c r="G25" s="52" t="n">
        <v>12</v>
      </c>
      <c r="I25" s="6" t="n">
        <f aca="false">IF((G25&lt;&gt;0),G25-H25," ")</f>
        <v>12</v>
      </c>
      <c r="J25" s="5"/>
      <c r="M25" s="7" t="n">
        <f aca="false">IF(G25&lt;&gt;0,G25-L25," ")</f>
        <v>12</v>
      </c>
      <c r="N25" s="8" t="n">
        <f aca="false">IF((G25-L25)&lt;&gt;0,N$1-A25," ")</f>
        <v>93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n">
        <f aca="false">IF((F25="g"),I25," ")</f>
        <v>12</v>
      </c>
      <c r="W25" s="52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 t="n">
        <v>46038</v>
      </c>
      <c r="B26" s="2" t="s">
        <v>103</v>
      </c>
      <c r="F26" s="5" t="s">
        <v>60</v>
      </c>
      <c r="G26" s="52" t="n">
        <v>18</v>
      </c>
      <c r="I26" s="6" t="n">
        <f aca="false">IF((G26&lt;&gt;0),G26-H26," ")</f>
        <v>18</v>
      </c>
      <c r="J26" s="5"/>
      <c r="M26" s="7" t="n">
        <f aca="false">IF(G26&lt;&gt;0,G26-L26," ")</f>
        <v>18</v>
      </c>
      <c r="N26" s="8" t="n">
        <f aca="false">IF((G26-L26)&lt;&gt;0,N$1-A26," ")</f>
        <v>92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n">
        <f aca="false">IF((F26="g"),I26," ")</f>
        <v>18</v>
      </c>
      <c r="W26" s="52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 t="n">
        <v>46040</v>
      </c>
      <c r="B27" s="2" t="s">
        <v>86</v>
      </c>
      <c r="F27" s="5" t="s">
        <v>24</v>
      </c>
      <c r="G27" s="52" t="n">
        <v>96</v>
      </c>
      <c r="I27" s="6" t="n">
        <f aca="false">IF((G27&lt;&gt;0),G27-H27," ")</f>
        <v>96</v>
      </c>
      <c r="J27" s="5"/>
      <c r="M27" s="7" t="n">
        <f aca="false">IF(G27&lt;&gt;0,G27-L27," ")</f>
        <v>96</v>
      </c>
      <c r="N27" s="8" t="n">
        <f aca="false">IF((G27-L27)&lt;&gt;0,N$1-A27," ")</f>
        <v>90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52" t="n">
        <f aca="false">IF((F27="v"),I27," ")</f>
        <v>96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 t="n">
        <v>46042</v>
      </c>
      <c r="B28" s="2" t="s">
        <v>87</v>
      </c>
      <c r="F28" s="5" t="s">
        <v>60</v>
      </c>
      <c r="G28" s="52" t="n">
        <v>60</v>
      </c>
      <c r="I28" s="6" t="n">
        <f aca="false">IF((G28&lt;&gt;0),G28-H28," ")</f>
        <v>60</v>
      </c>
      <c r="J28" s="5"/>
      <c r="M28" s="7" t="n">
        <f aca="false">IF(G28&lt;&gt;0,G28-L28," ")</f>
        <v>60</v>
      </c>
      <c r="N28" s="8" t="n">
        <f aca="false">IF((G28-L28)&lt;&gt;0,N$1-A28," ")</f>
        <v>88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n">
        <f aca="false">IF((F28="g"),I28," ")</f>
        <v>60</v>
      </c>
      <c r="W28" s="52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 t="n">
        <v>46042</v>
      </c>
      <c r="B29" s="2" t="s">
        <v>121</v>
      </c>
      <c r="F29" s="5" t="s">
        <v>105</v>
      </c>
      <c r="G29" s="52" t="n">
        <v>180</v>
      </c>
      <c r="I29" s="6" t="n">
        <f aca="false">IF((G29&lt;&gt;0),G29-H29," ")</f>
        <v>180</v>
      </c>
      <c r="J29" s="5"/>
      <c r="M29" s="7" t="n">
        <f aca="false">IF(G29&lt;&gt;0,G29-L29," ")</f>
        <v>180</v>
      </c>
      <c r="N29" s="8" t="n">
        <f aca="false">IF((G29-L29)&lt;&gt;0,N$1-A29," ")</f>
        <v>88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52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 t="n">
        <v>46042</v>
      </c>
      <c r="B30" s="2" t="s">
        <v>88</v>
      </c>
      <c r="F30" s="5" t="s">
        <v>89</v>
      </c>
      <c r="G30" s="52" t="n">
        <v>144</v>
      </c>
      <c r="I30" s="6" t="n">
        <f aca="false">IF((G30&lt;&gt;0),G30-H30," ")</f>
        <v>144</v>
      </c>
      <c r="J30" s="5"/>
      <c r="M30" s="7" t="n">
        <f aca="false">IF(G30&lt;&gt;0,G30-L30," ")</f>
        <v>144</v>
      </c>
      <c r="N30" s="8" t="n">
        <f aca="false">IF((G30-L30)&lt;&gt;0,N$1-A30," ")</f>
        <v>88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n">
        <f aca="false">IF((F30="m"),I30," ")</f>
        <v>144</v>
      </c>
      <c r="V30" s="19" t="str">
        <f aca="false">IF((F30="g"),I30," ")</f>
        <v> </v>
      </c>
      <c r="W30" s="52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 t="n">
        <v>46043</v>
      </c>
      <c r="B31" s="2" t="s">
        <v>90</v>
      </c>
      <c r="F31" s="5" t="s">
        <v>75</v>
      </c>
      <c r="G31" s="52" t="n">
        <v>8</v>
      </c>
      <c r="I31" s="6" t="n">
        <f aca="false">IF((G31&lt;&gt;0),G31-H31," ")</f>
        <v>8</v>
      </c>
      <c r="J31" s="5"/>
      <c r="M31" s="7" t="n">
        <f aca="false">IF(G31&lt;&gt;0,G31-L31," ")</f>
        <v>8</v>
      </c>
      <c r="N31" s="8" t="n">
        <f aca="false">IF((G31-L31)&lt;&gt;0,N$1-A31," ")</f>
        <v>87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52" t="str">
        <f aca="false">IF((F31="v"),I31," ")</f>
        <v> </v>
      </c>
      <c r="X31" s="19" t="n">
        <f aca="false">IF((F31="h"),I31," ")</f>
        <v>8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 t="n">
        <v>46044</v>
      </c>
      <c r="B32" s="2" t="s">
        <v>91</v>
      </c>
      <c r="F32" s="5" t="s">
        <v>70</v>
      </c>
      <c r="G32" s="52" t="n">
        <v>18</v>
      </c>
      <c r="I32" s="6" t="n">
        <f aca="false">IF((G32&lt;&gt;0),G32-H32," ")</f>
        <v>18</v>
      </c>
      <c r="J32" s="5"/>
      <c r="M32" s="7" t="n">
        <f aca="false">IF(G32&lt;&gt;0,G32-L32," ")</f>
        <v>18</v>
      </c>
      <c r="N32" s="8" t="n">
        <f aca="false">IF((G32-L32)&lt;&gt;0,N$1-A32," ")</f>
        <v>86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52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 t="n">
        <v>46044</v>
      </c>
      <c r="B33" s="2" t="s">
        <v>107</v>
      </c>
      <c r="F33" s="5" t="s">
        <v>24</v>
      </c>
      <c r="G33" s="52" t="n">
        <v>36</v>
      </c>
      <c r="I33" s="6" t="n">
        <f aca="false">IF((G33&lt;&gt;0),G33-H33," ")</f>
        <v>36</v>
      </c>
      <c r="J33" s="5"/>
      <c r="M33" s="7" t="n">
        <f aca="false">IF(G33&lt;&gt;0,G33-L33," ")</f>
        <v>36</v>
      </c>
      <c r="N33" s="8" t="n">
        <f aca="false">IF((G33-L33)&lt;&gt;0,N$1-A33," ")</f>
        <v>86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52" t="n">
        <f aca="false">IF((F33="v"),I33," ")</f>
        <v>36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 t="n">
        <v>46047</v>
      </c>
      <c r="B34" s="2" t="s">
        <v>92</v>
      </c>
      <c r="F34" s="5" t="s">
        <v>70</v>
      </c>
      <c r="G34" s="52" t="n">
        <v>15</v>
      </c>
      <c r="I34" s="6" t="n">
        <f aca="false">IF((G34&lt;&gt;0),G34-H34," ")</f>
        <v>15</v>
      </c>
      <c r="J34" s="5"/>
      <c r="M34" s="7" t="n">
        <f aca="false">IF(G34&lt;&gt;0,G34-L34," ")</f>
        <v>15</v>
      </c>
      <c r="N34" s="8" t="n">
        <f aca="false">IF((G34-L34)&lt;&gt;0,N$1-A34," ")</f>
        <v>83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52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 t="n">
        <v>46047</v>
      </c>
      <c r="B35" s="2" t="s">
        <v>93</v>
      </c>
      <c r="F35" s="5" t="s">
        <v>24</v>
      </c>
      <c r="G35" s="52" t="n">
        <v>38.25</v>
      </c>
      <c r="I35" s="6" t="n">
        <f aca="false">IF((G35&lt;&gt;0),G35-H35," ")</f>
        <v>38.25</v>
      </c>
      <c r="J35" s="5"/>
      <c r="M35" s="7" t="n">
        <f aca="false">IF(G35&lt;&gt;0,G35-L35," ")</f>
        <v>38.25</v>
      </c>
      <c r="N35" s="8" t="n">
        <f aca="false">IF((G35-L35)&lt;&gt;0,N$1-A35," ")</f>
        <v>83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52" t="n">
        <f aca="false">IF((F35="v"),I35," ")</f>
        <v>38.25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 t="n">
        <v>46050</v>
      </c>
      <c r="B36" s="2" t="s">
        <v>19</v>
      </c>
      <c r="F36" s="5" t="s">
        <v>24</v>
      </c>
      <c r="G36" s="52" t="n">
        <v>120</v>
      </c>
      <c r="I36" s="6" t="n">
        <f aca="false">IF((G36&lt;&gt;0),G36-H36," ")</f>
        <v>120</v>
      </c>
      <c r="J36" s="5"/>
      <c r="M36" s="7" t="n">
        <f aca="false">IF(G36&lt;&gt;0,G36-L36," ")</f>
        <v>120</v>
      </c>
      <c r="N36" s="8" t="n">
        <f aca="false">IF((G36-L36)&lt;&gt;0,N$1-A36," ")</f>
        <v>80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52" t="n">
        <f aca="false">IF((F36="v"),I36," ")</f>
        <v>120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 t="n">
        <v>46053</v>
      </c>
      <c r="B37" s="2" t="s">
        <v>15</v>
      </c>
      <c r="F37" s="5" t="s">
        <v>94</v>
      </c>
      <c r="G37" s="52" t="n">
        <v>300</v>
      </c>
      <c r="I37" s="6" t="n">
        <f aca="false">IF((G37&lt;&gt;0),G37-H37," ")</f>
        <v>300</v>
      </c>
      <c r="J37" s="5"/>
      <c r="M37" s="7" t="n">
        <f aca="false">IF(G37&lt;&gt;0,G37-L37," ")</f>
        <v>300</v>
      </c>
      <c r="N37" s="8" t="n">
        <f aca="false">IF((G37-L37)&lt;&gt;0,N$1-A37," ")</f>
        <v>77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52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n">
        <f aca="false">IF((F37="l"),I37," ")</f>
        <v>300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52"/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52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52"/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52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52"/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52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52"/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52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52"/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52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52"/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52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52"/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52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52"/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52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52"/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52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52"/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52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52"/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52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52"/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52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52"/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52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52"/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52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52"/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52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52"/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52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52"/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52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52"/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52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52"/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52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52"/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52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52"/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52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52"/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52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52"/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52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52"/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52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52"/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52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52"/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52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52"/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52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52"/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52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52"/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52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52"/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52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52"/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52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52"/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52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52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52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52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52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52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52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52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52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52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52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52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52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52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52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52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52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52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52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52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52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52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52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52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52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52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52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52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52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52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52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52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52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52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52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52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52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52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52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52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52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52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52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52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52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52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52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52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52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52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52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52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52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52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52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52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52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52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52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52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52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52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52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52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52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52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52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52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52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52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52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52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52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52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52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52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52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52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52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52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52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52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52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52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52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52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52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52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52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52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52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52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52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52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52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52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52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52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52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52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52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52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52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52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52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52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52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52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52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52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52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52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52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52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52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52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52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52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52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52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52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52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52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52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52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52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52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52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52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52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52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52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52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52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52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52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52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52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52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52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52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52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52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52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52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52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52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52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52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52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52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52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52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52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52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52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52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52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52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52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52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52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52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52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52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52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52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52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52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52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52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52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52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52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52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52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52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52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52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52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52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52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52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52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52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52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52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52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52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52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52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52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52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52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52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52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52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52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52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52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52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52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52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52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52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52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52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52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52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52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52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52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52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52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52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52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52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52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52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52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52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52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52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52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52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52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52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52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52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52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52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52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52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52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52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52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52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52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52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52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52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52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52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52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52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52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52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52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52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52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52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52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52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52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52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52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52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52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52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52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52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52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52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52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52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52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52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52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52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52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52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52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52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52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52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52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52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52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52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52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52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52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52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52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52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52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52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52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52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52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52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52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52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52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52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52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52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52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52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52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52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52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52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52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52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52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52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52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52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52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52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52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52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52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52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52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52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52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52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52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52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52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52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52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52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52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52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52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52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52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52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52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52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52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52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52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52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52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52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52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52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52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52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52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52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52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52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52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52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52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52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52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52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52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52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52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52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52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52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52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52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52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52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52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52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52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52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52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52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52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52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52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52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52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52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52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52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52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52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52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52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52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52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52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52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52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52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52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52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52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52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52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52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52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52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52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52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52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52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52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52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52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52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52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52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52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52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52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52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52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52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52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52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52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52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52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52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52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52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52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52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52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52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52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52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52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52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52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52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52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52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52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52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52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52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52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52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52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52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52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52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52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52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52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52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52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52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52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52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52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52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52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52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52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52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52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52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52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52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52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52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0"/>
      <c r="B300" s="31"/>
      <c r="C300" s="32"/>
      <c r="D300" s="33"/>
      <c r="E300" s="31"/>
      <c r="F300" s="53" t="str">
        <f aca="false">IF((G300&lt;&gt;0),"Enter Letter"," ")</f>
        <v> </v>
      </c>
      <c r="G300" s="54"/>
      <c r="H300" s="34" t="str">
        <f aca="false">IF(G300&lt;&gt;0,G300*H$2/(100+H$2)," ")</f>
        <v> </v>
      </c>
      <c r="I300" s="34" t="str">
        <f aca="false">IF((G300&lt;&gt;0),G300-H300," ")</f>
        <v> </v>
      </c>
      <c r="J300" s="55"/>
      <c r="K300" s="34"/>
      <c r="L300" s="34"/>
      <c r="M300" s="35" t="str">
        <f aca="false">IF(G300&lt;&gt;0,G300-L300," ")</f>
        <v> </v>
      </c>
      <c r="N300" s="36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7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8" t="n">
        <f aca="false">G1-H1-SUM(P1:AB1)</f>
        <v>1693</v>
      </c>
      <c r="B1" s="39" t="s">
        <v>21</v>
      </c>
      <c r="C1" s="39"/>
      <c r="D1" s="12" t="n">
        <f aca="false">SUM(D5:D300)</f>
        <v>0</v>
      </c>
      <c r="E1" s="13" t="s">
        <v>3</v>
      </c>
      <c r="F1" s="14"/>
      <c r="G1" s="13" t="n">
        <f aca="false">SUM(G2:G300)</f>
        <v>4396.5</v>
      </c>
      <c r="H1" s="13" t="n">
        <f aca="false">SUM(H5:H200)</f>
        <v>0</v>
      </c>
      <c r="I1" s="13" t="n">
        <f aca="false">SUM(I2:I200)</f>
        <v>4396.5</v>
      </c>
      <c r="J1" s="15"/>
      <c r="K1" s="16" t="s">
        <v>4</v>
      </c>
      <c r="L1" s="17" t="n">
        <f aca="false">SUM(L5:L300)</f>
        <v>0</v>
      </c>
      <c r="M1" s="17" t="n">
        <f aca="false">SUM(M5:M200)</f>
        <v>4396.5</v>
      </c>
      <c r="N1" s="18" t="n">
        <f aca="true">TODAY()</f>
        <v>46130</v>
      </c>
      <c r="O1" s="15"/>
      <c r="P1" s="13" t="n">
        <f aca="false">SUM(P5:P300)</f>
        <v>660</v>
      </c>
      <c r="Q1" s="13" t="n">
        <f aca="false">SUM(Q5:Q300)</f>
        <v>0</v>
      </c>
      <c r="R1" s="13" t="n">
        <f aca="false">SUM(R5:R300)</f>
        <v>285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360</v>
      </c>
      <c r="V1" s="13" t="n">
        <f aca="false">SUM(V5:V300)</f>
        <v>135</v>
      </c>
      <c r="W1" s="13" t="n">
        <f aca="false">SUM(W2:W300)</f>
        <v>595.5</v>
      </c>
      <c r="X1" s="13" t="n">
        <f aca="false">SUM(X5:X300)</f>
        <v>368</v>
      </c>
      <c r="Y1" s="13" t="n">
        <f aca="false">SUM(Y5:Y300)</f>
        <v>0</v>
      </c>
      <c r="Z1" s="13" t="n">
        <f aca="false">SUM(Z5:Z300)</f>
        <v>300</v>
      </c>
      <c r="AA1" s="13" t="n">
        <f aca="false">SUM(AA5:AA300)</f>
        <v>0</v>
      </c>
      <c r="AB1" s="13" t="n">
        <f aca="false">SUM(AB5:AB300)</f>
        <v>0</v>
      </c>
      <c r="AC1" s="40"/>
      <c r="AD1" s="13" t="n">
        <f aca="false">SUM(AD5:AD300)</f>
        <v>0</v>
      </c>
      <c r="AE1" s="41"/>
    </row>
    <row r="2" s="19" customFormat="true" ht="13.5" hidden="false" customHeight="true" outlineLevel="0" collapsed="false">
      <c r="A2" s="42" t="n">
        <f aca="false">G2+Jan!A2</f>
        <v>0</v>
      </c>
      <c r="B2" s="43" t="s">
        <v>22</v>
      </c>
      <c r="C2" s="42" t="n">
        <f aca="false">Jan!C2+D1+[1]Feb!$D$1</f>
        <v>0</v>
      </c>
      <c r="D2" s="44" t="s">
        <v>23</v>
      </c>
      <c r="E2" s="20" t="s">
        <v>5</v>
      </c>
      <c r="F2" s="43" t="str">
        <f aca="false">Jan!F2</f>
        <v>v</v>
      </c>
      <c r="G2" s="45" t="n">
        <f aca="false">IF(C2&lt;[2]Admin!$F$22,(C2-Jan!C2)*[2]Admin!$G$21,C2*[2]Admin!$G$21-(C2-[2]Admin!$F$21)*([2]Admin!$G$21-[2]Admin!$G$22)-Jan!A2)</f>
        <v>0</v>
      </c>
      <c r="H2" s="21" t="n">
        <f aca="false">IF([1]Feb!$H$4&gt;0,0,[1]Feb!$H$2)</f>
        <v>20</v>
      </c>
      <c r="I2" s="46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7" t="s">
        <v>27</v>
      </c>
      <c r="U2" s="10" t="s">
        <v>28</v>
      </c>
      <c r="V2" s="10" t="s">
        <v>29</v>
      </c>
      <c r="W2" s="48" t="n">
        <f aca="false">IF((F2="v"),I2," ")</f>
        <v>0</v>
      </c>
      <c r="X2" s="10" t="s">
        <v>30</v>
      </c>
      <c r="Y2" s="10" t="s">
        <v>31</v>
      </c>
      <c r="Z2" s="10" t="s">
        <v>32</v>
      </c>
      <c r="AA2" s="10" t="s">
        <v>33</v>
      </c>
      <c r="AB2" s="49" t="n">
        <f aca="false">AB1+Jan!AB2</f>
        <v>39000</v>
      </c>
      <c r="AC2" s="40"/>
      <c r="AD2" s="10" t="s">
        <v>34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4"/>
      <c r="E3" s="44"/>
      <c r="F3" s="20" t="s">
        <v>35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36</v>
      </c>
      <c r="Q3" s="20" t="s">
        <v>37</v>
      </c>
      <c r="R3" s="20" t="s">
        <v>38</v>
      </c>
      <c r="S3" s="10"/>
      <c r="T3" s="20" t="s">
        <v>39</v>
      </c>
      <c r="U3" s="10"/>
      <c r="V3" s="10"/>
      <c r="W3" s="49" t="s">
        <v>40</v>
      </c>
      <c r="X3" s="10"/>
      <c r="Y3" s="10"/>
      <c r="Z3" s="10"/>
      <c r="AA3" s="10"/>
      <c r="AB3" s="49" t="s">
        <v>41</v>
      </c>
      <c r="AC3" s="40"/>
      <c r="AD3" s="10" t="s">
        <v>42</v>
      </c>
      <c r="AE3" s="10"/>
    </row>
    <row r="4" s="26" customFormat="true" ht="12.75" hidden="false" customHeight="true" outlineLevel="0" collapsed="false">
      <c r="A4" s="9"/>
      <c r="B4" s="10"/>
      <c r="C4" s="11"/>
      <c r="D4" s="44"/>
      <c r="E4" s="44"/>
      <c r="F4" s="20"/>
      <c r="G4" s="10"/>
      <c r="H4" s="10"/>
      <c r="I4" s="10"/>
      <c r="J4" s="15"/>
      <c r="K4" s="16"/>
      <c r="L4" s="23"/>
      <c r="M4" s="23"/>
      <c r="N4" s="24"/>
      <c r="O4" s="15"/>
      <c r="P4" s="50" t="s">
        <v>43</v>
      </c>
      <c r="Q4" s="50" t="s">
        <v>44</v>
      </c>
      <c r="R4" s="50" t="s">
        <v>45</v>
      </c>
      <c r="S4" s="50" t="s">
        <v>46</v>
      </c>
      <c r="T4" s="50" t="s">
        <v>47</v>
      </c>
      <c r="U4" s="50" t="s">
        <v>48</v>
      </c>
      <c r="V4" s="50" t="s">
        <v>49</v>
      </c>
      <c r="W4" s="51" t="s">
        <v>50</v>
      </c>
      <c r="X4" s="50" t="s">
        <v>51</v>
      </c>
      <c r="Y4" s="50" t="s">
        <v>52</v>
      </c>
      <c r="Z4" s="50" t="s">
        <v>53</v>
      </c>
      <c r="AA4" s="50" t="s">
        <v>54</v>
      </c>
      <c r="AB4" s="50" t="s">
        <v>55</v>
      </c>
      <c r="AC4" s="40"/>
      <c r="AD4" s="10" t="s">
        <v>56</v>
      </c>
      <c r="AE4" s="10" t="s">
        <v>57</v>
      </c>
    </row>
    <row r="5" s="5" customFormat="true" ht="12" hidden="false" customHeight="false" outlineLevel="0" collapsed="false">
      <c r="A5" s="27" t="n">
        <v>46054</v>
      </c>
      <c r="B5" s="5" t="s">
        <v>13</v>
      </c>
      <c r="F5" s="5" t="s">
        <v>58</v>
      </c>
      <c r="G5" s="52" t="n">
        <v>1200</v>
      </c>
      <c r="I5" s="6" t="n">
        <f aca="false">IF((G5&lt;&gt;0),G5-H5," ")</f>
        <v>1200</v>
      </c>
      <c r="K5" s="6"/>
      <c r="L5" s="6"/>
      <c r="M5" s="7" t="n">
        <f aca="false">IF(G5&lt;&gt;0,G5-L5," ")</f>
        <v>1200</v>
      </c>
      <c r="N5" s="8" t="n">
        <f aca="false">IF((G5-L5)&lt;&gt;0,N$1-A5," ")</f>
        <v>76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52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 t="n">
        <v>46054</v>
      </c>
      <c r="B6" s="2" t="s">
        <v>59</v>
      </c>
      <c r="F6" s="5" t="s">
        <v>60</v>
      </c>
      <c r="G6" s="52" t="n">
        <v>30</v>
      </c>
      <c r="I6" s="6" t="n">
        <f aca="false">IF((G6&lt;&gt;0),G6-H6," ")</f>
        <v>30</v>
      </c>
      <c r="J6" s="5"/>
      <c r="M6" s="7" t="n">
        <f aca="false">IF(G6&lt;&gt;0,G6-L6," ")</f>
        <v>30</v>
      </c>
      <c r="N6" s="8" t="n">
        <f aca="false">IF((G6-L6)&lt;&gt;0,N$1-A6," ")</f>
        <v>76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30</v>
      </c>
      <c r="W6" s="52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 t="n">
        <v>46054</v>
      </c>
      <c r="B7" s="2" t="s">
        <v>61</v>
      </c>
      <c r="F7" s="5" t="s">
        <v>60</v>
      </c>
      <c r="G7" s="52" t="n">
        <v>15</v>
      </c>
      <c r="I7" s="6" t="n">
        <f aca="false">IF((G7&lt;&gt;0),G7-H7," ")</f>
        <v>15</v>
      </c>
      <c r="J7" s="5"/>
      <c r="M7" s="7" t="n">
        <f aca="false">IF(G7&lt;&gt;0,G7-L7," ")</f>
        <v>15</v>
      </c>
      <c r="N7" s="8" t="n">
        <f aca="false">IF((G7-L7)&lt;&gt;0,N$1-A7," ")</f>
        <v>76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15</v>
      </c>
      <c r="W7" s="52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 t="n">
        <v>46054</v>
      </c>
      <c r="B8" s="2" t="s">
        <v>62</v>
      </c>
      <c r="F8" s="5" t="s">
        <v>63</v>
      </c>
      <c r="G8" s="52" t="n">
        <v>45</v>
      </c>
      <c r="I8" s="6" t="n">
        <f aca="false">IF((G8&lt;&gt;0),G8-H8," ")</f>
        <v>45</v>
      </c>
      <c r="J8" s="5"/>
      <c r="M8" s="7" t="n">
        <f aca="false">IF(G8&lt;&gt;0,G8-L8," ")</f>
        <v>45</v>
      </c>
      <c r="N8" s="8" t="n">
        <f aca="false">IF((G8-L8)&lt;&gt;0,N$1-A8," ")</f>
        <v>76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45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52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 t="n">
        <v>46054</v>
      </c>
      <c r="B9" s="2" t="s">
        <v>66</v>
      </c>
      <c r="F9" s="5" t="s">
        <v>63</v>
      </c>
      <c r="G9" s="52" t="n">
        <v>24</v>
      </c>
      <c r="I9" s="6" t="n">
        <f aca="false">IF((G9&lt;&gt;0),G9-H9," ")</f>
        <v>24</v>
      </c>
      <c r="J9" s="5"/>
      <c r="M9" s="7" t="n">
        <f aca="false">IF(G9&lt;&gt;0,G9-L9," ")</f>
        <v>24</v>
      </c>
      <c r="N9" s="8" t="n">
        <f aca="false">IF((G9-L9)&lt;&gt;0,N$1-A9," ")</f>
        <v>76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n">
        <f aca="false">IF((F9="o"),I9," ")</f>
        <v>24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52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 t="n">
        <v>46054</v>
      </c>
      <c r="B10" s="2" t="s">
        <v>67</v>
      </c>
      <c r="F10" s="5" t="s">
        <v>60</v>
      </c>
      <c r="G10" s="52" t="n">
        <v>18</v>
      </c>
      <c r="I10" s="6" t="n">
        <f aca="false">IF((G10&lt;&gt;0),G10-H10," ")</f>
        <v>18</v>
      </c>
      <c r="J10" s="5"/>
      <c r="M10" s="7" t="n">
        <f aca="false">IF(G10&lt;&gt;0,G10-L10," ")</f>
        <v>18</v>
      </c>
      <c r="N10" s="8" t="n">
        <f aca="false">IF((G10-L10)&lt;&gt;0,N$1-A10," ")</f>
        <v>76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n">
        <f aca="false">IF((F10="g"),I10," ")</f>
        <v>18</v>
      </c>
      <c r="W10" s="52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 t="n">
        <v>46056</v>
      </c>
      <c r="B11" s="2" t="s">
        <v>68</v>
      </c>
      <c r="F11" s="5" t="s">
        <v>63</v>
      </c>
      <c r="G11" s="52" t="n">
        <v>180</v>
      </c>
      <c r="I11" s="6" t="n">
        <f aca="false">IF((G11&lt;&gt;0),G11-H11," ")</f>
        <v>180</v>
      </c>
      <c r="J11" s="5"/>
      <c r="M11" s="7" t="n">
        <f aca="false">IF(G11&lt;&gt;0,G11-L11," ")</f>
        <v>180</v>
      </c>
      <c r="N11" s="8" t="n">
        <f aca="false">IF((G11-L11)&lt;&gt;0,N$1-A11," ")</f>
        <v>74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n">
        <f aca="false">IF((F11="o"),I11," ")</f>
        <v>180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52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 t="n">
        <v>46056</v>
      </c>
      <c r="B12" s="2" t="s">
        <v>69</v>
      </c>
      <c r="F12" s="5" t="s">
        <v>70</v>
      </c>
      <c r="G12" s="52" t="n">
        <v>22</v>
      </c>
      <c r="I12" s="6" t="n">
        <f aca="false">IF((G12&lt;&gt;0),G12-H12," ")</f>
        <v>22</v>
      </c>
      <c r="J12" s="5"/>
      <c r="M12" s="7" t="n">
        <f aca="false">IF(G12&lt;&gt;0,G12-L12," ")</f>
        <v>22</v>
      </c>
      <c r="N12" s="8" t="n">
        <f aca="false">IF((G12-L12)&lt;&gt;0,N$1-A12," ")</f>
        <v>74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52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 t="n">
        <v>46058</v>
      </c>
      <c r="B13" s="2" t="s">
        <v>71</v>
      </c>
      <c r="F13" s="5" t="s">
        <v>70</v>
      </c>
      <c r="G13" s="52" t="n">
        <v>24</v>
      </c>
      <c r="I13" s="6" t="n">
        <f aca="false">IF((G13&lt;&gt;0),G13-H13," ")</f>
        <v>24</v>
      </c>
      <c r="J13" s="5"/>
      <c r="M13" s="7" t="n">
        <f aca="false">IF(G13&lt;&gt;0,G13-L13," ")</f>
        <v>24</v>
      </c>
      <c r="N13" s="8" t="n">
        <f aca="false">IF((G13-L13)&lt;&gt;0,N$1-A13," ")</f>
        <v>72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52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 t="n">
        <v>46058</v>
      </c>
      <c r="B14" s="2" t="s">
        <v>72</v>
      </c>
      <c r="F14" s="5" t="s">
        <v>24</v>
      </c>
      <c r="G14" s="52" t="n">
        <v>180</v>
      </c>
      <c r="I14" s="6" t="n">
        <f aca="false">IF((G14&lt;&gt;0),G14-H14," ")</f>
        <v>180</v>
      </c>
      <c r="J14" s="5"/>
      <c r="M14" s="7" t="n">
        <f aca="false">IF(G14&lt;&gt;0,G14-L14," ")</f>
        <v>180</v>
      </c>
      <c r="N14" s="8" t="n">
        <f aca="false">IF((G14-L14)&lt;&gt;0,N$1-A14," ")</f>
        <v>72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52" t="n">
        <f aca="false">IF((F14="v"),I14," ")</f>
        <v>180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 t="n">
        <v>46058</v>
      </c>
      <c r="B15" s="2" t="s">
        <v>73</v>
      </c>
      <c r="F15" s="5" t="s">
        <v>63</v>
      </c>
      <c r="G15" s="52" t="n">
        <v>36</v>
      </c>
      <c r="I15" s="6" t="n">
        <f aca="false">IF((G15&lt;&gt;0),G15-H15," ")</f>
        <v>36</v>
      </c>
      <c r="J15" s="5"/>
      <c r="M15" s="7" t="n">
        <f aca="false">IF(G15&lt;&gt;0,G15-L15," ")</f>
        <v>36</v>
      </c>
      <c r="N15" s="8" t="n">
        <f aca="false">IF((G15-L15)&lt;&gt;0,N$1-A15," ")</f>
        <v>72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n">
        <f aca="false">IF((F15="o"),I15," ")</f>
        <v>36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52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 t="n">
        <v>46059</v>
      </c>
      <c r="B16" s="2" t="s">
        <v>95</v>
      </c>
      <c r="F16" s="5" t="s">
        <v>75</v>
      </c>
      <c r="G16" s="52" t="n">
        <v>36</v>
      </c>
      <c r="I16" s="6" t="n">
        <f aca="false">IF((G16&lt;&gt;0),G16-H16," ")</f>
        <v>36</v>
      </c>
      <c r="J16" s="5"/>
      <c r="M16" s="7" t="n">
        <f aca="false">IF(G16&lt;&gt;0,G16-L16," ")</f>
        <v>36</v>
      </c>
      <c r="N16" s="8" t="n">
        <f aca="false">IF((G16-L16)&lt;&gt;0,N$1-A16," ")</f>
        <v>71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52" t="str">
        <f aca="false">IF((F16="v"),I16," ")</f>
        <v> </v>
      </c>
      <c r="X16" s="19" t="n">
        <f aca="false">IF((F16="h"),I16," ")</f>
        <v>36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 t="n">
        <v>46061</v>
      </c>
      <c r="B17" s="2" t="s">
        <v>74</v>
      </c>
      <c r="F17" s="5" t="s">
        <v>75</v>
      </c>
      <c r="G17" s="52" t="n">
        <v>48</v>
      </c>
      <c r="I17" s="6" t="n">
        <f aca="false">IF((G17&lt;&gt;0),G17-H17," ")</f>
        <v>48</v>
      </c>
      <c r="J17" s="5"/>
      <c r="M17" s="7" t="n">
        <f aca="false">IF(G17&lt;&gt;0,G17-L17," ")</f>
        <v>48</v>
      </c>
      <c r="N17" s="8" t="n">
        <f aca="false">IF((G17-L17)&lt;&gt;0,N$1-A17," ")</f>
        <v>69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52" t="str">
        <f aca="false">IF((F17="v"),I17," ")</f>
        <v> </v>
      </c>
      <c r="X17" s="19" t="n">
        <f aca="false">IF((F17="h"),I17," ")</f>
        <v>48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 t="n">
        <v>46063</v>
      </c>
      <c r="B18" s="2" t="s">
        <v>76</v>
      </c>
      <c r="F18" s="5" t="s">
        <v>70</v>
      </c>
      <c r="G18" s="52" t="n">
        <v>36</v>
      </c>
      <c r="I18" s="6" t="n">
        <f aca="false">IF((G18&lt;&gt;0),G18-H18," ")</f>
        <v>36</v>
      </c>
      <c r="J18" s="5"/>
      <c r="M18" s="7" t="n">
        <f aca="false">IF(G18&lt;&gt;0,G18-L18," ")</f>
        <v>36</v>
      </c>
      <c r="N18" s="8" t="n">
        <f aca="false">IF((G18-L18)&lt;&gt;0,N$1-A18," ")</f>
        <v>67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52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 t="n">
        <v>46065</v>
      </c>
      <c r="B19" s="2" t="s">
        <v>81</v>
      </c>
      <c r="F19" s="5" t="s">
        <v>24</v>
      </c>
      <c r="G19" s="52" t="n">
        <v>18</v>
      </c>
      <c r="I19" s="6" t="n">
        <f aca="false">IF((G19&lt;&gt;0),G19-H19," ")</f>
        <v>18</v>
      </c>
      <c r="J19" s="5"/>
      <c r="M19" s="7" t="n">
        <f aca="false">IF(G19&lt;&gt;0,G19-L19," ")</f>
        <v>18</v>
      </c>
      <c r="N19" s="8" t="n">
        <f aca="false">IF((G19-L19)&lt;&gt;0,N$1-A19," ")</f>
        <v>65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52" t="n">
        <f aca="false">IF((F19="v"),I19," ")</f>
        <v>18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 t="n">
        <v>46065</v>
      </c>
      <c r="B20" s="2" t="s">
        <v>119</v>
      </c>
      <c r="F20" s="5" t="s">
        <v>97</v>
      </c>
      <c r="G20" s="52" t="n">
        <v>360</v>
      </c>
      <c r="I20" s="6" t="n">
        <f aca="false">IF((G20&lt;&gt;0),G20-H20," ")</f>
        <v>360</v>
      </c>
      <c r="J20" s="5"/>
      <c r="M20" s="7" t="n">
        <f aca="false">IF(G20&lt;&gt;0,G20-L20," ")</f>
        <v>360</v>
      </c>
      <c r="N20" s="8" t="n">
        <f aca="false">IF((G20-L20)&lt;&gt;0,N$1-A20," ")</f>
        <v>65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52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 t="n">
        <v>46067</v>
      </c>
      <c r="B21" s="2" t="s">
        <v>82</v>
      </c>
      <c r="F21" s="5" t="s">
        <v>70</v>
      </c>
      <c r="G21" s="52" t="n">
        <v>18</v>
      </c>
      <c r="I21" s="6" t="n">
        <f aca="false">IF((G21&lt;&gt;0),G21-H21," ")</f>
        <v>18</v>
      </c>
      <c r="J21" s="5"/>
      <c r="M21" s="7" t="n">
        <f aca="false">IF(G21&lt;&gt;0,G21-L21," ")</f>
        <v>18</v>
      </c>
      <c r="N21" s="8" t="n">
        <f aca="false">IF((G21-L21)&lt;&gt;0,N$1-A21," ")</f>
        <v>63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52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 t="n">
        <v>46067</v>
      </c>
      <c r="B22" s="2" t="s">
        <v>83</v>
      </c>
      <c r="F22" s="5" t="s">
        <v>75</v>
      </c>
      <c r="G22" s="52" t="n">
        <v>24</v>
      </c>
      <c r="I22" s="6" t="n">
        <f aca="false">IF((G22&lt;&gt;0),G22-H22," ")</f>
        <v>24</v>
      </c>
      <c r="J22" s="5"/>
      <c r="M22" s="7" t="n">
        <f aca="false">IF(G22&lt;&gt;0,G22-L22," ")</f>
        <v>24</v>
      </c>
      <c r="N22" s="8" t="n">
        <f aca="false">IF((G22-L22)&lt;&gt;0,N$1-A22," ")</f>
        <v>63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52" t="str">
        <f aca="false">IF((F22="v"),I22," ")</f>
        <v> </v>
      </c>
      <c r="X22" s="19" t="n">
        <f aca="false">IF((F22="h"),I22," ")</f>
        <v>24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 t="n">
        <v>46067</v>
      </c>
      <c r="B23" s="2" t="s">
        <v>84</v>
      </c>
      <c r="F23" s="5" t="s">
        <v>75</v>
      </c>
      <c r="G23" s="52" t="n">
        <v>12</v>
      </c>
      <c r="I23" s="6" t="n">
        <f aca="false">IF((G23&lt;&gt;0),G23-H23," ")</f>
        <v>12</v>
      </c>
      <c r="J23" s="5"/>
      <c r="M23" s="7" t="n">
        <f aca="false">IF(G23&lt;&gt;0,G23-L23," ")</f>
        <v>12</v>
      </c>
      <c r="N23" s="8" t="n">
        <f aca="false">IF((G23-L23)&lt;&gt;0,N$1-A23," ")</f>
        <v>63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52" t="str">
        <f aca="false">IF((F23="v"),I23," ")</f>
        <v> </v>
      </c>
      <c r="X23" s="19" t="n">
        <f aca="false">IF((F23="h"),I23," ")</f>
        <v>12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 t="n">
        <v>46068</v>
      </c>
      <c r="B24" s="2" t="s">
        <v>19</v>
      </c>
      <c r="F24" s="5" t="s">
        <v>24</v>
      </c>
      <c r="G24" s="52" t="n">
        <v>150</v>
      </c>
      <c r="I24" s="6" t="n">
        <f aca="false">IF((G24&lt;&gt;0),G24-H24," ")</f>
        <v>150</v>
      </c>
      <c r="J24" s="5"/>
      <c r="M24" s="7" t="n">
        <f aca="false">IF(G24&lt;&gt;0,G24-L24," ")</f>
        <v>150</v>
      </c>
      <c r="N24" s="8" t="n">
        <f aca="false">IF((G24-L24)&lt;&gt;0,N$1-A24," ")</f>
        <v>62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52" t="n">
        <f aca="false">IF((F24="v"),I24," ")</f>
        <v>150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 t="n">
        <v>46068</v>
      </c>
      <c r="B25" s="2" t="s">
        <v>85</v>
      </c>
      <c r="F25" s="5" t="s">
        <v>60</v>
      </c>
      <c r="G25" s="52" t="n">
        <v>12</v>
      </c>
      <c r="I25" s="6" t="n">
        <f aca="false">IF((G25&lt;&gt;0),G25-H25," ")</f>
        <v>12</v>
      </c>
      <c r="J25" s="5"/>
      <c r="M25" s="7" t="n">
        <f aca="false">IF(G25&lt;&gt;0,G25-L25," ")</f>
        <v>12</v>
      </c>
      <c r="N25" s="8" t="n">
        <f aca="false">IF((G25-L25)&lt;&gt;0,N$1-A25," ")</f>
        <v>62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n">
        <f aca="false">IF((F25="g"),I25," ")</f>
        <v>12</v>
      </c>
      <c r="W25" s="52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 t="n">
        <v>46068</v>
      </c>
      <c r="B26" s="2" t="s">
        <v>100</v>
      </c>
      <c r="F26" s="5" t="s">
        <v>80</v>
      </c>
      <c r="G26" s="52" t="n">
        <v>420</v>
      </c>
      <c r="I26" s="6" t="n">
        <f aca="false">IF((G26&lt;&gt;0),G26-H26," ")</f>
        <v>420</v>
      </c>
      <c r="J26" s="5"/>
      <c r="M26" s="7" t="n">
        <f aca="false">IF(G26&lt;&gt;0,G26-L26," ")</f>
        <v>420</v>
      </c>
      <c r="N26" s="8" t="n">
        <f aca="false">IF((G26-L26)&lt;&gt;0,N$1-A26," ")</f>
        <v>62</v>
      </c>
      <c r="O26" s="5"/>
      <c r="P26" s="19" t="n">
        <f aca="false">IF((F26="s"),I26," ")</f>
        <v>420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52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 t="n">
        <v>46071</v>
      </c>
      <c r="B27" s="2" t="s">
        <v>122</v>
      </c>
      <c r="F27" s="5" t="s">
        <v>89</v>
      </c>
      <c r="G27" s="52" t="n">
        <v>360</v>
      </c>
      <c r="I27" s="6" t="n">
        <f aca="false">IF((G27&lt;&gt;0),G27-H27," ")</f>
        <v>360</v>
      </c>
      <c r="J27" s="5"/>
      <c r="M27" s="7" t="n">
        <f aca="false">IF(G27&lt;&gt;0,G27-L27," ")</f>
        <v>360</v>
      </c>
      <c r="N27" s="8" t="n">
        <f aca="false">IF((G27-L27)&lt;&gt;0,N$1-A27," ")</f>
        <v>59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n">
        <f aca="false">IF((F27="m"),I27," ")</f>
        <v>360</v>
      </c>
      <c r="V27" s="19" t="str">
        <f aca="false">IF((F27="g"),I27," ")</f>
        <v> </v>
      </c>
      <c r="W27" s="52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 t="n">
        <v>46071</v>
      </c>
      <c r="B28" s="2" t="s">
        <v>111</v>
      </c>
      <c r="F28" s="5" t="s">
        <v>75</v>
      </c>
      <c r="G28" s="52" t="n">
        <v>240</v>
      </c>
      <c r="I28" s="6" t="n">
        <f aca="false">IF((G28&lt;&gt;0),G28-H28," ")</f>
        <v>240</v>
      </c>
      <c r="J28" s="5"/>
      <c r="M28" s="7" t="n">
        <f aca="false">IF(G28&lt;&gt;0,G28-L28," ")</f>
        <v>240</v>
      </c>
      <c r="N28" s="8" t="n">
        <f aca="false">IF((G28-L28)&lt;&gt;0,N$1-A28," ")</f>
        <v>59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52" t="str">
        <f aca="false">IF((F28="v"),I28," ")</f>
        <v> </v>
      </c>
      <c r="X28" s="19" t="n">
        <f aca="false">IF((F28="h"),I28," ")</f>
        <v>240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 t="n">
        <v>46071</v>
      </c>
      <c r="B29" s="2" t="s">
        <v>86</v>
      </c>
      <c r="F29" s="5" t="s">
        <v>24</v>
      </c>
      <c r="G29" s="52" t="n">
        <v>96</v>
      </c>
      <c r="I29" s="6" t="n">
        <f aca="false">IF((G29&lt;&gt;0),G29-H29," ")</f>
        <v>96</v>
      </c>
      <c r="J29" s="5"/>
      <c r="M29" s="7" t="n">
        <f aca="false">IF(G29&lt;&gt;0,G29-L29," ")</f>
        <v>96</v>
      </c>
      <c r="N29" s="8" t="n">
        <f aca="false">IF((G29-L29)&lt;&gt;0,N$1-A29," ")</f>
        <v>59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52" t="n">
        <f aca="false">IF((F29="v"),I29," ")</f>
        <v>96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 t="n">
        <v>46073</v>
      </c>
      <c r="B30" s="2" t="s">
        <v>87</v>
      </c>
      <c r="F30" s="5" t="s">
        <v>60</v>
      </c>
      <c r="G30" s="52" t="n">
        <v>60</v>
      </c>
      <c r="I30" s="6" t="n">
        <f aca="false">IF((G30&lt;&gt;0),G30-H30," ")</f>
        <v>60</v>
      </c>
      <c r="J30" s="5"/>
      <c r="M30" s="7" t="n">
        <f aca="false">IF(G30&lt;&gt;0,G30-L30," ")</f>
        <v>60</v>
      </c>
      <c r="N30" s="8" t="n">
        <f aca="false">IF((G30-L30)&lt;&gt;0,N$1-A30," ")</f>
        <v>57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n">
        <f aca="false">IF((F30="g"),I30," ")</f>
        <v>60</v>
      </c>
      <c r="W30" s="52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 t="n">
        <v>46073</v>
      </c>
      <c r="B31" s="2" t="s">
        <v>106</v>
      </c>
      <c r="F31" s="5" t="s">
        <v>80</v>
      </c>
      <c r="G31" s="52" t="n">
        <v>240</v>
      </c>
      <c r="I31" s="6" t="n">
        <f aca="false">IF((G31&lt;&gt;0),G31-H31," ")</f>
        <v>240</v>
      </c>
      <c r="J31" s="5"/>
      <c r="M31" s="7" t="n">
        <f aca="false">IF(G31&lt;&gt;0,G31-L31," ")</f>
        <v>240</v>
      </c>
      <c r="N31" s="8" t="n">
        <f aca="false">IF((G31-L31)&lt;&gt;0,N$1-A31," ")</f>
        <v>57</v>
      </c>
      <c r="O31" s="5"/>
      <c r="P31" s="19" t="n">
        <f aca="false">IF((F31="s"),I31," ")</f>
        <v>240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52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 t="n">
        <v>46074</v>
      </c>
      <c r="B32" s="2" t="s">
        <v>90</v>
      </c>
      <c r="F32" s="5" t="s">
        <v>75</v>
      </c>
      <c r="G32" s="52" t="n">
        <v>8</v>
      </c>
      <c r="I32" s="6" t="n">
        <f aca="false">IF((G32&lt;&gt;0),G32-H32," ")</f>
        <v>8</v>
      </c>
      <c r="J32" s="5"/>
      <c r="M32" s="7" t="n">
        <f aca="false">IF(G32&lt;&gt;0,G32-L32," ")</f>
        <v>8</v>
      </c>
      <c r="N32" s="8" t="n">
        <f aca="false">IF((G32-L32)&lt;&gt;0,N$1-A32," ")</f>
        <v>56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52" t="str">
        <f aca="false">IF((F32="v"),I32," ")</f>
        <v> </v>
      </c>
      <c r="X32" s="19" t="n">
        <f aca="false">IF((F32="h"),I32," ")</f>
        <v>8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 t="n">
        <v>46075</v>
      </c>
      <c r="B33" s="2" t="s">
        <v>91</v>
      </c>
      <c r="F33" s="5" t="s">
        <v>70</v>
      </c>
      <c r="G33" s="52" t="n">
        <v>18</v>
      </c>
      <c r="I33" s="6" t="n">
        <f aca="false">IF((G33&lt;&gt;0),G33-H33," ")</f>
        <v>18</v>
      </c>
      <c r="J33" s="5"/>
      <c r="M33" s="7" t="n">
        <f aca="false">IF(G33&lt;&gt;0,G33-L33," ")</f>
        <v>18</v>
      </c>
      <c r="N33" s="8" t="n">
        <f aca="false">IF((G33-L33)&lt;&gt;0,N$1-A33," ")</f>
        <v>55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52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 t="n">
        <v>46078</v>
      </c>
      <c r="B34" s="2" t="s">
        <v>92</v>
      </c>
      <c r="F34" s="5" t="s">
        <v>70</v>
      </c>
      <c r="G34" s="52" t="n">
        <v>15</v>
      </c>
      <c r="I34" s="6" t="n">
        <f aca="false">IF((G34&lt;&gt;0),G34-H34," ")</f>
        <v>15</v>
      </c>
      <c r="J34" s="5"/>
      <c r="M34" s="7" t="n">
        <f aca="false">IF(G34&lt;&gt;0,G34-L34," ")</f>
        <v>15</v>
      </c>
      <c r="N34" s="8" t="n">
        <f aca="false">IF((G34-L34)&lt;&gt;0,N$1-A34," ")</f>
        <v>52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52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 t="n">
        <v>46078</v>
      </c>
      <c r="B35" s="2" t="s">
        <v>93</v>
      </c>
      <c r="F35" s="5" t="s">
        <v>24</v>
      </c>
      <c r="G35" s="52" t="n">
        <v>31.5</v>
      </c>
      <c r="I35" s="6" t="n">
        <f aca="false">IF((G35&lt;&gt;0),G35-H35," ")</f>
        <v>31.5</v>
      </c>
      <c r="J35" s="5"/>
      <c r="M35" s="7" t="n">
        <f aca="false">IF(G35&lt;&gt;0,G35-L35," ")</f>
        <v>31.5</v>
      </c>
      <c r="N35" s="8" t="n">
        <f aca="false">IF((G35-L35)&lt;&gt;0,N$1-A35," ")</f>
        <v>52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52" t="n">
        <f aca="false">IF((F35="v"),I35," ")</f>
        <v>31.5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 t="n">
        <v>46081</v>
      </c>
      <c r="B36" s="2" t="s">
        <v>15</v>
      </c>
      <c r="F36" s="5" t="s">
        <v>94</v>
      </c>
      <c r="G36" s="52" t="n">
        <v>300</v>
      </c>
      <c r="I36" s="6" t="n">
        <f aca="false">IF((G36&lt;&gt;0),G36-H36," ")</f>
        <v>300</v>
      </c>
      <c r="J36" s="5"/>
      <c r="M36" s="7" t="n">
        <f aca="false">IF(G36&lt;&gt;0,G36-L36," ")</f>
        <v>300</v>
      </c>
      <c r="N36" s="8" t="n">
        <f aca="false">IF((G36-L36)&lt;&gt;0,N$1-A36," ")</f>
        <v>49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52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n">
        <f aca="false">IF((F36="l"),I36," ")</f>
        <v>300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 t="n">
        <v>46081</v>
      </c>
      <c r="B37" s="2" t="s">
        <v>19</v>
      </c>
      <c r="F37" s="5" t="s">
        <v>24</v>
      </c>
      <c r="G37" s="52" t="n">
        <v>120</v>
      </c>
      <c r="I37" s="6" t="n">
        <f aca="false">IF((G37&lt;&gt;0),G37-H37," ")</f>
        <v>120</v>
      </c>
      <c r="J37" s="5"/>
      <c r="M37" s="7" t="n">
        <f aca="false">IF(G37&lt;&gt;0,G37-L37," ")</f>
        <v>120</v>
      </c>
      <c r="N37" s="8" t="n">
        <f aca="false">IF((G37-L37)&lt;&gt;0,N$1-A37," ")</f>
        <v>49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52" t="n">
        <f aca="false">IF((F37="v"),I37," ")</f>
        <v>120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52"/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52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52"/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52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52"/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52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52"/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52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52"/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52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52"/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52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52"/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52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52"/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52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52"/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52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52"/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52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52"/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52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52"/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52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52"/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52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52"/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52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52"/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52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52"/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52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52"/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52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52"/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52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52"/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52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52"/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52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52"/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52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52"/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52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52"/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52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52"/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52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52"/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52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52"/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52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52"/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52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52"/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52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52"/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52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52"/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52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52"/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52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52"/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52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52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52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52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52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52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52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52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52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52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52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52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52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52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52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52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52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52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52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52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52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52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52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52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52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52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52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52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52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52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52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52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52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52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52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52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52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52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52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52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52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52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52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52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52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52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52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52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52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52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52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52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52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52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52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52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52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52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52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52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52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52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52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52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52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52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52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52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52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52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52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52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52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52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52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52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52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52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52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52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52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52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52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52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52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52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52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52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52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52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52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52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52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52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52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52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52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52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52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52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52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52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52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52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52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52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52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52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52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52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52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52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52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52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52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52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52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52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52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52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52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52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52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52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52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52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52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52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52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52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52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52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52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52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52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52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52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52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52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52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52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52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52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52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52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52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52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52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52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52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52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52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52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52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52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52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52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52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52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52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52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52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52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52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52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52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52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52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52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52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52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52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52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52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52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52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52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52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52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52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52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52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52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52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52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52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52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52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52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52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52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52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52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52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52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52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52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52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52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52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52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52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52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52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52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52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52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52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52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52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52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52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52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52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52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52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52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52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52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52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52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52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52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52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52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52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52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52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52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52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52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52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52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52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52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52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52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52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52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52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52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52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52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52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52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52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52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52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52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52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52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52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52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52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52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52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52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52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52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52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52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52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52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52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52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52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52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52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52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52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52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52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52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52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52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52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52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52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52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52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52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52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52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52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52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52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52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52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52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52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52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52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52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52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52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52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52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52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52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52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52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52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52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52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52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52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52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52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52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52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52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52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52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52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52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52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52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52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52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52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52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52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52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52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52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52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52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52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52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52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52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52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52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52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52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52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52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52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52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52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52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52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52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52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52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52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52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52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52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52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52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52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52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52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52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52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52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52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52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52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52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52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52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52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52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52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52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52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52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52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52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52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52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52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52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52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52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52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52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52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52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52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52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52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52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52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52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52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52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52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52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52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52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52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52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52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52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52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52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52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52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52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52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52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52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52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52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52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52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52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52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52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52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52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52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52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52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52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52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52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52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52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52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52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52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52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52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52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52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52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52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52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52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52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52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52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52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52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52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52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52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52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52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52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52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52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52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52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52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52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52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52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52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52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52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52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52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52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52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52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52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0"/>
      <c r="B300" s="31"/>
      <c r="C300" s="32"/>
      <c r="D300" s="33"/>
      <c r="E300" s="31"/>
      <c r="F300" s="53" t="str">
        <f aca="false">IF((G300&lt;&gt;0),"Enter Letter"," ")</f>
        <v> </v>
      </c>
      <c r="G300" s="54"/>
      <c r="H300" s="34" t="str">
        <f aca="false">IF(G300&lt;&gt;0,G300*H$2/(100+H$2)," ")</f>
        <v> </v>
      </c>
      <c r="I300" s="34" t="str">
        <f aca="false">IF((G300&lt;&gt;0),G300-H300," ")</f>
        <v> </v>
      </c>
      <c r="J300" s="55"/>
      <c r="K300" s="34"/>
      <c r="L300" s="34"/>
      <c r="M300" s="35" t="str">
        <f aca="false">IF(G300&lt;&gt;0,G300-L300," ")</f>
        <v> </v>
      </c>
      <c r="N300" s="36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7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8" t="n">
        <f aca="false">G1-H1-SUM(P1:AB1)</f>
        <v>1459</v>
      </c>
      <c r="B1" s="39" t="s">
        <v>21</v>
      </c>
      <c r="C1" s="39"/>
      <c r="D1" s="12" t="n">
        <f aca="false">SUM(D5:D300)</f>
        <v>0</v>
      </c>
      <c r="E1" s="13" t="s">
        <v>3</v>
      </c>
      <c r="F1" s="14"/>
      <c r="G1" s="13" t="n">
        <f aca="false">SUM(G2:G300)</f>
        <v>3726.5</v>
      </c>
      <c r="H1" s="13" t="n">
        <f aca="false">SUM(H5:H200)</f>
        <v>0</v>
      </c>
      <c r="I1" s="13" t="n">
        <f aca="false">SUM(I2:I200)</f>
        <v>3726.5</v>
      </c>
      <c r="J1" s="15"/>
      <c r="K1" s="16" t="s">
        <v>4</v>
      </c>
      <c r="L1" s="17" t="n">
        <f aca="false">SUM(L5:L300)</f>
        <v>0</v>
      </c>
      <c r="M1" s="17" t="n">
        <f aca="false">SUM(M5:M200)</f>
        <v>3726.5</v>
      </c>
      <c r="N1" s="18" t="n">
        <f aca="true">TODAY()</f>
        <v>46130</v>
      </c>
      <c r="O1" s="15"/>
      <c r="P1" s="13" t="n">
        <f aca="false">SUM(P5:P300)</f>
        <v>300</v>
      </c>
      <c r="Q1" s="13" t="n">
        <f aca="false">SUM(Q5:Q300)</f>
        <v>0</v>
      </c>
      <c r="R1" s="13" t="n">
        <f aca="false">SUM(R5:R300)</f>
        <v>249</v>
      </c>
      <c r="S1" s="13" t="n">
        <f aca="false">SUM(S5:S300)</f>
        <v>0</v>
      </c>
      <c r="T1" s="13" t="n">
        <f aca="false">SUM(T5:T300)</f>
        <v>360</v>
      </c>
      <c r="U1" s="13" t="n">
        <f aca="false">SUM(U5:U300)</f>
        <v>0</v>
      </c>
      <c r="V1" s="13" t="n">
        <f aca="false">SUM(V5:V300)</f>
        <v>159</v>
      </c>
      <c r="W1" s="13" t="n">
        <f aca="false">SUM(W2:W300)</f>
        <v>682.5</v>
      </c>
      <c r="X1" s="13" t="n">
        <f aca="false">SUM(X5:X300)</f>
        <v>92</v>
      </c>
      <c r="Y1" s="13" t="n">
        <f aca="false">SUM(Y5:Y300)</f>
        <v>0</v>
      </c>
      <c r="Z1" s="13" t="n">
        <f aca="false">SUM(Z5:Z300)</f>
        <v>425</v>
      </c>
      <c r="AA1" s="13" t="n">
        <f aca="false">SUM(AA5:AA300)</f>
        <v>0</v>
      </c>
      <c r="AB1" s="13" t="n">
        <f aca="false">SUM(AB5:AB300)</f>
        <v>0</v>
      </c>
      <c r="AC1" s="40"/>
      <c r="AD1" s="13" t="n">
        <f aca="false">SUM(AD5:AD300)</f>
        <v>0</v>
      </c>
      <c r="AE1" s="41"/>
    </row>
    <row r="2" s="19" customFormat="true" ht="13.5" hidden="false" customHeight="true" outlineLevel="0" collapsed="false">
      <c r="A2" s="42" t="n">
        <f aca="false">G2+Feb!A2</f>
        <v>0</v>
      </c>
      <c r="B2" s="43" t="s">
        <v>22</v>
      </c>
      <c r="C2" s="42" t="n">
        <f aca="false">Feb!C2+D1+[1]Mar!$D$1</f>
        <v>0</v>
      </c>
      <c r="D2" s="44" t="s">
        <v>23</v>
      </c>
      <c r="E2" s="20" t="s">
        <v>5</v>
      </c>
      <c r="F2" s="43" t="str">
        <f aca="false">Feb!F2</f>
        <v>v</v>
      </c>
      <c r="G2" s="45" t="n">
        <f aca="false">IF(C2&lt;[2]Admin!$F$22,(C2-Feb!C2)*[2]Admin!$G$21,C2*[2]Admin!$G$21-(C2-[2]Admin!$F$21)*([2]Admin!$G$21-[2]Admin!$G$22)-Feb!A2)</f>
        <v>0</v>
      </c>
      <c r="H2" s="21" t="n">
        <f aca="false">IF([1]Mar!$H$4&gt;0,0,[1]Mar!$H$2)</f>
        <v>20</v>
      </c>
      <c r="I2" s="46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25</v>
      </c>
      <c r="Q2" s="10"/>
      <c r="R2" s="10"/>
      <c r="S2" s="10" t="s">
        <v>26</v>
      </c>
      <c r="T2" s="47" t="s">
        <v>27</v>
      </c>
      <c r="U2" s="10" t="s">
        <v>28</v>
      </c>
      <c r="V2" s="10" t="s">
        <v>29</v>
      </c>
      <c r="W2" s="48" t="n">
        <f aca="false">IF((F2="v"),I2," ")</f>
        <v>0</v>
      </c>
      <c r="X2" s="10" t="s">
        <v>30</v>
      </c>
      <c r="Y2" s="10" t="s">
        <v>31</v>
      </c>
      <c r="Z2" s="10" t="s">
        <v>32</v>
      </c>
      <c r="AA2" s="10" t="s">
        <v>33</v>
      </c>
      <c r="AB2" s="49" t="n">
        <f aca="false">AB1+Feb!AB2</f>
        <v>39000</v>
      </c>
      <c r="AC2" s="40"/>
      <c r="AD2" s="10" t="s">
        <v>34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4"/>
      <c r="E3" s="44"/>
      <c r="F3" s="20" t="s">
        <v>35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36</v>
      </c>
      <c r="Q3" s="20" t="s">
        <v>37</v>
      </c>
      <c r="R3" s="20" t="s">
        <v>38</v>
      </c>
      <c r="S3" s="10"/>
      <c r="T3" s="20" t="s">
        <v>39</v>
      </c>
      <c r="U3" s="10"/>
      <c r="V3" s="10"/>
      <c r="W3" s="49" t="s">
        <v>40</v>
      </c>
      <c r="X3" s="10"/>
      <c r="Y3" s="10"/>
      <c r="Z3" s="10"/>
      <c r="AA3" s="10"/>
      <c r="AB3" s="49" t="s">
        <v>41</v>
      </c>
      <c r="AC3" s="40"/>
      <c r="AD3" s="10" t="s">
        <v>42</v>
      </c>
      <c r="AE3" s="10"/>
    </row>
    <row r="4" s="26" customFormat="true" ht="12.75" hidden="false" customHeight="true" outlineLevel="0" collapsed="false">
      <c r="A4" s="9"/>
      <c r="B4" s="10"/>
      <c r="C4" s="11"/>
      <c r="D4" s="44"/>
      <c r="E4" s="44"/>
      <c r="F4" s="20"/>
      <c r="G4" s="10"/>
      <c r="H4" s="10"/>
      <c r="I4" s="10"/>
      <c r="J4" s="15"/>
      <c r="K4" s="16"/>
      <c r="L4" s="23"/>
      <c r="M4" s="23"/>
      <c r="N4" s="24"/>
      <c r="O4" s="15"/>
      <c r="P4" s="50" t="s">
        <v>43</v>
      </c>
      <c r="Q4" s="50" t="s">
        <v>44</v>
      </c>
      <c r="R4" s="50" t="s">
        <v>45</v>
      </c>
      <c r="S4" s="50" t="s">
        <v>46</v>
      </c>
      <c r="T4" s="50" t="s">
        <v>47</v>
      </c>
      <c r="U4" s="50" t="s">
        <v>48</v>
      </c>
      <c r="V4" s="50" t="s">
        <v>49</v>
      </c>
      <c r="W4" s="51" t="s">
        <v>50</v>
      </c>
      <c r="X4" s="50" t="s">
        <v>51</v>
      </c>
      <c r="Y4" s="50" t="s">
        <v>52</v>
      </c>
      <c r="Z4" s="50" t="s">
        <v>53</v>
      </c>
      <c r="AA4" s="50" t="s">
        <v>54</v>
      </c>
      <c r="AB4" s="50" t="s">
        <v>55</v>
      </c>
      <c r="AC4" s="40"/>
      <c r="AD4" s="10" t="s">
        <v>56</v>
      </c>
      <c r="AE4" s="10" t="s">
        <v>57</v>
      </c>
    </row>
    <row r="5" s="5" customFormat="true" ht="12" hidden="false" customHeight="false" outlineLevel="0" collapsed="false">
      <c r="A5" s="27" t="n">
        <v>46082</v>
      </c>
      <c r="B5" s="5" t="s">
        <v>13</v>
      </c>
      <c r="F5" s="5" t="s">
        <v>58</v>
      </c>
      <c r="G5" s="52" t="n">
        <v>1200</v>
      </c>
      <c r="I5" s="6" t="n">
        <f aca="false">IF((G5&lt;&gt;0),G5-H5," ")</f>
        <v>1200</v>
      </c>
      <c r="K5" s="6"/>
      <c r="L5" s="6"/>
      <c r="M5" s="7" t="n">
        <f aca="false">IF(G5&lt;&gt;0,G5-L5," ")</f>
        <v>1200</v>
      </c>
      <c r="N5" s="8" t="n">
        <f aca="false">IF((G5-L5)&lt;&gt;0,N$1-A5," ")</f>
        <v>48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52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 t="n">
        <v>46082</v>
      </c>
      <c r="B6" s="2" t="s">
        <v>59</v>
      </c>
      <c r="F6" s="5" t="s">
        <v>60</v>
      </c>
      <c r="G6" s="52" t="n">
        <v>30</v>
      </c>
      <c r="I6" s="6" t="n">
        <f aca="false">IF((G6&lt;&gt;0),G6-H6," ")</f>
        <v>30</v>
      </c>
      <c r="J6" s="5"/>
      <c r="M6" s="7" t="n">
        <f aca="false">IF(G6&lt;&gt;0,G6-L6," ")</f>
        <v>30</v>
      </c>
      <c r="N6" s="8" t="n">
        <f aca="false">IF((G6-L6)&lt;&gt;0,N$1-A6," ")</f>
        <v>48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30</v>
      </c>
      <c r="W6" s="52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 t="n">
        <v>46082</v>
      </c>
      <c r="B7" s="2" t="s">
        <v>61</v>
      </c>
      <c r="F7" s="5" t="s">
        <v>60</v>
      </c>
      <c r="G7" s="52" t="n">
        <v>15</v>
      </c>
      <c r="I7" s="6" t="n">
        <f aca="false">IF((G7&lt;&gt;0),G7-H7," ")</f>
        <v>15</v>
      </c>
      <c r="J7" s="5"/>
      <c r="M7" s="7" t="n">
        <f aca="false">IF(G7&lt;&gt;0,G7-L7," ")</f>
        <v>15</v>
      </c>
      <c r="N7" s="8" t="n">
        <f aca="false">IF((G7-L7)&lt;&gt;0,N$1-A7," ")</f>
        <v>48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n">
        <f aca="false">IF((F7="g"),I7," ")</f>
        <v>15</v>
      </c>
      <c r="W7" s="52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 t="n">
        <v>46082</v>
      </c>
      <c r="B8" s="2" t="s">
        <v>62</v>
      </c>
      <c r="F8" s="5" t="s">
        <v>63</v>
      </c>
      <c r="G8" s="52" t="n">
        <v>45</v>
      </c>
      <c r="I8" s="6" t="n">
        <f aca="false">IF((G8&lt;&gt;0),G8-H8," ")</f>
        <v>45</v>
      </c>
      <c r="J8" s="5"/>
      <c r="M8" s="7" t="n">
        <f aca="false">IF(G8&lt;&gt;0,G8-L8," ")</f>
        <v>45</v>
      </c>
      <c r="N8" s="8" t="n">
        <f aca="false">IF((G8-L8)&lt;&gt;0,N$1-A8," ")</f>
        <v>48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n">
        <f aca="false">IF((F8="o"),I8," ")</f>
        <v>45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52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 t="n">
        <v>46082</v>
      </c>
      <c r="B9" s="2" t="s">
        <v>66</v>
      </c>
      <c r="F9" s="5" t="s">
        <v>63</v>
      </c>
      <c r="G9" s="52" t="n">
        <v>24</v>
      </c>
      <c r="I9" s="6" t="n">
        <f aca="false">IF((G9&lt;&gt;0),G9-H9," ")</f>
        <v>24</v>
      </c>
      <c r="J9" s="5"/>
      <c r="M9" s="7" t="n">
        <f aca="false">IF(G9&lt;&gt;0,G9-L9," ")</f>
        <v>24</v>
      </c>
      <c r="N9" s="8" t="n">
        <f aca="false">IF((G9-L9)&lt;&gt;0,N$1-A9," ")</f>
        <v>48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n">
        <f aca="false">IF((F9="o"),I9," ")</f>
        <v>24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52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 t="n">
        <v>46082</v>
      </c>
      <c r="B10" s="2" t="s">
        <v>67</v>
      </c>
      <c r="F10" s="5" t="s">
        <v>60</v>
      </c>
      <c r="G10" s="52" t="n">
        <v>18</v>
      </c>
      <c r="I10" s="6" t="n">
        <f aca="false">IF((G10&lt;&gt;0),G10-H10," ")</f>
        <v>18</v>
      </c>
      <c r="J10" s="5"/>
      <c r="M10" s="7" t="n">
        <f aca="false">IF(G10&lt;&gt;0,G10-L10," ")</f>
        <v>18</v>
      </c>
      <c r="N10" s="8" t="n">
        <f aca="false">IF((G10-L10)&lt;&gt;0,N$1-A10," ")</f>
        <v>48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n">
        <f aca="false">IF((F10="g"),I10," ")</f>
        <v>18</v>
      </c>
      <c r="W10" s="52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 t="n">
        <v>46084</v>
      </c>
      <c r="B11" s="2" t="s">
        <v>68</v>
      </c>
      <c r="F11" s="5" t="s">
        <v>63</v>
      </c>
      <c r="G11" s="52" t="n">
        <v>180</v>
      </c>
      <c r="I11" s="6" t="n">
        <f aca="false">IF((G11&lt;&gt;0),G11-H11," ")</f>
        <v>180</v>
      </c>
      <c r="J11" s="5"/>
      <c r="M11" s="7" t="n">
        <f aca="false">IF(G11&lt;&gt;0,G11-L11," ")</f>
        <v>180</v>
      </c>
      <c r="N11" s="8" t="n">
        <f aca="false">IF((G11-L11)&lt;&gt;0,N$1-A11," ")</f>
        <v>46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n">
        <f aca="false">IF((F11="o"),I11," ")</f>
        <v>180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52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 t="n">
        <v>46084</v>
      </c>
      <c r="B12" s="2" t="s">
        <v>69</v>
      </c>
      <c r="F12" s="5" t="s">
        <v>70</v>
      </c>
      <c r="G12" s="52" t="n">
        <v>22</v>
      </c>
      <c r="I12" s="6" t="n">
        <f aca="false">IF((G12&lt;&gt;0),G12-H12," ")</f>
        <v>22</v>
      </c>
      <c r="J12" s="5"/>
      <c r="M12" s="7" t="n">
        <f aca="false">IF(G12&lt;&gt;0,G12-L12," ")</f>
        <v>22</v>
      </c>
      <c r="N12" s="8" t="n">
        <f aca="false">IF((G12-L12)&lt;&gt;0,N$1-A12," ")</f>
        <v>46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52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 t="n">
        <v>46086</v>
      </c>
      <c r="B13" s="2" t="s">
        <v>71</v>
      </c>
      <c r="F13" s="5" t="s">
        <v>70</v>
      </c>
      <c r="G13" s="52" t="n">
        <v>24</v>
      </c>
      <c r="I13" s="6" t="n">
        <f aca="false">IF((G13&lt;&gt;0),G13-H13," ")</f>
        <v>24</v>
      </c>
      <c r="J13" s="5"/>
      <c r="M13" s="7" t="n">
        <f aca="false">IF(G13&lt;&gt;0,G13-L13," ")</f>
        <v>24</v>
      </c>
      <c r="N13" s="8" t="n">
        <f aca="false">IF((G13-L13)&lt;&gt;0,N$1-A13," ")</f>
        <v>44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52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 t="n">
        <v>46086</v>
      </c>
      <c r="B14" s="2" t="s">
        <v>72</v>
      </c>
      <c r="F14" s="5" t="s">
        <v>24</v>
      </c>
      <c r="G14" s="52" t="n">
        <v>180</v>
      </c>
      <c r="I14" s="6" t="n">
        <f aca="false">IF((G14&lt;&gt;0),G14-H14," ")</f>
        <v>180</v>
      </c>
      <c r="J14" s="5"/>
      <c r="M14" s="7" t="n">
        <f aca="false">IF(G14&lt;&gt;0,G14-L14," ")</f>
        <v>180</v>
      </c>
      <c r="N14" s="8" t="n">
        <f aca="false">IF((G14-L14)&lt;&gt;0,N$1-A14," ")</f>
        <v>44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52" t="n">
        <f aca="false">IF((F14="v"),I14," ")</f>
        <v>180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 t="n">
        <v>46089</v>
      </c>
      <c r="B15" s="2" t="s">
        <v>74</v>
      </c>
      <c r="F15" s="5" t="s">
        <v>75</v>
      </c>
      <c r="G15" s="52" t="n">
        <v>48</v>
      </c>
      <c r="I15" s="6" t="n">
        <f aca="false">IF((G15&lt;&gt;0),G15-H15," ")</f>
        <v>48</v>
      </c>
      <c r="J15" s="5"/>
      <c r="M15" s="7" t="n">
        <f aca="false">IF(G15&lt;&gt;0,G15-L15," ")</f>
        <v>48</v>
      </c>
      <c r="N15" s="8" t="n">
        <f aca="false">IF((G15-L15)&lt;&gt;0,N$1-A15," ")</f>
        <v>41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52" t="str">
        <f aca="false">IF((F15="v"),I15," ")</f>
        <v> </v>
      </c>
      <c r="X15" s="19" t="n">
        <f aca="false">IF((F15="h"),I15," ")</f>
        <v>48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 t="n">
        <v>46091</v>
      </c>
      <c r="B16" s="2" t="s">
        <v>76</v>
      </c>
      <c r="F16" s="5" t="s">
        <v>70</v>
      </c>
      <c r="G16" s="52" t="n">
        <v>36</v>
      </c>
      <c r="I16" s="6" t="n">
        <f aca="false">IF((G16&lt;&gt;0),G16-H16," ")</f>
        <v>36</v>
      </c>
      <c r="J16" s="5"/>
      <c r="M16" s="7" t="n">
        <f aca="false">IF(G16&lt;&gt;0,G16-L16," ")</f>
        <v>36</v>
      </c>
      <c r="N16" s="8" t="n">
        <f aca="false">IF((G16-L16)&lt;&gt;0,N$1-A16," ")</f>
        <v>39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52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 t="n">
        <v>46091</v>
      </c>
      <c r="B17" s="2" t="s">
        <v>85</v>
      </c>
      <c r="F17" s="5" t="s">
        <v>105</v>
      </c>
      <c r="G17" s="52" t="n">
        <v>144</v>
      </c>
      <c r="I17" s="6" t="n">
        <f aca="false">IF((G17&lt;&gt;0),G17-H17," ")</f>
        <v>144</v>
      </c>
      <c r="J17" s="5"/>
      <c r="M17" s="7" t="n">
        <f aca="false">IF(G17&lt;&gt;0,G17-L17," ")</f>
        <v>144</v>
      </c>
      <c r="N17" s="8" t="n">
        <f aca="false">IF((G17-L17)&lt;&gt;0,N$1-A17," ")</f>
        <v>39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52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 t="n">
        <v>46093</v>
      </c>
      <c r="B18" s="2" t="s">
        <v>81</v>
      </c>
      <c r="F18" s="5" t="s">
        <v>24</v>
      </c>
      <c r="G18" s="52" t="n">
        <v>18</v>
      </c>
      <c r="I18" s="6" t="n">
        <f aca="false">IF((G18&lt;&gt;0),G18-H18," ")</f>
        <v>18</v>
      </c>
      <c r="J18" s="5"/>
      <c r="M18" s="7" t="n">
        <f aca="false">IF(G18&lt;&gt;0,G18-L18," ")</f>
        <v>18</v>
      </c>
      <c r="N18" s="8" t="n">
        <f aca="false">IF((G18-L18)&lt;&gt;0,N$1-A18," ")</f>
        <v>37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52" t="n">
        <f aca="false">IF((F18="v"),I18," ")</f>
        <v>18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 t="n">
        <v>46095</v>
      </c>
      <c r="B19" s="2" t="s">
        <v>83</v>
      </c>
      <c r="F19" s="5" t="s">
        <v>75</v>
      </c>
      <c r="G19" s="52" t="n">
        <v>24</v>
      </c>
      <c r="I19" s="6" t="n">
        <f aca="false">IF((G19&lt;&gt;0),G19-H19," ")</f>
        <v>24</v>
      </c>
      <c r="J19" s="5"/>
      <c r="M19" s="7" t="n">
        <f aca="false">IF(G19&lt;&gt;0,G19-L19," ")</f>
        <v>24</v>
      </c>
      <c r="N19" s="8" t="n">
        <f aca="false">IF((G19-L19)&lt;&gt;0,N$1-A19," ")</f>
        <v>35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52" t="str">
        <f aca="false">IF((F19="v"),I19," ")</f>
        <v> </v>
      </c>
      <c r="X19" s="19" t="n">
        <f aca="false">IF((F19="h"),I19," ")</f>
        <v>24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 t="n">
        <v>46095</v>
      </c>
      <c r="B20" s="2" t="s">
        <v>84</v>
      </c>
      <c r="F20" s="5" t="s">
        <v>75</v>
      </c>
      <c r="G20" s="52" t="n">
        <v>12</v>
      </c>
      <c r="I20" s="6" t="n">
        <f aca="false">IF((G20&lt;&gt;0),G20-H20," ")</f>
        <v>12</v>
      </c>
      <c r="J20" s="5"/>
      <c r="M20" s="7" t="n">
        <f aca="false">IF(G20&lt;&gt;0,G20-L20," ")</f>
        <v>12</v>
      </c>
      <c r="N20" s="8" t="n">
        <f aca="false">IF((G20-L20)&lt;&gt;0,N$1-A20," ")</f>
        <v>35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52" t="str">
        <f aca="false">IF((F20="v"),I20," ")</f>
        <v> </v>
      </c>
      <c r="X20" s="19" t="n">
        <f aca="false">IF((F20="h"),I20," ")</f>
        <v>12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 t="n">
        <v>46096</v>
      </c>
      <c r="B21" s="2" t="s">
        <v>19</v>
      </c>
      <c r="F21" s="5" t="s">
        <v>24</v>
      </c>
      <c r="G21" s="52" t="n">
        <v>150</v>
      </c>
      <c r="I21" s="6" t="n">
        <f aca="false">IF((G21&lt;&gt;0),G21-H21," ")</f>
        <v>150</v>
      </c>
      <c r="J21" s="5"/>
      <c r="M21" s="7" t="n">
        <f aca="false">IF(G21&lt;&gt;0,G21-L21," ")</f>
        <v>150</v>
      </c>
      <c r="N21" s="8" t="n">
        <f aca="false">IF((G21-L21)&lt;&gt;0,N$1-A21," ")</f>
        <v>34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52" t="n">
        <f aca="false">IF((F21="v"),I21," ")</f>
        <v>150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 t="n">
        <v>46096</v>
      </c>
      <c r="B22" s="2" t="s">
        <v>85</v>
      </c>
      <c r="F22" s="5" t="s">
        <v>60</v>
      </c>
      <c r="G22" s="52" t="n">
        <v>12</v>
      </c>
      <c r="I22" s="6" t="n">
        <f aca="false">IF((G22&lt;&gt;0),G22-H22," ")</f>
        <v>12</v>
      </c>
      <c r="J22" s="5"/>
      <c r="M22" s="7" t="n">
        <f aca="false">IF(G22&lt;&gt;0,G22-L22," ")</f>
        <v>12</v>
      </c>
      <c r="N22" s="8" t="n">
        <f aca="false">IF((G22-L22)&lt;&gt;0,N$1-A22," ")</f>
        <v>34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n">
        <f aca="false">IF((F22="g"),I22," ")</f>
        <v>12</v>
      </c>
      <c r="W22" s="52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 t="n">
        <v>46097</v>
      </c>
      <c r="B23" s="2" t="s">
        <v>103</v>
      </c>
      <c r="F23" s="5" t="s">
        <v>60</v>
      </c>
      <c r="G23" s="52" t="n">
        <v>24</v>
      </c>
      <c r="I23" s="6" t="n">
        <f aca="false">IF((G23&lt;&gt;0),G23-H23," ")</f>
        <v>24</v>
      </c>
      <c r="J23" s="5"/>
      <c r="M23" s="7" t="n">
        <f aca="false">IF(G23&lt;&gt;0,G23-L23," ")</f>
        <v>24</v>
      </c>
      <c r="N23" s="8" t="n">
        <f aca="false">IF((G23-L23)&lt;&gt;0,N$1-A23," ")</f>
        <v>33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n">
        <f aca="false">IF((F23="g"),I23," ")</f>
        <v>24</v>
      </c>
      <c r="W23" s="52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 t="n">
        <v>46099</v>
      </c>
      <c r="B24" s="2" t="s">
        <v>112</v>
      </c>
      <c r="F24" s="5" t="s">
        <v>80</v>
      </c>
      <c r="G24" s="52" t="n">
        <v>300</v>
      </c>
      <c r="I24" s="6" t="n">
        <f aca="false">IF((G24&lt;&gt;0),G24-H24," ")</f>
        <v>300</v>
      </c>
      <c r="J24" s="5"/>
      <c r="M24" s="7" t="n">
        <f aca="false">IF(G24&lt;&gt;0,G24-L24," ")</f>
        <v>300</v>
      </c>
      <c r="N24" s="8" t="n">
        <f aca="false">IF((G24-L24)&lt;&gt;0,N$1-A24," ")</f>
        <v>31</v>
      </c>
      <c r="O24" s="5"/>
      <c r="P24" s="19" t="n">
        <f aca="false">IF((F24="s"),I24," ")</f>
        <v>300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52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 t="n">
        <v>46099</v>
      </c>
      <c r="B25" s="2" t="s">
        <v>86</v>
      </c>
      <c r="F25" s="5" t="s">
        <v>24</v>
      </c>
      <c r="G25" s="52" t="n">
        <v>96</v>
      </c>
      <c r="I25" s="6" t="n">
        <f aca="false">IF((G25&lt;&gt;0),G25-H25," ")</f>
        <v>96</v>
      </c>
      <c r="J25" s="5"/>
      <c r="M25" s="7" t="n">
        <f aca="false">IF(G25&lt;&gt;0,G25-L25," ")</f>
        <v>96</v>
      </c>
      <c r="N25" s="8" t="n">
        <f aca="false">IF((G25-L25)&lt;&gt;0,N$1-A25," ")</f>
        <v>31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52" t="n">
        <f aca="false">IF((F25="v"),I25," ")</f>
        <v>96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 t="n">
        <v>46101</v>
      </c>
      <c r="B26" s="2" t="s">
        <v>87</v>
      </c>
      <c r="F26" s="5" t="s">
        <v>60</v>
      </c>
      <c r="G26" s="52" t="n">
        <v>60</v>
      </c>
      <c r="I26" s="6" t="n">
        <f aca="false">IF((G26&lt;&gt;0),G26-H26," ")</f>
        <v>60</v>
      </c>
      <c r="J26" s="5"/>
      <c r="M26" s="7" t="n">
        <f aca="false">IF(G26&lt;&gt;0,G26-L26," ")</f>
        <v>60</v>
      </c>
      <c r="N26" s="8" t="n">
        <f aca="false">IF((G26-L26)&lt;&gt;0,N$1-A26," ")</f>
        <v>29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n">
        <f aca="false">IF((F26="g"),I26," ")</f>
        <v>60</v>
      </c>
      <c r="W26" s="52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 t="n">
        <v>46102</v>
      </c>
      <c r="B27" s="2" t="s">
        <v>90</v>
      </c>
      <c r="F27" s="5" t="s">
        <v>75</v>
      </c>
      <c r="G27" s="52" t="n">
        <v>8</v>
      </c>
      <c r="I27" s="6" t="n">
        <f aca="false">IF((G27&lt;&gt;0),G27-H27," ")</f>
        <v>8</v>
      </c>
      <c r="J27" s="5"/>
      <c r="M27" s="7" t="n">
        <f aca="false">IF(G27&lt;&gt;0,G27-L27," ")</f>
        <v>8</v>
      </c>
      <c r="N27" s="8" t="n">
        <f aca="false">IF((G27-L27)&lt;&gt;0,N$1-A27," ")</f>
        <v>28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52" t="str">
        <f aca="false">IF((F27="v"),I27," ")</f>
        <v> </v>
      </c>
      <c r="X27" s="19" t="n">
        <f aca="false">IF((F27="h"),I27," ")</f>
        <v>8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 t="n">
        <v>46103</v>
      </c>
      <c r="B28" s="2" t="s">
        <v>91</v>
      </c>
      <c r="F28" s="5" t="s">
        <v>70</v>
      </c>
      <c r="G28" s="52" t="n">
        <v>18</v>
      </c>
      <c r="I28" s="6" t="n">
        <f aca="false">IF((G28&lt;&gt;0),G28-H28," ")</f>
        <v>18</v>
      </c>
      <c r="J28" s="5"/>
      <c r="M28" s="7" t="n">
        <f aca="false">IF(G28&lt;&gt;0,G28-L28," ")</f>
        <v>18</v>
      </c>
      <c r="N28" s="8" t="n">
        <f aca="false">IF((G28-L28)&lt;&gt;0,N$1-A28," ")</f>
        <v>27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52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 t="n">
        <v>46103</v>
      </c>
      <c r="B29" s="2" t="s">
        <v>107</v>
      </c>
      <c r="F29" s="5" t="s">
        <v>24</v>
      </c>
      <c r="G29" s="52" t="n">
        <v>60</v>
      </c>
      <c r="I29" s="6" t="n">
        <f aca="false">IF((G29&lt;&gt;0),G29-H29," ")</f>
        <v>60</v>
      </c>
      <c r="J29" s="5"/>
      <c r="M29" s="7" t="n">
        <f aca="false">IF(G29&lt;&gt;0,G29-L29," ")</f>
        <v>60</v>
      </c>
      <c r="N29" s="8" t="n">
        <f aca="false">IF((G29-L29)&lt;&gt;0,N$1-A29," ")</f>
        <v>27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52" t="n">
        <f aca="false">IF((F29="v"),I29," ")</f>
        <v>60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 t="n">
        <v>46106</v>
      </c>
      <c r="B30" s="2" t="s">
        <v>113</v>
      </c>
      <c r="F30" s="5" t="s">
        <v>114</v>
      </c>
      <c r="G30" s="52" t="n">
        <v>360</v>
      </c>
      <c r="I30" s="6" t="n">
        <f aca="false">IF((G30&lt;&gt;0),G30-H30," ")</f>
        <v>360</v>
      </c>
      <c r="J30" s="5"/>
      <c r="M30" s="7" t="n">
        <f aca="false">IF(G30&lt;&gt;0,G30-L30," ")</f>
        <v>360</v>
      </c>
      <c r="N30" s="8" t="n">
        <f aca="false">IF((G30-L30)&lt;&gt;0,N$1-A30," ")</f>
        <v>24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n">
        <f aca="false">IF((F30="p"),I30," ")</f>
        <v>360</v>
      </c>
      <c r="U30" s="19" t="str">
        <f aca="false">IF((F30="m"),I30," ")</f>
        <v> </v>
      </c>
      <c r="V30" s="19" t="str">
        <f aca="false">IF((F30="g"),I30," ")</f>
        <v> </v>
      </c>
      <c r="W30" s="52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 t="n">
        <v>46106</v>
      </c>
      <c r="B31" s="2" t="s">
        <v>92</v>
      </c>
      <c r="F31" s="5" t="s">
        <v>70</v>
      </c>
      <c r="G31" s="52" t="n">
        <v>15</v>
      </c>
      <c r="I31" s="6" t="n">
        <f aca="false">IF((G31&lt;&gt;0),G31-H31," ")</f>
        <v>15</v>
      </c>
      <c r="J31" s="5"/>
      <c r="M31" s="7" t="n">
        <f aca="false">IF(G31&lt;&gt;0,G31-L31," ")</f>
        <v>15</v>
      </c>
      <c r="N31" s="8" t="n">
        <f aca="false">IF((G31-L31)&lt;&gt;0,N$1-A31," ")</f>
        <v>24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52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 t="n">
        <v>46106</v>
      </c>
      <c r="B32" s="2" t="s">
        <v>93</v>
      </c>
      <c r="F32" s="5" t="s">
        <v>24</v>
      </c>
      <c r="G32" s="52" t="n">
        <v>58.5</v>
      </c>
      <c r="I32" s="6" t="n">
        <f aca="false">IF((G32&lt;&gt;0),G32-H32," ")</f>
        <v>58.5</v>
      </c>
      <c r="J32" s="5"/>
      <c r="M32" s="7" t="n">
        <f aca="false">IF(G32&lt;&gt;0,G32-L32," ")</f>
        <v>58.5</v>
      </c>
      <c r="N32" s="8" t="n">
        <f aca="false">IF((G32-L32)&lt;&gt;0,N$1-A32," ")</f>
        <v>24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52" t="n">
        <f aca="false">IF((F32="v"),I32," ")</f>
        <v>58.5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 t="n">
        <v>46109</v>
      </c>
      <c r="B33" s="2" t="s">
        <v>19</v>
      </c>
      <c r="F33" s="5" t="s">
        <v>24</v>
      </c>
      <c r="G33" s="52" t="n">
        <v>120</v>
      </c>
      <c r="I33" s="6" t="n">
        <f aca="false">IF((G33&lt;&gt;0),G33-H33," ")</f>
        <v>120</v>
      </c>
      <c r="J33" s="5"/>
      <c r="M33" s="7" t="n">
        <f aca="false">IF(G33&lt;&gt;0,G33-L33," ")</f>
        <v>120</v>
      </c>
      <c r="N33" s="8" t="n">
        <f aca="false">IF((G33-L33)&lt;&gt;0,N$1-A33," ")</f>
        <v>21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52" t="n">
        <f aca="false">IF((F33="v"),I33," ")</f>
        <v>120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 t="n">
        <v>46112</v>
      </c>
      <c r="B34" s="2" t="s">
        <v>15</v>
      </c>
      <c r="F34" s="5" t="s">
        <v>94</v>
      </c>
      <c r="G34" s="52" t="n">
        <v>300</v>
      </c>
      <c r="I34" s="6" t="n">
        <f aca="false">IF((G34&lt;&gt;0),G34-H34," ")</f>
        <v>300</v>
      </c>
      <c r="J34" s="5"/>
      <c r="M34" s="7" t="n">
        <f aca="false">IF(G34&lt;&gt;0,G34-L34," ")</f>
        <v>300</v>
      </c>
      <c r="N34" s="8" t="n">
        <f aca="false">IF((G34-L34)&lt;&gt;0,N$1-A34," ")</f>
        <v>18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52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n">
        <f aca="false">IF((F34="l"),I34," ")</f>
        <v>300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 t="n">
        <v>46112</v>
      </c>
      <c r="B35" s="2" t="s">
        <v>115</v>
      </c>
      <c r="F35" s="5" t="s">
        <v>94</v>
      </c>
      <c r="G35" s="52" t="n">
        <v>125</v>
      </c>
      <c r="I35" s="6" t="n">
        <f aca="false">IF((G35&lt;&gt;0),G35-H35," ")</f>
        <v>125</v>
      </c>
      <c r="J35" s="5"/>
      <c r="M35" s="7" t="n">
        <f aca="false">IF(G35&lt;&gt;0,G35-L35," ")</f>
        <v>125</v>
      </c>
      <c r="N35" s="8" t="n">
        <f aca="false">IF((G35-L35)&lt;&gt;0,N$1-A35," ")</f>
        <v>18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52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n">
        <f aca="false">IF((F35="l"),I35," ")</f>
        <v>125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52"/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52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52"/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52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52"/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52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52"/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52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52"/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52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52"/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52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52"/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52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52"/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52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52"/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52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52"/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52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52"/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52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52"/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52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52"/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52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52"/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52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52"/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52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52"/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52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52"/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52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52"/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52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52"/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52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52"/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52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52"/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52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52"/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52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52"/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52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52"/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52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52"/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52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52"/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52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52"/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52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52"/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52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52"/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52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52"/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52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52"/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52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52"/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52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52"/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52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52"/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52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52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52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52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52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52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52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52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52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52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52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52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52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52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52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52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52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52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52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52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52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52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52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52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52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52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52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52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52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52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52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52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52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52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52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52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52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52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52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52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52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52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52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52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52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52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52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52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52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52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52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52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52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52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52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52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52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52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52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52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52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52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52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52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52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52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52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52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52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52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52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52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52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52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52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52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52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52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52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52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52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52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52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52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52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52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52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52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52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52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52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52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52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52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52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52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52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52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52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52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52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52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52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52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52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52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52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52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52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52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52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52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52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52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52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52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52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52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52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52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52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52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52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52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52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52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52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52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52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52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52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52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52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52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52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52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52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52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52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52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52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52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52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52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52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52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52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52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52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52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52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52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52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52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52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52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52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52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52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52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52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52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52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52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52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52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52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52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52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52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52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52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52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52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52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52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52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52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52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52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52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52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52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52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52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52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52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52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52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52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52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52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52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52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52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52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52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52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52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52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52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52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52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52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52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52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52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52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52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52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52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52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52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52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52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52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52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52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52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52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52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52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52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52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52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52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52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52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52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52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52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52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52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52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52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52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52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52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52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52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52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52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52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52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52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52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52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52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52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52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52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52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52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52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52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52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52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52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52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52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52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52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52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52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52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52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52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52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52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52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52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52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52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52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52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52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52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52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52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52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52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52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52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52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52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52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52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52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52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52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52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52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52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52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52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52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52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52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52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52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52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52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52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52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52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52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52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52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52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52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52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52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52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52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52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52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52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52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52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52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52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52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52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52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52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52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52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52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52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52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52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52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52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52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52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52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52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52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52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52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52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52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52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52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52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52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52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52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52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52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52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52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52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52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52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52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52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52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52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52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52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52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52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52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52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52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52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52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52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52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52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52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52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52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52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52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52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52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52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52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52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52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52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52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52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52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52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52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52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52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52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52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52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52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52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52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52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52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52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52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52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52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52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52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52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52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52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52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52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52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52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52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52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52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52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52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52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52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52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52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52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52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52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52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52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52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52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52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52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52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52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52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52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52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52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52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52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52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52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52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52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52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52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52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52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52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52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52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52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52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52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52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52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52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52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52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52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52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52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52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52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0"/>
      <c r="B300" s="31"/>
      <c r="C300" s="32"/>
      <c r="D300" s="33"/>
      <c r="E300" s="31"/>
      <c r="F300" s="53" t="str">
        <f aca="false">IF((G300&lt;&gt;0),"Enter Letter"," ")</f>
        <v> </v>
      </c>
      <c r="G300" s="54"/>
      <c r="H300" s="34" t="str">
        <f aca="false">IF(G300&lt;&gt;0,G300*H$2/(100+H$2)," ")</f>
        <v> </v>
      </c>
      <c r="I300" s="34" t="str">
        <f aca="false">IF((G300&lt;&gt;0),G300-H300," ")</f>
        <v> </v>
      </c>
      <c r="J300" s="55"/>
      <c r="K300" s="34"/>
      <c r="L300" s="34"/>
      <c r="M300" s="35" t="str">
        <f aca="false">IF(G300&lt;&gt;0,G300-L300," ")</f>
        <v> </v>
      </c>
      <c r="N300" s="36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9.66"/>
    <col collapsed="false" customWidth="true" hidden="false" outlineLevel="0" max="3" min="3" style="3" width="11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false" hidden="false" outlineLevel="0" max="257" min="15" style="2" width="9.15"/>
  </cols>
  <sheetData>
    <row r="1" s="19" customFormat="true" ht="12.75" hidden="false" customHeight="true" outlineLevel="0" collapsed="false">
      <c r="A1" s="9" t="s">
        <v>0</v>
      </c>
      <c r="B1" s="10" t="s">
        <v>1</v>
      </c>
      <c r="C1" s="11" t="s">
        <v>2</v>
      </c>
      <c r="D1" s="12"/>
      <c r="E1" s="13" t="s">
        <v>3</v>
      </c>
      <c r="F1" s="14"/>
      <c r="G1" s="13" t="n">
        <f aca="false">SUM(G5:G300)</f>
        <v>0</v>
      </c>
      <c r="H1" s="13" t="n">
        <f aca="false">SUM(H5:H300)</f>
        <v>0</v>
      </c>
      <c r="I1" s="13" t="n">
        <f aca="false">SUM(I5:I300)</f>
        <v>0</v>
      </c>
      <c r="J1" s="15"/>
      <c r="K1" s="16" t="s">
        <v>4</v>
      </c>
      <c r="L1" s="17" t="n">
        <f aca="false">SUM(L5:L300)</f>
        <v>0</v>
      </c>
      <c r="M1" s="17" t="n">
        <f aca="false">SUM(M5:M300)</f>
        <v>0</v>
      </c>
      <c r="N1" s="18" t="n">
        <f aca="true">TODAY()</f>
        <v>46130</v>
      </c>
    </row>
    <row r="2" s="19" customFormat="true" ht="13.5" hidden="false" customHeight="true" outlineLevel="0" collapsed="false">
      <c r="A2" s="9"/>
      <c r="B2" s="10"/>
      <c r="C2" s="10"/>
      <c r="D2" s="12"/>
      <c r="E2" s="20" t="s">
        <v>5</v>
      </c>
      <c r="F2" s="20"/>
      <c r="G2" s="10" t="s">
        <v>6</v>
      </c>
      <c r="H2" s="21" t="n">
        <f aca="false">Mar!H2</f>
        <v>20</v>
      </c>
      <c r="I2" s="10" t="s">
        <v>7</v>
      </c>
      <c r="J2" s="15"/>
      <c r="K2" s="16"/>
      <c r="L2" s="22" t="s">
        <v>8</v>
      </c>
      <c r="M2" s="22"/>
      <c r="N2" s="22"/>
    </row>
    <row r="3" s="25" customFormat="true" ht="34.5" hidden="false" customHeight="true" outlineLevel="0" collapsed="false">
      <c r="A3" s="9"/>
      <c r="B3" s="10"/>
      <c r="C3" s="10"/>
      <c r="D3" s="12"/>
      <c r="E3" s="20"/>
      <c r="F3" s="20"/>
      <c r="G3" s="10"/>
      <c r="H3" s="10" t="s">
        <v>9</v>
      </c>
      <c r="I3" s="10"/>
      <c r="J3" s="15"/>
      <c r="K3" s="16"/>
      <c r="L3" s="23" t="s">
        <v>10</v>
      </c>
      <c r="M3" s="23" t="s">
        <v>11</v>
      </c>
      <c r="N3" s="24" t="s">
        <v>12</v>
      </c>
    </row>
    <row r="4" s="26" customFormat="true" ht="12.75" hidden="false" customHeight="true" outlineLevel="0" collapsed="false">
      <c r="A4" s="9"/>
      <c r="B4" s="10"/>
      <c r="C4" s="10"/>
      <c r="D4" s="12"/>
      <c r="E4" s="20"/>
      <c r="F4" s="20"/>
      <c r="G4" s="10"/>
      <c r="H4" s="10"/>
      <c r="I4" s="10"/>
      <c r="J4" s="15"/>
      <c r="K4" s="16"/>
      <c r="L4" s="23"/>
      <c r="M4" s="23"/>
      <c r="N4" s="24"/>
    </row>
    <row r="5" s="5" customFormat="true" ht="12" hidden="false" customHeight="false" outlineLevel="0" collapsed="false">
      <c r="A5" s="27"/>
      <c r="B5" s="5" t="s">
        <v>13</v>
      </c>
      <c r="C5" s="28" t="s">
        <v>132</v>
      </c>
      <c r="D5" s="5" t="n">
        <v>1200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</row>
    <row r="6" customFormat="false" ht="12" hidden="false" customHeight="false" outlineLevel="0" collapsed="false">
      <c r="A6" s="27"/>
      <c r="B6" s="2" t="s">
        <v>15</v>
      </c>
      <c r="C6" s="3" t="s">
        <v>133</v>
      </c>
      <c r="D6" s="4" t="n">
        <v>300</v>
      </c>
      <c r="F6" s="2"/>
      <c r="H6" s="6" t="str">
        <f aca="false">IF(G6&lt;&gt;0,G6*H$2/(100+H$2)," ")</f>
        <v> </v>
      </c>
      <c r="I6" s="6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</row>
    <row r="7" customFormat="false" ht="12" hidden="false" customHeight="false" outlineLevel="0" collapsed="false">
      <c r="A7" s="27"/>
      <c r="B7" s="2" t="s">
        <v>87</v>
      </c>
      <c r="C7" s="3" t="s">
        <v>134</v>
      </c>
      <c r="D7" s="4" t="n">
        <v>60</v>
      </c>
      <c r="F7" s="2"/>
      <c r="H7" s="6" t="str">
        <f aca="false">IF(G7&lt;&gt;0,G7*H$2/(100+H$2)," ")</f>
        <v> </v>
      </c>
      <c r="I7" s="6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</row>
    <row r="8" customFormat="false" ht="12" hidden="false" customHeight="false" outlineLevel="0" collapsed="false">
      <c r="A8" s="27"/>
      <c r="B8" s="2" t="s">
        <v>19</v>
      </c>
      <c r="C8" s="3" t="s">
        <v>135</v>
      </c>
      <c r="D8" s="4" t="n">
        <v>150</v>
      </c>
      <c r="F8" s="2"/>
      <c r="H8" s="6" t="str">
        <f aca="false">IF(G8&lt;&gt;0,G8*H$2/(100+H$2)," ")</f>
        <v> </v>
      </c>
      <c r="I8" s="6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</row>
    <row r="9" customFormat="false" ht="12" hidden="false" customHeight="false" outlineLevel="0" collapsed="false">
      <c r="A9" s="27"/>
      <c r="F9" s="2"/>
      <c r="H9" s="6" t="str">
        <f aca="false">IF(G9&lt;&gt;0,G9*H$2/(100+H$2)," ")</f>
        <v> </v>
      </c>
      <c r="I9" s="6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</row>
    <row r="10" customFormat="false" ht="12" hidden="false" customHeight="false" outlineLevel="0" collapsed="false">
      <c r="A10" s="27"/>
      <c r="F10" s="2"/>
      <c r="H10" s="6" t="str">
        <f aca="false">IF(G10&lt;&gt;0,G10*H$2/(100+H$2)," ")</f>
        <v> </v>
      </c>
      <c r="I10" s="6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</row>
    <row r="11" customFormat="false" ht="12" hidden="false" customHeight="false" outlineLevel="0" collapsed="false">
      <c r="A11" s="27"/>
      <c r="F11" s="2"/>
      <c r="H11" s="6" t="str">
        <f aca="false">IF(G11&lt;&gt;0,G11*H$2/(100+H$2)," ")</f>
        <v> </v>
      </c>
      <c r="I11" s="6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</row>
    <row r="12" customFormat="false" ht="12" hidden="false" customHeight="false" outlineLevel="0" collapsed="false">
      <c r="A12" s="27"/>
      <c r="F12" s="2"/>
      <c r="H12" s="6" t="str">
        <f aca="false">IF(G12&lt;&gt;0,G12*H$2/(100+H$2)," ")</f>
        <v> </v>
      </c>
      <c r="I12" s="6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</row>
    <row r="13" customFormat="false" ht="12" hidden="false" customHeight="false" outlineLevel="0" collapsed="false">
      <c r="A13" s="27"/>
      <c r="F13" s="2"/>
      <c r="H13" s="6" t="str">
        <f aca="false">IF(G13&lt;&gt;0,G13*H$2/(100+H$2)," ")</f>
        <v> </v>
      </c>
      <c r="I13" s="6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</row>
    <row r="14" customFormat="false" ht="12" hidden="false" customHeight="false" outlineLevel="0" collapsed="false">
      <c r="A14" s="27"/>
      <c r="F14" s="2"/>
      <c r="H14" s="6" t="str">
        <f aca="false">IF(G14&lt;&gt;0,G14*H$2/(100+H$2)," ")</f>
        <v> </v>
      </c>
      <c r="I14" s="6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</row>
    <row r="15" customFormat="false" ht="12" hidden="false" customHeight="false" outlineLevel="0" collapsed="false">
      <c r="A15" s="27"/>
      <c r="F15" s="2"/>
      <c r="H15" s="6" t="str">
        <f aca="false">IF(G15&lt;&gt;0,G15*H$2/(100+H$2)," ")</f>
        <v> </v>
      </c>
      <c r="I15" s="6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</row>
    <row r="16" customFormat="false" ht="12" hidden="false" customHeight="false" outlineLevel="0" collapsed="false">
      <c r="A16" s="27"/>
      <c r="F16" s="2"/>
      <c r="H16" s="6" t="str">
        <f aca="false">IF(G16&lt;&gt;0,G16*H$2/(100+H$2)," ")</f>
        <v> </v>
      </c>
      <c r="I16" s="6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</row>
    <row r="17" customFormat="false" ht="12" hidden="false" customHeight="false" outlineLevel="0" collapsed="false">
      <c r="A17" s="27"/>
      <c r="F17" s="2"/>
      <c r="H17" s="6" t="str">
        <f aca="false">IF(G17&lt;&gt;0,G17*H$2/(100+H$2)," ")</f>
        <v> </v>
      </c>
      <c r="I17" s="6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</row>
    <row r="18" customFormat="false" ht="12" hidden="false" customHeight="false" outlineLevel="0" collapsed="false">
      <c r="A18" s="27"/>
      <c r="F18" s="2"/>
      <c r="H18" s="6" t="str">
        <f aca="false">IF(G18&lt;&gt;0,G18*H$2/(100+H$2)," ")</f>
        <v> </v>
      </c>
      <c r="I18" s="6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</row>
    <row r="19" customFormat="false" ht="12" hidden="false" customHeight="false" outlineLevel="0" collapsed="false">
      <c r="A19" s="27"/>
      <c r="F19" s="2"/>
      <c r="H19" s="6" t="str">
        <f aca="false">IF(G19&lt;&gt;0,G19*H$2/(100+H$2)," ")</f>
        <v> </v>
      </c>
      <c r="I19" s="6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</row>
    <row r="20" customFormat="false" ht="12" hidden="false" customHeight="false" outlineLevel="0" collapsed="false">
      <c r="A20" s="27"/>
      <c r="F20" s="2"/>
      <c r="H20" s="6" t="str">
        <f aca="false">IF(G20&lt;&gt;0,G20*H$2/(100+H$2)," ")</f>
        <v> </v>
      </c>
      <c r="I20" s="6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</row>
    <row r="21" customFormat="false" ht="12" hidden="false" customHeight="false" outlineLevel="0" collapsed="false">
      <c r="A21" s="27"/>
      <c r="F21" s="2"/>
      <c r="H21" s="6" t="str">
        <f aca="false">IF(G21&lt;&gt;0,G21*H$2/(100+H$2)," ")</f>
        <v> </v>
      </c>
      <c r="I21" s="6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</row>
    <row r="22" customFormat="false" ht="12" hidden="false" customHeight="false" outlineLevel="0" collapsed="false">
      <c r="A22" s="27"/>
      <c r="F22" s="2"/>
      <c r="H22" s="6" t="str">
        <f aca="false">IF(G22&lt;&gt;0,G22*H$2/(100+H$2)," ")</f>
        <v> </v>
      </c>
      <c r="I22" s="6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</row>
    <row r="23" customFormat="false" ht="12" hidden="false" customHeight="false" outlineLevel="0" collapsed="false">
      <c r="A23" s="27"/>
      <c r="E23" s="29"/>
      <c r="F23" s="2"/>
      <c r="H23" s="6" t="str">
        <f aca="false">IF(G23&lt;&gt;0,G23*H$2/(100+H$2)," ")</f>
        <v> </v>
      </c>
      <c r="I23" s="6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</row>
    <row r="24" customFormat="false" ht="12" hidden="false" customHeight="false" outlineLevel="0" collapsed="false">
      <c r="A24" s="27"/>
      <c r="F24" s="2"/>
      <c r="H24" s="6" t="str">
        <f aca="false">IF(G24&lt;&gt;0,G24*H$2/(100+H$2)," ")</f>
        <v> </v>
      </c>
      <c r="I24" s="6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</row>
    <row r="25" customFormat="false" ht="12" hidden="false" customHeight="false" outlineLevel="0" collapsed="false">
      <c r="A25" s="27"/>
      <c r="F25" s="2"/>
      <c r="H25" s="6" t="str">
        <f aca="false">IF(G25&lt;&gt;0,G25*H$2/(100+H$2)," ")</f>
        <v> </v>
      </c>
      <c r="I25" s="6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</row>
    <row r="26" customFormat="false" ht="12" hidden="false" customHeight="false" outlineLevel="0" collapsed="false">
      <c r="A26" s="27"/>
      <c r="F26" s="2"/>
      <c r="H26" s="6" t="str">
        <f aca="false">IF(G26&lt;&gt;0,G26*H$2/(100+H$2)," ")</f>
        <v> </v>
      </c>
      <c r="I26" s="6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</row>
    <row r="27" customFormat="false" ht="12" hidden="false" customHeight="false" outlineLevel="0" collapsed="false">
      <c r="A27" s="27"/>
      <c r="F27" s="2"/>
      <c r="H27" s="6" t="str">
        <f aca="false">IF(G27&lt;&gt;0,G27*H$2/(100+H$2)," ")</f>
        <v> </v>
      </c>
      <c r="I27" s="6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</row>
    <row r="28" customFormat="false" ht="12" hidden="false" customHeight="false" outlineLevel="0" collapsed="false">
      <c r="A28" s="27"/>
      <c r="F28" s="2"/>
      <c r="H28" s="6" t="str">
        <f aca="false">IF(G28&lt;&gt;0,G28*H$2/(100+H$2)," ")</f>
        <v> </v>
      </c>
      <c r="I28" s="6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</row>
    <row r="29" customFormat="false" ht="12" hidden="false" customHeight="false" outlineLevel="0" collapsed="false">
      <c r="A29" s="27"/>
      <c r="F29" s="2"/>
      <c r="H29" s="6" t="str">
        <f aca="false">IF(G29&lt;&gt;0,G29*H$2/(100+H$2)," ")</f>
        <v> </v>
      </c>
      <c r="I29" s="6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</row>
    <row r="30" customFormat="false" ht="12" hidden="false" customHeight="false" outlineLevel="0" collapsed="false">
      <c r="A30" s="27"/>
      <c r="F30" s="2"/>
      <c r="H30" s="6" t="str">
        <f aca="false">IF(G30&lt;&gt;0,G30*H$2/(100+H$2)," ")</f>
        <v> </v>
      </c>
      <c r="I30" s="6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</row>
    <row r="31" customFormat="false" ht="12" hidden="false" customHeight="false" outlineLevel="0" collapsed="false">
      <c r="A31" s="27"/>
      <c r="F31" s="2"/>
      <c r="H31" s="6" t="str">
        <f aca="false">IF(G31&lt;&gt;0,G31*H$2/(100+H$2)," ")</f>
        <v> </v>
      </c>
      <c r="I31" s="6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</row>
    <row r="32" customFormat="false" ht="12" hidden="false" customHeight="false" outlineLevel="0" collapsed="false">
      <c r="A32" s="27"/>
      <c r="F32" s="2"/>
      <c r="H32" s="6" t="str">
        <f aca="false">IF(G32&lt;&gt;0,G32*H$2/(100+H$2)," ")</f>
        <v> </v>
      </c>
      <c r="I32" s="6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</row>
    <row r="33" customFormat="false" ht="12" hidden="false" customHeight="false" outlineLevel="0" collapsed="false">
      <c r="A33" s="27"/>
      <c r="F33" s="2"/>
      <c r="H33" s="6" t="str">
        <f aca="false">IF(G33&lt;&gt;0,G33*H$2/(100+H$2)," ")</f>
        <v> </v>
      </c>
      <c r="I33" s="6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</row>
    <row r="34" customFormat="false" ht="12" hidden="false" customHeight="false" outlineLevel="0" collapsed="false">
      <c r="A34" s="27"/>
      <c r="F34" s="2"/>
      <c r="H34" s="6" t="str">
        <f aca="false">IF(G34&lt;&gt;0,G34*H$2/(100+H$2)," ")</f>
        <v> </v>
      </c>
      <c r="I34" s="6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</row>
    <row r="35" customFormat="false" ht="12" hidden="false" customHeight="false" outlineLevel="0" collapsed="false">
      <c r="A35" s="27"/>
      <c r="F35" s="2"/>
      <c r="H35" s="6" t="str">
        <f aca="false">IF(G35&lt;&gt;0,G35*H$2/(100+H$2)," ")</f>
        <v> </v>
      </c>
      <c r="I35" s="6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</row>
    <row r="36" customFormat="false" ht="12" hidden="false" customHeight="false" outlineLevel="0" collapsed="false">
      <c r="A36" s="27"/>
      <c r="F36" s="2"/>
      <c r="H36" s="6" t="str">
        <f aca="false">IF(G36&lt;&gt;0,G36*H$2/(100+H$2)," ")</f>
        <v> </v>
      </c>
      <c r="I36" s="6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</row>
    <row r="37" customFormat="false" ht="12" hidden="false" customHeight="false" outlineLevel="0" collapsed="false">
      <c r="A37" s="27"/>
      <c r="F37" s="2"/>
      <c r="H37" s="6" t="str">
        <f aca="false">IF(G37&lt;&gt;0,G37*H$2/(100+H$2)," ")</f>
        <v> </v>
      </c>
      <c r="I37" s="6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</row>
    <row r="38" customFormat="false" ht="12" hidden="false" customHeight="false" outlineLevel="0" collapsed="false">
      <c r="A38" s="27"/>
      <c r="F38" s="2"/>
      <c r="H38" s="6" t="str">
        <f aca="false">IF(G38&lt;&gt;0,G38*H$2/(100+H$2)," ")</f>
        <v> </v>
      </c>
      <c r="I38" s="6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</row>
    <row r="39" customFormat="false" ht="12" hidden="false" customHeight="false" outlineLevel="0" collapsed="false">
      <c r="A39" s="27"/>
      <c r="F39" s="2"/>
      <c r="H39" s="6" t="str">
        <f aca="false">IF(G39&lt;&gt;0,G39*H$2/(100+H$2)," ")</f>
        <v> </v>
      </c>
      <c r="I39" s="6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</row>
    <row r="40" customFormat="false" ht="12" hidden="false" customHeight="false" outlineLevel="0" collapsed="false">
      <c r="A40" s="27"/>
      <c r="F40" s="2"/>
      <c r="H40" s="6" t="str">
        <f aca="false">IF(G40&lt;&gt;0,G40*H$2/(100+H$2)," ")</f>
        <v> </v>
      </c>
      <c r="I40" s="6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</row>
    <row r="41" customFormat="false" ht="12" hidden="false" customHeight="false" outlineLevel="0" collapsed="false">
      <c r="A41" s="27"/>
      <c r="F41" s="2"/>
      <c r="H41" s="6" t="str">
        <f aca="false">IF(G41&lt;&gt;0,G41*H$2/(100+H$2)," ")</f>
        <v> </v>
      </c>
      <c r="I41" s="6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</row>
    <row r="42" customFormat="false" ht="12" hidden="false" customHeight="false" outlineLevel="0" collapsed="false">
      <c r="A42" s="27"/>
      <c r="F42" s="2"/>
      <c r="H42" s="6" t="str">
        <f aca="false">IF(G42&lt;&gt;0,G42*H$2/(100+H$2)," ")</f>
        <v> </v>
      </c>
      <c r="I42" s="6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</row>
    <row r="43" customFormat="false" ht="12" hidden="false" customHeight="false" outlineLevel="0" collapsed="false">
      <c r="A43" s="27"/>
      <c r="F43" s="2"/>
      <c r="H43" s="6" t="str">
        <f aca="false">IF(G43&lt;&gt;0,G43*H$2/(100+H$2)," ")</f>
        <v> </v>
      </c>
      <c r="I43" s="6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</row>
    <row r="44" customFormat="false" ht="12" hidden="false" customHeight="false" outlineLevel="0" collapsed="false">
      <c r="A44" s="27"/>
      <c r="F44" s="2"/>
      <c r="H44" s="6" t="str">
        <f aca="false">IF(G44&lt;&gt;0,G44*H$2/(100+H$2)," ")</f>
        <v> </v>
      </c>
      <c r="I44" s="6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</row>
    <row r="45" customFormat="false" ht="12" hidden="false" customHeight="false" outlineLevel="0" collapsed="false">
      <c r="A45" s="27"/>
      <c r="F45" s="2"/>
      <c r="H45" s="6" t="str">
        <f aca="false">IF(G45&lt;&gt;0,G45*H$2/(100+H$2)," ")</f>
        <v> </v>
      </c>
      <c r="I45" s="6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</row>
    <row r="46" customFormat="false" ht="12" hidden="false" customHeight="false" outlineLevel="0" collapsed="false">
      <c r="A46" s="27"/>
      <c r="F46" s="2"/>
      <c r="H46" s="6" t="str">
        <f aca="false">IF(G46&lt;&gt;0,G46*H$2/(100+H$2)," ")</f>
        <v> </v>
      </c>
      <c r="I46" s="6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</row>
    <row r="47" customFormat="false" ht="12" hidden="false" customHeight="false" outlineLevel="0" collapsed="false">
      <c r="A47" s="27"/>
      <c r="F47" s="2"/>
      <c r="H47" s="6" t="str">
        <f aca="false">IF(G47&lt;&gt;0,G47*H$2/(100+H$2)," ")</f>
        <v> </v>
      </c>
      <c r="I47" s="6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</row>
    <row r="48" customFormat="false" ht="12" hidden="false" customHeight="false" outlineLevel="0" collapsed="false">
      <c r="A48" s="27"/>
      <c r="F48" s="2"/>
      <c r="H48" s="6" t="str">
        <f aca="false">IF(G48&lt;&gt;0,G48*H$2/(100+H$2)," ")</f>
        <v> </v>
      </c>
      <c r="I48" s="6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</row>
    <row r="49" customFormat="false" ht="12" hidden="false" customHeight="false" outlineLevel="0" collapsed="false">
      <c r="A49" s="27"/>
      <c r="F49" s="2"/>
      <c r="H49" s="6" t="str">
        <f aca="false">IF(G49&lt;&gt;0,G49*H$2/(100+H$2)," ")</f>
        <v> </v>
      </c>
      <c r="I49" s="6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</row>
    <row r="50" customFormat="false" ht="12" hidden="false" customHeight="false" outlineLevel="0" collapsed="false">
      <c r="A50" s="27"/>
      <c r="F50" s="2"/>
      <c r="H50" s="6" t="str">
        <f aca="false">IF(G50&lt;&gt;0,G50*H$2/(100+H$2)," ")</f>
        <v> </v>
      </c>
      <c r="I50" s="6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</row>
    <row r="51" customFormat="false" ht="12" hidden="false" customHeight="false" outlineLevel="0" collapsed="false">
      <c r="A51" s="27"/>
      <c r="F51" s="2"/>
      <c r="H51" s="6" t="str">
        <f aca="false">IF(G51&lt;&gt;0,G51*H$2/(100+H$2)," ")</f>
        <v> </v>
      </c>
      <c r="I51" s="6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</row>
    <row r="52" customFormat="false" ht="12" hidden="false" customHeight="false" outlineLevel="0" collapsed="false">
      <c r="A52" s="27"/>
      <c r="F52" s="2"/>
      <c r="H52" s="6" t="str">
        <f aca="false">IF(G52&lt;&gt;0,G52*H$2/(100+H$2)," ")</f>
        <v> </v>
      </c>
      <c r="I52" s="6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</row>
    <row r="53" customFormat="false" ht="12" hidden="false" customHeight="false" outlineLevel="0" collapsed="false">
      <c r="A53" s="27"/>
      <c r="F53" s="2"/>
      <c r="H53" s="6" t="str">
        <f aca="false">IF(G53&lt;&gt;0,G53*H$2/(100+H$2)," ")</f>
        <v> </v>
      </c>
      <c r="I53" s="6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</row>
    <row r="54" customFormat="false" ht="12" hidden="false" customHeight="false" outlineLevel="0" collapsed="false">
      <c r="A54" s="27"/>
      <c r="F54" s="2"/>
      <c r="H54" s="6" t="str">
        <f aca="false">IF(G54&lt;&gt;0,G54*H$2/(100+H$2)," ")</f>
        <v> </v>
      </c>
      <c r="I54" s="6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</row>
    <row r="55" customFormat="false" ht="12" hidden="false" customHeight="false" outlineLevel="0" collapsed="false">
      <c r="A55" s="27"/>
      <c r="F55" s="2"/>
      <c r="H55" s="6" t="str">
        <f aca="false">IF(G55&lt;&gt;0,G55*H$2/(100+H$2)," ")</f>
        <v> </v>
      </c>
      <c r="I55" s="6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</row>
    <row r="56" customFormat="false" ht="12" hidden="false" customHeight="false" outlineLevel="0" collapsed="false">
      <c r="A56" s="27"/>
      <c r="F56" s="2"/>
      <c r="H56" s="6" t="str">
        <f aca="false">IF(G56&lt;&gt;0,G56*H$2/(100+H$2)," ")</f>
        <v> </v>
      </c>
      <c r="I56" s="6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</row>
    <row r="57" customFormat="false" ht="12" hidden="false" customHeight="false" outlineLevel="0" collapsed="false">
      <c r="A57" s="27"/>
      <c r="F57" s="2"/>
      <c r="H57" s="6" t="str">
        <f aca="false">IF(G57&lt;&gt;0,G57*H$2/(100+H$2)," ")</f>
        <v> </v>
      </c>
      <c r="I57" s="6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</row>
    <row r="58" customFormat="false" ht="12" hidden="false" customHeight="false" outlineLevel="0" collapsed="false">
      <c r="A58" s="27"/>
      <c r="F58" s="2"/>
      <c r="H58" s="6" t="str">
        <f aca="false">IF(G58&lt;&gt;0,G58*H$2/(100+H$2)," ")</f>
        <v> </v>
      </c>
      <c r="I58" s="6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</row>
    <row r="59" customFormat="false" ht="12" hidden="false" customHeight="false" outlineLevel="0" collapsed="false">
      <c r="A59" s="27"/>
      <c r="F59" s="2"/>
      <c r="H59" s="6" t="str">
        <f aca="false">IF(G59&lt;&gt;0,G59*H$2/(100+H$2)," ")</f>
        <v> </v>
      </c>
      <c r="I59" s="6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</row>
    <row r="60" customFormat="false" ht="12" hidden="false" customHeight="false" outlineLevel="0" collapsed="false">
      <c r="A60" s="27"/>
      <c r="F60" s="2"/>
      <c r="H60" s="6" t="str">
        <f aca="false">IF(G60&lt;&gt;0,G60*H$2/(100+H$2)," ")</f>
        <v> </v>
      </c>
      <c r="I60" s="6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</row>
    <row r="61" customFormat="false" ht="12" hidden="false" customHeight="false" outlineLevel="0" collapsed="false">
      <c r="A61" s="27"/>
      <c r="F61" s="2"/>
      <c r="H61" s="6" t="str">
        <f aca="false">IF(G61&lt;&gt;0,G61*H$2/(100+H$2)," ")</f>
        <v> </v>
      </c>
      <c r="I61" s="6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</row>
    <row r="62" customFormat="false" ht="12" hidden="false" customHeight="false" outlineLevel="0" collapsed="false">
      <c r="A62" s="27"/>
      <c r="F62" s="2"/>
      <c r="H62" s="6" t="str">
        <f aca="false">IF(G62&lt;&gt;0,G62*H$2/(100+H$2)," ")</f>
        <v> </v>
      </c>
      <c r="I62" s="6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</row>
    <row r="63" customFormat="false" ht="12" hidden="false" customHeight="false" outlineLevel="0" collapsed="false">
      <c r="A63" s="27"/>
      <c r="F63" s="2"/>
      <c r="H63" s="6" t="str">
        <f aca="false">IF(G63&lt;&gt;0,G63*H$2/(100+H$2)," ")</f>
        <v> </v>
      </c>
      <c r="I63" s="6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</row>
    <row r="64" customFormat="false" ht="12" hidden="false" customHeight="false" outlineLevel="0" collapsed="false">
      <c r="A64" s="27"/>
      <c r="F64" s="2"/>
      <c r="H64" s="6" t="str">
        <f aca="false">IF(G64&lt;&gt;0,G64*H$2/(100+H$2)," ")</f>
        <v> </v>
      </c>
      <c r="I64" s="6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</row>
    <row r="65" customFormat="false" ht="12" hidden="false" customHeight="false" outlineLevel="0" collapsed="false">
      <c r="A65" s="27"/>
      <c r="F65" s="2"/>
      <c r="H65" s="6" t="str">
        <f aca="false">IF(G65&lt;&gt;0,G65*H$2/(100+H$2)," ")</f>
        <v> </v>
      </c>
      <c r="I65" s="6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</row>
    <row r="66" customFormat="false" ht="12" hidden="false" customHeight="false" outlineLevel="0" collapsed="false">
      <c r="A66" s="27"/>
      <c r="F66" s="2"/>
      <c r="H66" s="6" t="str">
        <f aca="false">IF(G66&lt;&gt;0,G66*H$2/(100+H$2)," ")</f>
        <v> </v>
      </c>
      <c r="I66" s="6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</row>
    <row r="67" customFormat="false" ht="12" hidden="false" customHeight="false" outlineLevel="0" collapsed="false">
      <c r="A67" s="27"/>
      <c r="F67" s="2"/>
      <c r="H67" s="6" t="str">
        <f aca="false">IF(G67&lt;&gt;0,G67*H$2/(100+H$2)," ")</f>
        <v> </v>
      </c>
      <c r="I67" s="6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</row>
    <row r="68" customFormat="false" ht="12" hidden="false" customHeight="false" outlineLevel="0" collapsed="false">
      <c r="A68" s="27"/>
      <c r="F68" s="2"/>
      <c r="H68" s="6" t="str">
        <f aca="false">IF(G68&lt;&gt;0,G68*H$2/(100+H$2)," ")</f>
        <v> </v>
      </c>
      <c r="I68" s="6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</row>
    <row r="69" customFormat="false" ht="12" hidden="false" customHeight="false" outlineLevel="0" collapsed="false">
      <c r="A69" s="27"/>
      <c r="F69" s="2"/>
      <c r="H69" s="6" t="str">
        <f aca="false">IF(G69&lt;&gt;0,G69*H$2/(100+H$2)," ")</f>
        <v> </v>
      </c>
      <c r="I69" s="6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</row>
    <row r="70" customFormat="false" ht="12" hidden="false" customHeight="false" outlineLevel="0" collapsed="false">
      <c r="A70" s="27"/>
      <c r="F70" s="2"/>
      <c r="H70" s="6" t="str">
        <f aca="false">IF(G70&lt;&gt;0,G70*H$2/(100+H$2)," ")</f>
        <v> </v>
      </c>
      <c r="I70" s="6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</row>
    <row r="71" customFormat="false" ht="12" hidden="false" customHeight="false" outlineLevel="0" collapsed="false">
      <c r="A71" s="27"/>
      <c r="F71" s="2"/>
      <c r="H71" s="6" t="str">
        <f aca="false">IF(G71&lt;&gt;0,G71*H$2/(100+H$2)," ")</f>
        <v> </v>
      </c>
      <c r="I71" s="6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</row>
    <row r="72" customFormat="false" ht="12" hidden="false" customHeight="false" outlineLevel="0" collapsed="false">
      <c r="A72" s="27"/>
      <c r="F72" s="2"/>
      <c r="H72" s="6" t="str">
        <f aca="false">IF(G72&lt;&gt;0,G72*H$2/(100+H$2)," ")</f>
        <v> </v>
      </c>
      <c r="I72" s="6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</row>
    <row r="73" customFormat="false" ht="12" hidden="false" customHeight="false" outlineLevel="0" collapsed="false">
      <c r="A73" s="27"/>
      <c r="F73" s="2"/>
      <c r="H73" s="6" t="str">
        <f aca="false">IF(G73&lt;&gt;0,G73*H$2/(100+H$2)," ")</f>
        <v> </v>
      </c>
      <c r="I73" s="6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</row>
    <row r="74" customFormat="false" ht="12" hidden="false" customHeight="false" outlineLevel="0" collapsed="false">
      <c r="A74" s="27"/>
      <c r="F74" s="2"/>
      <c r="H74" s="6" t="str">
        <f aca="false">IF(G74&lt;&gt;0,G74*H$2/(100+H$2)," ")</f>
        <v> </v>
      </c>
      <c r="I74" s="6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</row>
    <row r="75" customFormat="false" ht="12" hidden="false" customHeight="false" outlineLevel="0" collapsed="false">
      <c r="A75" s="27"/>
      <c r="F75" s="2"/>
      <c r="H75" s="6" t="str">
        <f aca="false">IF(G75&lt;&gt;0,G75*H$2/(100+H$2)," ")</f>
        <v> </v>
      </c>
      <c r="I75" s="6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</row>
    <row r="76" customFormat="false" ht="12" hidden="false" customHeight="false" outlineLevel="0" collapsed="false">
      <c r="A76" s="27"/>
      <c r="F76" s="2"/>
      <c r="H76" s="6" t="str">
        <f aca="false">IF(G76&lt;&gt;0,G76*H$2/(100+H$2)," ")</f>
        <v> </v>
      </c>
      <c r="I76" s="6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</row>
    <row r="77" customFormat="false" ht="12" hidden="false" customHeight="false" outlineLevel="0" collapsed="false">
      <c r="A77" s="27"/>
      <c r="F77" s="2"/>
      <c r="H77" s="6" t="str">
        <f aca="false">IF(G77&lt;&gt;0,G77*H$2/(100+H$2)," ")</f>
        <v> </v>
      </c>
      <c r="I77" s="6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</row>
    <row r="78" customFormat="false" ht="12" hidden="false" customHeight="false" outlineLevel="0" collapsed="false">
      <c r="A78" s="27"/>
      <c r="F78" s="2"/>
      <c r="H78" s="6" t="str">
        <f aca="false">IF(G78&lt;&gt;0,G78*H$2/(100+H$2)," ")</f>
        <v> </v>
      </c>
      <c r="I78" s="6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</row>
    <row r="79" customFormat="false" ht="12" hidden="false" customHeight="false" outlineLevel="0" collapsed="false">
      <c r="A79" s="27"/>
      <c r="F79" s="2"/>
      <c r="H79" s="6" t="str">
        <f aca="false">IF(G79&lt;&gt;0,G79*H$2/(100+H$2)," ")</f>
        <v> </v>
      </c>
      <c r="I79" s="6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</row>
    <row r="80" customFormat="false" ht="12" hidden="false" customHeight="false" outlineLevel="0" collapsed="false">
      <c r="A80" s="27"/>
      <c r="F80" s="2"/>
      <c r="H80" s="6" t="str">
        <f aca="false">IF(G80&lt;&gt;0,G80*H$2/(100+H$2)," ")</f>
        <v> </v>
      </c>
      <c r="I80" s="6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</row>
    <row r="81" customFormat="false" ht="12" hidden="false" customHeight="false" outlineLevel="0" collapsed="false">
      <c r="A81" s="27"/>
      <c r="F81" s="2"/>
      <c r="H81" s="6" t="str">
        <f aca="false">IF(G81&lt;&gt;0,G81*H$2/(100+H$2)," ")</f>
        <v> </v>
      </c>
      <c r="I81" s="6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</row>
    <row r="82" customFormat="false" ht="12" hidden="false" customHeight="false" outlineLevel="0" collapsed="false">
      <c r="A82" s="27"/>
      <c r="F82" s="2"/>
      <c r="H82" s="6" t="str">
        <f aca="false">IF(G82&lt;&gt;0,G82*H$2/(100+H$2)," ")</f>
        <v> </v>
      </c>
      <c r="I82" s="6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</row>
    <row r="83" customFormat="false" ht="12" hidden="false" customHeight="false" outlineLevel="0" collapsed="false">
      <c r="A83" s="27"/>
      <c r="F83" s="2"/>
      <c r="H83" s="6" t="str">
        <f aca="false">IF(G83&lt;&gt;0,G83*H$2/(100+H$2)," ")</f>
        <v> </v>
      </c>
      <c r="I83" s="6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</row>
    <row r="84" customFormat="false" ht="12" hidden="false" customHeight="false" outlineLevel="0" collapsed="false">
      <c r="A84" s="27"/>
      <c r="F84" s="2"/>
      <c r="H84" s="6" t="str">
        <f aca="false">IF(G84&lt;&gt;0,G84*H$2/(100+H$2)," ")</f>
        <v> </v>
      </c>
      <c r="I84" s="6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</row>
    <row r="85" customFormat="false" ht="12" hidden="false" customHeight="false" outlineLevel="0" collapsed="false">
      <c r="A85" s="27"/>
      <c r="F85" s="2"/>
      <c r="H85" s="6" t="str">
        <f aca="false">IF(G85&lt;&gt;0,G85*H$2/(100+H$2)," ")</f>
        <v> </v>
      </c>
      <c r="I85" s="6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</row>
    <row r="86" customFormat="false" ht="12" hidden="false" customHeight="false" outlineLevel="0" collapsed="false">
      <c r="A86" s="27"/>
      <c r="F86" s="2"/>
      <c r="H86" s="6" t="str">
        <f aca="false">IF(G86&lt;&gt;0,G86*H$2/(100+H$2)," ")</f>
        <v> </v>
      </c>
      <c r="I86" s="6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</row>
    <row r="87" customFormat="false" ht="12" hidden="false" customHeight="false" outlineLevel="0" collapsed="false">
      <c r="A87" s="27"/>
      <c r="F87" s="2"/>
      <c r="H87" s="6" t="str">
        <f aca="false">IF(G87&lt;&gt;0,G87*H$2/(100+H$2)," ")</f>
        <v> </v>
      </c>
      <c r="I87" s="6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</row>
    <row r="88" customFormat="false" ht="12" hidden="false" customHeight="false" outlineLevel="0" collapsed="false">
      <c r="A88" s="27"/>
      <c r="F88" s="2"/>
      <c r="H88" s="6" t="str">
        <f aca="false">IF(G88&lt;&gt;0,G88*H$2/(100+H$2)," ")</f>
        <v> </v>
      </c>
      <c r="I88" s="6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</row>
    <row r="89" customFormat="false" ht="12" hidden="false" customHeight="false" outlineLevel="0" collapsed="false">
      <c r="A89" s="27"/>
      <c r="F89" s="2"/>
      <c r="H89" s="6" t="str">
        <f aca="false">IF(G89&lt;&gt;0,G89*H$2/(100+H$2)," ")</f>
        <v> </v>
      </c>
      <c r="I89" s="6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</row>
    <row r="90" customFormat="false" ht="12" hidden="false" customHeight="false" outlineLevel="0" collapsed="false">
      <c r="A90" s="27"/>
      <c r="F90" s="2"/>
      <c r="H90" s="6" t="str">
        <f aca="false">IF(G90&lt;&gt;0,G90*H$2/(100+H$2)," ")</f>
        <v> </v>
      </c>
      <c r="I90" s="6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</row>
    <row r="91" customFormat="false" ht="12" hidden="false" customHeight="false" outlineLevel="0" collapsed="false">
      <c r="A91" s="27"/>
      <c r="F91" s="2"/>
      <c r="H91" s="6" t="str">
        <f aca="false">IF(G91&lt;&gt;0,G91*H$2/(100+H$2)," ")</f>
        <v> </v>
      </c>
      <c r="I91" s="6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</row>
    <row r="92" customFormat="false" ht="12" hidden="false" customHeight="false" outlineLevel="0" collapsed="false">
      <c r="A92" s="27"/>
      <c r="F92" s="2"/>
      <c r="H92" s="6" t="str">
        <f aca="false">IF(G92&lt;&gt;0,G92*H$2/(100+H$2)," ")</f>
        <v> </v>
      </c>
      <c r="I92" s="6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</row>
    <row r="93" customFormat="false" ht="12" hidden="false" customHeight="false" outlineLevel="0" collapsed="false">
      <c r="A93" s="27"/>
      <c r="F93" s="2"/>
      <c r="H93" s="6" t="str">
        <f aca="false">IF(G93&lt;&gt;0,G93*H$2/(100+H$2)," ")</f>
        <v> </v>
      </c>
      <c r="I93" s="6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</row>
    <row r="94" customFormat="false" ht="12" hidden="false" customHeight="false" outlineLevel="0" collapsed="false">
      <c r="A94" s="27"/>
      <c r="F94" s="2"/>
      <c r="H94" s="6" t="str">
        <f aca="false">IF(G94&lt;&gt;0,G94*H$2/(100+H$2)," ")</f>
        <v> </v>
      </c>
      <c r="I94" s="6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</row>
    <row r="95" customFormat="false" ht="12" hidden="false" customHeight="false" outlineLevel="0" collapsed="false">
      <c r="A95" s="27"/>
      <c r="F95" s="2"/>
      <c r="H95" s="6" t="str">
        <f aca="false">IF(G95&lt;&gt;0,G95*H$2/(100+H$2)," ")</f>
        <v> </v>
      </c>
      <c r="I95" s="6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</row>
    <row r="96" customFormat="false" ht="12" hidden="false" customHeight="false" outlineLevel="0" collapsed="false">
      <c r="A96" s="27"/>
      <c r="F96" s="2"/>
      <c r="H96" s="6" t="str">
        <f aca="false">IF(G96&lt;&gt;0,G96*H$2/(100+H$2)," ")</f>
        <v> </v>
      </c>
      <c r="I96" s="6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</row>
    <row r="97" customFormat="false" ht="12" hidden="false" customHeight="false" outlineLevel="0" collapsed="false">
      <c r="A97" s="27"/>
      <c r="F97" s="2"/>
      <c r="H97" s="6" t="str">
        <f aca="false">IF(G97&lt;&gt;0,G97*H$2/(100+H$2)," ")</f>
        <v> </v>
      </c>
      <c r="I97" s="6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</row>
    <row r="98" customFormat="false" ht="12" hidden="false" customHeight="false" outlineLevel="0" collapsed="false">
      <c r="A98" s="27"/>
      <c r="F98" s="2"/>
      <c r="H98" s="6" t="str">
        <f aca="false">IF(G98&lt;&gt;0,G98*H$2/(100+H$2)," ")</f>
        <v> </v>
      </c>
      <c r="I98" s="6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</row>
    <row r="99" customFormat="false" ht="12" hidden="false" customHeight="false" outlineLevel="0" collapsed="false">
      <c r="A99" s="27"/>
      <c r="F99" s="2"/>
      <c r="H99" s="6" t="str">
        <f aca="false">IF(G99&lt;&gt;0,G99*H$2/(100+H$2)," ")</f>
        <v> </v>
      </c>
      <c r="I99" s="6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</row>
    <row r="100" customFormat="false" ht="12" hidden="false" customHeight="false" outlineLevel="0" collapsed="false">
      <c r="A100" s="27"/>
      <c r="F100" s="2"/>
      <c r="H100" s="6" t="str">
        <f aca="false">IF(G100&lt;&gt;0,G100*H$2/(100+H$2)," ")</f>
        <v> </v>
      </c>
      <c r="I100" s="6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</row>
    <row r="101" customFormat="false" ht="12" hidden="false" customHeight="false" outlineLevel="0" collapsed="false">
      <c r="A101" s="27"/>
      <c r="F101" s="2"/>
      <c r="H101" s="6" t="str">
        <f aca="false">IF(G101&lt;&gt;0,G101*H$2/(100+H$2)," ")</f>
        <v> </v>
      </c>
      <c r="I101" s="6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</row>
    <row r="102" customFormat="false" ht="12" hidden="false" customHeight="false" outlineLevel="0" collapsed="false">
      <c r="A102" s="27"/>
      <c r="F102" s="2"/>
      <c r="H102" s="6" t="str">
        <f aca="false">IF(G102&lt;&gt;0,G102*H$2/(100+H$2)," ")</f>
        <v> </v>
      </c>
      <c r="I102" s="6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</row>
    <row r="103" customFormat="false" ht="12" hidden="false" customHeight="false" outlineLevel="0" collapsed="false">
      <c r="A103" s="27"/>
      <c r="F103" s="2"/>
      <c r="H103" s="6" t="str">
        <f aca="false">IF(G103&lt;&gt;0,G103*H$2/(100+H$2)," ")</f>
        <v> </v>
      </c>
      <c r="I103" s="6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</row>
    <row r="104" customFormat="false" ht="12" hidden="false" customHeight="false" outlineLevel="0" collapsed="false">
      <c r="A104" s="27"/>
      <c r="F104" s="2"/>
      <c r="H104" s="6" t="str">
        <f aca="false">IF(G104&lt;&gt;0,G104*H$2/(100+H$2)," ")</f>
        <v> </v>
      </c>
      <c r="I104" s="6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</row>
    <row r="105" customFormat="false" ht="12" hidden="false" customHeight="false" outlineLevel="0" collapsed="false">
      <c r="A105" s="27"/>
      <c r="F105" s="2"/>
      <c r="H105" s="6" t="str">
        <f aca="false">IF(G105&lt;&gt;0,G105*H$2/(100+H$2)," ")</f>
        <v> </v>
      </c>
      <c r="I105" s="6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</row>
    <row r="106" customFormat="false" ht="12" hidden="false" customHeight="false" outlineLevel="0" collapsed="false">
      <c r="A106" s="27"/>
      <c r="F106" s="2"/>
      <c r="H106" s="6" t="str">
        <f aca="false">IF(G106&lt;&gt;0,G106*H$2/(100+H$2)," ")</f>
        <v> </v>
      </c>
      <c r="I106" s="6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</row>
    <row r="107" customFormat="false" ht="12" hidden="false" customHeight="false" outlineLevel="0" collapsed="false">
      <c r="A107" s="27"/>
      <c r="F107" s="2"/>
      <c r="H107" s="6" t="str">
        <f aca="false">IF(G107&lt;&gt;0,G107*H$2/(100+H$2)," ")</f>
        <v> </v>
      </c>
      <c r="I107" s="6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</row>
    <row r="108" customFormat="false" ht="12" hidden="false" customHeight="false" outlineLevel="0" collapsed="false">
      <c r="A108" s="27"/>
      <c r="F108" s="2"/>
      <c r="H108" s="6" t="str">
        <f aca="false">IF(G108&lt;&gt;0,G108*H$2/(100+H$2)," ")</f>
        <v> </v>
      </c>
      <c r="I108" s="6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</row>
    <row r="109" customFormat="false" ht="12" hidden="false" customHeight="false" outlineLevel="0" collapsed="false">
      <c r="A109" s="27"/>
      <c r="F109" s="2"/>
      <c r="H109" s="6" t="str">
        <f aca="false">IF(G109&lt;&gt;0,G109*H$2/(100+H$2)," ")</f>
        <v> </v>
      </c>
      <c r="I109" s="6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</row>
    <row r="110" customFormat="false" ht="12" hidden="false" customHeight="false" outlineLevel="0" collapsed="false">
      <c r="A110" s="27"/>
      <c r="F110" s="2"/>
      <c r="H110" s="6" t="str">
        <f aca="false">IF(G110&lt;&gt;0,G110*H$2/(100+H$2)," ")</f>
        <v> </v>
      </c>
      <c r="I110" s="6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</row>
    <row r="111" customFormat="false" ht="12" hidden="false" customHeight="false" outlineLevel="0" collapsed="false">
      <c r="A111" s="27"/>
      <c r="F111" s="2"/>
      <c r="H111" s="6" t="str">
        <f aca="false">IF(G111&lt;&gt;0,G111*H$2/(100+H$2)," ")</f>
        <v> </v>
      </c>
      <c r="I111" s="6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</row>
    <row r="112" customFormat="false" ht="12" hidden="false" customHeight="false" outlineLevel="0" collapsed="false">
      <c r="A112" s="27"/>
      <c r="F112" s="2"/>
      <c r="H112" s="6" t="str">
        <f aca="false">IF(G112&lt;&gt;0,G112*H$2/(100+H$2)," ")</f>
        <v> </v>
      </c>
      <c r="I112" s="6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</row>
    <row r="113" customFormat="false" ht="12" hidden="false" customHeight="false" outlineLevel="0" collapsed="false">
      <c r="A113" s="27"/>
      <c r="F113" s="2"/>
      <c r="H113" s="6" t="str">
        <f aca="false">IF(G113&lt;&gt;0,G113*H$2/(100+H$2)," ")</f>
        <v> </v>
      </c>
      <c r="I113" s="6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</row>
    <row r="114" customFormat="false" ht="12" hidden="false" customHeight="false" outlineLevel="0" collapsed="false">
      <c r="A114" s="27"/>
      <c r="F114" s="2"/>
      <c r="H114" s="6" t="str">
        <f aca="false">IF(G114&lt;&gt;0,G114*H$2/(100+H$2)," ")</f>
        <v> </v>
      </c>
      <c r="I114" s="6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</row>
    <row r="115" customFormat="false" ht="12" hidden="false" customHeight="false" outlineLevel="0" collapsed="false">
      <c r="A115" s="27"/>
      <c r="F115" s="2"/>
      <c r="H115" s="6" t="str">
        <f aca="false">IF(G115&lt;&gt;0,G115*H$2/(100+H$2)," ")</f>
        <v> </v>
      </c>
      <c r="I115" s="6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</row>
    <row r="116" customFormat="false" ht="12" hidden="false" customHeight="false" outlineLevel="0" collapsed="false">
      <c r="A116" s="27"/>
      <c r="F116" s="2"/>
      <c r="H116" s="6" t="str">
        <f aca="false">IF(G116&lt;&gt;0,G116*H$2/(100+H$2)," ")</f>
        <v> </v>
      </c>
      <c r="I116" s="6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</row>
    <row r="117" customFormat="false" ht="12" hidden="false" customHeight="false" outlineLevel="0" collapsed="false">
      <c r="A117" s="27"/>
      <c r="F117" s="2"/>
      <c r="H117" s="6" t="str">
        <f aca="false">IF(G117&lt;&gt;0,G117*H$2/(100+H$2)," ")</f>
        <v> </v>
      </c>
      <c r="I117" s="6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</row>
    <row r="118" customFormat="false" ht="12" hidden="false" customHeight="false" outlineLevel="0" collapsed="false">
      <c r="A118" s="27"/>
      <c r="F118" s="2"/>
      <c r="H118" s="6" t="str">
        <f aca="false">IF(G118&lt;&gt;0,G118*H$2/(100+H$2)," ")</f>
        <v> </v>
      </c>
      <c r="I118" s="6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</row>
    <row r="119" customFormat="false" ht="12" hidden="false" customHeight="false" outlineLevel="0" collapsed="false">
      <c r="A119" s="27"/>
      <c r="F119" s="2"/>
      <c r="H119" s="6" t="str">
        <f aca="false">IF(G119&lt;&gt;0,G119*H$2/(100+H$2)," ")</f>
        <v> </v>
      </c>
      <c r="I119" s="6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</row>
    <row r="120" customFormat="false" ht="12" hidden="false" customHeight="false" outlineLevel="0" collapsed="false">
      <c r="A120" s="27"/>
      <c r="F120" s="2"/>
      <c r="H120" s="6" t="str">
        <f aca="false">IF(G120&lt;&gt;0,G120*H$2/(100+H$2)," ")</f>
        <v> </v>
      </c>
      <c r="I120" s="6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</row>
    <row r="121" customFormat="false" ht="12" hidden="false" customHeight="false" outlineLevel="0" collapsed="false">
      <c r="A121" s="27"/>
      <c r="F121" s="2"/>
      <c r="H121" s="6" t="str">
        <f aca="false">IF(G121&lt;&gt;0,G121*H$2/(100+H$2)," ")</f>
        <v> </v>
      </c>
      <c r="I121" s="6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</row>
    <row r="122" customFormat="false" ht="12" hidden="false" customHeight="false" outlineLevel="0" collapsed="false">
      <c r="A122" s="27"/>
      <c r="F122" s="2"/>
      <c r="H122" s="6" t="str">
        <f aca="false">IF(G122&lt;&gt;0,G122*H$2/(100+H$2)," ")</f>
        <v> </v>
      </c>
      <c r="I122" s="6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</row>
    <row r="123" customFormat="false" ht="12" hidden="false" customHeight="false" outlineLevel="0" collapsed="false">
      <c r="A123" s="27"/>
      <c r="F123" s="2"/>
      <c r="H123" s="6" t="str">
        <f aca="false">IF(G123&lt;&gt;0,G123*H$2/(100+H$2)," ")</f>
        <v> </v>
      </c>
      <c r="I123" s="6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</row>
    <row r="124" customFormat="false" ht="12" hidden="false" customHeight="false" outlineLevel="0" collapsed="false">
      <c r="A124" s="27"/>
      <c r="F124" s="2"/>
      <c r="H124" s="6" t="str">
        <f aca="false">IF(G124&lt;&gt;0,G124*H$2/(100+H$2)," ")</f>
        <v> </v>
      </c>
      <c r="I124" s="6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</row>
    <row r="125" customFormat="false" ht="12" hidden="false" customHeight="false" outlineLevel="0" collapsed="false">
      <c r="A125" s="27"/>
      <c r="F125" s="2"/>
      <c r="H125" s="6" t="str">
        <f aca="false">IF(G125&lt;&gt;0,G125*H$2/(100+H$2)," ")</f>
        <v> </v>
      </c>
      <c r="I125" s="6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</row>
    <row r="126" customFormat="false" ht="12" hidden="false" customHeight="false" outlineLevel="0" collapsed="false">
      <c r="A126" s="27"/>
      <c r="F126" s="2"/>
      <c r="H126" s="6" t="str">
        <f aca="false">IF(G126&lt;&gt;0,G126*H$2/(100+H$2)," ")</f>
        <v> </v>
      </c>
      <c r="I126" s="6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</row>
    <row r="127" customFormat="false" ht="12" hidden="false" customHeight="false" outlineLevel="0" collapsed="false">
      <c r="A127" s="27"/>
      <c r="F127" s="2"/>
      <c r="H127" s="6" t="str">
        <f aca="false">IF(G127&lt;&gt;0,G127*H$2/(100+H$2)," ")</f>
        <v> </v>
      </c>
      <c r="I127" s="6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</row>
    <row r="128" customFormat="false" ht="12" hidden="false" customHeight="false" outlineLevel="0" collapsed="false">
      <c r="A128" s="27"/>
      <c r="F128" s="2"/>
      <c r="H128" s="6" t="str">
        <f aca="false">IF(G128&lt;&gt;0,G128*H$2/(100+H$2)," ")</f>
        <v> </v>
      </c>
      <c r="I128" s="6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</row>
    <row r="129" customFormat="false" ht="12" hidden="false" customHeight="false" outlineLevel="0" collapsed="false">
      <c r="A129" s="27"/>
      <c r="F129" s="2"/>
      <c r="H129" s="6" t="str">
        <f aca="false">IF(G129&lt;&gt;0,G129*H$2/(100+H$2)," ")</f>
        <v> </v>
      </c>
      <c r="I129" s="6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</row>
    <row r="130" customFormat="false" ht="12" hidden="false" customHeight="false" outlineLevel="0" collapsed="false">
      <c r="A130" s="27"/>
      <c r="F130" s="2"/>
      <c r="H130" s="6" t="str">
        <f aca="false">IF(G130&lt;&gt;0,G130*H$2/(100+H$2)," ")</f>
        <v> </v>
      </c>
      <c r="I130" s="6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</row>
    <row r="131" customFormat="false" ht="12" hidden="false" customHeight="false" outlineLevel="0" collapsed="false">
      <c r="A131" s="27"/>
      <c r="F131" s="2"/>
      <c r="H131" s="6" t="str">
        <f aca="false">IF(G131&lt;&gt;0,G131*H$2/(100+H$2)," ")</f>
        <v> </v>
      </c>
      <c r="I131" s="6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</row>
    <row r="132" customFormat="false" ht="12" hidden="false" customHeight="false" outlineLevel="0" collapsed="false">
      <c r="A132" s="27"/>
      <c r="F132" s="2"/>
      <c r="H132" s="6" t="str">
        <f aca="false">IF(G132&lt;&gt;0,G132*H$2/(100+H$2)," ")</f>
        <v> </v>
      </c>
      <c r="I132" s="6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</row>
    <row r="133" customFormat="false" ht="12" hidden="false" customHeight="false" outlineLevel="0" collapsed="false">
      <c r="A133" s="27"/>
      <c r="F133" s="2"/>
      <c r="H133" s="6" t="str">
        <f aca="false">IF(G133&lt;&gt;0,G133*H$2/(100+H$2)," ")</f>
        <v> </v>
      </c>
      <c r="I133" s="6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</row>
    <row r="134" customFormat="false" ht="12" hidden="false" customHeight="false" outlineLevel="0" collapsed="false">
      <c r="A134" s="27"/>
      <c r="F134" s="2"/>
      <c r="H134" s="6" t="str">
        <f aca="false">IF(G134&lt;&gt;0,G134*H$2/(100+H$2)," ")</f>
        <v> </v>
      </c>
      <c r="I134" s="6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</row>
    <row r="135" customFormat="false" ht="12" hidden="false" customHeight="false" outlineLevel="0" collapsed="false">
      <c r="A135" s="27"/>
      <c r="F135" s="2"/>
      <c r="H135" s="6" t="str">
        <f aca="false">IF(G135&lt;&gt;0,G135*H$2/(100+H$2)," ")</f>
        <v> </v>
      </c>
      <c r="I135" s="6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</row>
    <row r="136" customFormat="false" ht="12" hidden="false" customHeight="false" outlineLevel="0" collapsed="false">
      <c r="A136" s="27"/>
      <c r="F136" s="2"/>
      <c r="H136" s="6" t="str">
        <f aca="false">IF(G136&lt;&gt;0,G136*H$2/(100+H$2)," ")</f>
        <v> </v>
      </c>
      <c r="I136" s="6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</row>
    <row r="137" customFormat="false" ht="12" hidden="false" customHeight="false" outlineLevel="0" collapsed="false">
      <c r="A137" s="27"/>
      <c r="F137" s="2"/>
      <c r="H137" s="6" t="str">
        <f aca="false">IF(G137&lt;&gt;0,G137*H$2/(100+H$2)," ")</f>
        <v> </v>
      </c>
      <c r="I137" s="6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</row>
    <row r="138" customFormat="false" ht="12" hidden="false" customHeight="false" outlineLevel="0" collapsed="false">
      <c r="A138" s="27"/>
      <c r="F138" s="2"/>
      <c r="H138" s="6" t="str">
        <f aca="false">IF(G138&lt;&gt;0,G138*H$2/(100+H$2)," ")</f>
        <v> </v>
      </c>
      <c r="I138" s="6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</row>
    <row r="139" customFormat="false" ht="12" hidden="false" customHeight="false" outlineLevel="0" collapsed="false">
      <c r="A139" s="27"/>
      <c r="F139" s="2"/>
      <c r="H139" s="6" t="str">
        <f aca="false">IF(G139&lt;&gt;0,G139*H$2/(100+H$2)," ")</f>
        <v> </v>
      </c>
      <c r="I139" s="6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</row>
    <row r="140" customFormat="false" ht="12" hidden="false" customHeight="false" outlineLevel="0" collapsed="false">
      <c r="A140" s="27"/>
      <c r="F140" s="2"/>
      <c r="H140" s="6" t="str">
        <f aca="false">IF(G140&lt;&gt;0,G140*H$2/(100+H$2)," ")</f>
        <v> </v>
      </c>
      <c r="I140" s="6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</row>
    <row r="141" customFormat="false" ht="12" hidden="false" customHeight="false" outlineLevel="0" collapsed="false">
      <c r="A141" s="27"/>
      <c r="F141" s="2"/>
      <c r="H141" s="6" t="str">
        <f aca="false">IF(G141&lt;&gt;0,G141*H$2/(100+H$2)," ")</f>
        <v> </v>
      </c>
      <c r="I141" s="6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</row>
    <row r="142" customFormat="false" ht="12" hidden="false" customHeight="false" outlineLevel="0" collapsed="false">
      <c r="A142" s="27"/>
      <c r="F142" s="2"/>
      <c r="H142" s="6" t="str">
        <f aca="false">IF(G142&lt;&gt;0,G142*H$2/(100+H$2)," ")</f>
        <v> </v>
      </c>
      <c r="I142" s="6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</row>
    <row r="143" customFormat="false" ht="12" hidden="false" customHeight="false" outlineLevel="0" collapsed="false">
      <c r="A143" s="27"/>
      <c r="F143" s="2"/>
      <c r="H143" s="6" t="str">
        <f aca="false">IF(G143&lt;&gt;0,G143*H$2/(100+H$2)," ")</f>
        <v> </v>
      </c>
      <c r="I143" s="6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</row>
    <row r="144" customFormat="false" ht="12" hidden="false" customHeight="false" outlineLevel="0" collapsed="false">
      <c r="A144" s="27"/>
      <c r="F144" s="2"/>
      <c r="H144" s="6" t="str">
        <f aca="false">IF(G144&lt;&gt;0,G144*H$2/(100+H$2)," ")</f>
        <v> </v>
      </c>
      <c r="I144" s="6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</row>
    <row r="145" customFormat="false" ht="12" hidden="false" customHeight="false" outlineLevel="0" collapsed="false">
      <c r="A145" s="27"/>
      <c r="F145" s="2"/>
      <c r="H145" s="6" t="str">
        <f aca="false">IF(G145&lt;&gt;0,G145*H$2/(100+H$2)," ")</f>
        <v> </v>
      </c>
      <c r="I145" s="6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</row>
    <row r="146" customFormat="false" ht="12" hidden="false" customHeight="false" outlineLevel="0" collapsed="false">
      <c r="A146" s="27"/>
      <c r="F146" s="2"/>
      <c r="H146" s="6" t="str">
        <f aca="false">IF(G146&lt;&gt;0,G146*H$2/(100+H$2)," ")</f>
        <v> </v>
      </c>
      <c r="I146" s="6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</row>
    <row r="147" customFormat="false" ht="12" hidden="false" customHeight="false" outlineLevel="0" collapsed="false">
      <c r="A147" s="27"/>
      <c r="F147" s="2"/>
      <c r="H147" s="6" t="str">
        <f aca="false">IF(G147&lt;&gt;0,G147*H$2/(100+H$2)," ")</f>
        <v> </v>
      </c>
      <c r="I147" s="6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</row>
    <row r="148" customFormat="false" ht="12" hidden="false" customHeight="false" outlineLevel="0" collapsed="false">
      <c r="A148" s="27"/>
      <c r="F148" s="2"/>
      <c r="H148" s="6" t="str">
        <f aca="false">IF(G148&lt;&gt;0,G148*H$2/(100+H$2)," ")</f>
        <v> </v>
      </c>
      <c r="I148" s="6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</row>
    <row r="149" customFormat="false" ht="12" hidden="false" customHeight="false" outlineLevel="0" collapsed="false">
      <c r="A149" s="27"/>
      <c r="F149" s="2"/>
      <c r="H149" s="6" t="str">
        <f aca="false">IF(G149&lt;&gt;0,G149*H$2/(100+H$2)," ")</f>
        <v> </v>
      </c>
      <c r="I149" s="6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</row>
    <row r="150" customFormat="false" ht="12" hidden="false" customHeight="false" outlineLevel="0" collapsed="false">
      <c r="A150" s="27"/>
      <c r="F150" s="2"/>
      <c r="H150" s="6" t="str">
        <f aca="false">IF(G150&lt;&gt;0,G150*H$2/(100+H$2)," ")</f>
        <v> </v>
      </c>
      <c r="I150" s="6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</row>
    <row r="151" customFormat="false" ht="12" hidden="false" customHeight="false" outlineLevel="0" collapsed="false">
      <c r="A151" s="27"/>
      <c r="F151" s="2"/>
      <c r="H151" s="6" t="str">
        <f aca="false">IF(G151&lt;&gt;0,G151*H$2/(100+H$2)," ")</f>
        <v> </v>
      </c>
      <c r="I151" s="6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</row>
    <row r="152" customFormat="false" ht="12" hidden="false" customHeight="false" outlineLevel="0" collapsed="false">
      <c r="A152" s="27"/>
      <c r="F152" s="2"/>
      <c r="H152" s="6" t="str">
        <f aca="false">IF(G152&lt;&gt;0,G152*H$2/(100+H$2)," ")</f>
        <v> </v>
      </c>
      <c r="I152" s="6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</row>
    <row r="153" customFormat="false" ht="12" hidden="false" customHeight="false" outlineLevel="0" collapsed="false">
      <c r="A153" s="27"/>
      <c r="F153" s="2"/>
      <c r="H153" s="6" t="str">
        <f aca="false">IF(G153&lt;&gt;0,G153*H$2/(100+H$2)," ")</f>
        <v> </v>
      </c>
      <c r="I153" s="6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</row>
    <row r="154" customFormat="false" ht="12" hidden="false" customHeight="false" outlineLevel="0" collapsed="false">
      <c r="A154" s="27"/>
      <c r="F154" s="2"/>
      <c r="H154" s="6" t="str">
        <f aca="false">IF(G154&lt;&gt;0,G154*H$2/(100+H$2)," ")</f>
        <v> </v>
      </c>
      <c r="I154" s="6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</row>
    <row r="155" customFormat="false" ht="12" hidden="false" customHeight="false" outlineLevel="0" collapsed="false">
      <c r="A155" s="27"/>
      <c r="F155" s="2"/>
      <c r="H155" s="6" t="str">
        <f aca="false">IF(G155&lt;&gt;0,G155*H$2/(100+H$2)," ")</f>
        <v> </v>
      </c>
      <c r="I155" s="6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</row>
    <row r="156" customFormat="false" ht="12" hidden="false" customHeight="false" outlineLevel="0" collapsed="false">
      <c r="A156" s="27"/>
      <c r="F156" s="2"/>
      <c r="H156" s="6" t="str">
        <f aca="false">IF(G156&lt;&gt;0,G156*H$2/(100+H$2)," ")</f>
        <v> </v>
      </c>
      <c r="I156" s="6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</row>
    <row r="157" customFormat="false" ht="12" hidden="false" customHeight="false" outlineLevel="0" collapsed="false">
      <c r="A157" s="27"/>
      <c r="F157" s="2"/>
      <c r="H157" s="6" t="str">
        <f aca="false">IF(G157&lt;&gt;0,G157*H$2/(100+H$2)," ")</f>
        <v> </v>
      </c>
      <c r="I157" s="6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</row>
    <row r="158" customFormat="false" ht="12" hidden="false" customHeight="false" outlineLevel="0" collapsed="false">
      <c r="A158" s="27"/>
      <c r="F158" s="2"/>
      <c r="H158" s="6" t="str">
        <f aca="false">IF(G158&lt;&gt;0,G158*H$2/(100+H$2)," ")</f>
        <v> </v>
      </c>
      <c r="I158" s="6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</row>
    <row r="159" customFormat="false" ht="12" hidden="false" customHeight="false" outlineLevel="0" collapsed="false">
      <c r="A159" s="27"/>
      <c r="F159" s="2"/>
      <c r="H159" s="6" t="str">
        <f aca="false">IF(G159&lt;&gt;0,G159*H$2/(100+H$2)," ")</f>
        <v> </v>
      </c>
      <c r="I159" s="6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</row>
    <row r="160" customFormat="false" ht="12" hidden="false" customHeight="false" outlineLevel="0" collapsed="false">
      <c r="A160" s="27"/>
      <c r="F160" s="2"/>
      <c r="H160" s="6" t="str">
        <f aca="false">IF(G160&lt;&gt;0,G160*H$2/(100+H$2)," ")</f>
        <v> </v>
      </c>
      <c r="I160" s="6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</row>
    <row r="161" customFormat="false" ht="12" hidden="false" customHeight="false" outlineLevel="0" collapsed="false">
      <c r="A161" s="27"/>
      <c r="F161" s="2"/>
      <c r="H161" s="6" t="str">
        <f aca="false">IF(G161&lt;&gt;0,G161*H$2/(100+H$2)," ")</f>
        <v> </v>
      </c>
      <c r="I161" s="6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</row>
    <row r="162" customFormat="false" ht="12" hidden="false" customHeight="false" outlineLevel="0" collapsed="false">
      <c r="A162" s="27"/>
      <c r="F162" s="2"/>
      <c r="H162" s="6" t="str">
        <f aca="false">IF(G162&lt;&gt;0,G162*H$2/(100+H$2)," ")</f>
        <v> </v>
      </c>
      <c r="I162" s="6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</row>
    <row r="163" customFormat="false" ht="12" hidden="false" customHeight="false" outlineLevel="0" collapsed="false">
      <c r="A163" s="27"/>
      <c r="F163" s="2"/>
      <c r="H163" s="6" t="str">
        <f aca="false">IF(G163&lt;&gt;0,G163*H$2/(100+H$2)," ")</f>
        <v> </v>
      </c>
      <c r="I163" s="6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</row>
    <row r="164" customFormat="false" ht="12" hidden="false" customHeight="false" outlineLevel="0" collapsed="false">
      <c r="A164" s="27"/>
      <c r="F164" s="2"/>
      <c r="H164" s="6" t="str">
        <f aca="false">IF(G164&lt;&gt;0,G164*H$2/(100+H$2)," ")</f>
        <v> </v>
      </c>
      <c r="I164" s="6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</row>
    <row r="165" customFormat="false" ht="12" hidden="false" customHeight="false" outlineLevel="0" collapsed="false">
      <c r="A165" s="27"/>
      <c r="F165" s="2"/>
      <c r="H165" s="6" t="str">
        <f aca="false">IF(G165&lt;&gt;0,G165*H$2/(100+H$2)," ")</f>
        <v> </v>
      </c>
      <c r="I165" s="6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</row>
    <row r="166" customFormat="false" ht="12" hidden="false" customHeight="false" outlineLevel="0" collapsed="false">
      <c r="A166" s="27"/>
      <c r="F166" s="2"/>
      <c r="H166" s="6" t="str">
        <f aca="false">IF(G166&lt;&gt;0,G166*H$2/(100+H$2)," ")</f>
        <v> </v>
      </c>
      <c r="I166" s="6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</row>
    <row r="167" customFormat="false" ht="12" hidden="false" customHeight="false" outlineLevel="0" collapsed="false">
      <c r="A167" s="27"/>
      <c r="F167" s="2"/>
      <c r="H167" s="6" t="str">
        <f aca="false">IF(G167&lt;&gt;0,G167*H$2/(100+H$2)," ")</f>
        <v> </v>
      </c>
      <c r="I167" s="6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</row>
    <row r="168" customFormat="false" ht="12" hidden="false" customHeight="false" outlineLevel="0" collapsed="false">
      <c r="A168" s="27"/>
      <c r="F168" s="2"/>
      <c r="H168" s="6" t="str">
        <f aca="false">IF(G168&lt;&gt;0,G168*H$2/(100+H$2)," ")</f>
        <v> </v>
      </c>
      <c r="I168" s="6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</row>
    <row r="169" customFormat="false" ht="12" hidden="false" customHeight="false" outlineLevel="0" collapsed="false">
      <c r="A169" s="27"/>
      <c r="F169" s="2"/>
      <c r="H169" s="6" t="str">
        <f aca="false">IF(G169&lt;&gt;0,G169*H$2/(100+H$2)," ")</f>
        <v> </v>
      </c>
      <c r="I169" s="6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</row>
    <row r="170" customFormat="false" ht="12" hidden="false" customHeight="false" outlineLevel="0" collapsed="false">
      <c r="A170" s="27"/>
      <c r="F170" s="2"/>
      <c r="H170" s="6" t="str">
        <f aca="false">IF(G170&lt;&gt;0,G170*H$2/(100+H$2)," ")</f>
        <v> </v>
      </c>
      <c r="I170" s="6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</row>
    <row r="171" customFormat="false" ht="12" hidden="false" customHeight="false" outlineLevel="0" collapsed="false">
      <c r="A171" s="27"/>
      <c r="F171" s="2"/>
      <c r="H171" s="6" t="str">
        <f aca="false">IF(G171&lt;&gt;0,G171*H$2/(100+H$2)," ")</f>
        <v> </v>
      </c>
      <c r="I171" s="6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</row>
    <row r="172" customFormat="false" ht="12" hidden="false" customHeight="false" outlineLevel="0" collapsed="false">
      <c r="A172" s="27"/>
      <c r="F172" s="2"/>
      <c r="H172" s="6" t="str">
        <f aca="false">IF(G172&lt;&gt;0,G172*H$2/(100+H$2)," ")</f>
        <v> </v>
      </c>
      <c r="I172" s="6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</row>
    <row r="173" customFormat="false" ht="12" hidden="false" customHeight="false" outlineLevel="0" collapsed="false">
      <c r="A173" s="27"/>
      <c r="F173" s="2"/>
      <c r="H173" s="6" t="str">
        <f aca="false">IF(G173&lt;&gt;0,G173*H$2/(100+H$2)," ")</f>
        <v> </v>
      </c>
      <c r="I173" s="6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</row>
    <row r="174" customFormat="false" ht="12" hidden="false" customHeight="false" outlineLevel="0" collapsed="false">
      <c r="A174" s="27"/>
      <c r="F174" s="2"/>
      <c r="H174" s="6" t="str">
        <f aca="false">IF(G174&lt;&gt;0,G174*H$2/(100+H$2)," ")</f>
        <v> </v>
      </c>
      <c r="I174" s="6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</row>
    <row r="175" customFormat="false" ht="12" hidden="false" customHeight="false" outlineLevel="0" collapsed="false">
      <c r="A175" s="27"/>
      <c r="F175" s="2"/>
      <c r="H175" s="6" t="str">
        <f aca="false">IF(G175&lt;&gt;0,G175*H$2/(100+H$2)," ")</f>
        <v> </v>
      </c>
      <c r="I175" s="6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</row>
    <row r="176" customFormat="false" ht="12" hidden="false" customHeight="false" outlineLevel="0" collapsed="false">
      <c r="A176" s="27"/>
      <c r="F176" s="2"/>
      <c r="H176" s="6" t="str">
        <f aca="false">IF(G176&lt;&gt;0,G176*H$2/(100+H$2)," ")</f>
        <v> </v>
      </c>
      <c r="I176" s="6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</row>
    <row r="177" customFormat="false" ht="12" hidden="false" customHeight="false" outlineLevel="0" collapsed="false">
      <c r="A177" s="27"/>
      <c r="F177" s="2"/>
      <c r="H177" s="6" t="str">
        <f aca="false">IF(G177&lt;&gt;0,G177*H$2/(100+H$2)," ")</f>
        <v> </v>
      </c>
      <c r="I177" s="6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</row>
    <row r="178" customFormat="false" ht="12" hidden="false" customHeight="false" outlineLevel="0" collapsed="false">
      <c r="A178" s="27"/>
      <c r="F178" s="2"/>
      <c r="H178" s="6" t="str">
        <f aca="false">IF(G178&lt;&gt;0,G178*H$2/(100+H$2)," ")</f>
        <v> </v>
      </c>
      <c r="I178" s="6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</row>
    <row r="179" customFormat="false" ht="12" hidden="false" customHeight="false" outlineLevel="0" collapsed="false">
      <c r="A179" s="27"/>
      <c r="F179" s="2"/>
      <c r="H179" s="6" t="str">
        <f aca="false">IF(G179&lt;&gt;0,G179*H$2/(100+H$2)," ")</f>
        <v> </v>
      </c>
      <c r="I179" s="6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</row>
    <row r="180" customFormat="false" ht="12" hidden="false" customHeight="false" outlineLevel="0" collapsed="false">
      <c r="A180" s="27"/>
      <c r="F180" s="2"/>
      <c r="H180" s="6" t="str">
        <f aca="false">IF(G180&lt;&gt;0,G180*H$2/(100+H$2)," ")</f>
        <v> </v>
      </c>
      <c r="I180" s="6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</row>
    <row r="181" customFormat="false" ht="12" hidden="false" customHeight="false" outlineLevel="0" collapsed="false">
      <c r="A181" s="27"/>
      <c r="F181" s="2"/>
      <c r="H181" s="6" t="str">
        <f aca="false">IF(G181&lt;&gt;0,G181*H$2/(100+H$2)," ")</f>
        <v> </v>
      </c>
      <c r="I181" s="6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</row>
    <row r="182" customFormat="false" ht="12" hidden="false" customHeight="false" outlineLevel="0" collapsed="false">
      <c r="A182" s="27"/>
      <c r="F182" s="2"/>
      <c r="H182" s="6" t="str">
        <f aca="false">IF(G182&lt;&gt;0,G182*H$2/(100+H$2)," ")</f>
        <v> </v>
      </c>
      <c r="I182" s="6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</row>
    <row r="183" customFormat="false" ht="12" hidden="false" customHeight="false" outlineLevel="0" collapsed="false">
      <c r="A183" s="27"/>
      <c r="F183" s="2"/>
      <c r="H183" s="6" t="str">
        <f aca="false">IF(G183&lt;&gt;0,G183*H$2/(100+H$2)," ")</f>
        <v> </v>
      </c>
      <c r="I183" s="6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</row>
    <row r="184" customFormat="false" ht="12" hidden="false" customHeight="false" outlineLevel="0" collapsed="false">
      <c r="A184" s="27"/>
      <c r="F184" s="2"/>
      <c r="H184" s="6" t="str">
        <f aca="false">IF(G184&lt;&gt;0,G184*H$2/(100+H$2)," ")</f>
        <v> </v>
      </c>
      <c r="I184" s="6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</row>
    <row r="185" customFormat="false" ht="12" hidden="false" customHeight="false" outlineLevel="0" collapsed="false">
      <c r="A185" s="27"/>
      <c r="F185" s="2"/>
      <c r="H185" s="6" t="str">
        <f aca="false">IF(G185&lt;&gt;0,G185*H$2/(100+H$2)," ")</f>
        <v> </v>
      </c>
      <c r="I185" s="6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</row>
    <row r="186" customFormat="false" ht="12" hidden="false" customHeight="false" outlineLevel="0" collapsed="false">
      <c r="A186" s="27"/>
      <c r="F186" s="2"/>
      <c r="H186" s="6" t="str">
        <f aca="false">IF(G186&lt;&gt;0,G186*H$2/(100+H$2)," ")</f>
        <v> </v>
      </c>
      <c r="I186" s="6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</row>
    <row r="187" customFormat="false" ht="12" hidden="false" customHeight="false" outlineLevel="0" collapsed="false">
      <c r="A187" s="27"/>
      <c r="F187" s="2"/>
      <c r="H187" s="6" t="str">
        <f aca="false">IF(G187&lt;&gt;0,G187*H$2/(100+H$2)," ")</f>
        <v> </v>
      </c>
      <c r="I187" s="6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</row>
    <row r="188" customFormat="false" ht="12" hidden="false" customHeight="false" outlineLevel="0" collapsed="false">
      <c r="A188" s="27"/>
      <c r="F188" s="2"/>
      <c r="H188" s="6" t="str">
        <f aca="false">IF(G188&lt;&gt;0,G188*H$2/(100+H$2)," ")</f>
        <v> </v>
      </c>
      <c r="I188" s="6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</row>
    <row r="189" customFormat="false" ht="12" hidden="false" customHeight="false" outlineLevel="0" collapsed="false">
      <c r="A189" s="27"/>
      <c r="F189" s="2"/>
      <c r="H189" s="6" t="str">
        <f aca="false">IF(G189&lt;&gt;0,G189*H$2/(100+H$2)," ")</f>
        <v> </v>
      </c>
      <c r="I189" s="6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</row>
    <row r="190" customFormat="false" ht="12" hidden="false" customHeight="false" outlineLevel="0" collapsed="false">
      <c r="A190" s="27"/>
      <c r="F190" s="2"/>
      <c r="H190" s="6" t="str">
        <f aca="false">IF(G190&lt;&gt;0,G190*H$2/(100+H$2)," ")</f>
        <v> </v>
      </c>
      <c r="I190" s="6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</row>
    <row r="191" customFormat="false" ht="12" hidden="false" customHeight="false" outlineLevel="0" collapsed="false">
      <c r="A191" s="27"/>
      <c r="F191" s="2"/>
      <c r="H191" s="6" t="str">
        <f aca="false">IF(G191&lt;&gt;0,G191*H$2/(100+H$2)," ")</f>
        <v> </v>
      </c>
      <c r="I191" s="6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</row>
    <row r="192" customFormat="false" ht="12" hidden="false" customHeight="false" outlineLevel="0" collapsed="false">
      <c r="A192" s="27"/>
      <c r="F192" s="2"/>
      <c r="H192" s="6" t="str">
        <f aca="false">IF(G192&lt;&gt;0,G192*H$2/(100+H$2)," ")</f>
        <v> </v>
      </c>
      <c r="I192" s="6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</row>
    <row r="193" customFormat="false" ht="12" hidden="false" customHeight="false" outlineLevel="0" collapsed="false">
      <c r="A193" s="27"/>
      <c r="F193" s="2"/>
      <c r="H193" s="6" t="str">
        <f aca="false">IF(G193&lt;&gt;0,G193*H$2/(100+H$2)," ")</f>
        <v> </v>
      </c>
      <c r="I193" s="6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</row>
    <row r="194" customFormat="false" ht="12" hidden="false" customHeight="false" outlineLevel="0" collapsed="false">
      <c r="A194" s="27"/>
      <c r="F194" s="2"/>
      <c r="H194" s="6" t="str">
        <f aca="false">IF(G194&lt;&gt;0,G194*H$2/(100+H$2)," ")</f>
        <v> </v>
      </c>
      <c r="I194" s="6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</row>
    <row r="195" customFormat="false" ht="12" hidden="false" customHeight="false" outlineLevel="0" collapsed="false">
      <c r="A195" s="27"/>
      <c r="F195" s="2"/>
      <c r="H195" s="6" t="str">
        <f aca="false">IF(G195&lt;&gt;0,G195*H$2/(100+H$2)," ")</f>
        <v> </v>
      </c>
      <c r="I195" s="6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</row>
    <row r="196" customFormat="false" ht="12" hidden="false" customHeight="false" outlineLevel="0" collapsed="false">
      <c r="A196" s="27"/>
      <c r="F196" s="2"/>
      <c r="H196" s="6" t="str">
        <f aca="false">IF(G196&lt;&gt;0,G196*H$2/(100+H$2)," ")</f>
        <v> </v>
      </c>
      <c r="I196" s="6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</row>
    <row r="197" customFormat="false" ht="12" hidden="false" customHeight="false" outlineLevel="0" collapsed="false">
      <c r="A197" s="27"/>
      <c r="F197" s="2"/>
      <c r="H197" s="6" t="str">
        <f aca="false">IF(G197&lt;&gt;0,G197*H$2/(100+H$2)," ")</f>
        <v> </v>
      </c>
      <c r="I197" s="6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</row>
    <row r="198" customFormat="false" ht="12" hidden="false" customHeight="false" outlineLevel="0" collapsed="false">
      <c r="A198" s="27"/>
      <c r="F198" s="2"/>
      <c r="H198" s="6" t="str">
        <f aca="false">IF(G198&lt;&gt;0,G198*H$2/(100+H$2)," ")</f>
        <v> </v>
      </c>
      <c r="I198" s="6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</row>
    <row r="199" customFormat="false" ht="12" hidden="false" customHeight="false" outlineLevel="0" collapsed="false">
      <c r="A199" s="27"/>
      <c r="F199" s="2"/>
      <c r="H199" s="6" t="str">
        <f aca="false">IF(G199&lt;&gt;0,G199*H$2/(100+H$2)," ")</f>
        <v> </v>
      </c>
      <c r="I199" s="6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</row>
    <row r="200" customFormat="false" ht="12" hidden="false" customHeight="false" outlineLevel="0" collapsed="false">
      <c r="A200" s="27"/>
      <c r="F200" s="2"/>
      <c r="H200" s="6" t="str">
        <f aca="false">IF(G200&lt;&gt;0,G200*H$2/(100+H$2)," ")</f>
        <v> </v>
      </c>
      <c r="I200" s="6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</row>
    <row r="201" customFormat="false" ht="12" hidden="false" customHeight="false" outlineLevel="0" collapsed="false">
      <c r="A201" s="27"/>
      <c r="F201" s="2"/>
      <c r="H201" s="6" t="str">
        <f aca="false">IF(G201&lt;&gt;0,G201*H$2/(100+H$2)," ")</f>
        <v> </v>
      </c>
      <c r="I201" s="6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</row>
    <row r="202" customFormat="false" ht="12" hidden="false" customHeight="false" outlineLevel="0" collapsed="false">
      <c r="A202" s="27"/>
      <c r="F202" s="2"/>
      <c r="H202" s="6" t="str">
        <f aca="false">IF(G202&lt;&gt;0,G202*H$2/(100+H$2)," ")</f>
        <v> </v>
      </c>
      <c r="I202" s="6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</row>
    <row r="203" customFormat="false" ht="12" hidden="false" customHeight="false" outlineLevel="0" collapsed="false">
      <c r="A203" s="27"/>
      <c r="F203" s="2"/>
      <c r="H203" s="6" t="str">
        <f aca="false">IF(G203&lt;&gt;0,G203*H$2/(100+H$2)," ")</f>
        <v> </v>
      </c>
      <c r="I203" s="6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</row>
    <row r="204" customFormat="false" ht="12" hidden="false" customHeight="false" outlineLevel="0" collapsed="false">
      <c r="A204" s="27"/>
      <c r="F204" s="2"/>
      <c r="H204" s="6" t="str">
        <f aca="false">IF(G204&lt;&gt;0,G204*H$2/(100+H$2)," ")</f>
        <v> </v>
      </c>
      <c r="I204" s="6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</row>
    <row r="205" customFormat="false" ht="12" hidden="false" customHeight="false" outlineLevel="0" collapsed="false">
      <c r="A205" s="27"/>
      <c r="F205" s="2"/>
      <c r="H205" s="6" t="str">
        <f aca="false">IF(G205&lt;&gt;0,G205*H$2/(100+H$2)," ")</f>
        <v> </v>
      </c>
      <c r="I205" s="6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</row>
    <row r="206" customFormat="false" ht="12" hidden="false" customHeight="false" outlineLevel="0" collapsed="false">
      <c r="A206" s="27"/>
      <c r="F206" s="2"/>
      <c r="H206" s="6" t="str">
        <f aca="false">IF(G206&lt;&gt;0,G206*H$2/(100+H$2)," ")</f>
        <v> </v>
      </c>
      <c r="I206" s="6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</row>
    <row r="207" customFormat="false" ht="12" hidden="false" customHeight="false" outlineLevel="0" collapsed="false">
      <c r="A207" s="27"/>
      <c r="F207" s="2"/>
      <c r="H207" s="6" t="str">
        <f aca="false">IF(G207&lt;&gt;0,G207*H$2/(100+H$2)," ")</f>
        <v> </v>
      </c>
      <c r="I207" s="6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</row>
    <row r="208" customFormat="false" ht="12" hidden="false" customHeight="false" outlineLevel="0" collapsed="false">
      <c r="A208" s="27"/>
      <c r="F208" s="2"/>
      <c r="H208" s="6" t="str">
        <f aca="false">IF(G208&lt;&gt;0,G208*H$2/(100+H$2)," ")</f>
        <v> </v>
      </c>
      <c r="I208" s="6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</row>
    <row r="209" customFormat="false" ht="12" hidden="false" customHeight="false" outlineLevel="0" collapsed="false">
      <c r="A209" s="27"/>
      <c r="F209" s="2"/>
      <c r="H209" s="6" t="str">
        <f aca="false">IF(G209&lt;&gt;0,G209*H$2/(100+H$2)," ")</f>
        <v> </v>
      </c>
      <c r="I209" s="6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</row>
    <row r="210" customFormat="false" ht="12" hidden="false" customHeight="false" outlineLevel="0" collapsed="false">
      <c r="A210" s="27"/>
      <c r="F210" s="2"/>
      <c r="H210" s="6" t="str">
        <f aca="false">IF(G210&lt;&gt;0,G210*H$2/(100+H$2)," ")</f>
        <v> </v>
      </c>
      <c r="I210" s="6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</row>
    <row r="211" customFormat="false" ht="12" hidden="false" customHeight="false" outlineLevel="0" collapsed="false">
      <c r="A211" s="27"/>
      <c r="F211" s="2"/>
      <c r="H211" s="6" t="str">
        <f aca="false">IF(G211&lt;&gt;0,G211*H$2/(100+H$2)," ")</f>
        <v> </v>
      </c>
      <c r="I211" s="6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</row>
    <row r="212" customFormat="false" ht="12" hidden="false" customHeight="false" outlineLevel="0" collapsed="false">
      <c r="A212" s="27"/>
      <c r="F212" s="2"/>
      <c r="H212" s="6" t="str">
        <f aca="false">IF(G212&lt;&gt;0,G212*H$2/(100+H$2)," ")</f>
        <v> </v>
      </c>
      <c r="I212" s="6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</row>
    <row r="213" customFormat="false" ht="12" hidden="false" customHeight="false" outlineLevel="0" collapsed="false">
      <c r="A213" s="27"/>
      <c r="F213" s="2"/>
      <c r="H213" s="6" t="str">
        <f aca="false">IF(G213&lt;&gt;0,G213*H$2/(100+H$2)," ")</f>
        <v> </v>
      </c>
      <c r="I213" s="6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</row>
    <row r="214" customFormat="false" ht="12" hidden="false" customHeight="false" outlineLevel="0" collapsed="false">
      <c r="A214" s="27"/>
      <c r="F214" s="2"/>
      <c r="H214" s="6" t="str">
        <f aca="false">IF(G214&lt;&gt;0,G214*H$2/(100+H$2)," ")</f>
        <v> </v>
      </c>
      <c r="I214" s="6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</row>
    <row r="215" customFormat="false" ht="12" hidden="false" customHeight="false" outlineLevel="0" collapsed="false">
      <c r="A215" s="27"/>
      <c r="F215" s="2"/>
      <c r="H215" s="6" t="str">
        <f aca="false">IF(G215&lt;&gt;0,G215*H$2/(100+H$2)," ")</f>
        <v> </v>
      </c>
      <c r="I215" s="6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</row>
    <row r="216" customFormat="false" ht="12" hidden="false" customHeight="false" outlineLevel="0" collapsed="false">
      <c r="A216" s="27"/>
      <c r="F216" s="2"/>
      <c r="H216" s="6" t="str">
        <f aca="false">IF(G216&lt;&gt;0,G216*H$2/(100+H$2)," ")</f>
        <v> </v>
      </c>
      <c r="I216" s="6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</row>
    <row r="217" customFormat="false" ht="12" hidden="false" customHeight="false" outlineLevel="0" collapsed="false">
      <c r="A217" s="27"/>
      <c r="F217" s="2"/>
      <c r="H217" s="6" t="str">
        <f aca="false">IF(G217&lt;&gt;0,G217*H$2/(100+H$2)," ")</f>
        <v> </v>
      </c>
      <c r="I217" s="6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</row>
    <row r="218" customFormat="false" ht="12" hidden="false" customHeight="false" outlineLevel="0" collapsed="false">
      <c r="A218" s="27"/>
      <c r="F218" s="2"/>
      <c r="H218" s="6" t="str">
        <f aca="false">IF(G218&lt;&gt;0,G218*H$2/(100+H$2)," ")</f>
        <v> </v>
      </c>
      <c r="I218" s="6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</row>
    <row r="219" customFormat="false" ht="12" hidden="false" customHeight="false" outlineLevel="0" collapsed="false">
      <c r="A219" s="27"/>
      <c r="F219" s="2"/>
      <c r="H219" s="6" t="str">
        <f aca="false">IF(G219&lt;&gt;0,G219*H$2/(100+H$2)," ")</f>
        <v> </v>
      </c>
      <c r="I219" s="6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</row>
    <row r="220" customFormat="false" ht="12" hidden="false" customHeight="false" outlineLevel="0" collapsed="false">
      <c r="A220" s="27"/>
      <c r="F220" s="2"/>
      <c r="H220" s="6" t="str">
        <f aca="false">IF(G220&lt;&gt;0,G220*H$2/(100+H$2)," ")</f>
        <v> </v>
      </c>
      <c r="I220" s="6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</row>
    <row r="221" customFormat="false" ht="12" hidden="false" customHeight="false" outlineLevel="0" collapsed="false">
      <c r="A221" s="27"/>
      <c r="F221" s="2"/>
      <c r="H221" s="6" t="str">
        <f aca="false">IF(G221&lt;&gt;0,G221*H$2/(100+H$2)," ")</f>
        <v> </v>
      </c>
      <c r="I221" s="6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</row>
    <row r="222" customFormat="false" ht="12" hidden="false" customHeight="false" outlineLevel="0" collapsed="false">
      <c r="A222" s="27"/>
      <c r="F222" s="2"/>
      <c r="H222" s="6" t="str">
        <f aca="false">IF(G222&lt;&gt;0,G222*H$2/(100+H$2)," ")</f>
        <v> </v>
      </c>
      <c r="I222" s="6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</row>
    <row r="223" customFormat="false" ht="12" hidden="false" customHeight="false" outlineLevel="0" collapsed="false">
      <c r="A223" s="27"/>
      <c r="F223" s="2"/>
      <c r="H223" s="6" t="str">
        <f aca="false">IF(G223&lt;&gt;0,G223*H$2/(100+H$2)," ")</f>
        <v> </v>
      </c>
      <c r="I223" s="6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</row>
    <row r="224" customFormat="false" ht="12" hidden="false" customHeight="false" outlineLevel="0" collapsed="false">
      <c r="A224" s="27"/>
      <c r="F224" s="2"/>
      <c r="H224" s="6" t="str">
        <f aca="false">IF(G224&lt;&gt;0,G224*H$2/(100+H$2)," ")</f>
        <v> </v>
      </c>
      <c r="I224" s="6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</row>
    <row r="225" customFormat="false" ht="12" hidden="false" customHeight="false" outlineLevel="0" collapsed="false">
      <c r="A225" s="27"/>
      <c r="F225" s="2"/>
      <c r="H225" s="6" t="str">
        <f aca="false">IF(G225&lt;&gt;0,G225*H$2/(100+H$2)," ")</f>
        <v> </v>
      </c>
      <c r="I225" s="6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</row>
    <row r="226" customFormat="false" ht="12" hidden="false" customHeight="false" outlineLevel="0" collapsed="false">
      <c r="A226" s="27"/>
      <c r="F226" s="2"/>
      <c r="H226" s="6" t="str">
        <f aca="false">IF(G226&lt;&gt;0,G226*H$2/(100+H$2)," ")</f>
        <v> </v>
      </c>
      <c r="I226" s="6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</row>
    <row r="227" customFormat="false" ht="12" hidden="false" customHeight="false" outlineLevel="0" collapsed="false">
      <c r="A227" s="27"/>
      <c r="F227" s="2"/>
      <c r="H227" s="6" t="str">
        <f aca="false">IF(G227&lt;&gt;0,G227*H$2/(100+H$2)," ")</f>
        <v> </v>
      </c>
      <c r="I227" s="6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</row>
    <row r="228" customFormat="false" ht="12" hidden="false" customHeight="false" outlineLevel="0" collapsed="false">
      <c r="A228" s="27"/>
      <c r="F228" s="2"/>
      <c r="H228" s="6" t="str">
        <f aca="false">IF(G228&lt;&gt;0,G228*H$2/(100+H$2)," ")</f>
        <v> </v>
      </c>
      <c r="I228" s="6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</row>
    <row r="229" customFormat="false" ht="12" hidden="false" customHeight="false" outlineLevel="0" collapsed="false">
      <c r="A229" s="27"/>
      <c r="F229" s="2"/>
      <c r="H229" s="6" t="str">
        <f aca="false">IF(G229&lt;&gt;0,G229*H$2/(100+H$2)," ")</f>
        <v> </v>
      </c>
      <c r="I229" s="6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</row>
    <row r="230" customFormat="false" ht="12" hidden="false" customHeight="false" outlineLevel="0" collapsed="false">
      <c r="A230" s="27"/>
      <c r="F230" s="2"/>
      <c r="H230" s="6" t="str">
        <f aca="false">IF(G230&lt;&gt;0,G230*H$2/(100+H$2)," ")</f>
        <v> </v>
      </c>
      <c r="I230" s="6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</row>
    <row r="231" customFormat="false" ht="12" hidden="false" customHeight="false" outlineLevel="0" collapsed="false">
      <c r="A231" s="27"/>
      <c r="F231" s="2"/>
      <c r="H231" s="6" t="str">
        <f aca="false">IF(G231&lt;&gt;0,G231*H$2/(100+H$2)," ")</f>
        <v> </v>
      </c>
      <c r="I231" s="6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</row>
    <row r="232" customFormat="false" ht="12" hidden="false" customHeight="false" outlineLevel="0" collapsed="false">
      <c r="A232" s="27"/>
      <c r="F232" s="2"/>
      <c r="H232" s="6" t="str">
        <f aca="false">IF(G232&lt;&gt;0,G232*H$2/(100+H$2)," ")</f>
        <v> </v>
      </c>
      <c r="I232" s="6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</row>
    <row r="233" customFormat="false" ht="12" hidden="false" customHeight="false" outlineLevel="0" collapsed="false">
      <c r="A233" s="27"/>
      <c r="F233" s="2"/>
      <c r="H233" s="6" t="str">
        <f aca="false">IF(G233&lt;&gt;0,G233*H$2/(100+H$2)," ")</f>
        <v> </v>
      </c>
      <c r="I233" s="6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</row>
    <row r="234" customFormat="false" ht="12" hidden="false" customHeight="false" outlineLevel="0" collapsed="false">
      <c r="A234" s="27"/>
      <c r="F234" s="2"/>
      <c r="H234" s="6" t="str">
        <f aca="false">IF(G234&lt;&gt;0,G234*H$2/(100+H$2)," ")</f>
        <v> </v>
      </c>
      <c r="I234" s="6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</row>
    <row r="235" customFormat="false" ht="12" hidden="false" customHeight="false" outlineLevel="0" collapsed="false">
      <c r="A235" s="27"/>
      <c r="F235" s="2"/>
      <c r="H235" s="6" t="str">
        <f aca="false">IF(G235&lt;&gt;0,G235*H$2/(100+H$2)," ")</f>
        <v> </v>
      </c>
      <c r="I235" s="6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</row>
    <row r="236" customFormat="false" ht="12" hidden="false" customHeight="false" outlineLevel="0" collapsed="false">
      <c r="A236" s="27"/>
      <c r="F236" s="2"/>
      <c r="H236" s="6" t="str">
        <f aca="false">IF(G236&lt;&gt;0,G236*H$2/(100+H$2)," ")</f>
        <v> </v>
      </c>
      <c r="I236" s="6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</row>
    <row r="237" customFormat="false" ht="12" hidden="false" customHeight="false" outlineLevel="0" collapsed="false">
      <c r="A237" s="27"/>
      <c r="F237" s="2"/>
      <c r="H237" s="6" t="str">
        <f aca="false">IF(G237&lt;&gt;0,G237*H$2/(100+H$2)," ")</f>
        <v> </v>
      </c>
      <c r="I237" s="6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</row>
    <row r="238" customFormat="false" ht="12" hidden="false" customHeight="false" outlineLevel="0" collapsed="false">
      <c r="A238" s="27"/>
      <c r="F238" s="2"/>
      <c r="H238" s="6" t="str">
        <f aca="false">IF(G238&lt;&gt;0,G238*H$2/(100+H$2)," ")</f>
        <v> </v>
      </c>
      <c r="I238" s="6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</row>
    <row r="239" customFormat="false" ht="12" hidden="false" customHeight="false" outlineLevel="0" collapsed="false">
      <c r="A239" s="27"/>
      <c r="F239" s="2"/>
      <c r="H239" s="6" t="str">
        <f aca="false">IF(G239&lt;&gt;0,G239*H$2/(100+H$2)," ")</f>
        <v> </v>
      </c>
      <c r="I239" s="6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</row>
    <row r="240" customFormat="false" ht="12" hidden="false" customHeight="false" outlineLevel="0" collapsed="false">
      <c r="A240" s="27"/>
      <c r="F240" s="2"/>
      <c r="H240" s="6" t="str">
        <f aca="false">IF(G240&lt;&gt;0,G240*H$2/(100+H$2)," ")</f>
        <v> </v>
      </c>
      <c r="I240" s="6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</row>
    <row r="241" customFormat="false" ht="12" hidden="false" customHeight="false" outlineLevel="0" collapsed="false">
      <c r="A241" s="27"/>
      <c r="F241" s="2"/>
      <c r="H241" s="6" t="str">
        <f aca="false">IF(G241&lt;&gt;0,G241*H$2/(100+H$2)," ")</f>
        <v> </v>
      </c>
      <c r="I241" s="6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</row>
    <row r="242" customFormat="false" ht="12" hidden="false" customHeight="false" outlineLevel="0" collapsed="false">
      <c r="A242" s="27"/>
      <c r="F242" s="2"/>
      <c r="H242" s="6" t="str">
        <f aca="false">IF(G242&lt;&gt;0,G242*H$2/(100+H$2)," ")</f>
        <v> </v>
      </c>
      <c r="I242" s="6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</row>
    <row r="243" customFormat="false" ht="12" hidden="false" customHeight="false" outlineLevel="0" collapsed="false">
      <c r="A243" s="27"/>
      <c r="F243" s="2"/>
      <c r="H243" s="6" t="str">
        <f aca="false">IF(G243&lt;&gt;0,G243*H$2/(100+H$2)," ")</f>
        <v> </v>
      </c>
      <c r="I243" s="6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</row>
    <row r="244" customFormat="false" ht="12" hidden="false" customHeight="false" outlineLevel="0" collapsed="false">
      <c r="A244" s="27"/>
      <c r="F244" s="2"/>
      <c r="H244" s="6" t="str">
        <f aca="false">IF(G244&lt;&gt;0,G244*H$2/(100+H$2)," ")</f>
        <v> </v>
      </c>
      <c r="I244" s="6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</row>
    <row r="245" customFormat="false" ht="12" hidden="false" customHeight="false" outlineLevel="0" collapsed="false">
      <c r="A245" s="27"/>
      <c r="F245" s="2"/>
      <c r="H245" s="6" t="str">
        <f aca="false">IF(G245&lt;&gt;0,G245*H$2/(100+H$2)," ")</f>
        <v> </v>
      </c>
      <c r="I245" s="6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</row>
    <row r="246" customFormat="false" ht="12" hidden="false" customHeight="false" outlineLevel="0" collapsed="false">
      <c r="A246" s="27"/>
      <c r="F246" s="2"/>
      <c r="H246" s="6" t="str">
        <f aca="false">IF(G246&lt;&gt;0,G246*H$2/(100+H$2)," ")</f>
        <v> </v>
      </c>
      <c r="I246" s="6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</row>
    <row r="247" customFormat="false" ht="12" hidden="false" customHeight="false" outlineLevel="0" collapsed="false">
      <c r="A247" s="27"/>
      <c r="F247" s="2"/>
      <c r="H247" s="6" t="str">
        <f aca="false">IF(G247&lt;&gt;0,G247*H$2/(100+H$2)," ")</f>
        <v> </v>
      </c>
      <c r="I247" s="6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</row>
    <row r="248" customFormat="false" ht="12" hidden="false" customHeight="false" outlineLevel="0" collapsed="false">
      <c r="A248" s="27"/>
      <c r="F248" s="2"/>
      <c r="H248" s="6" t="str">
        <f aca="false">IF(G248&lt;&gt;0,G248*H$2/(100+H$2)," ")</f>
        <v> </v>
      </c>
      <c r="I248" s="6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</row>
    <row r="249" customFormat="false" ht="12" hidden="false" customHeight="false" outlineLevel="0" collapsed="false">
      <c r="A249" s="27"/>
      <c r="F249" s="2"/>
      <c r="H249" s="6" t="str">
        <f aca="false">IF(G249&lt;&gt;0,G249*H$2/(100+H$2)," ")</f>
        <v> </v>
      </c>
      <c r="I249" s="6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</row>
    <row r="250" customFormat="false" ht="12" hidden="false" customHeight="false" outlineLevel="0" collapsed="false">
      <c r="A250" s="27"/>
      <c r="F250" s="2"/>
      <c r="H250" s="6" t="str">
        <f aca="false">IF(G250&lt;&gt;0,G250*H$2/(100+H$2)," ")</f>
        <v> </v>
      </c>
      <c r="I250" s="6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</row>
    <row r="251" customFormat="false" ht="12" hidden="false" customHeight="false" outlineLevel="0" collapsed="false">
      <c r="A251" s="27"/>
      <c r="F251" s="2"/>
      <c r="H251" s="6" t="str">
        <f aca="false">IF(G251&lt;&gt;0,G251*H$2/(100+H$2)," ")</f>
        <v> </v>
      </c>
      <c r="I251" s="6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</row>
    <row r="252" customFormat="false" ht="12" hidden="false" customHeight="false" outlineLevel="0" collapsed="false">
      <c r="A252" s="27"/>
      <c r="F252" s="2"/>
      <c r="H252" s="6" t="str">
        <f aca="false">IF(G252&lt;&gt;0,G252*H$2/(100+H$2)," ")</f>
        <v> </v>
      </c>
      <c r="I252" s="6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</row>
    <row r="253" customFormat="false" ht="12" hidden="false" customHeight="false" outlineLevel="0" collapsed="false">
      <c r="A253" s="27"/>
      <c r="F253" s="2"/>
      <c r="H253" s="6" t="str">
        <f aca="false">IF(G253&lt;&gt;0,G253*H$2/(100+H$2)," ")</f>
        <v> </v>
      </c>
      <c r="I253" s="6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</row>
    <row r="254" customFormat="false" ht="12" hidden="false" customHeight="false" outlineLevel="0" collapsed="false">
      <c r="A254" s="27"/>
      <c r="F254" s="2"/>
      <c r="H254" s="6" t="str">
        <f aca="false">IF(G254&lt;&gt;0,G254*H$2/(100+H$2)," ")</f>
        <v> </v>
      </c>
      <c r="I254" s="6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</row>
    <row r="255" customFormat="false" ht="12" hidden="false" customHeight="false" outlineLevel="0" collapsed="false">
      <c r="A255" s="27"/>
      <c r="F255" s="2"/>
      <c r="H255" s="6" t="str">
        <f aca="false">IF(G255&lt;&gt;0,G255*H$2/(100+H$2)," ")</f>
        <v> </v>
      </c>
      <c r="I255" s="6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</row>
    <row r="256" customFormat="false" ht="12" hidden="false" customHeight="false" outlineLevel="0" collapsed="false">
      <c r="A256" s="27"/>
      <c r="F256" s="2"/>
      <c r="H256" s="6" t="str">
        <f aca="false">IF(G256&lt;&gt;0,G256*H$2/(100+H$2)," ")</f>
        <v> </v>
      </c>
      <c r="I256" s="6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</row>
    <row r="257" customFormat="false" ht="12" hidden="false" customHeight="false" outlineLevel="0" collapsed="false">
      <c r="A257" s="27"/>
      <c r="F257" s="2"/>
      <c r="H257" s="6" t="str">
        <f aca="false">IF(G257&lt;&gt;0,G257*H$2/(100+H$2)," ")</f>
        <v> </v>
      </c>
      <c r="I257" s="6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</row>
    <row r="258" customFormat="false" ht="12" hidden="false" customHeight="false" outlineLevel="0" collapsed="false">
      <c r="A258" s="27"/>
      <c r="F258" s="2"/>
      <c r="H258" s="6" t="str">
        <f aca="false">IF(G258&lt;&gt;0,G258*H$2/(100+H$2)," ")</f>
        <v> </v>
      </c>
      <c r="I258" s="6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</row>
    <row r="259" customFormat="false" ht="12" hidden="false" customHeight="false" outlineLevel="0" collapsed="false">
      <c r="A259" s="27"/>
      <c r="F259" s="2"/>
      <c r="H259" s="6" t="str">
        <f aca="false">IF(G259&lt;&gt;0,G259*H$2/(100+H$2)," ")</f>
        <v> </v>
      </c>
      <c r="I259" s="6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</row>
    <row r="260" customFormat="false" ht="12" hidden="false" customHeight="false" outlineLevel="0" collapsed="false">
      <c r="A260" s="27"/>
      <c r="F260" s="2"/>
      <c r="H260" s="6" t="str">
        <f aca="false">IF(G260&lt;&gt;0,G260*H$2/(100+H$2)," ")</f>
        <v> </v>
      </c>
      <c r="I260" s="6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</row>
    <row r="261" customFormat="false" ht="12" hidden="false" customHeight="false" outlineLevel="0" collapsed="false">
      <c r="A261" s="27"/>
      <c r="F261" s="2"/>
      <c r="H261" s="6" t="str">
        <f aca="false">IF(G261&lt;&gt;0,G261*H$2/(100+H$2)," ")</f>
        <v> </v>
      </c>
      <c r="I261" s="6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</row>
    <row r="262" customFormat="false" ht="12" hidden="false" customHeight="false" outlineLevel="0" collapsed="false">
      <c r="A262" s="27"/>
      <c r="F262" s="2"/>
      <c r="H262" s="6" t="str">
        <f aca="false">IF(G262&lt;&gt;0,G262*H$2/(100+H$2)," ")</f>
        <v> </v>
      </c>
      <c r="I262" s="6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</row>
    <row r="263" customFormat="false" ht="12" hidden="false" customHeight="false" outlineLevel="0" collapsed="false">
      <c r="A263" s="27"/>
      <c r="F263" s="2"/>
      <c r="H263" s="6" t="str">
        <f aca="false">IF(G263&lt;&gt;0,G263*H$2/(100+H$2)," ")</f>
        <v> </v>
      </c>
      <c r="I263" s="6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</row>
    <row r="264" customFormat="false" ht="12" hidden="false" customHeight="false" outlineLevel="0" collapsed="false">
      <c r="A264" s="27"/>
      <c r="F264" s="2"/>
      <c r="H264" s="6" t="str">
        <f aca="false">IF(G264&lt;&gt;0,G264*H$2/(100+H$2)," ")</f>
        <v> </v>
      </c>
      <c r="I264" s="6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</row>
    <row r="265" customFormat="false" ht="12" hidden="false" customHeight="false" outlineLevel="0" collapsed="false">
      <c r="A265" s="27"/>
      <c r="F265" s="2"/>
      <c r="H265" s="6" t="str">
        <f aca="false">IF(G265&lt;&gt;0,G265*H$2/(100+H$2)," ")</f>
        <v> </v>
      </c>
      <c r="I265" s="6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</row>
    <row r="266" customFormat="false" ht="12" hidden="false" customHeight="false" outlineLevel="0" collapsed="false">
      <c r="A266" s="27"/>
      <c r="F266" s="2"/>
      <c r="H266" s="6" t="str">
        <f aca="false">IF(G266&lt;&gt;0,G266*H$2/(100+H$2)," ")</f>
        <v> </v>
      </c>
      <c r="I266" s="6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</row>
    <row r="267" customFormat="false" ht="12" hidden="false" customHeight="false" outlineLevel="0" collapsed="false">
      <c r="A267" s="27"/>
      <c r="F267" s="2"/>
      <c r="H267" s="6" t="str">
        <f aca="false">IF(G267&lt;&gt;0,G267*H$2/(100+H$2)," ")</f>
        <v> </v>
      </c>
      <c r="I267" s="6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</row>
    <row r="268" customFormat="false" ht="12" hidden="false" customHeight="false" outlineLevel="0" collapsed="false">
      <c r="A268" s="27"/>
      <c r="F268" s="2"/>
      <c r="H268" s="6" t="str">
        <f aca="false">IF(G268&lt;&gt;0,G268*H$2/(100+H$2)," ")</f>
        <v> </v>
      </c>
      <c r="I268" s="6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</row>
    <row r="269" customFormat="false" ht="12" hidden="false" customHeight="false" outlineLevel="0" collapsed="false">
      <c r="A269" s="27"/>
      <c r="F269" s="2"/>
      <c r="H269" s="6" t="str">
        <f aca="false">IF(G269&lt;&gt;0,G269*H$2/(100+H$2)," ")</f>
        <v> </v>
      </c>
      <c r="I269" s="6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</row>
    <row r="270" customFormat="false" ht="12" hidden="false" customHeight="false" outlineLevel="0" collapsed="false">
      <c r="A270" s="27"/>
      <c r="F270" s="2"/>
      <c r="H270" s="6" t="str">
        <f aca="false">IF(G270&lt;&gt;0,G270*H$2/(100+H$2)," ")</f>
        <v> </v>
      </c>
      <c r="I270" s="6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</row>
    <row r="271" customFormat="false" ht="12" hidden="false" customHeight="false" outlineLevel="0" collapsed="false">
      <c r="A271" s="27"/>
      <c r="F271" s="2"/>
      <c r="H271" s="6" t="str">
        <f aca="false">IF(G271&lt;&gt;0,G271*H$2/(100+H$2)," ")</f>
        <v> </v>
      </c>
      <c r="I271" s="6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</row>
    <row r="272" customFormat="false" ht="12" hidden="false" customHeight="false" outlineLevel="0" collapsed="false">
      <c r="A272" s="27"/>
      <c r="F272" s="2"/>
      <c r="H272" s="6" t="str">
        <f aca="false">IF(G272&lt;&gt;0,G272*H$2/(100+H$2)," ")</f>
        <v> </v>
      </c>
      <c r="I272" s="6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</row>
    <row r="273" customFormat="false" ht="12" hidden="false" customHeight="false" outlineLevel="0" collapsed="false">
      <c r="A273" s="27"/>
      <c r="F273" s="2"/>
      <c r="H273" s="6" t="str">
        <f aca="false">IF(G273&lt;&gt;0,G273*H$2/(100+H$2)," ")</f>
        <v> </v>
      </c>
      <c r="I273" s="6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</row>
    <row r="274" customFormat="false" ht="12" hidden="false" customHeight="false" outlineLevel="0" collapsed="false">
      <c r="A274" s="27"/>
      <c r="F274" s="2"/>
      <c r="H274" s="6" t="str">
        <f aca="false">IF(G274&lt;&gt;0,G274*H$2/(100+H$2)," ")</f>
        <v> </v>
      </c>
      <c r="I274" s="6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</row>
    <row r="275" customFormat="false" ht="12" hidden="false" customHeight="false" outlineLevel="0" collapsed="false">
      <c r="A275" s="27"/>
      <c r="F275" s="2"/>
      <c r="H275" s="6" t="str">
        <f aca="false">IF(G275&lt;&gt;0,G275*H$2/(100+H$2)," ")</f>
        <v> </v>
      </c>
      <c r="I275" s="6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</row>
    <row r="276" customFormat="false" ht="12" hidden="false" customHeight="false" outlineLevel="0" collapsed="false">
      <c r="A276" s="27"/>
      <c r="F276" s="2"/>
      <c r="H276" s="6" t="str">
        <f aca="false">IF(G276&lt;&gt;0,G276*H$2/(100+H$2)," ")</f>
        <v> </v>
      </c>
      <c r="I276" s="6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</row>
    <row r="277" customFormat="false" ht="12" hidden="false" customHeight="false" outlineLevel="0" collapsed="false">
      <c r="A277" s="27"/>
      <c r="F277" s="2"/>
      <c r="H277" s="6" t="str">
        <f aca="false">IF(G277&lt;&gt;0,G277*H$2/(100+H$2)," ")</f>
        <v> </v>
      </c>
      <c r="I277" s="6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</row>
    <row r="278" customFormat="false" ht="12" hidden="false" customHeight="false" outlineLevel="0" collapsed="false">
      <c r="A278" s="27"/>
      <c r="F278" s="2"/>
      <c r="H278" s="6" t="str">
        <f aca="false">IF(G278&lt;&gt;0,G278*H$2/(100+H$2)," ")</f>
        <v> </v>
      </c>
      <c r="I278" s="6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</row>
    <row r="279" customFormat="false" ht="12" hidden="false" customHeight="false" outlineLevel="0" collapsed="false">
      <c r="A279" s="27"/>
      <c r="F279" s="2"/>
      <c r="H279" s="6" t="str">
        <f aca="false">IF(G279&lt;&gt;0,G279*H$2/(100+H$2)," ")</f>
        <v> </v>
      </c>
      <c r="I279" s="6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</row>
    <row r="280" customFormat="false" ht="12" hidden="false" customHeight="false" outlineLevel="0" collapsed="false">
      <c r="A280" s="27"/>
      <c r="F280" s="2"/>
      <c r="H280" s="6" t="str">
        <f aca="false">IF(G280&lt;&gt;0,G280*H$2/(100+H$2)," ")</f>
        <v> </v>
      </c>
      <c r="I280" s="6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</row>
    <row r="281" customFormat="false" ht="12" hidden="false" customHeight="false" outlineLevel="0" collapsed="false">
      <c r="A281" s="27"/>
      <c r="F281" s="2"/>
      <c r="H281" s="6" t="str">
        <f aca="false">IF(G281&lt;&gt;0,G281*H$2/(100+H$2)," ")</f>
        <v> </v>
      </c>
      <c r="I281" s="6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</row>
    <row r="282" customFormat="false" ht="12" hidden="false" customHeight="false" outlineLevel="0" collapsed="false">
      <c r="A282" s="27"/>
      <c r="F282" s="2"/>
      <c r="H282" s="6" t="str">
        <f aca="false">IF(G282&lt;&gt;0,G282*H$2/(100+H$2)," ")</f>
        <v> </v>
      </c>
      <c r="I282" s="6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</row>
    <row r="283" customFormat="false" ht="12" hidden="false" customHeight="false" outlineLevel="0" collapsed="false">
      <c r="A283" s="27"/>
      <c r="F283" s="2"/>
      <c r="H283" s="6" t="str">
        <f aca="false">IF(G283&lt;&gt;0,G283*H$2/(100+H$2)," ")</f>
        <v> </v>
      </c>
      <c r="I283" s="6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</row>
    <row r="284" customFormat="false" ht="12" hidden="false" customHeight="false" outlineLevel="0" collapsed="false">
      <c r="A284" s="27"/>
      <c r="F284" s="2"/>
      <c r="H284" s="6" t="str">
        <f aca="false">IF(G284&lt;&gt;0,G284*H$2/(100+H$2)," ")</f>
        <v> </v>
      </c>
      <c r="I284" s="6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</row>
    <row r="285" customFormat="false" ht="12" hidden="false" customHeight="false" outlineLevel="0" collapsed="false">
      <c r="A285" s="27"/>
      <c r="F285" s="2"/>
      <c r="H285" s="6" t="str">
        <f aca="false">IF(G285&lt;&gt;0,G285*H$2/(100+H$2)," ")</f>
        <v> </v>
      </c>
      <c r="I285" s="6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</row>
    <row r="286" customFormat="false" ht="12" hidden="false" customHeight="false" outlineLevel="0" collapsed="false">
      <c r="A286" s="27"/>
      <c r="F286" s="2"/>
      <c r="H286" s="6" t="str">
        <f aca="false">IF(G286&lt;&gt;0,G286*H$2/(100+H$2)," ")</f>
        <v> </v>
      </c>
      <c r="I286" s="6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</row>
    <row r="287" customFormat="false" ht="12" hidden="false" customHeight="false" outlineLevel="0" collapsed="false">
      <c r="A287" s="27"/>
      <c r="F287" s="2"/>
      <c r="H287" s="6" t="str">
        <f aca="false">IF(G287&lt;&gt;0,G287*H$2/(100+H$2)," ")</f>
        <v> </v>
      </c>
      <c r="I287" s="6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</row>
    <row r="288" customFormat="false" ht="12" hidden="false" customHeight="false" outlineLevel="0" collapsed="false">
      <c r="A288" s="27"/>
      <c r="F288" s="2"/>
      <c r="H288" s="6" t="str">
        <f aca="false">IF(G288&lt;&gt;0,G288*H$2/(100+H$2)," ")</f>
        <v> </v>
      </c>
      <c r="I288" s="6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</row>
    <row r="289" customFormat="false" ht="12" hidden="false" customHeight="false" outlineLevel="0" collapsed="false">
      <c r="A289" s="27"/>
      <c r="F289" s="2"/>
      <c r="H289" s="6" t="str">
        <f aca="false">IF(G289&lt;&gt;0,G289*H$2/(100+H$2)," ")</f>
        <v> </v>
      </c>
      <c r="I289" s="6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</row>
    <row r="290" customFormat="false" ht="12" hidden="false" customHeight="false" outlineLevel="0" collapsed="false">
      <c r="A290" s="27"/>
      <c r="F290" s="2"/>
      <c r="H290" s="6" t="str">
        <f aca="false">IF(G290&lt;&gt;0,G290*H$2/(100+H$2)," ")</f>
        <v> </v>
      </c>
      <c r="I290" s="6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</row>
    <row r="291" customFormat="false" ht="12" hidden="false" customHeight="false" outlineLevel="0" collapsed="false">
      <c r="A291" s="27"/>
      <c r="F291" s="2"/>
      <c r="H291" s="6" t="str">
        <f aca="false">IF(G291&lt;&gt;0,G291*H$2/(100+H$2)," ")</f>
        <v> </v>
      </c>
      <c r="I291" s="6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</row>
    <row r="292" customFormat="false" ht="12" hidden="false" customHeight="false" outlineLevel="0" collapsed="false">
      <c r="A292" s="27"/>
      <c r="F292" s="2"/>
      <c r="H292" s="6" t="str">
        <f aca="false">IF(G292&lt;&gt;0,G292*H$2/(100+H$2)," ")</f>
        <v> </v>
      </c>
      <c r="I292" s="6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</row>
    <row r="293" customFormat="false" ht="12" hidden="false" customHeight="false" outlineLevel="0" collapsed="false">
      <c r="A293" s="27"/>
      <c r="F293" s="2"/>
      <c r="H293" s="6" t="str">
        <f aca="false">IF(G293&lt;&gt;0,G293*H$2/(100+H$2)," ")</f>
        <v> </v>
      </c>
      <c r="I293" s="6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</row>
    <row r="294" customFormat="false" ht="12" hidden="false" customHeight="false" outlineLevel="0" collapsed="false">
      <c r="A294" s="27"/>
      <c r="F294" s="2"/>
      <c r="H294" s="6" t="str">
        <f aca="false">IF(G294&lt;&gt;0,G294*H$2/(100+H$2)," ")</f>
        <v> </v>
      </c>
      <c r="I294" s="6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</row>
    <row r="295" customFormat="false" ht="12" hidden="false" customHeight="false" outlineLevel="0" collapsed="false">
      <c r="A295" s="27"/>
      <c r="F295" s="2"/>
      <c r="H295" s="6" t="str">
        <f aca="false">IF(G295&lt;&gt;0,G295*H$2/(100+H$2)," ")</f>
        <v> </v>
      </c>
      <c r="I295" s="6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</row>
    <row r="296" customFormat="false" ht="12" hidden="false" customHeight="false" outlineLevel="0" collapsed="false">
      <c r="A296" s="27"/>
      <c r="F296" s="2"/>
      <c r="H296" s="6" t="str">
        <f aca="false">IF(G296&lt;&gt;0,G296*H$2/(100+H$2)," ")</f>
        <v> </v>
      </c>
      <c r="I296" s="6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</row>
    <row r="297" customFormat="false" ht="12" hidden="false" customHeight="false" outlineLevel="0" collapsed="false">
      <c r="A297" s="27"/>
      <c r="F297" s="2"/>
      <c r="H297" s="6" t="str">
        <f aca="false">IF(G297&lt;&gt;0,G297*H$2/(100+H$2)," ")</f>
        <v> </v>
      </c>
      <c r="I297" s="6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</row>
    <row r="298" customFormat="false" ht="12" hidden="false" customHeight="false" outlineLevel="0" collapsed="false">
      <c r="A298" s="27"/>
      <c r="F298" s="2"/>
      <c r="H298" s="6" t="str">
        <f aca="false">IF(G298&lt;&gt;0,G298*H$2/(100+H$2)," ")</f>
        <v> </v>
      </c>
      <c r="I298" s="6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</row>
    <row r="299" customFormat="false" ht="12" hidden="false" customHeight="false" outlineLevel="0" collapsed="false">
      <c r="A299" s="27"/>
      <c r="F299" s="2"/>
      <c r="H299" s="6" t="str">
        <f aca="false">IF(G299&lt;&gt;0,G299*H$2/(100+H$2)," ")</f>
        <v> </v>
      </c>
      <c r="I299" s="6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</row>
    <row r="300" customFormat="false" ht="12" hidden="false" customHeight="false" outlineLevel="0" collapsed="false">
      <c r="A300" s="30"/>
      <c r="B300" s="31"/>
      <c r="C300" s="32"/>
      <c r="D300" s="33"/>
      <c r="E300" s="31"/>
      <c r="F300" s="31"/>
      <c r="G300" s="34"/>
      <c r="H300" s="34" t="str">
        <f aca="false">IF(G300&lt;&gt;0,G300*H$2/(100+H$2)," ")</f>
        <v> </v>
      </c>
      <c r="I300" s="34" t="str">
        <f aca="false">IF((G300&lt;&gt;0),G300-H300," ")</f>
        <v> </v>
      </c>
      <c r="J300" s="34"/>
      <c r="K300" s="34"/>
      <c r="L300" s="34"/>
      <c r="M300" s="35" t="str">
        <f aca="false">IF(G300&lt;&gt;0,G300-L300," ")</f>
        <v> </v>
      </c>
      <c r="N300" s="36" t="str">
        <f aca="false">IF((G300-L300)&lt;&gt;0,N$1-A300," ")</f>
        <v> </v>
      </c>
    </row>
  </sheetData>
  <mergeCells count="15">
    <mergeCell ref="A1:A4"/>
    <mergeCell ref="B1:B4"/>
    <mergeCell ref="C1:C4"/>
    <mergeCell ref="D1:D4"/>
    <mergeCell ref="J1:J4"/>
    <mergeCell ref="K1:K4"/>
    <mergeCell ref="E2:E4"/>
    <mergeCell ref="F2:F4"/>
    <mergeCell ref="G2:G4"/>
    <mergeCell ref="I2:I4"/>
    <mergeCell ref="L2:N2"/>
    <mergeCell ref="H3:H4"/>
    <mergeCell ref="L3:L4"/>
    <mergeCell ref="M3:M4"/>
    <mergeCell ref="N3:N4"/>
  </mergeCells>
  <dataValidations count="2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6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5" type="date">
      <formula1>38353</formula1>
      <formula2>53327</formula2>
    </dataValidation>
  </dataValidations>
  <printOptions headings="false" gridLines="false" gridLinesSet="true" horizontalCentered="true" verticalCentered="true"/>
  <pageMargins left="0.157638888888889" right="0.0784722222222222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2005-11-20T10:44:15Z</dcterms:created>
  <dc:creator>Terry Cartwright</dc:creator>
  <dc:description/>
  <dc:language>en-US</dc:language>
  <cp:lastModifiedBy>Cartwright, Antony</cp:lastModifiedBy>
  <cp:lastPrinted>2007-03-02T12:17:48Z</cp:lastPrinted>
  <dcterms:modified xsi:type="dcterms:W3CDTF">2025-04-03T22:49:56Z</dcterms:modified>
  <cp:revision>0</cp:revision>
  <dc:subject/>
  <dc:title>Self employed purchases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