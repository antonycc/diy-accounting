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" sheetId="1" state="visible" r:id="rId3"/>
    <sheet name="May" sheetId="2" state="visible" r:id="rId4"/>
    <sheet name="Jun" sheetId="3" state="visible" r:id="rId5"/>
    <sheet name="Jul" sheetId="4" state="visible" r:id="rId6"/>
    <sheet name="Aug" sheetId="5" state="visible" r:id="rId7"/>
    <sheet name="Sep" sheetId="6" state="visible" r:id="rId8"/>
    <sheet name="Oct" sheetId="7" state="visible" r:id="rId9"/>
    <sheet name="Nov" sheetId="8" state="visible" r:id="rId10"/>
    <sheet name="Dec" sheetId="9" state="visible" r:id="rId11"/>
    <sheet name="Jan" sheetId="10" state="visible" r:id="rId12"/>
    <sheet name="Feb" sheetId="11" state="visible" r:id="rId13"/>
    <sheet name="Mar" sheetId="12" state="visible" r:id="rId14"/>
  </sheets>
  <externalReferences>
    <externalReference r:id="rId15"/>
  </externalReferences>
  <definedNames>
    <definedName function="false" hidden="false" localSheetId="0" name="_xlnm.Print_Area" vbProcedure="false">Apr!$A$1:$AA$75</definedName>
    <definedName function="false" hidden="false" localSheetId="0" name="_xlnm.Print_Titles" vbProcedure="false">Apr!$1:$5</definedName>
    <definedName function="false" hidden="false" localSheetId="4" name="_xlnm.Print_Area" vbProcedure="false">Aug!$A$1:$AA$75</definedName>
    <definedName function="false" hidden="false" localSheetId="4" name="_xlnm.Print_Titles" vbProcedure="false">Aug!$1:$5</definedName>
    <definedName function="false" hidden="false" localSheetId="8" name="_xlnm.Print_Area" vbProcedure="false">Dec!$A$1:$AA$75</definedName>
    <definedName function="false" hidden="false" localSheetId="8" name="_xlnm.Print_Titles" vbProcedure="false">Dec!$1:$5</definedName>
    <definedName function="false" hidden="false" localSheetId="10" name="_xlnm.Print_Area" vbProcedure="false">Feb!$A$1:$AA$75</definedName>
    <definedName function="false" hidden="false" localSheetId="10" name="_xlnm.Print_Titles" vbProcedure="false">Feb!$1:$5</definedName>
    <definedName function="false" hidden="false" localSheetId="9" name="_xlnm.Print_Area" vbProcedure="false">Jan!$A$1:$AA$75</definedName>
    <definedName function="false" hidden="false" localSheetId="9" name="_xlnm.Print_Titles" vbProcedure="false">Jan!$1:$5</definedName>
    <definedName function="false" hidden="false" localSheetId="3" name="_xlnm.Print_Area" vbProcedure="false">Jul!$A$1:$AA$75</definedName>
    <definedName function="false" hidden="false" localSheetId="3" name="_xlnm.Print_Titles" vbProcedure="false">Jul!$1:$5</definedName>
    <definedName function="false" hidden="false" localSheetId="2" name="_xlnm.Print_Area" vbProcedure="false">Jun!$A$1:$AA$75</definedName>
    <definedName function="false" hidden="false" localSheetId="2" name="_xlnm.Print_Titles" vbProcedure="false">Jun!$1:$5</definedName>
    <definedName function="false" hidden="false" localSheetId="11" name="_xlnm.Print_Area" vbProcedure="false">Mar!$A$1:$AA$75</definedName>
    <definedName function="false" hidden="false" localSheetId="11" name="_xlnm.Print_Titles" vbProcedure="false">Mar!$1:$5</definedName>
    <definedName function="false" hidden="false" localSheetId="1" name="_xlnm.Print_Area" vbProcedure="false">May!$A$1:$AA$75</definedName>
    <definedName function="false" hidden="false" localSheetId="1" name="_xlnm.Print_Titles" vbProcedure="false">May!$1:$5</definedName>
    <definedName function="false" hidden="false" localSheetId="7" name="_xlnm.Print_Area" vbProcedure="false">Nov!$A$1:$AA$75</definedName>
    <definedName function="false" hidden="false" localSheetId="7" name="_xlnm.Print_Titles" vbProcedure="false">Nov!$1:$5</definedName>
    <definedName function="false" hidden="false" localSheetId="6" name="_xlnm.Print_Area" vbProcedure="false">Oct!$A$1:$AA$75</definedName>
    <definedName function="false" hidden="false" localSheetId="6" name="_xlnm.Print_Titles" vbProcedure="false">Oct!$1:$5</definedName>
    <definedName function="false" hidden="false" localSheetId="5" name="_xlnm.Print_Area" vbProcedure="false">Sep!$A$1:$AA$75</definedName>
    <definedName function="false" hidden="false" localSheetId="5" name="_xlnm.Print_Titles" vbProcedure="false">Sep!$1:$5</definedName>
    <definedName function="false" hidden="false" localSheetId="0" name="_xlnm_Print_Area" vbProcedure="false">Apr!$A$1:$AA$75</definedName>
    <definedName function="false" hidden="false" localSheetId="0" name="_xlnm_Print_Titles" vbProcedure="false">Apr!$1:$5</definedName>
    <definedName function="false" hidden="false" localSheetId="1" name="_xlnm_Print_Area" vbProcedure="false">May!$A$1:$AA$75</definedName>
    <definedName function="false" hidden="false" localSheetId="1" name="_xlnm_Print_Titles" vbProcedure="false">May!$1:$5</definedName>
    <definedName function="false" hidden="false" localSheetId="2" name="_xlnm_Print_Area" vbProcedure="false">Jun!$A$1:$AA$75</definedName>
    <definedName function="false" hidden="false" localSheetId="2" name="_xlnm_Print_Titles" vbProcedure="false">Jun!$1:$5</definedName>
    <definedName function="false" hidden="false" localSheetId="3" name="_xlnm_Print_Area" vbProcedure="false">Jul!$A$1:$AA$75</definedName>
    <definedName function="false" hidden="false" localSheetId="3" name="_xlnm_Print_Titles" vbProcedure="false">Jul!$1:$5</definedName>
    <definedName function="false" hidden="false" localSheetId="4" name="_xlnm_Print_Area" vbProcedure="false">Aug!$A$1:$AA$75</definedName>
    <definedName function="false" hidden="false" localSheetId="4" name="_xlnm_Print_Titles" vbProcedure="false">Aug!$1:$5</definedName>
    <definedName function="false" hidden="false" localSheetId="5" name="_xlnm_Print_Area" vbProcedure="false">Sep!$A$1:$AA$75</definedName>
    <definedName function="false" hidden="false" localSheetId="5" name="_xlnm_Print_Titles" vbProcedure="false">Sep!$1:$5</definedName>
    <definedName function="false" hidden="false" localSheetId="6" name="_xlnm_Print_Area" vbProcedure="false">Oct!$A$1:$AA$75</definedName>
    <definedName function="false" hidden="false" localSheetId="6" name="_xlnm_Print_Titles" vbProcedure="false">Oct!$1:$5</definedName>
    <definedName function="false" hidden="false" localSheetId="7" name="_xlnm_Print_Area" vbProcedure="false">Nov!$A$1:$AA$75</definedName>
    <definedName function="false" hidden="false" localSheetId="7" name="_xlnm_Print_Titles" vbProcedure="false">Nov!$1:$5</definedName>
    <definedName function="false" hidden="false" localSheetId="8" name="_xlnm_Print_Area" vbProcedure="false">Dec!$A$1:$AA$75</definedName>
    <definedName function="false" hidden="false" localSheetId="8" name="_xlnm_Print_Titles" vbProcedure="false">Dec!$1:$5</definedName>
    <definedName function="false" hidden="false" localSheetId="9" name="_xlnm_Print_Area" vbProcedure="false">Jan!$A$1:$AA$75</definedName>
    <definedName function="false" hidden="false" localSheetId="9" name="_xlnm_Print_Titles" vbProcedure="false">Jan!$1:$5</definedName>
    <definedName function="false" hidden="false" localSheetId="10" name="_xlnm_Print_Area" vbProcedure="false">Feb!$A$1:$AA$75</definedName>
    <definedName function="false" hidden="false" localSheetId="10" name="_xlnm_Print_Titles" vbProcedure="false">Feb!$1:$5</definedName>
    <definedName function="false" hidden="false" localSheetId="11" name="_xlnm_Print_Area" vbProcedure="false">Mar!$A$1:$AA$75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<sst xmlns="http://schemas.openxmlformats.org/spreadsheetml/2006/main" count="885" uniqueCount="64">
  <si>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</si>
  <si>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</si>
  <si>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</si>
  <si>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</si>
  <si>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ENTER BANK RECEIPTS</t>
  </si>
  <si>
    <t xml:space="preserve">CURRENT ACCOUNT STATEMENT RECEIPTS</t>
  </si>
  <si>
    <t xml:space="preserve">Enter Purchase Invoice No.</t>
  </si>
  <si>
    <t xml:space="preserve">Cheque number  Direct Debit</t>
  </si>
  <si>
    <t xml:space="preserve">ENTER BANK PAYMENT</t>
  </si>
  <si>
    <t xml:space="preserve">CURRENT ACCOUNT STATEMENT PAYMENTS</t>
  </si>
  <si>
    <t xml:space="preserve">&lt;  Statement Bank Balance</t>
  </si>
  <si>
    <t xml:space="preserve">Cash paid into Bank</t>
  </si>
  <si>
    <t xml:space="preserve">Amount Received Debtors</t>
  </si>
  <si>
    <t xml:space="preserve">Amount Received Creditors</t>
  </si>
  <si>
    <t xml:space="preserve">Bank Interest Received</t>
  </si>
  <si>
    <t xml:space="preserve">HMRC   Refunded</t>
  </si>
  <si>
    <t xml:space="preserve">Capital Introduced</t>
  </si>
  <si>
    <t xml:space="preserve">Bank Contra items</t>
  </si>
  <si>
    <t xml:space="preserve">Cash Withdrawn from Bank</t>
  </si>
  <si>
    <t xml:space="preserve">Amount Paid Creditors</t>
  </si>
  <si>
    <t xml:space="preserve">Amount Paid Debtors</t>
  </si>
  <si>
    <t xml:space="preserve">Net        Wages      Paid</t>
  </si>
  <si>
    <t xml:space="preserve">HP Interest Leasing &amp; Bank Charges</t>
  </si>
  <si>
    <t xml:space="preserve">Bank Loan &amp; Overdraft Interest</t>
  </si>
  <si>
    <t xml:space="preserve">HMRC Payments</t>
  </si>
  <si>
    <t xml:space="preserve">Drawings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</si>
  <si>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</si>
  <si>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</si>
  <si>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</si>
  <si>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</si>
  <si>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</si>
  <si>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BC</t>
  </si>
  <si>
    <t xml:space="preserve">DR</t>
  </si>
  <si>
    <t xml:space="preserve">CR</t>
  </si>
  <si>
    <t xml:space="preserve">K</t>
  </si>
  <si>
    <t xml:space="preserve">RV</t>
  </si>
  <si>
    <t xml:space="preserve">DL</t>
  </si>
  <si>
    <t xml:space="preserve">X</t>
  </si>
  <si>
    <t xml:space="preserve">W</t>
  </si>
  <si>
    <t xml:space="preserve">B</t>
  </si>
  <si>
    <t xml:space="preserve">J</t>
  </si>
  <si>
    <t xml:space="preserve">RP</t>
  </si>
  <si>
    <t xml:space="preserve">WorkSpace Ltd</t>
  </si>
  <si>
    <t xml:space="preserve">HMRC</t>
  </si>
  <si>
    <t xml:space="preserve">Director</t>
  </si>
  <si>
    <t xml:space="preserve">Payroll</t>
  </si>
  <si>
    <t xml:space="preserve">Various suppliers</t>
  </si>
  <si>
    <t xml:space="preserve">Acme Corp</t>
  </si>
  <si>
    <t xml:space="preserve">Beta Systems</t>
  </si>
  <si>
    <t xml:space="preserve">TechStart Ltd</t>
  </si>
  <si>
    <t xml:space="preserve">Gamma Ltd</t>
  </si>
  <si>
    <t xml:space="preserve">Various customers</t>
  </si>
  <si>
    <t xml:space="preserve">Smith &amp; Co</t>
  </si>
  <si>
    <t xml:space="preserve">Credit card payment</t>
  </si>
  <si>
    <t xml:space="preserve">&lt;  Opening Bank Balance</t>
  </si>
  <si>
    <t xml:space="preserve">HSBC</t>
  </si>
  <si>
    <t xml:space="preserve">Directors loan interest</t>
  </si>
  <si>
    <t xml:space="preserve">Dividend</t>
  </si>
  <si>
    <t xml:space="preserve">DV</t>
  </si>
  <si>
    <t xml:space="preserve">Innovate UK</t>
  </si>
  <si>
    <t xml:space="preserve">Private buyer</t>
  </si>
  <si>
    <t xml:space="preserve">Ford</t>
  </si>
  <si>
    <t xml:space="preserve">Director loan</t>
  </si>
  <si>
    <t xml:space="preserve">Internal transfer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</si>
</sst>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7" t="n">
        <v>25000</v>
      </c>
      <c r="C1" s="8" t="n">
        <f aca="false">[1]Admin!$B$4</f>
        <v>45753</v>
      </c>
      <c r="D1" s="9" t="s">
        <v>0</v>
      </c>
      <c r="E1" s="10" t="n">
        <f aca="false">F1-SUM(G1:M1)</f>
        <v>0</v>
      </c>
      <c r="F1" s="11" t="n">
        <f aca="false">SUM(F6:F200)</f>
        <v>29600</v>
      </c>
      <c r="G1" s="11" t="n">
        <f aca="false">SUM(G6:G200)</f>
        <v>0</v>
      </c>
      <c r="H1" s="11" t="n">
        <f aca="false">SUM(H6:H200)</f>
        <v>24400</v>
      </c>
      <c r="I1" s="11" t="n">
        <f aca="false">SUM(I6:I200)</f>
        <v>3700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500</v>
      </c>
      <c r="N1" s="12"/>
      <c r="O1" s="13" t="str">
        <f aca="false">IF(S1=0," ","Check all payment code letters entered")</f>
        <v> </v>
      </c>
      <c r="P1" s="13"/>
      <c r="Q1" s="14"/>
      <c r="R1" s="15" t="s">
        <v>0</v>
      </c>
      <c r="S1" s="10" t="n">
        <f aca="false">T1-SUM(U1:AC1)</f>
        <v>0</v>
      </c>
      <c r="T1" s="11" t="n">
        <f aca="false">SUM(T6:T200)</f>
        <v>9953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4301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44647</v>
      </c>
      <c r="B2" s="17" t="s">
        <v>1</v>
      </c>
      <c r="C2" s="8" t="n">
        <f aca="false">[1]Admin!$B$5</f>
        <v>45777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45777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44647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45748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45766</v>
      </c>
      <c r="Q6" s="3" t="s">
        <v>43</v>
      </c>
      <c r="S6" s="37" t="s">
        <v>41</v>
      </c>
      <c r="T6" s="6" t="n">
        <v>1501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1501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45748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45775</v>
      </c>
      <c r="Q7" s="3" t="s">
        <v>45</v>
      </c>
      <c r="S7" s="37" t="s">
        <v>38</v>
      </c>
      <c r="T7" s="6" t="n">
        <v>5652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n">
        <f aca="false">IF(S7="W",T7," ")</f>
        <v>5652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45752</v>
      </c>
      <c r="B8" s="2" t="s">
        <v>46</v>
      </c>
      <c r="E8" s="5" t="s">
        <v>33</v>
      </c>
      <c r="F8" s="6" t="n">
        <v>2200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2200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46113</v>
      </c>
      <c r="Q8" s="3" t="s">
        <v>43</v>
      </c>
      <c r="S8" s="37" t="s">
        <v>41</v>
      </c>
      <c r="T8" s="6" t="n">
        <v>2800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n">
        <f aca="false">IF(S8="RP",T8," ")</f>
        <v>2800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45757</v>
      </c>
      <c r="B9" s="2" t="s">
        <v>47</v>
      </c>
      <c r="E9" s="5" t="s">
        <v>32</v>
      </c>
      <c r="F9" s="6" t="n">
        <v>7200</v>
      </c>
      <c r="G9" s="6" t="str">
        <f aca="false">IF(E9="BC",F9," ")</f>
        <v> </v>
      </c>
      <c r="H9" s="6" t="n">
        <f aca="false">IF(E9="DR",F9," ")</f>
        <v>7200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8"/>
      <c r="S9" s="37"/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45762</v>
      </c>
      <c r="B10" s="2" t="s">
        <v>48</v>
      </c>
      <c r="E10" s="5" t="s">
        <v>32</v>
      </c>
      <c r="F10" s="6" t="n">
        <v>1200</v>
      </c>
      <c r="G10" s="6" t="str">
        <f aca="false">IF(E10="BC",F10," ")</f>
        <v> </v>
      </c>
      <c r="H10" s="6" t="n">
        <f aca="false">IF(E10="DR",F10," ")</f>
        <v>1200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45767</v>
      </c>
      <c r="B11" s="2" t="s">
        <v>47</v>
      </c>
      <c r="E11" s="5" t="s">
        <v>32</v>
      </c>
      <c r="F11" s="6" t="n">
        <v>8000</v>
      </c>
      <c r="G11" s="6" t="str">
        <f aca="false">IF(E11="BC",F11," ")</f>
        <v> </v>
      </c>
      <c r="H11" s="6" t="n">
        <f aca="false">IF(E11="DR",F11," ")</f>
        <v>8000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45772</v>
      </c>
      <c r="B12" s="2" t="s">
        <v>49</v>
      </c>
      <c r="E12" s="5" t="s">
        <v>32</v>
      </c>
      <c r="F12" s="6" t="n">
        <v>2400</v>
      </c>
      <c r="G12" s="6" t="str">
        <f aca="false">IF(E12="BC",F12," ")</f>
        <v> </v>
      </c>
      <c r="H12" s="6" t="n">
        <f aca="false">IF(E12="DR",F12," ")</f>
        <v>2400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A13" s="1" t="n">
        <v>45772</v>
      </c>
      <c r="B13" s="2" t="s">
        <v>50</v>
      </c>
      <c r="E13" s="5" t="s">
        <v>32</v>
      </c>
      <c r="F13" s="6" t="n">
        <v>2400</v>
      </c>
      <c r="G13" s="6" t="str">
        <f aca="false">IF(E13="BC",F13," ")</f>
        <v> </v>
      </c>
      <c r="H13" s="6" t="n">
        <f aca="false">IF(E13="DR",F13," ")</f>
        <v>2400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A14" s="1" t="n">
        <v>45775</v>
      </c>
      <c r="B14" s="2" t="s">
        <v>51</v>
      </c>
      <c r="E14" s="5" t="s">
        <v>32</v>
      </c>
      <c r="F14" s="6" t="n">
        <v>3200</v>
      </c>
      <c r="G14" s="6" t="str">
        <f aca="false">IF(E14="BC",F14," ")</f>
        <v> </v>
      </c>
      <c r="H14" s="6" t="n">
        <f aca="false">IF(E14="DR",F14," ")</f>
        <v>3200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A15" s="1" t="n">
        <v>45777</v>
      </c>
      <c r="B15" s="2" t="s">
        <v>52</v>
      </c>
      <c r="E15" s="5" t="s">
        <v>33</v>
      </c>
      <c r="F15" s="6" t="n">
        <v>300</v>
      </c>
      <c r="G15" s="6" t="str">
        <f aca="false">IF(E15="BC",F15," ")</f>
        <v> </v>
      </c>
      <c r="H15" s="6" t="str">
        <f aca="false">IF(E15="DR",F15," ")</f>
        <v> </v>
      </c>
      <c r="I15" s="6" t="n">
        <f aca="false">IF(E15="CR",F15," ")</f>
        <v>300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A16" s="1" t="n">
        <v>45777</v>
      </c>
      <c r="B16" s="2" t="s">
        <v>53</v>
      </c>
      <c r="E16" s="5" t="s">
        <v>37</v>
      </c>
      <c r="F16" s="6" t="n">
        <v>500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n">
        <f aca="false">IF(E16="X",F16," ")</f>
        <v>500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Apr!A2</f>
        <v>44647</v>
      </c>
      <c r="B1" s="48" t="s">
        <v>54</v>
      </c>
      <c r="C1" s="8" t="n">
        <f aca="false">Apr!C2</f>
        <v>45777</v>
      </c>
      <c r="D1" s="9" t="s">
        <v>0</v>
      </c>
      <c r="E1" s="10" t="n">
        <f aca="false">F1-SUM(G1:M1)</f>
        <v>0</v>
      </c>
      <c r="F1" s="11" t="n">
        <f aca="false">SUM(F6:F200)</f>
        <v>19500</v>
      </c>
      <c r="G1" s="11" t="n">
        <f aca="false">SUM(G6:G200)</f>
        <v>0</v>
      </c>
      <c r="H1" s="11" t="n">
        <f aca="false">SUM(H6:H200)</f>
        <v>14200</v>
      </c>
      <c r="I1" s="11" t="n">
        <f aca="false">SUM(I6:I200)</f>
        <v>4300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0</v>
      </c>
      <c r="N1" s="12"/>
      <c r="O1" s="13" t="str">
        <f aca="false">IF(S1=0," ","Check all payment code letters entered")</f>
        <v> </v>
      </c>
      <c r="P1" s="13"/>
      <c r="Q1" s="14"/>
      <c r="R1" s="15" t="s">
        <v>0</v>
      </c>
      <c r="S1" s="10" t="n">
        <f aca="false">T1-SUM(U1:AC1)</f>
        <v>0</v>
      </c>
      <c r="T1" s="11" t="n">
        <f aca="false">SUM(T6:T200)</f>
        <v>7178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25</v>
      </c>
      <c r="Z1" s="11" t="n">
        <f aca="false">SUM(Z6:Z200)</f>
        <v>0</v>
      </c>
      <c r="AA1" s="11" t="n">
        <f aca="false">SUM(AA6:AA200)</f>
        <v>1501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56969</v>
      </c>
      <c r="B2" s="17" t="s">
        <v>1</v>
      </c>
      <c r="C2" s="8" t="n">
        <f aca="false">[1]Admin!$B$6</f>
        <v>45808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45808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56969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45778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45796</v>
      </c>
      <c r="Q6" s="3" t="s">
        <v>43</v>
      </c>
      <c r="S6" s="37" t="s">
        <v>41</v>
      </c>
      <c r="T6" s="6" t="n">
        <v>1501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1501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45778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45802</v>
      </c>
      <c r="Q7" s="3" t="s">
        <v>55</v>
      </c>
      <c r="S7" s="37" t="s">
        <v>39</v>
      </c>
      <c r="T7" s="6" t="n">
        <v>25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n">
        <f aca="false">IF(S7="B",T7," ")</f>
        <v>25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45782</v>
      </c>
      <c r="B8" s="2" t="s">
        <v>46</v>
      </c>
      <c r="E8" s="5" t="s">
        <v>33</v>
      </c>
      <c r="F8" s="6" t="n">
        <v>2800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2800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45805</v>
      </c>
      <c r="Q8" s="3" t="s">
        <v>45</v>
      </c>
      <c r="S8" s="37" t="s">
        <v>38</v>
      </c>
      <c r="T8" s="6" t="n">
        <v>5652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n">
        <f aca="false">IF(S8="W",T8," ")</f>
        <v>5652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45797</v>
      </c>
      <c r="B9" s="2" t="s">
        <v>47</v>
      </c>
      <c r="E9" s="5" t="s">
        <v>32</v>
      </c>
      <c r="F9" s="6" t="n">
        <v>8000</v>
      </c>
      <c r="G9" s="6" t="str">
        <f aca="false">IF(E9="BC",F9," ")</f>
        <v> </v>
      </c>
      <c r="H9" s="6" t="n">
        <f aca="false">IF(E9="DR",F9," ")</f>
        <v>8000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8"/>
      <c r="S9" s="37"/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45802</v>
      </c>
      <c r="B10" s="2" t="s">
        <v>49</v>
      </c>
      <c r="E10" s="5" t="s">
        <v>32</v>
      </c>
      <c r="F10" s="6" t="n">
        <v>2400</v>
      </c>
      <c r="G10" s="6" t="str">
        <f aca="false">IF(E10="BC",F10," ")</f>
        <v> </v>
      </c>
      <c r="H10" s="6" t="n">
        <f aca="false">IF(E10="DR",F10," ")</f>
        <v>2400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45805</v>
      </c>
      <c r="B11" s="2" t="s">
        <v>51</v>
      </c>
      <c r="E11" s="5" t="s">
        <v>32</v>
      </c>
      <c r="F11" s="6" t="n">
        <v>3800</v>
      </c>
      <c r="G11" s="6" t="str">
        <f aca="false">IF(E11="BC",F11," ")</f>
        <v> </v>
      </c>
      <c r="H11" s="6" t="n">
        <f aca="false">IF(E11="DR",F11," ")</f>
        <v>3800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45808</v>
      </c>
      <c r="B12" s="2" t="s">
        <v>52</v>
      </c>
      <c r="E12" s="5" t="s">
        <v>33</v>
      </c>
      <c r="F12" s="6" t="n">
        <v>300</v>
      </c>
      <c r="G12" s="6" t="str">
        <f aca="false">IF(E12="BC",F12," ")</f>
        <v> </v>
      </c>
      <c r="H12" s="6" t="str">
        <f aca="false">IF(E12="DR",F12," ")</f>
        <v> </v>
      </c>
      <c r="I12" s="6" t="n">
        <f aca="false">IF(E12="CR",F12," ")</f>
        <v>300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May!A2</f>
        <v>56969</v>
      </c>
      <c r="B1" s="48" t="s">
        <v>54</v>
      </c>
      <c r="C1" s="8" t="n">
        <f aca="false">May!C2</f>
        <v>45808</v>
      </c>
      <c r="D1" s="9" t="s">
        <v>0</v>
      </c>
      <c r="E1" s="10" t="n">
        <f aca="false">F1-SUM(G1:M1)</f>
        <v>0</v>
      </c>
      <c r="F1" s="11" t="n">
        <f aca="false">SUM(F6:F200)</f>
        <v>19900</v>
      </c>
      <c r="G1" s="11" t="n">
        <f aca="false">SUM(G6:G200)</f>
        <v>0</v>
      </c>
      <c r="H1" s="11" t="n">
        <f aca="false">SUM(H6:H200)</f>
        <v>14900</v>
      </c>
      <c r="I1" s="11" t="n">
        <f aca="false">SUM(I6:I200)</f>
        <v>4000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0</v>
      </c>
      <c r="N1" s="12"/>
      <c r="O1" s="13" t="str">
        <f aca="false">IF(S1=0," ","Check all payment code letters entered")</f>
        <v> </v>
      </c>
      <c r="P1" s="13"/>
      <c r="Q1" s="14"/>
      <c r="R1" s="15" t="s">
        <v>0</v>
      </c>
      <c r="S1" s="10" t="n">
        <f aca="false">T1-SUM(U1:AC1)</f>
        <v>0</v>
      </c>
      <c r="T1" s="11" t="n">
        <f aca="false">SUM(T6:T200)</f>
        <v>7403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250</v>
      </c>
      <c r="Z1" s="11" t="n">
        <f aca="false">SUM(Z6:Z200)</f>
        <v>0</v>
      </c>
      <c r="AA1" s="11" t="n">
        <f aca="false">SUM(AA6:AA200)</f>
        <v>1501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69466</v>
      </c>
      <c r="B2" s="17" t="s">
        <v>1</v>
      </c>
      <c r="C2" s="8" t="n">
        <f aca="false">[1]Admin!$B$7</f>
        <v>45838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45838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69466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45809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45827</v>
      </c>
      <c r="Q6" s="3" t="s">
        <v>43</v>
      </c>
      <c r="S6" s="37" t="s">
        <v>41</v>
      </c>
      <c r="T6" s="6" t="n">
        <v>1501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1501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45809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45836</v>
      </c>
      <c r="Q7" s="3" t="s">
        <v>45</v>
      </c>
      <c r="S7" s="37" t="s">
        <v>38</v>
      </c>
      <c r="T7" s="6" t="n">
        <v>5652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n">
        <f aca="false">IF(S7="W",T7," ")</f>
        <v>5652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45813</v>
      </c>
      <c r="B8" s="2" t="s">
        <v>46</v>
      </c>
      <c r="E8" s="5" t="s">
        <v>33</v>
      </c>
      <c r="F8" s="6" t="n">
        <v>2500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2500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45838</v>
      </c>
      <c r="Q8" s="3" t="s">
        <v>56</v>
      </c>
      <c r="S8" s="37" t="s">
        <v>39</v>
      </c>
      <c r="T8" s="6" t="n">
        <v>250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n">
        <f aca="false">IF(S8="B",T8," ")</f>
        <v>250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45828</v>
      </c>
      <c r="B9" s="2" t="s">
        <v>47</v>
      </c>
      <c r="E9" s="5" t="s">
        <v>32</v>
      </c>
      <c r="F9" s="6" t="n">
        <v>8000</v>
      </c>
      <c r="G9" s="6" t="str">
        <f aca="false">IF(E9="BC",F9," ")</f>
        <v> </v>
      </c>
      <c r="H9" s="6" t="n">
        <f aca="false">IF(E9="DR",F9," ")</f>
        <v>8000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8"/>
      <c r="S9" s="37"/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45833</v>
      </c>
      <c r="B10" s="2" t="s">
        <v>49</v>
      </c>
      <c r="E10" s="5" t="s">
        <v>32</v>
      </c>
      <c r="F10" s="6" t="n">
        <v>2400</v>
      </c>
      <c r="G10" s="6" t="str">
        <f aca="false">IF(E10="BC",F10," ")</f>
        <v> </v>
      </c>
      <c r="H10" s="6" t="n">
        <f aca="false">IF(E10="DR",F10," ")</f>
        <v>2400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45836</v>
      </c>
      <c r="B11" s="2" t="s">
        <v>51</v>
      </c>
      <c r="E11" s="5" t="s">
        <v>32</v>
      </c>
      <c r="F11" s="6" t="n">
        <v>4500</v>
      </c>
      <c r="G11" s="6" t="str">
        <f aca="false">IF(E11="BC",F11," ")</f>
        <v> </v>
      </c>
      <c r="H11" s="6" t="n">
        <f aca="false">IF(E11="DR",F11," ")</f>
        <v>4500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45838</v>
      </c>
      <c r="B12" s="2" t="s">
        <v>52</v>
      </c>
      <c r="E12" s="5" t="s">
        <v>33</v>
      </c>
      <c r="F12" s="6" t="n">
        <v>300</v>
      </c>
      <c r="G12" s="6" t="str">
        <f aca="false">IF(E12="BC",F12," ")</f>
        <v> </v>
      </c>
      <c r="H12" s="6" t="str">
        <f aca="false">IF(E12="DR",F12," ")</f>
        <v> </v>
      </c>
      <c r="I12" s="6" t="n">
        <f aca="false">IF(E12="CR",F12," ")</f>
        <v>300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Jun!A2</f>
        <v>69466</v>
      </c>
      <c r="B1" s="48" t="s">
        <v>54</v>
      </c>
      <c r="C1" s="8" t="n">
        <f aca="false">Jun!C2</f>
        <v>45838</v>
      </c>
      <c r="D1" s="9" t="s">
        <v>0</v>
      </c>
      <c r="E1" s="10" t="n">
        <f aca="false">F1-SUM(G1:M1)</f>
        <v>0</v>
      </c>
      <c r="F1" s="11" t="n">
        <f aca="false">SUM(F6:F200)</f>
        <v>19100</v>
      </c>
      <c r="G1" s="11" t="n">
        <f aca="false">SUM(G6:G200)</f>
        <v>0</v>
      </c>
      <c r="H1" s="11" t="n">
        <f aca="false">SUM(H6:H200)</f>
        <v>14000</v>
      </c>
      <c r="I1" s="11" t="n">
        <f aca="false">SUM(I6:I200)</f>
        <v>3800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300</v>
      </c>
      <c r="N1" s="12"/>
      <c r="O1" s="13" t="str">
        <f aca="false">IF(S1=0," ","Check all payment code letters entered")</f>
        <v>Check all payment code letters entered</v>
      </c>
      <c r="P1" s="13"/>
      <c r="Q1" s="14"/>
      <c r="R1" s="15" t="s">
        <v>0</v>
      </c>
      <c r="S1" s="10" t="n">
        <f aca="false">T1-SUM(U1:AC1)</f>
        <v>3000</v>
      </c>
      <c r="T1" s="11" t="n">
        <f aca="false">SUM(T6:T200)</f>
        <v>14953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6301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73613</v>
      </c>
      <c r="B2" s="17" t="s">
        <v>1</v>
      </c>
      <c r="C2" s="8" t="n">
        <f aca="false">[1]Admin!$B$8</f>
        <v>45869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45869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73613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45839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45845</v>
      </c>
      <c r="Q6" s="3" t="s">
        <v>43</v>
      </c>
      <c r="S6" s="37" t="s">
        <v>41</v>
      </c>
      <c r="T6" s="6" t="n">
        <v>3800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3800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45839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45853</v>
      </c>
      <c r="Q7" s="3" t="s">
        <v>57</v>
      </c>
      <c r="S7" s="37" t="s">
        <v>58</v>
      </c>
      <c r="T7" s="6" t="n">
        <v>3000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45843</v>
      </c>
      <c r="B8" s="2" t="s">
        <v>46</v>
      </c>
      <c r="E8" s="5" t="s">
        <v>33</v>
      </c>
      <c r="F8" s="6" t="n">
        <v>2300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2300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45857</v>
      </c>
      <c r="Q8" s="3" t="s">
        <v>43</v>
      </c>
      <c r="S8" s="37" t="s">
        <v>41</v>
      </c>
      <c r="T8" s="6" t="n">
        <v>1501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n">
        <f aca="false">IF(S8="RP",T8," ")</f>
        <v>1501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45858</v>
      </c>
      <c r="B9" s="2" t="s">
        <v>47</v>
      </c>
      <c r="E9" s="5" t="s">
        <v>32</v>
      </c>
      <c r="F9" s="6" t="n">
        <v>8000</v>
      </c>
      <c r="G9" s="6" t="str">
        <f aca="false">IF(E9="BC",F9," ")</f>
        <v> </v>
      </c>
      <c r="H9" s="6" t="n">
        <f aca="false">IF(E9="DR",F9," ")</f>
        <v>8000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8"/>
      <c r="P9" s="4" t="n">
        <v>45857</v>
      </c>
      <c r="Q9" s="3" t="s">
        <v>43</v>
      </c>
      <c r="S9" s="37" t="s">
        <v>41</v>
      </c>
      <c r="T9" s="6" t="n">
        <v>1000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n">
        <f aca="false">IF(S9="RP",T9," ")</f>
        <v>1000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45863</v>
      </c>
      <c r="B10" s="2" t="s">
        <v>49</v>
      </c>
      <c r="E10" s="5" t="s">
        <v>32</v>
      </c>
      <c r="F10" s="6" t="n">
        <v>2400</v>
      </c>
      <c r="G10" s="6" t="str">
        <f aca="false">IF(E10="BC",F10," ")</f>
        <v> </v>
      </c>
      <c r="H10" s="6" t="n">
        <f aca="false">IF(E10="DR",F10," ")</f>
        <v>2400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P10" s="4" t="n">
        <v>45866</v>
      </c>
      <c r="Q10" s="3" t="s">
        <v>45</v>
      </c>
      <c r="S10" s="37" t="s">
        <v>38</v>
      </c>
      <c r="T10" s="6" t="n">
        <v>5652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n">
        <f aca="false">IF(S10="W",T10," ")</f>
        <v>5652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45866</v>
      </c>
      <c r="B11" s="2" t="s">
        <v>51</v>
      </c>
      <c r="E11" s="5" t="s">
        <v>32</v>
      </c>
      <c r="F11" s="6" t="n">
        <v>3600</v>
      </c>
      <c r="G11" s="6" t="str">
        <f aca="false">IF(E11="BC",F11," ")</f>
        <v> </v>
      </c>
      <c r="H11" s="6" t="n">
        <f aca="false">IF(E11="DR",F11," ")</f>
        <v>3600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45869</v>
      </c>
      <c r="B12" s="2" t="s">
        <v>52</v>
      </c>
      <c r="E12" s="5" t="s">
        <v>33</v>
      </c>
      <c r="F12" s="6" t="n">
        <v>300</v>
      </c>
      <c r="G12" s="6" t="str">
        <f aca="false">IF(E12="BC",F12," ")</f>
        <v> </v>
      </c>
      <c r="H12" s="6" t="str">
        <f aca="false">IF(E12="DR",F12," ")</f>
        <v> </v>
      </c>
      <c r="I12" s="6" t="n">
        <f aca="false">IF(E12="CR",F12," ")</f>
        <v>300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A13" s="1" t="n">
        <v>45869</v>
      </c>
      <c r="B13" s="2" t="s">
        <v>53</v>
      </c>
      <c r="E13" s="5" t="s">
        <v>37</v>
      </c>
      <c r="F13" s="6" t="n">
        <v>300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n">
        <f aca="false">IF(E13="X",F13," ")</f>
        <v>300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Jul!A2</f>
        <v>73613</v>
      </c>
      <c r="B1" s="48" t="s">
        <v>54</v>
      </c>
      <c r="C1" s="8" t="n">
        <f aca="false">Jul!C2</f>
        <v>45869</v>
      </c>
      <c r="D1" s="9" t="s">
        <v>0</v>
      </c>
      <c r="E1" s="10" t="n">
        <f aca="false">F1-SUM(G1:M1)</f>
        <v>0</v>
      </c>
      <c r="F1" s="11" t="n">
        <f aca="false">SUM(F6:F200)</f>
        <v>22200</v>
      </c>
      <c r="G1" s="11" t="n">
        <f aca="false">SUM(G6:G200)</f>
        <v>0</v>
      </c>
      <c r="H1" s="11" t="n">
        <f aca="false">SUM(H6:H200)</f>
        <v>14600</v>
      </c>
      <c r="I1" s="11" t="n">
        <f aca="false">SUM(I6:I200)</f>
        <v>4100</v>
      </c>
      <c r="J1" s="11" t="n">
        <f aca="false">SUM(J6:J200)</f>
        <v>0</v>
      </c>
      <c r="K1" s="11" t="n">
        <f aca="false">SUM(K6:K200)</f>
        <v>2500</v>
      </c>
      <c r="L1" s="11" t="n">
        <f aca="false">SUM(L6:L200)</f>
        <v>1000</v>
      </c>
      <c r="M1" s="11" t="n">
        <f aca="false">SUM(M6:M200)</f>
        <v>0</v>
      </c>
      <c r="N1" s="12"/>
      <c r="O1" s="13" t="str">
        <f aca="false">IF(S1=0," ","Check all payment code letters entered")</f>
        <v> </v>
      </c>
      <c r="P1" s="13"/>
      <c r="Q1" s="14"/>
      <c r="R1" s="15" t="s">
        <v>0</v>
      </c>
      <c r="S1" s="10" t="n">
        <f aca="false">T1-SUM(U1:AC1)</f>
        <v>0</v>
      </c>
      <c r="T1" s="11" t="n">
        <f aca="false">SUM(T6:T200)</f>
        <v>7153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1501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88660</v>
      </c>
      <c r="B2" s="17" t="s">
        <v>1</v>
      </c>
      <c r="C2" s="8" t="n">
        <f aca="false">[1]Admin!$B$9</f>
        <v>45900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45900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88660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45870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45888</v>
      </c>
      <c r="Q6" s="3" t="s">
        <v>43</v>
      </c>
      <c r="S6" s="37" t="s">
        <v>41</v>
      </c>
      <c r="T6" s="6" t="n">
        <v>1501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1501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45870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45897</v>
      </c>
      <c r="Q7" s="3" t="s">
        <v>45</v>
      </c>
      <c r="S7" s="37" t="s">
        <v>38</v>
      </c>
      <c r="T7" s="6" t="n">
        <v>5652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n">
        <f aca="false">IF(S7="W",T7," ")</f>
        <v>5652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45874</v>
      </c>
      <c r="B8" s="2" t="s">
        <v>46</v>
      </c>
      <c r="E8" s="5" t="s">
        <v>33</v>
      </c>
      <c r="F8" s="6" t="n">
        <v>2600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2600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S8" s="37"/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45874</v>
      </c>
      <c r="B9" s="2" t="s">
        <v>59</v>
      </c>
      <c r="E9" s="5" t="s">
        <v>35</v>
      </c>
      <c r="F9" s="6" t="n">
        <v>2500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n">
        <f aca="false">IF(E9="RV",F9," ")</f>
        <v>2500</v>
      </c>
      <c r="L9" s="6" t="str">
        <f aca="false">IF(E9="DL",F9," ")</f>
        <v> </v>
      </c>
      <c r="M9" s="6" t="str">
        <f aca="false">IF(E9="X",F9," ")</f>
        <v> </v>
      </c>
      <c r="N9" s="38"/>
      <c r="S9" s="37"/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45889</v>
      </c>
      <c r="B10" s="2" t="s">
        <v>47</v>
      </c>
      <c r="E10" s="5" t="s">
        <v>32</v>
      </c>
      <c r="F10" s="6" t="n">
        <v>8000</v>
      </c>
      <c r="G10" s="6" t="str">
        <f aca="false">IF(E10="BC",F10," ")</f>
        <v> </v>
      </c>
      <c r="H10" s="6" t="n">
        <f aca="false">IF(E10="DR",F10," ")</f>
        <v>8000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45894</v>
      </c>
      <c r="B11" s="2" t="s">
        <v>49</v>
      </c>
      <c r="E11" s="5" t="s">
        <v>32</v>
      </c>
      <c r="F11" s="6" t="n">
        <v>2400</v>
      </c>
      <c r="G11" s="6" t="str">
        <f aca="false">IF(E11="BC",F11," ")</f>
        <v> </v>
      </c>
      <c r="H11" s="6" t="n">
        <f aca="false">IF(E11="DR",F11," ")</f>
        <v>2400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45897</v>
      </c>
      <c r="B12" s="2" t="s">
        <v>51</v>
      </c>
      <c r="E12" s="5" t="s">
        <v>32</v>
      </c>
      <c r="F12" s="6" t="n">
        <v>4200</v>
      </c>
      <c r="G12" s="6" t="str">
        <f aca="false">IF(E12="BC",F12," ")</f>
        <v> </v>
      </c>
      <c r="H12" s="6" t="n">
        <f aca="false">IF(E12="DR",F12," ")</f>
        <v>4200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A13" s="1" t="n">
        <v>45900</v>
      </c>
      <c r="B13" s="2" t="s">
        <v>52</v>
      </c>
      <c r="E13" s="5" t="s">
        <v>33</v>
      </c>
      <c r="F13" s="6" t="n">
        <v>300</v>
      </c>
      <c r="G13" s="6" t="str">
        <f aca="false">IF(E13="BC",F13," ")</f>
        <v> </v>
      </c>
      <c r="H13" s="6" t="str">
        <f aca="false">IF(E13="DR",F13," ")</f>
        <v> </v>
      </c>
      <c r="I13" s="6" t="n">
        <f aca="false">IF(E13="CR",F13," ")</f>
        <v>300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Aug!A2</f>
        <v>88660</v>
      </c>
      <c r="B1" s="48" t="s">
        <v>54</v>
      </c>
      <c r="C1" s="8" t="n">
        <f aca="false">Aug!C2</f>
        <v>45900</v>
      </c>
      <c r="D1" s="9" t="s">
        <v>0</v>
      </c>
      <c r="E1" s="10" t="n">
        <f aca="false">F1-SUM(G1:M1)</f>
        <v>0</v>
      </c>
      <c r="F1" s="11" t="n">
        <f aca="false">SUM(F6:F200)</f>
        <v>18000</v>
      </c>
      <c r="G1" s="11" t="n">
        <f aca="false">SUM(G6:G200)</f>
        <v>0</v>
      </c>
      <c r="H1" s="11" t="n">
        <f aca="false">SUM(H6:H200)</f>
        <v>13400</v>
      </c>
      <c r="I1" s="11" t="n">
        <f aca="false">SUM(I6:I200)</f>
        <v>3600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0</v>
      </c>
      <c r="N1" s="12"/>
      <c r="O1" s="13" t="str">
        <f aca="false">IF(S1=0," ","Check all payment code letters entered")</f>
        <v> </v>
      </c>
      <c r="P1" s="13"/>
      <c r="Q1" s="14"/>
      <c r="R1" s="15" t="s">
        <v>0</v>
      </c>
      <c r="S1" s="10" t="n">
        <f aca="false">T1-SUM(U1:AC1)</f>
        <v>0</v>
      </c>
      <c r="T1" s="11" t="n">
        <f aca="false">SUM(T6:T200)</f>
        <v>7361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208</v>
      </c>
      <c r="Z1" s="11" t="n">
        <f aca="false">SUM(Z6:Z200)</f>
        <v>0</v>
      </c>
      <c r="AA1" s="11" t="n">
        <f aca="false">SUM(AA6:AA200)</f>
        <v>1501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99299</v>
      </c>
      <c r="B2" s="17" t="s">
        <v>1</v>
      </c>
      <c r="C2" s="8" t="n">
        <f aca="false">[1]Admin!$B$10</f>
        <v>45930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45930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99299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45901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45919</v>
      </c>
      <c r="Q6" s="3" t="s">
        <v>43</v>
      </c>
      <c r="S6" s="37" t="s">
        <v>41</v>
      </c>
      <c r="T6" s="6" t="n">
        <v>1501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1501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45901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45928</v>
      </c>
      <c r="Q7" s="3" t="s">
        <v>45</v>
      </c>
      <c r="S7" s="37" t="s">
        <v>38</v>
      </c>
      <c r="T7" s="6" t="n">
        <v>5652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n">
        <f aca="false">IF(S7="W",T7," ")</f>
        <v>5652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45905</v>
      </c>
      <c r="B8" s="2" t="s">
        <v>46</v>
      </c>
      <c r="E8" s="5" t="s">
        <v>33</v>
      </c>
      <c r="F8" s="6" t="n">
        <v>2100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2100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45930</v>
      </c>
      <c r="Q8" s="3" t="s">
        <v>56</v>
      </c>
      <c r="S8" s="37" t="s">
        <v>39</v>
      </c>
      <c r="T8" s="6" t="n">
        <v>208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n">
        <f aca="false">IF(S8="B",T8," ")</f>
        <v>208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45920</v>
      </c>
      <c r="B9" s="2" t="s">
        <v>47</v>
      </c>
      <c r="E9" s="5" t="s">
        <v>32</v>
      </c>
      <c r="F9" s="6" t="n">
        <v>8000</v>
      </c>
      <c r="G9" s="6" t="str">
        <f aca="false">IF(E9="BC",F9," ")</f>
        <v> </v>
      </c>
      <c r="H9" s="6" t="n">
        <f aca="false">IF(E9="DR",F9," ")</f>
        <v>8000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8"/>
      <c r="S9" s="37"/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45925</v>
      </c>
      <c r="B10" s="2" t="s">
        <v>49</v>
      </c>
      <c r="E10" s="5" t="s">
        <v>32</v>
      </c>
      <c r="F10" s="6" t="n">
        <v>2400</v>
      </c>
      <c r="G10" s="6" t="str">
        <f aca="false">IF(E10="BC",F10," ")</f>
        <v> </v>
      </c>
      <c r="H10" s="6" t="n">
        <f aca="false">IF(E10="DR",F10," ")</f>
        <v>2400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45928</v>
      </c>
      <c r="B11" s="2" t="s">
        <v>51</v>
      </c>
      <c r="E11" s="5" t="s">
        <v>32</v>
      </c>
      <c r="F11" s="6" t="n">
        <v>3000</v>
      </c>
      <c r="G11" s="6" t="str">
        <f aca="false">IF(E11="BC",F11," ")</f>
        <v> </v>
      </c>
      <c r="H11" s="6" t="n">
        <f aca="false">IF(E11="DR",F11," ")</f>
        <v>3000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45930</v>
      </c>
      <c r="B12" s="2" t="s">
        <v>52</v>
      </c>
      <c r="E12" s="5" t="s">
        <v>33</v>
      </c>
      <c r="F12" s="6" t="n">
        <v>300</v>
      </c>
      <c r="G12" s="6" t="str">
        <f aca="false">IF(E12="BC",F12," ")</f>
        <v> </v>
      </c>
      <c r="H12" s="6" t="str">
        <f aca="false">IF(E12="DR",F12," ")</f>
        <v> </v>
      </c>
      <c r="I12" s="6" t="n">
        <f aca="false">IF(E12="CR",F12," ")</f>
        <v>300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Sep!A2</f>
        <v>99299</v>
      </c>
      <c r="B1" s="48" t="s">
        <v>54</v>
      </c>
      <c r="C1" s="8" t="n">
        <f aca="false">Sep!C2</f>
        <v>45930</v>
      </c>
      <c r="D1" s="9" t="s">
        <v>0</v>
      </c>
      <c r="E1" s="10" t="n">
        <f aca="false">F1-SUM(G1:M1)</f>
        <v>0</v>
      </c>
      <c r="F1" s="11" t="n">
        <f aca="false">SUM(F6:F200)</f>
        <v>72400</v>
      </c>
      <c r="G1" s="11" t="n">
        <f aca="false">SUM(G6:G200)</f>
        <v>0</v>
      </c>
      <c r="H1" s="11" t="n">
        <f aca="false">SUM(H6:H200)</f>
        <v>30400</v>
      </c>
      <c r="I1" s="11" t="n">
        <f aca="false">SUM(I6:I200)</f>
        <v>40500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500</v>
      </c>
      <c r="N1" s="12"/>
      <c r="O1" s="13" t="str">
        <f aca="false">IF(S1=0," ","Check all payment code letters entered")</f>
        <v>Check all payment code letters entered</v>
      </c>
      <c r="P1" s="13"/>
      <c r="Q1" s="14"/>
      <c r="R1" s="15" t="s">
        <v>0</v>
      </c>
      <c r="S1" s="10" t="n">
        <f aca="false">T1-SUM(U1:AC1)</f>
        <v>3000</v>
      </c>
      <c r="T1" s="11" t="n">
        <f aca="false">SUM(T6:T200)</f>
        <v>17853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9201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153846</v>
      </c>
      <c r="B2" s="17" t="s">
        <v>1</v>
      </c>
      <c r="C2" s="8" t="n">
        <f aca="false">[1]Admin!$B$11</f>
        <v>45961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45961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153846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45931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45931</v>
      </c>
      <c r="Q6" s="3" t="s">
        <v>43</v>
      </c>
      <c r="S6" s="37" t="s">
        <v>41</v>
      </c>
      <c r="T6" s="6" t="n">
        <v>4500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4500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45931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45937</v>
      </c>
      <c r="Q7" s="3" t="s">
        <v>43</v>
      </c>
      <c r="S7" s="37" t="s">
        <v>41</v>
      </c>
      <c r="T7" s="6" t="n">
        <v>3200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n">
        <f aca="false">IF(S7="RP",T7," ")</f>
        <v>3200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45935</v>
      </c>
      <c r="B8" s="2" t="s">
        <v>46</v>
      </c>
      <c r="E8" s="5" t="s">
        <v>33</v>
      </c>
      <c r="F8" s="6" t="n">
        <v>3000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3000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45945</v>
      </c>
      <c r="Q8" s="3" t="s">
        <v>57</v>
      </c>
      <c r="S8" s="37" t="s">
        <v>58</v>
      </c>
      <c r="T8" s="6" t="n">
        <v>3000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45945</v>
      </c>
      <c r="B9" s="2" t="s">
        <v>60</v>
      </c>
      <c r="E9" s="5" t="s">
        <v>32</v>
      </c>
      <c r="F9" s="6" t="n">
        <v>15000</v>
      </c>
      <c r="G9" s="6" t="str">
        <f aca="false">IF(E9="BC",F9," ")</f>
        <v> </v>
      </c>
      <c r="H9" s="6" t="n">
        <f aca="false">IF(E9="DR",F9," ")</f>
        <v>15000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8"/>
      <c r="P9" s="4" t="n">
        <v>45949</v>
      </c>
      <c r="Q9" s="3" t="s">
        <v>43</v>
      </c>
      <c r="S9" s="37" t="s">
        <v>41</v>
      </c>
      <c r="T9" s="6" t="n">
        <v>1501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n">
        <f aca="false">IF(S9="RP",T9," ")</f>
        <v>1501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45950</v>
      </c>
      <c r="B10" s="2" t="s">
        <v>47</v>
      </c>
      <c r="E10" s="5" t="s">
        <v>32</v>
      </c>
      <c r="F10" s="6" t="n">
        <v>8000</v>
      </c>
      <c r="G10" s="6" t="str">
        <f aca="false">IF(E10="BC",F10," ")</f>
        <v> </v>
      </c>
      <c r="H10" s="6" t="n">
        <f aca="false">IF(E10="DR",F10," ")</f>
        <v>8000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P10" s="4" t="n">
        <v>45958</v>
      </c>
      <c r="Q10" s="3" t="s">
        <v>45</v>
      </c>
      <c r="S10" s="37" t="s">
        <v>38</v>
      </c>
      <c r="T10" s="6" t="n">
        <v>5652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n">
        <f aca="false">IF(S10="W",T10," ")</f>
        <v>5652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45955</v>
      </c>
      <c r="B11" s="2" t="s">
        <v>61</v>
      </c>
      <c r="E11" s="5" t="s">
        <v>33</v>
      </c>
      <c r="F11" s="6" t="n">
        <v>36000</v>
      </c>
      <c r="G11" s="6" t="str">
        <f aca="false">IF(E11="BC",F11," ")</f>
        <v> </v>
      </c>
      <c r="H11" s="6" t="str">
        <f aca="false">IF(E11="DR",F11," ")</f>
        <v> </v>
      </c>
      <c r="I11" s="6" t="n">
        <f aca="false">IF(E11="CR",F11," ")</f>
        <v>36000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45955</v>
      </c>
      <c r="B12" s="2" t="s">
        <v>49</v>
      </c>
      <c r="E12" s="5" t="s">
        <v>32</v>
      </c>
      <c r="F12" s="6" t="n">
        <v>2400</v>
      </c>
      <c r="G12" s="6" t="str">
        <f aca="false">IF(E12="BC",F12," ")</f>
        <v> </v>
      </c>
      <c r="H12" s="6" t="n">
        <f aca="false">IF(E12="DR",F12," ")</f>
        <v>2400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A13" s="1" t="n">
        <v>45958</v>
      </c>
      <c r="B13" s="2" t="s">
        <v>51</v>
      </c>
      <c r="E13" s="5" t="s">
        <v>32</v>
      </c>
      <c r="F13" s="6" t="n">
        <v>5000</v>
      </c>
      <c r="G13" s="6" t="str">
        <f aca="false">IF(E13="BC",F13," ")</f>
        <v> </v>
      </c>
      <c r="H13" s="6" t="n">
        <f aca="false">IF(E13="DR",F13," ")</f>
        <v>5000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A14" s="1" t="n">
        <v>45961</v>
      </c>
      <c r="B14" s="2" t="s">
        <v>52</v>
      </c>
      <c r="E14" s="5" t="s">
        <v>33</v>
      </c>
      <c r="F14" s="6" t="n">
        <v>300</v>
      </c>
      <c r="G14" s="6" t="str">
        <f aca="false">IF(E14="BC",F14," ")</f>
        <v> </v>
      </c>
      <c r="H14" s="6" t="str">
        <f aca="false">IF(E14="DR",F14," ")</f>
        <v> </v>
      </c>
      <c r="I14" s="6" t="n">
        <f aca="false">IF(E14="CR",F14," ")</f>
        <v>300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A15" s="1" t="n">
        <v>45961</v>
      </c>
      <c r="B15" s="2" t="s">
        <v>53</v>
      </c>
      <c r="E15" s="5" t="s">
        <v>37</v>
      </c>
      <c r="F15" s="6" t="n">
        <v>500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n">
        <f aca="false">IF(E15="X",F15," ")</f>
        <v>500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Oct!A2</f>
        <v>153846</v>
      </c>
      <c r="B1" s="48" t="s">
        <v>54</v>
      </c>
      <c r="C1" s="8" t="n">
        <f aca="false">Oct!C2</f>
        <v>45961</v>
      </c>
      <c r="D1" s="9" t="s">
        <v>0</v>
      </c>
      <c r="E1" s="10" t="n">
        <f aca="false">F1-SUM(G1:M1)</f>
        <v>0</v>
      </c>
      <c r="F1" s="11" t="n">
        <f aca="false">SUM(F6:F200)</f>
        <v>19400</v>
      </c>
      <c r="G1" s="11" t="n">
        <f aca="false">SUM(G6:G200)</f>
        <v>0</v>
      </c>
      <c r="H1" s="11" t="n">
        <f aca="false">SUM(H6:H200)</f>
        <v>14500</v>
      </c>
      <c r="I1" s="11" t="n">
        <f aca="false">SUM(I6:I200)</f>
        <v>3900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0</v>
      </c>
      <c r="N1" s="12"/>
      <c r="O1" s="13" t="str">
        <f aca="false">IF(S1=0," ","Check all payment code letters entered")</f>
        <v> </v>
      </c>
      <c r="P1" s="13"/>
      <c r="Q1" s="14"/>
      <c r="R1" s="15" t="s">
        <v>0</v>
      </c>
      <c r="S1" s="10" t="n">
        <f aca="false">T1-SUM(U1:AC1)</f>
        <v>0</v>
      </c>
      <c r="T1" s="11" t="n">
        <f aca="false">SUM(T6:T200)</f>
        <v>7178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25</v>
      </c>
      <c r="Z1" s="11" t="n">
        <f aca="false">SUM(Z6:Z200)</f>
        <v>0</v>
      </c>
      <c r="AA1" s="11" t="n">
        <f aca="false">SUM(AA6:AA200)</f>
        <v>1501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166068</v>
      </c>
      <c r="B2" s="17" t="s">
        <v>1</v>
      </c>
      <c r="C2" s="8" t="n">
        <f aca="false">[1]Admin!$B$12</f>
        <v>45991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45991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166068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45962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45980</v>
      </c>
      <c r="Q6" s="3" t="s">
        <v>43</v>
      </c>
      <c r="S6" s="37" t="s">
        <v>41</v>
      </c>
      <c r="T6" s="6" t="n">
        <v>1501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1501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45962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45986</v>
      </c>
      <c r="Q7" s="3" t="s">
        <v>55</v>
      </c>
      <c r="S7" s="37" t="s">
        <v>39</v>
      </c>
      <c r="T7" s="6" t="n">
        <v>25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n">
        <f aca="false">IF(S7="B",T7," ")</f>
        <v>25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45966</v>
      </c>
      <c r="B8" s="2" t="s">
        <v>46</v>
      </c>
      <c r="E8" s="5" t="s">
        <v>33</v>
      </c>
      <c r="F8" s="6" t="n">
        <v>2400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2400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45989</v>
      </c>
      <c r="Q8" s="3" t="s">
        <v>45</v>
      </c>
      <c r="S8" s="37" t="s">
        <v>38</v>
      </c>
      <c r="T8" s="6" t="n">
        <v>5652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n">
        <f aca="false">IF(S8="W",T8," ")</f>
        <v>5652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45981</v>
      </c>
      <c r="B9" s="2" t="s">
        <v>47</v>
      </c>
      <c r="E9" s="5" t="s">
        <v>32</v>
      </c>
      <c r="F9" s="6" t="n">
        <v>8000</v>
      </c>
      <c r="G9" s="6" t="str">
        <f aca="false">IF(E9="BC",F9," ")</f>
        <v> </v>
      </c>
      <c r="H9" s="6" t="n">
        <f aca="false">IF(E9="DR",F9," ")</f>
        <v>8000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8"/>
      <c r="S9" s="37"/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45986</v>
      </c>
      <c r="B10" s="2" t="s">
        <v>49</v>
      </c>
      <c r="E10" s="5" t="s">
        <v>32</v>
      </c>
      <c r="F10" s="6" t="n">
        <v>2400</v>
      </c>
      <c r="G10" s="6" t="str">
        <f aca="false">IF(E10="BC",F10," ")</f>
        <v> </v>
      </c>
      <c r="H10" s="6" t="n">
        <f aca="false">IF(E10="DR",F10," ")</f>
        <v>2400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45989</v>
      </c>
      <c r="B11" s="2" t="s">
        <v>51</v>
      </c>
      <c r="E11" s="5" t="s">
        <v>32</v>
      </c>
      <c r="F11" s="6" t="n">
        <v>4100</v>
      </c>
      <c r="G11" s="6" t="str">
        <f aca="false">IF(E11="BC",F11," ")</f>
        <v> </v>
      </c>
      <c r="H11" s="6" t="n">
        <f aca="false">IF(E11="DR",F11," ")</f>
        <v>4100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45991</v>
      </c>
      <c r="B12" s="2" t="s">
        <v>52</v>
      </c>
      <c r="E12" s="5" t="s">
        <v>33</v>
      </c>
      <c r="F12" s="6" t="n">
        <v>300</v>
      </c>
      <c r="G12" s="6" t="str">
        <f aca="false">IF(E12="BC",F12," ")</f>
        <v> </v>
      </c>
      <c r="H12" s="6" t="str">
        <f aca="false">IF(E12="DR",F12," ")</f>
        <v> </v>
      </c>
      <c r="I12" s="6" t="n">
        <f aca="false">IF(E12="CR",F12," ")</f>
        <v>300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Nov!A2</f>
        <v>166068</v>
      </c>
      <c r="B1" s="48" t="s">
        <v>54</v>
      </c>
      <c r="C1" s="8" t="n">
        <f aca="false">Nov!C2</f>
        <v>45991</v>
      </c>
      <c r="D1" s="9" t="s">
        <v>0</v>
      </c>
      <c r="E1" s="10" t="n">
        <f aca="false">F1-SUM(G1:M1)</f>
        <v>0</v>
      </c>
      <c r="F1" s="11" t="n">
        <f aca="false">SUM(F6:F200)</f>
        <v>19100</v>
      </c>
      <c r="G1" s="11" t="n">
        <f aca="false">SUM(G6:G200)</f>
        <v>0</v>
      </c>
      <c r="H1" s="11" t="n">
        <f aca="false">SUM(H6:H200)</f>
        <v>13900</v>
      </c>
      <c r="I1" s="11" t="n">
        <f aca="false">SUM(I6:I200)</f>
        <v>4200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0</v>
      </c>
      <c r="N1" s="12"/>
      <c r="O1" s="13" t="str">
        <f aca="false">IF(S1=0," ","Check all payment code letters entered")</f>
        <v> </v>
      </c>
      <c r="P1" s="13"/>
      <c r="Q1" s="14"/>
      <c r="R1" s="15" t="s">
        <v>0</v>
      </c>
      <c r="S1" s="10" t="n">
        <f aca="false">T1-SUM(U1:AC1)</f>
        <v>0</v>
      </c>
      <c r="T1" s="11" t="n">
        <f aca="false">SUM(T6:T200)</f>
        <v>7920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167</v>
      </c>
      <c r="Z1" s="11" t="n">
        <f aca="false">SUM(Z6:Z200)</f>
        <v>0</v>
      </c>
      <c r="AA1" s="11" t="n">
        <f aca="false">SUM(AA6:AA200)</f>
        <v>2101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177248</v>
      </c>
      <c r="B2" s="17" t="s">
        <v>1</v>
      </c>
      <c r="C2" s="8" t="n">
        <f aca="false">[1]Admin!$B$13</f>
        <v>46022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46022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177248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45992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46010</v>
      </c>
      <c r="Q6" s="3" t="s">
        <v>43</v>
      </c>
      <c r="S6" s="37" t="s">
        <v>41</v>
      </c>
      <c r="T6" s="6" t="n">
        <v>1501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1501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45992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46010</v>
      </c>
      <c r="Q7" s="3" t="s">
        <v>43</v>
      </c>
      <c r="S7" s="37" t="s">
        <v>41</v>
      </c>
      <c r="T7" s="6" t="n">
        <v>600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n">
        <f aca="false">IF(S7="RP",T7," ")</f>
        <v>600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45996</v>
      </c>
      <c r="B8" s="2" t="s">
        <v>46</v>
      </c>
      <c r="E8" s="5" t="s">
        <v>33</v>
      </c>
      <c r="F8" s="6" t="n">
        <v>2700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2700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46019</v>
      </c>
      <c r="Q8" s="3" t="s">
        <v>45</v>
      </c>
      <c r="S8" s="37" t="s">
        <v>38</v>
      </c>
      <c r="T8" s="6" t="n">
        <v>5652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n">
        <f aca="false">IF(S8="W",T8," ")</f>
        <v>5652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46011</v>
      </c>
      <c r="B9" s="2" t="s">
        <v>47</v>
      </c>
      <c r="E9" s="5" t="s">
        <v>32</v>
      </c>
      <c r="F9" s="6" t="n">
        <v>8000</v>
      </c>
      <c r="G9" s="6" t="str">
        <f aca="false">IF(E9="BC",F9," ")</f>
        <v> </v>
      </c>
      <c r="H9" s="6" t="n">
        <f aca="false">IF(E9="DR",F9," ")</f>
        <v>8000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8"/>
      <c r="P9" s="4" t="n">
        <v>46022</v>
      </c>
      <c r="Q9" s="3" t="s">
        <v>56</v>
      </c>
      <c r="S9" s="37" t="s">
        <v>39</v>
      </c>
      <c r="T9" s="6" t="n">
        <v>167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n">
        <f aca="false">IF(S9="B",T9," ")</f>
        <v>167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46016</v>
      </c>
      <c r="B10" s="2" t="s">
        <v>49</v>
      </c>
      <c r="E10" s="5" t="s">
        <v>32</v>
      </c>
      <c r="F10" s="6" t="n">
        <v>2400</v>
      </c>
      <c r="G10" s="6" t="str">
        <f aca="false">IF(E10="BC",F10," ")</f>
        <v> </v>
      </c>
      <c r="H10" s="6" t="n">
        <f aca="false">IF(E10="DR",F10," ")</f>
        <v>2400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46019</v>
      </c>
      <c r="B11" s="2" t="s">
        <v>51</v>
      </c>
      <c r="E11" s="5" t="s">
        <v>32</v>
      </c>
      <c r="F11" s="6" t="n">
        <v>3500</v>
      </c>
      <c r="G11" s="6" t="str">
        <f aca="false">IF(E11="BC",F11," ")</f>
        <v> </v>
      </c>
      <c r="H11" s="6" t="n">
        <f aca="false">IF(E11="DR",F11," ")</f>
        <v>3500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46022</v>
      </c>
      <c r="B12" s="2" t="s">
        <v>52</v>
      </c>
      <c r="E12" s="5" t="s">
        <v>33</v>
      </c>
      <c r="F12" s="6" t="n">
        <v>300</v>
      </c>
      <c r="G12" s="6" t="str">
        <f aca="false">IF(E12="BC",F12," ")</f>
        <v> </v>
      </c>
      <c r="H12" s="6" t="str">
        <f aca="false">IF(E12="DR",F12," ")</f>
        <v> </v>
      </c>
      <c r="I12" s="6" t="n">
        <f aca="false">IF(E12="CR",F12," ")</f>
        <v>300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Dec!A2</f>
        <v>177248</v>
      </c>
      <c r="B1" s="48" t="s">
        <v>54</v>
      </c>
      <c r="C1" s="8" t="n">
        <f aca="false">Dec!C2</f>
        <v>46022</v>
      </c>
      <c r="D1" s="9" t="s">
        <v>0</v>
      </c>
      <c r="E1" s="10" t="n">
        <f aca="false">F1-SUM(G1:M1)</f>
        <v>0</v>
      </c>
      <c r="F1" s="11" t="n">
        <f aca="false">SUM(F6:F200)</f>
        <v>27000</v>
      </c>
      <c r="G1" s="11" t="n">
        <f aca="false">SUM(G6:G200)</f>
        <v>0</v>
      </c>
      <c r="H1" s="11" t="n">
        <f aca="false">SUM(H6:H200)</f>
        <v>15200</v>
      </c>
      <c r="I1" s="11" t="n">
        <f aca="false">SUM(I6:I200)</f>
        <v>4000</v>
      </c>
      <c r="J1" s="11" t="n">
        <f aca="false">SUM(J6:J200)</f>
        <v>0</v>
      </c>
      <c r="K1" s="11" t="n">
        <f aca="false">SUM(K6:K200)</f>
        <v>1500</v>
      </c>
      <c r="L1" s="11" t="n">
        <f aca="false">SUM(L6:L200)</f>
        <v>6000</v>
      </c>
      <c r="M1" s="11" t="n">
        <f aca="false">SUM(M6:M200)</f>
        <v>300</v>
      </c>
      <c r="N1" s="12"/>
      <c r="O1" s="13" t="str">
        <f aca="false">IF(S1=0," ","Check all payment code letters entered")</f>
        <v>Check all payment code letters entered</v>
      </c>
      <c r="P1" s="13"/>
      <c r="Q1" s="14"/>
      <c r="R1" s="15" t="s">
        <v>0</v>
      </c>
      <c r="S1" s="10" t="n">
        <f aca="false">T1-SUM(U1:AC1)</f>
        <v>3000</v>
      </c>
      <c r="T1" s="11" t="n">
        <f aca="false">SUM(T6:T200)</f>
        <v>10153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1501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194095</v>
      </c>
      <c r="B2" s="17" t="s">
        <v>1</v>
      </c>
      <c r="C2" s="8" t="n">
        <f aca="false">[1]Admin!$B$14</f>
        <v>46053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46053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194095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46023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46037</v>
      </c>
      <c r="Q6" s="3" t="s">
        <v>57</v>
      </c>
      <c r="S6" s="37" t="s">
        <v>58</v>
      </c>
      <c r="T6" s="6" t="n">
        <v>3000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46023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46041</v>
      </c>
      <c r="Q7" s="3" t="s">
        <v>43</v>
      </c>
      <c r="S7" s="37" t="s">
        <v>41</v>
      </c>
      <c r="T7" s="6" t="n">
        <v>1501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n">
        <f aca="false">IF(S7="RP",T7," ")</f>
        <v>1501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46027</v>
      </c>
      <c r="B8" s="2" t="s">
        <v>46</v>
      </c>
      <c r="E8" s="5" t="s">
        <v>33</v>
      </c>
      <c r="F8" s="6" t="n">
        <v>2500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2500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46050</v>
      </c>
      <c r="Q8" s="3" t="s">
        <v>45</v>
      </c>
      <c r="S8" s="37" t="s">
        <v>38</v>
      </c>
      <c r="T8" s="6" t="n">
        <v>5652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n">
        <f aca="false">IF(S8="W",T8," ")</f>
        <v>5652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46029</v>
      </c>
      <c r="B9" s="2" t="s">
        <v>43</v>
      </c>
      <c r="E9" s="5" t="s">
        <v>35</v>
      </c>
      <c r="F9" s="6" t="n">
        <v>1500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n">
        <f aca="false">IF(E9="RV",F9," ")</f>
        <v>1500</v>
      </c>
      <c r="L9" s="6" t="str">
        <f aca="false">IF(E9="DL",F9," ")</f>
        <v> </v>
      </c>
      <c r="M9" s="6" t="str">
        <f aca="false">IF(E9="X",F9," ")</f>
        <v> </v>
      </c>
      <c r="N9" s="38"/>
      <c r="S9" s="37"/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46037</v>
      </c>
      <c r="B10" s="2" t="s">
        <v>62</v>
      </c>
      <c r="E10" s="5" t="s">
        <v>36</v>
      </c>
      <c r="F10" s="6" t="n">
        <v>5000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n">
        <f aca="false">IF(E10="DL",F10," ")</f>
        <v>5000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46042</v>
      </c>
      <c r="B11" s="2" t="s">
        <v>47</v>
      </c>
      <c r="E11" s="5" t="s">
        <v>32</v>
      </c>
      <c r="F11" s="6" t="n">
        <v>8000</v>
      </c>
      <c r="G11" s="6" t="str">
        <f aca="false">IF(E11="BC",F11," ")</f>
        <v> </v>
      </c>
      <c r="H11" s="6" t="n">
        <f aca="false">IF(E11="DR",F11," ")</f>
        <v>8000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46047</v>
      </c>
      <c r="B12" s="2" t="s">
        <v>49</v>
      </c>
      <c r="E12" s="5" t="s">
        <v>32</v>
      </c>
      <c r="F12" s="6" t="n">
        <v>2400</v>
      </c>
      <c r="G12" s="6" t="str">
        <f aca="false">IF(E12="BC",F12," ")</f>
        <v> </v>
      </c>
      <c r="H12" s="6" t="n">
        <f aca="false">IF(E12="DR",F12," ")</f>
        <v>2400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A13" s="1" t="n">
        <v>46050</v>
      </c>
      <c r="B13" s="2" t="s">
        <v>51</v>
      </c>
      <c r="E13" s="5" t="s">
        <v>32</v>
      </c>
      <c r="F13" s="6" t="n">
        <v>4800</v>
      </c>
      <c r="G13" s="6" t="str">
        <f aca="false">IF(E13="BC",F13," ")</f>
        <v> </v>
      </c>
      <c r="H13" s="6" t="n">
        <f aca="false">IF(E13="DR",F13," ")</f>
        <v>4800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A14" s="1" t="n">
        <v>46053</v>
      </c>
      <c r="B14" s="2" t="s">
        <v>52</v>
      </c>
      <c r="E14" s="5" t="s">
        <v>33</v>
      </c>
      <c r="F14" s="6" t="n">
        <v>300</v>
      </c>
      <c r="G14" s="6" t="str">
        <f aca="false">IF(E14="BC",F14," ")</f>
        <v> </v>
      </c>
      <c r="H14" s="6" t="str">
        <f aca="false">IF(E14="DR",F14," ")</f>
        <v> </v>
      </c>
      <c r="I14" s="6" t="n">
        <f aca="false">IF(E14="CR",F14," ")</f>
        <v>300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A15" s="1" t="n">
        <v>46053</v>
      </c>
      <c r="B15" s="2" t="s">
        <v>53</v>
      </c>
      <c r="E15" s="5" t="s">
        <v>37</v>
      </c>
      <c r="F15" s="6" t="n">
        <v>300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n">
        <f aca="false">IF(E15="X",F15," ")</f>
        <v>300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Jan!A2</f>
        <v>194095</v>
      </c>
      <c r="B1" s="48" t="s">
        <v>54</v>
      </c>
      <c r="C1" s="8" t="n">
        <f aca="false">Jan!C2</f>
        <v>46053</v>
      </c>
      <c r="D1" s="9" t="s">
        <v>0</v>
      </c>
      <c r="E1" s="10" t="n">
        <f aca="false">F1-SUM(G1:M1)</f>
        <v>0</v>
      </c>
      <c r="F1" s="11" t="n">
        <f aca="false">SUM(F6:F200)</f>
        <v>19700</v>
      </c>
      <c r="G1" s="11" t="n">
        <f aca="false">SUM(G6:G200)</f>
        <v>0</v>
      </c>
      <c r="H1" s="11" t="n">
        <f aca="false">SUM(H6:H200)</f>
        <v>14300</v>
      </c>
      <c r="I1" s="11" t="n">
        <f aca="false">SUM(I6:I200)</f>
        <v>4400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0</v>
      </c>
      <c r="N1" s="12"/>
      <c r="O1" s="13" t="str">
        <f aca="false">IF(S1=0," ","Check all payment code letters entered")</f>
        <v> </v>
      </c>
      <c r="P1" s="13"/>
      <c r="Q1" s="14"/>
      <c r="R1" s="15" t="s">
        <v>0</v>
      </c>
      <c r="S1" s="10" t="n">
        <f aca="false">T1-SUM(U1:AC1)</f>
        <v>0</v>
      </c>
      <c r="T1" s="11" t="n">
        <f aca="false">SUM(T6:T200)</f>
        <v>7153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1501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206642</v>
      </c>
      <c r="B2" s="17" t="s">
        <v>1</v>
      </c>
      <c r="C2" s="8" t="n">
        <f aca="false">[1]Admin!$B$15</f>
        <v>46081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46081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206642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46054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46072</v>
      </c>
      <c r="Q6" s="3" t="s">
        <v>43</v>
      </c>
      <c r="S6" s="37" t="s">
        <v>41</v>
      </c>
      <c r="T6" s="6" t="n">
        <v>1501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1501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46054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46081</v>
      </c>
      <c r="Q7" s="3" t="s">
        <v>45</v>
      </c>
      <c r="S7" s="37" t="s">
        <v>38</v>
      </c>
      <c r="T7" s="6" t="n">
        <v>5652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n">
        <f aca="false">IF(S7="W",T7," ")</f>
        <v>5652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46058</v>
      </c>
      <c r="B8" s="2" t="s">
        <v>46</v>
      </c>
      <c r="E8" s="5" t="s">
        <v>33</v>
      </c>
      <c r="F8" s="6" t="n">
        <v>2900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2900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S8" s="37"/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46073</v>
      </c>
      <c r="B9" s="2" t="s">
        <v>47</v>
      </c>
      <c r="E9" s="5" t="s">
        <v>32</v>
      </c>
      <c r="F9" s="6" t="n">
        <v>8000</v>
      </c>
      <c r="G9" s="6" t="str">
        <f aca="false">IF(E9="BC",F9," ")</f>
        <v> </v>
      </c>
      <c r="H9" s="6" t="n">
        <f aca="false">IF(E9="DR",F9," ")</f>
        <v>8000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8"/>
      <c r="S9" s="37"/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46078</v>
      </c>
      <c r="B10" s="2" t="s">
        <v>49</v>
      </c>
      <c r="E10" s="5" t="s">
        <v>32</v>
      </c>
      <c r="F10" s="6" t="n">
        <v>2400</v>
      </c>
      <c r="G10" s="6" t="str">
        <f aca="false">IF(E10="BC",F10," ")</f>
        <v> </v>
      </c>
      <c r="H10" s="6" t="n">
        <f aca="false">IF(E10="DR",F10," ")</f>
        <v>2400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46081</v>
      </c>
      <c r="B11" s="2" t="s">
        <v>52</v>
      </c>
      <c r="E11" s="5" t="s">
        <v>33</v>
      </c>
      <c r="F11" s="6" t="n">
        <v>300</v>
      </c>
      <c r="G11" s="6" t="str">
        <f aca="false">IF(E11="BC",F11," ")</f>
        <v> </v>
      </c>
      <c r="H11" s="6" t="str">
        <f aca="false">IF(E11="DR",F11," ")</f>
        <v> </v>
      </c>
      <c r="I11" s="6" t="n">
        <f aca="false">IF(E11="CR",F11," ")</f>
        <v>300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46081</v>
      </c>
      <c r="B12" s="2" t="s">
        <v>51</v>
      </c>
      <c r="E12" s="5" t="s">
        <v>32</v>
      </c>
      <c r="F12" s="6" t="n">
        <v>3900</v>
      </c>
      <c r="G12" s="6" t="str">
        <f aca="false">IF(E12="BC",F12," ")</f>
        <v> </v>
      </c>
      <c r="H12" s="6" t="n">
        <f aca="false">IF(E12="DR",F12," ")</f>
        <v>3900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of  &amp;N&amp;R&amp;F  &amp;A</oddFooter>
  </headerFooter>
  <colBreaks count="1" manualBreakCount="1">
    <brk id="13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7" t="n">
        <f aca="false">Feb!A2</f>
        <v>206642</v>
      </c>
      <c r="B1" s="48" t="s">
        <v>54</v>
      </c>
      <c r="C1" s="8" t="n">
        <f aca="false">Feb!C2</f>
        <v>46081</v>
      </c>
      <c r="D1" s="9" t="s">
        <v>0</v>
      </c>
      <c r="E1" s="10" t="n">
        <f aca="false">F1-SUM(G1:M1)</f>
        <v>0</v>
      </c>
      <c r="F1" s="11" t="n">
        <f aca="false">SUM(F6:F200)</f>
        <v>24600</v>
      </c>
      <c r="G1" s="11" t="n">
        <f aca="false">SUM(G6:G200)</f>
        <v>0</v>
      </c>
      <c r="H1" s="11" t="n">
        <f aca="false">SUM(H6:H200)</f>
        <v>14800</v>
      </c>
      <c r="I1" s="11" t="n">
        <f aca="false">SUM(I6:I200)</f>
        <v>3800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1000</v>
      </c>
      <c r="M1" s="11" t="n">
        <f aca="false">SUM(M6:M200)</f>
        <v>5000</v>
      </c>
      <c r="N1" s="12"/>
      <c r="O1" s="13" t="str">
        <f aca="false">IF(S1=0," ","Check all payment code letters entered")</f>
        <v>Check all payment code letters entered</v>
      </c>
      <c r="P1" s="13"/>
      <c r="Q1" s="14"/>
      <c r="R1" s="15" t="s">
        <v>0</v>
      </c>
      <c r="S1" s="10" t="n">
        <f aca="false">T1-SUM(U1:AC1)</f>
        <v>6000</v>
      </c>
      <c r="T1" s="11" t="n">
        <f aca="false">SUM(T6:T200)</f>
        <v>13278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5652</v>
      </c>
      <c r="Y1" s="11" t="n">
        <f aca="false">SUM(Y6:Y200)</f>
        <v>125</v>
      </c>
      <c r="Z1" s="11" t="n">
        <f aca="false">SUM(Z6:Z200)</f>
        <v>0</v>
      </c>
      <c r="AA1" s="11" t="n">
        <f aca="false">SUM(AA6:AA200)</f>
        <v>1501</v>
      </c>
      <c r="AB1" s="11" t="n">
        <f aca="false">SUM(AB6:AB200)</f>
        <v>0</v>
      </c>
      <c r="AC1" s="11" t="n">
        <f aca="false">SUM(AC6:AC200)</f>
        <v>0</v>
      </c>
    </row>
    <row r="2" customFormat="false" ht="15" hidden="false" customHeight="true" outlineLevel="0" collapsed="false">
      <c r="A2" s="16" t="n">
        <f aca="false">A1+F1-T1</f>
        <v>217964</v>
      </c>
      <c r="B2" s="17" t="s">
        <v>1</v>
      </c>
      <c r="C2" s="8" t="n">
        <f aca="false">[1]Admin!$B$17</f>
        <v>46117</v>
      </c>
      <c r="D2" s="18" t="s">
        <v>2</v>
      </c>
      <c r="E2" s="19" t="s">
        <v>3</v>
      </c>
      <c r="F2" s="19" t="s">
        <v>4</v>
      </c>
      <c r="G2" s="19" t="s">
        <v>5</v>
      </c>
      <c r="H2" s="19"/>
      <c r="I2" s="19"/>
      <c r="J2" s="19"/>
      <c r="K2" s="19"/>
      <c r="L2" s="19"/>
      <c r="M2" s="19"/>
      <c r="N2" s="12"/>
      <c r="O2" s="13" t="str">
        <f aca="false">IF(E1=0," ","Check all Receipts Code Letters entered")</f>
        <v> </v>
      </c>
      <c r="P2" s="13"/>
      <c r="Q2" s="20" t="s">
        <v>6</v>
      </c>
      <c r="R2" s="21" t="s">
        <v>7</v>
      </c>
      <c r="S2" s="19" t="s">
        <v>3</v>
      </c>
      <c r="T2" s="19" t="s">
        <v>8</v>
      </c>
      <c r="U2" s="19" t="s">
        <v>9</v>
      </c>
      <c r="V2" s="19"/>
      <c r="W2" s="19"/>
      <c r="X2" s="19"/>
      <c r="Y2" s="19"/>
      <c r="Z2" s="19"/>
      <c r="AA2" s="19"/>
      <c r="AB2" s="19"/>
      <c r="AC2" s="19"/>
    </row>
    <row r="3" customFormat="false" ht="19.5" hidden="false" customHeight="true" outlineLevel="0" collapsed="false">
      <c r="A3" s="7"/>
      <c r="B3" s="22" t="s">
        <v>10</v>
      </c>
      <c r="C3" s="23" t="n">
        <f aca="false">C2</f>
        <v>46117</v>
      </c>
      <c r="D3" s="18"/>
      <c r="E3" s="19"/>
      <c r="F3" s="19"/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"/>
      <c r="O3" s="25"/>
      <c r="P3" s="26"/>
      <c r="Q3" s="20"/>
      <c r="R3" s="21"/>
      <c r="S3" s="19"/>
      <c r="T3" s="19"/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17</v>
      </c>
    </row>
    <row r="4" s="31" customFormat="true" ht="19.5" hidden="false" customHeight="true" outlineLevel="0" collapsed="false">
      <c r="A4" s="27" t="n">
        <f aca="false">A2-A3</f>
        <v>217964</v>
      </c>
      <c r="B4" s="28" t="str">
        <f aca="false">IF(A4=0,"&lt;  Bank Balances with Statement","&lt;  Check Bank Entries With Statement")</f>
        <v>&lt;  Check Bank Entries With Statement</v>
      </c>
      <c r="C4" s="28"/>
      <c r="D4" s="18"/>
      <c r="E4" s="19"/>
      <c r="F4" s="19"/>
      <c r="G4" s="24"/>
      <c r="H4" s="24"/>
      <c r="I4" s="24"/>
      <c r="J4" s="24"/>
      <c r="K4" s="24"/>
      <c r="L4" s="24"/>
      <c r="M4" s="24"/>
      <c r="N4" s="12"/>
      <c r="O4" s="29" t="s">
        <v>26</v>
      </c>
      <c r="P4" s="30" t="s">
        <v>27</v>
      </c>
      <c r="Q4" s="20"/>
      <c r="R4" s="21"/>
      <c r="S4" s="19"/>
      <c r="T4" s="19"/>
      <c r="U4" s="24"/>
      <c r="V4" s="24"/>
      <c r="W4" s="24"/>
      <c r="X4" s="24"/>
      <c r="Y4" s="24"/>
      <c r="Z4" s="24"/>
      <c r="AA4" s="24"/>
      <c r="AB4" s="24"/>
      <c r="AC4" s="24"/>
    </row>
    <row r="5" s="31" customFormat="true" ht="15" hidden="false" customHeight="true" outlineLevel="0" collapsed="false">
      <c r="A5" s="32" t="s">
        <v>28</v>
      </c>
      <c r="B5" s="33" t="s">
        <v>29</v>
      </c>
      <c r="C5" s="34" t="s">
        <v>30</v>
      </c>
      <c r="D5" s="18"/>
      <c r="E5" s="19"/>
      <c r="F5" s="19"/>
      <c r="G5" s="35" t="s">
        <v>31</v>
      </c>
      <c r="H5" s="35" t="s">
        <v>32</v>
      </c>
      <c r="I5" s="35" t="s">
        <v>33</v>
      </c>
      <c r="J5" s="35" t="s">
        <v>34</v>
      </c>
      <c r="K5" s="35" t="s">
        <v>35</v>
      </c>
      <c r="L5" s="35" t="s">
        <v>36</v>
      </c>
      <c r="M5" s="35" t="s">
        <v>37</v>
      </c>
      <c r="N5" s="12"/>
      <c r="O5" s="29"/>
      <c r="P5" s="30"/>
      <c r="Q5" s="20"/>
      <c r="R5" s="21"/>
      <c r="S5" s="19"/>
      <c r="T5" s="19"/>
      <c r="U5" s="35" t="s">
        <v>31</v>
      </c>
      <c r="V5" s="35" t="s">
        <v>33</v>
      </c>
      <c r="W5" s="35" t="s">
        <v>32</v>
      </c>
      <c r="X5" s="35" t="s">
        <v>38</v>
      </c>
      <c r="Y5" s="35" t="s">
        <v>39</v>
      </c>
      <c r="Z5" s="35" t="s">
        <v>40</v>
      </c>
      <c r="AA5" s="35" t="s">
        <v>41</v>
      </c>
      <c r="AB5" s="35" t="s">
        <v>36</v>
      </c>
      <c r="AC5" s="35" t="s">
        <v>37</v>
      </c>
    </row>
    <row r="6" customFormat="false" ht="12.75" hidden="false" customHeight="false" outlineLevel="0" collapsed="false">
      <c r="A6" s="1" t="n">
        <v>46082</v>
      </c>
      <c r="B6" s="2" t="s">
        <v>42</v>
      </c>
      <c r="E6" s="5" t="s">
        <v>33</v>
      </c>
      <c r="F6" s="6" t="n">
        <v>1200</v>
      </c>
      <c r="G6" s="6" t="str">
        <f aca="false">IF(E6="BC",F6," ")</f>
        <v> </v>
      </c>
      <c r="H6" s="6" t="str">
        <f aca="false">IF(E6="DR",F6," ")</f>
        <v> </v>
      </c>
      <c r="I6" s="6" t="n">
        <f aca="false">IF(E6="CR",F6," ")</f>
        <v>1200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6"/>
      <c r="P6" s="4" t="n">
        <v>46100</v>
      </c>
      <c r="Q6" s="3" t="s">
        <v>43</v>
      </c>
      <c r="S6" s="37" t="s">
        <v>41</v>
      </c>
      <c r="T6" s="6" t="n">
        <v>1501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1501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46082</v>
      </c>
      <c r="B7" s="2" t="s">
        <v>44</v>
      </c>
      <c r="E7" s="5" t="s">
        <v>36</v>
      </c>
      <c r="F7" s="6" t="n">
        <v>1000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n">
        <f aca="false">IF(E7="DL",F7," ")</f>
        <v>1000</v>
      </c>
      <c r="M7" s="6" t="str">
        <f aca="false">IF(E7="X",F7," ")</f>
        <v> </v>
      </c>
      <c r="N7" s="38"/>
      <c r="P7" s="4" t="n">
        <v>46109</v>
      </c>
      <c r="Q7" s="3" t="s">
        <v>45</v>
      </c>
      <c r="S7" s="37" t="s">
        <v>38</v>
      </c>
      <c r="T7" s="6" t="n">
        <v>5652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n">
        <f aca="false">IF(S7="W",T7," ")</f>
        <v>5652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46086</v>
      </c>
      <c r="B8" s="2" t="s">
        <v>46</v>
      </c>
      <c r="E8" s="5" t="s">
        <v>33</v>
      </c>
      <c r="F8" s="6" t="n">
        <v>2300</v>
      </c>
      <c r="G8" s="6" t="str">
        <f aca="false">IF(E8="BC",F8," ")</f>
        <v> </v>
      </c>
      <c r="H8" s="6" t="str">
        <f aca="false">IF(E8="DR",F8," ")</f>
        <v> </v>
      </c>
      <c r="I8" s="6" t="n">
        <f aca="false">IF(E8="CR",F8," ")</f>
        <v>2300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8"/>
      <c r="P8" s="4" t="n">
        <v>46112</v>
      </c>
      <c r="Q8" s="3" t="s">
        <v>56</v>
      </c>
      <c r="S8" s="37" t="s">
        <v>39</v>
      </c>
      <c r="T8" s="6" t="n">
        <v>125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n">
        <f aca="false">IF(S8="B",T8," ")</f>
        <v>125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46096</v>
      </c>
      <c r="B9" s="2" t="s">
        <v>63</v>
      </c>
      <c r="E9" s="5" t="s">
        <v>37</v>
      </c>
      <c r="F9" s="6" t="n">
        <v>5000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n">
        <f aca="false">IF(E9="X",F9," ")</f>
        <v>5000</v>
      </c>
      <c r="N9" s="38"/>
      <c r="P9" s="4" t="n">
        <v>46112</v>
      </c>
      <c r="Q9" s="3" t="s">
        <v>57</v>
      </c>
      <c r="S9" s="37" t="s">
        <v>58</v>
      </c>
      <c r="T9" s="6" t="n">
        <v>6000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46101</v>
      </c>
      <c r="B10" s="2" t="s">
        <v>47</v>
      </c>
      <c r="E10" s="5" t="s">
        <v>32</v>
      </c>
      <c r="F10" s="6" t="n">
        <v>8000</v>
      </c>
      <c r="G10" s="6" t="str">
        <f aca="false">IF(E10="BC",F10," ")</f>
        <v> </v>
      </c>
      <c r="H10" s="6" t="n">
        <f aca="false">IF(E10="DR",F10," ")</f>
        <v>8000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8"/>
      <c r="S10" s="37"/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46106</v>
      </c>
      <c r="B11" s="2" t="s">
        <v>49</v>
      </c>
      <c r="E11" s="5" t="s">
        <v>32</v>
      </c>
      <c r="F11" s="6" t="n">
        <v>2400</v>
      </c>
      <c r="G11" s="6" t="str">
        <f aca="false">IF(E11="BC",F11," ")</f>
        <v> </v>
      </c>
      <c r="H11" s="6" t="n">
        <f aca="false">IF(E11="DR",F11," ")</f>
        <v>2400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8"/>
      <c r="S11" s="37"/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A12" s="1" t="n">
        <v>46109</v>
      </c>
      <c r="B12" s="2" t="s">
        <v>51</v>
      </c>
      <c r="E12" s="5" t="s">
        <v>32</v>
      </c>
      <c r="F12" s="6" t="n">
        <v>4400</v>
      </c>
      <c r="G12" s="6" t="str">
        <f aca="false">IF(E12="BC",F12," ")</f>
        <v> </v>
      </c>
      <c r="H12" s="6" t="n">
        <f aca="false">IF(E12="DR",F12," ")</f>
        <v>4400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8"/>
      <c r="S12" s="37"/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A13" s="1" t="n">
        <v>46112</v>
      </c>
      <c r="B13" s="2" t="s">
        <v>52</v>
      </c>
      <c r="E13" s="5" t="s">
        <v>33</v>
      </c>
      <c r="F13" s="6" t="n">
        <v>300</v>
      </c>
      <c r="G13" s="6" t="str">
        <f aca="false">IF(E13="BC",F13," ")</f>
        <v> </v>
      </c>
      <c r="H13" s="6" t="str">
        <f aca="false">IF(E13="DR",F13," ")</f>
        <v> </v>
      </c>
      <c r="I13" s="6" t="n">
        <f aca="false">IF(E13="CR",F13," ")</f>
        <v>300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8"/>
      <c r="S13" s="37"/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8"/>
      <c r="S14" s="37"/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8"/>
      <c r="S15" s="37"/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8"/>
      <c r="S16" s="37"/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8"/>
      <c r="S17" s="37"/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8"/>
      <c r="S18" s="37"/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8"/>
      <c r="S19" s="37"/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8"/>
      <c r="S20" s="37"/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8"/>
      <c r="S21" s="37"/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8"/>
      <c r="S22" s="37"/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8"/>
      <c r="S23" s="37"/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8"/>
      <c r="S24" s="37"/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8"/>
      <c r="S25" s="37"/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8"/>
      <c r="S26" s="37"/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8"/>
      <c r="S27" s="37"/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8"/>
      <c r="S28" s="37"/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8"/>
      <c r="S29" s="37"/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8"/>
      <c r="S30" s="37"/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8"/>
      <c r="S31" s="37"/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8"/>
      <c r="S32" s="37"/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8"/>
      <c r="S33" s="37"/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8"/>
      <c r="S34" s="37"/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8"/>
      <c r="S35" s="37"/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8"/>
      <c r="S36" s="37"/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8"/>
      <c r="S37" s="37"/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8"/>
      <c r="S38" s="37"/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8"/>
      <c r="S39" s="37"/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8"/>
      <c r="S40" s="37"/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8"/>
      <c r="S41" s="37"/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8"/>
      <c r="S42" s="37"/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8"/>
      <c r="S43" s="37"/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8"/>
      <c r="S44" s="37"/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8"/>
      <c r="S45" s="37"/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8"/>
      <c r="S46" s="37"/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8"/>
      <c r="S47" s="37"/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8"/>
      <c r="S48" s="37"/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8"/>
      <c r="S49" s="37"/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8"/>
      <c r="S50" s="37"/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8"/>
      <c r="S51" s="37"/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8"/>
      <c r="S52" s="37"/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8"/>
      <c r="S53" s="37"/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8"/>
      <c r="S54" s="37"/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8"/>
      <c r="S55" s="37"/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8"/>
      <c r="S56" s="37"/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8"/>
      <c r="S57" s="37"/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8"/>
      <c r="S58" s="37"/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8"/>
      <c r="S59" s="37"/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8"/>
      <c r="S60" s="37"/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8"/>
      <c r="S61" s="37"/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8"/>
      <c r="S62" s="37"/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8"/>
      <c r="S63" s="37"/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8"/>
      <c r="S64" s="37"/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8"/>
      <c r="S65" s="37"/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8"/>
      <c r="S66" s="37"/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8"/>
      <c r="S67" s="37"/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8"/>
      <c r="S68" s="37"/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8"/>
      <c r="S69" s="37"/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8"/>
      <c r="S70" s="37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8"/>
      <c r="S71" s="37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8"/>
      <c r="S72" s="37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8"/>
      <c r="S73" s="37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8"/>
      <c r="S74" s="37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8"/>
      <c r="S75" s="37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8"/>
      <c r="S76" s="37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8"/>
      <c r="S77" s="37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8"/>
      <c r="S78" s="37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8"/>
      <c r="S79" s="37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8"/>
      <c r="S80" s="37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8"/>
      <c r="S81" s="37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8"/>
      <c r="S82" s="37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8"/>
      <c r="S83" s="37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8"/>
      <c r="S84" s="37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8"/>
      <c r="S85" s="37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8"/>
      <c r="S86" s="37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8"/>
      <c r="S87" s="37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8"/>
      <c r="S88" s="37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8"/>
      <c r="S89" s="37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8"/>
      <c r="S90" s="37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8"/>
      <c r="S91" s="37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8"/>
      <c r="S92" s="37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8"/>
      <c r="S93" s="37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8"/>
      <c r="S94" s="37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8"/>
      <c r="S95" s="37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8"/>
      <c r="S96" s="37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8"/>
      <c r="S97" s="37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8"/>
      <c r="S98" s="37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8"/>
      <c r="S99" s="37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8"/>
      <c r="S100" s="37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8"/>
      <c r="S101" s="37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8"/>
      <c r="S102" s="37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8"/>
      <c r="S103" s="37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8"/>
      <c r="S104" s="37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8"/>
      <c r="S105" s="37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8"/>
      <c r="S106" s="37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8"/>
      <c r="S107" s="37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8"/>
      <c r="S108" s="37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8"/>
      <c r="S109" s="37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8"/>
      <c r="S110" s="37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8"/>
      <c r="S111" s="37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8"/>
      <c r="S112" s="37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8"/>
      <c r="S113" s="37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8"/>
      <c r="S114" s="37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8"/>
      <c r="S115" s="37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8"/>
      <c r="S116" s="37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8"/>
      <c r="S117" s="37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8"/>
      <c r="S118" s="37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8"/>
      <c r="S119" s="37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8"/>
      <c r="S120" s="37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8"/>
      <c r="S121" s="37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8"/>
      <c r="S122" s="37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8"/>
      <c r="S123" s="37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8"/>
      <c r="S124" s="37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8"/>
      <c r="S125" s="37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8"/>
      <c r="S126" s="37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8"/>
      <c r="S127" s="37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8"/>
      <c r="S128" s="37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8"/>
      <c r="S129" s="37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8"/>
      <c r="S130" s="37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8"/>
      <c r="S131" s="37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8"/>
      <c r="S132" s="37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8"/>
      <c r="S133" s="37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8"/>
      <c r="S134" s="37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8"/>
      <c r="S135" s="37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8"/>
      <c r="S136" s="37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8"/>
      <c r="S137" s="37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8"/>
      <c r="S138" s="37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8"/>
      <c r="S139" s="37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8"/>
      <c r="S140" s="37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8"/>
      <c r="S141" s="37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8"/>
      <c r="S142" s="37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8"/>
      <c r="S143" s="37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8"/>
      <c r="S144" s="37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8"/>
      <c r="S145" s="37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8"/>
      <c r="S146" s="37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8"/>
      <c r="S147" s="37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8"/>
      <c r="S148" s="37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8"/>
      <c r="S149" s="37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8"/>
      <c r="S150" s="37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8"/>
      <c r="S151" s="37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8"/>
      <c r="S152" s="37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8"/>
      <c r="S153" s="37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8"/>
      <c r="S154" s="37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8"/>
      <c r="S155" s="37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8"/>
      <c r="S156" s="37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8"/>
      <c r="S157" s="37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8"/>
      <c r="S158" s="37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8"/>
      <c r="S159" s="37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8"/>
      <c r="S160" s="37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8"/>
      <c r="S161" s="37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8"/>
      <c r="S162" s="37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8"/>
      <c r="S163" s="37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8"/>
      <c r="S164" s="37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8"/>
      <c r="S165" s="37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8"/>
      <c r="S166" s="37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8"/>
      <c r="S167" s="37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8"/>
      <c r="S168" s="37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8"/>
      <c r="S169" s="37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8"/>
      <c r="S170" s="37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8"/>
      <c r="S171" s="37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8"/>
      <c r="S172" s="37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8"/>
      <c r="S173" s="37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6"/>
      <c r="S174" s="37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39"/>
      <c r="S175" s="37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8"/>
      <c r="S176" s="37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8"/>
      <c r="S177" s="37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8"/>
      <c r="S178" s="37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8"/>
      <c r="S179" s="37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8"/>
      <c r="S180" s="37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8"/>
      <c r="S181" s="37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8"/>
      <c r="S182" s="37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8"/>
      <c r="S183" s="37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8"/>
      <c r="S184" s="37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8"/>
      <c r="S185" s="37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8"/>
      <c r="S186" s="37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8"/>
      <c r="S187" s="37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8"/>
      <c r="S188" s="37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8"/>
      <c r="S189" s="37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8"/>
      <c r="S190" s="37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8"/>
      <c r="S191" s="37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8"/>
      <c r="S192" s="37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8"/>
      <c r="S193" s="37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8"/>
      <c r="S194" s="37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8"/>
      <c r="S195" s="37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8"/>
      <c r="S196" s="37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8"/>
      <c r="S197" s="37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8"/>
      <c r="S198" s="37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8"/>
      <c r="S199" s="37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IF(E200="BC",F200," ")</f>
        <v> </v>
      </c>
      <c r="H200" s="45" t="str">
        <f aca="false">IF(E200="DR",F200," ")</f>
        <v> </v>
      </c>
      <c r="I200" s="45" t="str">
        <f aca="false">IF(E200="CR",F200," ")</f>
        <v> </v>
      </c>
      <c r="J200" s="45" t="str">
        <f aca="false">IF(E200="K",F200," ")</f>
        <v> </v>
      </c>
      <c r="K200" s="45" t="str">
        <f aca="false">IF(E200="RV",F200," ")</f>
        <v> </v>
      </c>
      <c r="L200" s="45" t="str">
        <f aca="false">IF(E200="DL",F200," ")</f>
        <v> </v>
      </c>
      <c r="M200" s="45" t="str">
        <f aca="false">IF(E200="X",F200," ")</f>
        <v> </v>
      </c>
      <c r="N200" s="39"/>
      <c r="O200" s="40"/>
      <c r="P200" s="43"/>
      <c r="Q200" s="42"/>
      <c r="R200" s="42"/>
      <c r="S200" s="46" t="str">
        <f aca="false">IF(T200&lt;&gt;0,"Enter Code"," ")</f>
        <v> </v>
      </c>
      <c r="T200" s="45"/>
      <c r="U200" s="45" t="str">
        <f aca="false">IF(S200="BC",T200," ")</f>
        <v> </v>
      </c>
      <c r="V200" s="45" t="str">
        <f aca="false">IF(S200="CR",T200," ")</f>
        <v> </v>
      </c>
      <c r="W200" s="45" t="str">
        <f aca="false">IF(S200="DR",T200," ")</f>
        <v> </v>
      </c>
      <c r="X200" s="45" t="str">
        <f aca="false">IF(S200="W",T200," ")</f>
        <v> </v>
      </c>
      <c r="Y200" s="45" t="str">
        <f aca="false">IF(S200="B",T200," ")</f>
        <v> </v>
      </c>
      <c r="Z200" s="45" t="str">
        <f aca="false">IF(S200="J",T200," ")</f>
        <v> </v>
      </c>
      <c r="AA200" s="45" t="str">
        <f aca="false">IF(S200="RP",T200," ")</f>
        <v> </v>
      </c>
      <c r="AB200" s="45" t="str">
        <f aca="false">IF(S200="DL",T200," ")</f>
        <v> </v>
      </c>
      <c r="AC200" s="45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 Cartwright</dc:creator>
  <dc:description/>
  <dc:language>en-US</dc:language>
  <cp:lastModifiedBy>Cartwright, Antony</cp:lastModifiedBy>
  <cp:lastPrinted>2007-03-03T16:28:32Z</cp:lastPrinted>
  <dcterms:modified xsi:type="dcterms:W3CDTF">2025-04-03T22:50:29Z</dcterms:modified>
  <cp:revision>0</cp:revision>
  <dc:subject/>
  <dc:title>Self employed bank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