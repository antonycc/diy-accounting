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r" sheetId="1" state="visible" r:id="rId3"/>
    <sheet name="May" sheetId="2" state="visible" r:id="rId4"/>
    <sheet name="Jun" sheetId="3" state="visible" r:id="rId5"/>
    <sheet name="Jul" sheetId="4" state="visible" r:id="rId6"/>
    <sheet name="Aug" sheetId="5" state="visible" r:id="rId7"/>
    <sheet name="Sep" sheetId="6" state="visible" r:id="rId8"/>
    <sheet name="Oct" sheetId="7" state="visible" r:id="rId9"/>
    <sheet name="Nov" sheetId="8" state="visible" r:id="rId10"/>
    <sheet name="Dec" sheetId="9" state="visible" r:id="rId11"/>
    <sheet name="Jan" sheetId="10" state="visible" r:id="rId12"/>
    <sheet name="Feb" sheetId="11" state="visible" r:id="rId13"/>
    <sheet name="Mar" sheetId="12" state="visible" r:id="rId14"/>
  </sheets>
  <externalReferences>
    <externalReference r:id="rId15"/>
  </externalReferences>
  <definedNames>
    <definedName function="false" hidden="false" localSheetId="0" name="_xlnm.Print_Area" vbProcedure="false">Apr!$A$1:$W$75</definedName>
    <definedName function="false" hidden="false" localSheetId="0" name="_xlnm.Print_Titles" vbProcedure="false">Apr!$1:$5</definedName>
    <definedName function="false" hidden="false" localSheetId="4" name="_xlnm.Print_Area" vbProcedure="false">Aug!$A$1:$X$75</definedName>
    <definedName function="false" hidden="false" localSheetId="4" name="_xlnm.Print_Titles" vbProcedure="false">Aug!$1:$5</definedName>
    <definedName function="false" hidden="false" localSheetId="8" name="_xlnm.Print_Area" vbProcedure="false">Dec!$A$1:$X$75</definedName>
    <definedName function="false" hidden="false" localSheetId="8" name="_xlnm.Print_Titles" vbProcedure="false">Dec!$1:$5</definedName>
    <definedName function="false" hidden="false" localSheetId="10" name="_xlnm.Print_Area" vbProcedure="false">Feb!$A$1:$X$71</definedName>
    <definedName function="false" hidden="false" localSheetId="10" name="_xlnm.Print_Titles" vbProcedure="false">Feb!$1:$5</definedName>
    <definedName function="false" hidden="false" localSheetId="9" name="_xlnm.Print_Area" vbProcedure="false">Jan!$A$1:$X$75</definedName>
    <definedName function="false" hidden="false" localSheetId="9" name="_xlnm.Print_Titles" vbProcedure="false">Jan!$1:$5</definedName>
    <definedName function="false" hidden="false" localSheetId="3" name="_xlnm.Print_Area" vbProcedure="false">Jul!$A$1:$X$75</definedName>
    <definedName function="false" hidden="false" localSheetId="3" name="_xlnm.Print_Titles" vbProcedure="false">Jul!$1:$5</definedName>
    <definedName function="false" hidden="false" localSheetId="2" name="_xlnm.Print_Area" vbProcedure="false">Jun!$A$1:$X$75</definedName>
    <definedName function="false" hidden="false" localSheetId="2" name="_xlnm.Print_Titles" vbProcedure="false">Jun!$1:$5</definedName>
    <definedName function="false" hidden="false" localSheetId="11" name="_xlnm.Print_Area" vbProcedure="false">Mar!$A$1:$X$75</definedName>
    <definedName function="false" hidden="false" localSheetId="11" name="_xlnm.Print_Titles" vbProcedure="false">Mar!$1:$5</definedName>
    <definedName function="false" hidden="false" localSheetId="1" name="_xlnm.Print_Area" vbProcedure="false">May!$A$1:$X$75</definedName>
    <definedName function="false" hidden="false" localSheetId="1" name="_xlnm.Print_Titles" vbProcedure="false">May!$1:$5</definedName>
    <definedName function="false" hidden="false" localSheetId="7" name="_xlnm.Print_Area" vbProcedure="false">Nov!$A$1:$X$75</definedName>
    <definedName function="false" hidden="false" localSheetId="7" name="_xlnm.Print_Titles" vbProcedure="false">Nov!$1:$5</definedName>
    <definedName function="false" hidden="false" localSheetId="6" name="_xlnm.Print_Area" vbProcedure="false">Oct!$A$1:$X$75</definedName>
    <definedName function="false" hidden="false" localSheetId="6" name="_xlnm.Print_Titles" vbProcedure="false">Oct!$1:$5</definedName>
    <definedName function="false" hidden="false" localSheetId="5" name="_xlnm.Print_Area" vbProcedure="false">Sep!$A$1:$X$75</definedName>
    <definedName function="false" hidden="false" localSheetId="5" name="_xlnm.Print_Titles" vbProcedure="false">Sep!$1:$5</definedName>
    <definedName function="false" hidden="false" localSheetId="0" name="_xlnm_Print_Area" vbProcedure="false">Apr!$A$1:$W$75</definedName>
    <definedName function="false" hidden="false" localSheetId="0" name="_xlnm_Print_Titles" vbProcedure="false">Apr!$1:$5</definedName>
    <definedName function="false" hidden="false" localSheetId="1" name="_xlnm_Print_Area" vbProcedure="false">May!$A$1:$X$75</definedName>
    <definedName function="false" hidden="false" localSheetId="1" name="_xlnm_Print_Titles" vbProcedure="false">May!$1:$5</definedName>
    <definedName function="false" hidden="false" localSheetId="2" name="_xlnm_Print_Area" vbProcedure="false">Jun!$A$1:$X$75</definedName>
    <definedName function="false" hidden="false" localSheetId="2" name="_xlnm_Print_Titles" vbProcedure="false">Jun!$1:$5</definedName>
    <definedName function="false" hidden="false" localSheetId="3" name="_xlnm_Print_Area" vbProcedure="false">Jul!$A$1:$X$75</definedName>
    <definedName function="false" hidden="false" localSheetId="3" name="_xlnm_Print_Titles" vbProcedure="false">Jul!$1:$5</definedName>
    <definedName function="false" hidden="false" localSheetId="4" name="_xlnm_Print_Area" vbProcedure="false">Aug!$A$1:$X$75</definedName>
    <definedName function="false" hidden="false" localSheetId="4" name="_xlnm_Print_Titles" vbProcedure="false">Aug!$1:$5</definedName>
    <definedName function="false" hidden="false" localSheetId="5" name="_xlnm_Print_Area" vbProcedure="false">Sep!$A$1:$X$75</definedName>
    <definedName function="false" hidden="false" localSheetId="5" name="_xlnm_Print_Titles" vbProcedure="false">Sep!$1:$5</definedName>
    <definedName function="false" hidden="false" localSheetId="6" name="_xlnm_Print_Area" vbProcedure="false">Oct!$A$1:$X$75</definedName>
    <definedName function="false" hidden="false" localSheetId="6" name="_xlnm_Print_Titles" vbProcedure="false">Oct!$1:$5</definedName>
    <definedName function="false" hidden="false" localSheetId="7" name="_xlnm_Print_Area" vbProcedure="false">Nov!$A$1:$X$75</definedName>
    <definedName function="false" hidden="false" localSheetId="7" name="_xlnm_Print_Titles" vbProcedure="false">Nov!$1:$5</definedName>
    <definedName function="false" hidden="false" localSheetId="8" name="_xlnm_Print_Area" vbProcedure="false">Dec!$A$1:$X$75</definedName>
    <definedName function="false" hidden="false" localSheetId="8" name="_xlnm_Print_Titles" vbProcedure="false">Dec!$1:$5</definedName>
    <definedName function="false" hidden="false" localSheetId="9" name="_xlnm_Print_Area" vbProcedure="false">Jan!$A$1:$X$75</definedName>
    <definedName function="false" hidden="false" localSheetId="9" name="_xlnm_Print_Titles" vbProcedure="false">Jan!$1:$5</definedName>
    <definedName function="false" hidden="false" localSheetId="10" name="_xlnm_Print_Area" vbProcedure="false">Feb!$A$1:$X$71</definedName>
    <definedName function="false" hidden="false" localSheetId="10" name="_xlnm_Print_Titles" vbProcedure="false">Feb!$1:$5</definedName>
    <definedName function="false" hidden="false" localSheetId="11" name="_xlnm_Print_Area" vbProcedure="false">Mar!$A$1:$X$75</definedName>
    <definedName function="false" hidden="false" localSheetId="11" name="_xlnm_Print_Titles" vbProcedure="false">Mar!$1:$5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<sst xmlns="http://schemas.openxmlformats.org/spreadsheetml/2006/main" count="504" uniqueCount="41">
  <si>
    <t xml:space="preserve">&lt;  Opening Cash Balance</t>
  </si>
  <si>
    <t xml:space="preserve">Totals &gt;</t>
  </si>
  <si>
    <t xml:space="preserve">&lt;  Closing Cash Balance</t>
  </si>
  <si>
    <t xml:space="preserve">Deposit   Cash     Reference</t>
  </si>
  <si>
    <t xml:space="preserve">Enter Code Letters</t>
  </si>
  <si>
    <t xml:space="preserve">ENTER CASH RECEIVED</t>
  </si>
  <si>
    <t xml:space="preserve">CASH RECEIPTS</t>
  </si>
  <si>
    <t xml:space="preserve">Enter Purchase Invoice No.</t>
  </si>
  <si>
    <t xml:space="preserve">Optional cash payment reference</t>
  </si>
  <si>
    <t xml:space="preserve">ENTER CASH PAID OUT</t>
  </si>
  <si>
    <t xml:space="preserve">CASH PAYMENTS</t>
  </si>
  <si>
    <t xml:space="preserve">&lt;  Physical Cash Count</t>
  </si>
  <si>
    <t xml:space="preserve">Amount Drawn from Bank</t>
  </si>
  <si>
    <t xml:space="preserve">Amount Received Debtors</t>
  </si>
  <si>
    <t xml:space="preserve">Amount Received Creditors</t>
  </si>
  <si>
    <t xml:space="preserve">Capital Introduced</t>
  </si>
  <si>
    <t xml:space="preserve">Cash Paid into Bank</t>
  </si>
  <si>
    <t xml:space="preserve">Amount Paid Creditors</t>
  </si>
  <si>
    <t xml:space="preserve">Amount Paid Debtors</t>
  </si>
  <si>
    <t xml:space="preserve">Net        Wages      Paid</t>
  </si>
  <si>
    <t xml:space="preserve">H Purchase Interest &amp; Leasing</t>
  </si>
  <si>
    <t xml:space="preserve">HMRC Payments</t>
  </si>
  <si>
    <t xml:space="preserve">Drawings</t>
  </si>
  <si>
    <t xml:space="preserve">Payment Date </t>
  </si>
  <si>
    <t xml:space="preserve">Suppliers paid</t>
  </si>
  <si>
    <t xml:space="preserve">Date</t>
  </si>
  <si>
    <t xml:space="preserve">Source of Funds Received</t>
  </si>
  <si>
    <t xml:space="preserve">Sales Invoice</t>
  </si>
  <si>
    <t xml:space="preserve">BB</t>
  </si>
  <si>
    <t xml:space="preserve">DR</t>
  </si>
  <si>
    <t xml:space="preserve">CR</t>
  </si>
  <si>
    <t xml:space="preserve">DL</t>
  </si>
  <si>
    <t xml:space="preserve">W</t>
  </si>
  <si>
    <t xml:space="preserve">J</t>
  </si>
  <si>
    <t xml:space="preserve">RP</t>
  </si>
  <si>
    <t xml:space="preserve">Corner shop</t>
  </si>
  <si>
    <t xml:space="preserve">Cash top-up</t>
  </si>
  <si>
    <t xml:space="preserve">X</t>
  </si>
  <si>
    <t xml:space="preserve">WH Smith</t>
  </si>
  <si>
    <t xml:space="preserve">Various</t>
  </si>
  <si>
    <t xml:space="preserve">Newsagent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</si>
</sst>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\-mmm\-yy"/>
    <numFmt numFmtId="166" formatCode="#,##0_ ;[RED]\-#,##0\ "/>
    <numFmt numFmtId="167" formatCode="0"/>
    <numFmt numFmtId="168" formatCode="0_ ;[RED]\-0\ "/>
    <numFmt numFmtId="169" formatCode="#,##0.00_ ;[RED]\-#,##0.00\ "/>
  </numFmts>
  <fonts count="9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9"/>
      <color rgb="FF000080"/>
      <name val="Times New Roman"/>
      <family val="1"/>
      <charset val="1"/>
    </font>
    <font>
      <b val="true"/>
      <sz val="9"/>
      <name val="Times New Roman"/>
      <family val="1"/>
      <charset val="1"/>
    </font>
    <font>
      <sz val="10"/>
      <name val="Times New Roman"/>
      <family val="1"/>
      <charset val="1"/>
    </font>
    <font>
      <sz val="9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2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5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6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5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3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8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2" borderId="6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5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3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6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externalLink" Target="externalLinks/externalLink1.xml"/><Relationship Id="rId1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nancialaccount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B4">
            <v>45753</v>
          </cell>
        </row>
        <row r="5">
          <cell r="B5">
            <v>45777</v>
          </cell>
        </row>
        <row r="6">
          <cell r="B6">
            <v>45808</v>
          </cell>
        </row>
        <row r="7">
          <cell r="B7">
            <v>45838</v>
          </cell>
        </row>
        <row r="8">
          <cell r="B8">
            <v>45869</v>
          </cell>
        </row>
        <row r="9">
          <cell r="B9">
            <v>45900</v>
          </cell>
        </row>
        <row r="10">
          <cell r="B10">
            <v>45930</v>
          </cell>
        </row>
        <row r="11">
          <cell r="B11">
            <v>45961</v>
          </cell>
        </row>
        <row r="12">
          <cell r="B12">
            <v>45991</v>
          </cell>
        </row>
        <row r="13">
          <cell r="B13">
            <v>46022</v>
          </cell>
        </row>
        <row r="14">
          <cell r="B14">
            <v>46053</v>
          </cell>
        </row>
        <row r="15">
          <cell r="B15">
            <v>46081</v>
          </cell>
        </row>
        <row r="17">
          <cell r="B17">
            <v>46117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6" width="9.15"/>
  </cols>
  <sheetData>
    <row r="1" customFormat="false" ht="15" hidden="false" customHeight="true" outlineLevel="0" collapsed="false">
      <c r="A1" s="7" t="n">
        <v>500</v>
      </c>
      <c r="B1" s="8" t="s">
        <v>0</v>
      </c>
      <c r="C1" s="9" t="n">
        <f aca="false">[1]Admin!$B$4</f>
        <v>45753</v>
      </c>
      <c r="D1" s="10" t="s">
        <v>1</v>
      </c>
      <c r="E1" s="11" t="n">
        <f aca="false">F1-SUM(G1:J1)</f>
        <v>0</v>
      </c>
      <c r="F1" s="12" t="n">
        <f aca="false">SUM(F6:F200)</f>
        <v>15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15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customFormat="false" ht="15" hidden="false" customHeight="true" outlineLevel="0" collapsed="false">
      <c r="A2" s="17" t="n">
        <f aca="false">A1+F1-Q1</f>
        <v>515</v>
      </c>
      <c r="B2" s="18" t="s">
        <v>2</v>
      </c>
      <c r="C2" s="9" t="n">
        <f aca="false">[1]Admin!$B$5</f>
        <v>45777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45777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515</v>
      </c>
      <c r="B4" s="28" t="str">
        <f aca="false">IF(A4=0,"&lt;  Cash Balanced"," &lt; Check Cash Entries With Count")</f>
        <v> &lt; Check Cash Entries With Count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A6" s="1" t="n">
        <v>45757</v>
      </c>
      <c r="B6" s="2" t="s">
        <v>35</v>
      </c>
      <c r="E6" s="5" t="s">
        <v>30</v>
      </c>
      <c r="F6" s="6" t="n">
        <v>15</v>
      </c>
      <c r="G6" s="6" t="str">
        <f aca="false">IF(E6="BB",F6," ")</f>
        <v> </v>
      </c>
      <c r="H6" s="6" t="str">
        <f aca="false">IF(E6="DR",F6," ")</f>
        <v> </v>
      </c>
      <c r="I6" s="6" t="n">
        <f aca="false">IF(E6="CR",F6," ")</f>
        <v>15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39"/>
      <c r="B200" s="40"/>
      <c r="C200" s="4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</dataValidations>
  <printOptions headings="false" gridLines="false" gridLinesSet="true" horizontalCentered="false" verticalCentered="false"/>
  <pageMargins left="0.157638888888889" right="0.0784722222222222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2" manualBreakCount="2">
    <brk id="10" man="true" max="65535" min="0"/>
    <brk id="14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s="6" customFormat="true" ht="15" hidden="false" customHeight="true" outlineLevel="0" collapsed="false">
      <c r="A1" s="49" t="n">
        <f aca="false">Apr!A2</f>
        <v>515</v>
      </c>
      <c r="B1" s="8" t="s">
        <v>0</v>
      </c>
      <c r="C1" s="9" t="n">
        <f aca="false">Apr!C2</f>
        <v>45777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s="6" customFormat="true" ht="15" hidden="false" customHeight="true" outlineLevel="0" collapsed="false">
      <c r="A2" s="17" t="n">
        <f aca="false">A1+F1-Q1</f>
        <v>515</v>
      </c>
      <c r="B2" s="18" t="s">
        <v>2</v>
      </c>
      <c r="C2" s="9" t="n">
        <f aca="false">[1]Admin!$B$6</f>
        <v>45808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s="6" customFormat="true" ht="19.5" hidden="false" customHeight="true" outlineLevel="0" collapsed="false">
      <c r="A3" s="7"/>
      <c r="B3" s="23" t="s">
        <v>11</v>
      </c>
      <c r="C3" s="24" t="n">
        <f aca="false">C2</f>
        <v>45808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515</v>
      </c>
      <c r="B4" s="28" t="str">
        <f aca="false">IF(A4=0,"&lt;  Cash Balanced"," &lt; Check Cash Entries With Count")</f>
        <v> &lt; Check Cash Entries With Count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5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s="6" customFormat="true" ht="15" hidden="false" customHeight="true" outlineLevel="0" collapsed="false">
      <c r="A1" s="49" t="n">
        <f aca="false">May!A2</f>
        <v>515</v>
      </c>
      <c r="B1" s="8" t="s">
        <v>0</v>
      </c>
      <c r="C1" s="9" t="n">
        <f aca="false">May!C2</f>
        <v>45808</v>
      </c>
      <c r="D1" s="10" t="s">
        <v>1</v>
      </c>
      <c r="E1" s="11" t="n">
        <f aca="false">F1-SUM(G1:J1)</f>
        <v>100</v>
      </c>
      <c r="F1" s="12" t="n">
        <f aca="false">SUM(F6:F200)</f>
        <v>125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25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s="6" customFormat="true" ht="15" hidden="false" customHeight="true" outlineLevel="0" collapsed="false">
      <c r="A2" s="17" t="n">
        <f aca="false">A1+F1-Q1</f>
        <v>640</v>
      </c>
      <c r="B2" s="18" t="s">
        <v>2</v>
      </c>
      <c r="C2" s="9" t="n">
        <f aca="false">[1]Admin!$B$7</f>
        <v>45838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Check all Receipts Code Letters entered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s="6" customFormat="true" ht="19.5" hidden="false" customHeight="true" outlineLevel="0" collapsed="false">
      <c r="A3" s="7"/>
      <c r="B3" s="23" t="s">
        <v>11</v>
      </c>
      <c r="C3" s="24" t="n">
        <f aca="false">C2</f>
        <v>45838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640</v>
      </c>
      <c r="B4" s="28" t="str">
        <f aca="false">IF(A4=0,"&lt;  Cash Balanced"," &lt; Check Cash Entries With Count")</f>
        <v> &lt; Check Cash Entries With Count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A6" s="46" t="n">
        <v>45818</v>
      </c>
      <c r="B6" s="2" t="s">
        <v>36</v>
      </c>
      <c r="E6" s="5" t="s">
        <v>37</v>
      </c>
      <c r="F6" s="6" t="n">
        <v>100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A7" s="46" t="n">
        <v>45818</v>
      </c>
      <c r="B7" s="2" t="s">
        <v>38</v>
      </c>
      <c r="E7" s="5" t="s">
        <v>30</v>
      </c>
      <c r="F7" s="6" t="n">
        <v>25</v>
      </c>
      <c r="G7" s="6" t="str">
        <f aca="false">IF(E7="BB",F7," ")</f>
        <v> </v>
      </c>
      <c r="H7" s="6" t="str">
        <f aca="false">IF(E7="DR",F7," ")</f>
        <v> </v>
      </c>
      <c r="I7" s="6" t="n">
        <f aca="false">IF(E7="CR",F7," ")</f>
        <v>25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s="6" customFormat="true" ht="15" hidden="false" customHeight="true" outlineLevel="0" collapsed="false">
      <c r="A1" s="49" t="n">
        <f aca="false">Jun!A2</f>
        <v>640</v>
      </c>
      <c r="B1" s="8" t="s">
        <v>0</v>
      </c>
      <c r="C1" s="9" t="n">
        <f aca="false">Jun!C2</f>
        <v>45838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s="6" customFormat="true" ht="15" hidden="false" customHeight="true" outlineLevel="0" collapsed="false">
      <c r="A2" s="17" t="n">
        <f aca="false">A1+F1-Q1</f>
        <v>640</v>
      </c>
      <c r="B2" s="18" t="s">
        <v>2</v>
      </c>
      <c r="C2" s="9" t="n">
        <f aca="false">[1]Admin!$B$8</f>
        <v>45869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s="6" customFormat="true" ht="19.5" hidden="false" customHeight="true" outlineLevel="0" collapsed="false">
      <c r="A3" s="7"/>
      <c r="B3" s="23" t="s">
        <v>11</v>
      </c>
      <c r="C3" s="24" t="n">
        <f aca="false">C2</f>
        <v>45869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640</v>
      </c>
      <c r="B4" s="28" t="str">
        <f aca="false">IF(A4=0,"&lt;  Cash Balanced"," &lt; Check Cash Entries With Count")</f>
        <v> &lt; Check Cash Entries With Count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s="6" customFormat="true" ht="15" hidden="false" customHeight="true" outlineLevel="0" collapsed="false">
      <c r="A1" s="49" t="n">
        <f aca="false">Jul!A2</f>
        <v>640</v>
      </c>
      <c r="B1" s="8" t="s">
        <v>0</v>
      </c>
      <c r="C1" s="9" t="n">
        <f aca="false">Jul!C2</f>
        <v>45869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s="6" customFormat="true" ht="15" hidden="false" customHeight="true" outlineLevel="0" collapsed="false">
      <c r="A2" s="17" t="n">
        <f aca="false">A1+F1-Q1</f>
        <v>640</v>
      </c>
      <c r="B2" s="18" t="s">
        <v>2</v>
      </c>
      <c r="C2" s="9" t="n">
        <f aca="false">[1]Admin!$B$9</f>
        <v>45900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s="6" customFormat="true" ht="19.5" hidden="false" customHeight="true" outlineLevel="0" collapsed="false">
      <c r="A3" s="7"/>
      <c r="B3" s="23" t="s">
        <v>11</v>
      </c>
      <c r="C3" s="24" t="n">
        <f aca="false">C2</f>
        <v>45900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640</v>
      </c>
      <c r="B4" s="28" t="str">
        <f aca="false">IF(A4=0,"&lt;  Cash Balanced"," &lt; Check Cash Entries With Count")</f>
        <v> &lt; Check Cash Entries With Count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s="6" customFormat="true" ht="15" hidden="false" customHeight="true" outlineLevel="0" collapsed="false">
      <c r="A1" s="49" t="n">
        <f aca="false">Aug!A2</f>
        <v>640</v>
      </c>
      <c r="B1" s="8" t="s">
        <v>0</v>
      </c>
      <c r="C1" s="9" t="n">
        <f aca="false">Aug!C2</f>
        <v>45900</v>
      </c>
      <c r="D1" s="10" t="s">
        <v>1</v>
      </c>
      <c r="E1" s="11" t="n">
        <f aca="false">F1-SUM(G1:J1)</f>
        <v>0</v>
      </c>
      <c r="F1" s="12" t="n">
        <f aca="false">SUM(F6:F200)</f>
        <v>18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18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s="6" customFormat="true" ht="15" hidden="false" customHeight="true" outlineLevel="0" collapsed="false">
      <c r="A2" s="17" t="n">
        <f aca="false">A1+F1-Q1</f>
        <v>658</v>
      </c>
      <c r="B2" s="18" t="s">
        <v>2</v>
      </c>
      <c r="C2" s="9" t="n">
        <f aca="false">[1]Admin!$B$10</f>
        <v>45930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s="6" customFormat="true" ht="19.5" hidden="false" customHeight="true" outlineLevel="0" collapsed="false">
      <c r="A3" s="7"/>
      <c r="B3" s="23" t="s">
        <v>11</v>
      </c>
      <c r="C3" s="24" t="n">
        <f aca="false">C2</f>
        <v>45930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658</v>
      </c>
      <c r="B4" s="28" t="str">
        <f aca="false">IF(A4=0,"&lt;  Cash Balanced"," &lt; Check Cash Entries With Count")</f>
        <v> &lt; Check Cash Entries With Count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A6" s="46" t="n">
        <v>45905</v>
      </c>
      <c r="B6" s="2" t="s">
        <v>35</v>
      </c>
      <c r="E6" s="5" t="s">
        <v>30</v>
      </c>
      <c r="F6" s="6" t="n">
        <v>18</v>
      </c>
      <c r="G6" s="6" t="str">
        <f aca="false">IF(E6="BB",F6," ")</f>
        <v> </v>
      </c>
      <c r="H6" s="6" t="str">
        <f aca="false">IF(E6="DR",F6," ")</f>
        <v> </v>
      </c>
      <c r="I6" s="6" t="n">
        <f aca="false">IF(E6="CR",F6," ")</f>
        <v>18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s="6" customFormat="true" ht="15" hidden="false" customHeight="true" outlineLevel="0" collapsed="false">
      <c r="A1" s="49" t="n">
        <f aca="false">Sep!A2</f>
        <v>658</v>
      </c>
      <c r="B1" s="8" t="s">
        <v>0</v>
      </c>
      <c r="C1" s="9" t="n">
        <f aca="false">Sep!C2</f>
        <v>45930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s="6" customFormat="true" ht="15" hidden="false" customHeight="true" outlineLevel="0" collapsed="false">
      <c r="A2" s="17" t="n">
        <f aca="false">A1+F1-Q1</f>
        <v>658</v>
      </c>
      <c r="B2" s="18" t="s">
        <v>2</v>
      </c>
      <c r="C2" s="9" t="n">
        <f aca="false">[1]Admin!$B$11</f>
        <v>45961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s="6" customFormat="true" ht="19.5" hidden="false" customHeight="true" outlineLevel="0" collapsed="false">
      <c r="A3" s="7"/>
      <c r="B3" s="23" t="s">
        <v>11</v>
      </c>
      <c r="C3" s="24" t="n">
        <f aca="false">C2</f>
        <v>45961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658</v>
      </c>
      <c r="B4" s="28" t="str">
        <f aca="false">IF(A4=0,"&lt;  Cash Balanced"," &lt; Check Cash Entries With Count")</f>
        <v> &lt; Check Cash Entries With Count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s="6" customFormat="true" ht="15" hidden="false" customHeight="true" outlineLevel="0" collapsed="false">
      <c r="A1" s="49" t="n">
        <f aca="false">Oct!A2</f>
        <v>658</v>
      </c>
      <c r="B1" s="8" t="s">
        <v>0</v>
      </c>
      <c r="C1" s="9" t="n">
        <f aca="false">Oct!C2</f>
        <v>45961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s="6" customFormat="true" ht="15" hidden="false" customHeight="true" outlineLevel="0" collapsed="false">
      <c r="A2" s="17" t="n">
        <f aca="false">A1+F1-Q1</f>
        <v>658</v>
      </c>
      <c r="B2" s="18" t="s">
        <v>2</v>
      </c>
      <c r="C2" s="9" t="n">
        <f aca="false">[1]Admin!$B$12</f>
        <v>45991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s="6" customFormat="true" ht="19.5" hidden="false" customHeight="true" outlineLevel="0" collapsed="false">
      <c r="A3" s="7"/>
      <c r="B3" s="23" t="s">
        <v>11</v>
      </c>
      <c r="C3" s="24" t="n">
        <f aca="false">C2</f>
        <v>45991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658</v>
      </c>
      <c r="B4" s="28" t="str">
        <f aca="false">IF(A4=0,"&lt;  Cash Balanced"," &lt; Check Cash Entries With Count")</f>
        <v> &lt; Check Cash Entries With Count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s="6" customFormat="true" ht="15" hidden="false" customHeight="true" outlineLevel="0" collapsed="false">
      <c r="A1" s="49" t="n">
        <f aca="false">Nov!A2</f>
        <v>658</v>
      </c>
      <c r="B1" s="8" t="s">
        <v>0</v>
      </c>
      <c r="C1" s="9" t="n">
        <f aca="false">Nov!C2</f>
        <v>45991</v>
      </c>
      <c r="D1" s="10" t="s">
        <v>1</v>
      </c>
      <c r="E1" s="11" t="n">
        <f aca="false">F1-SUM(G1:J1)</f>
        <v>0</v>
      </c>
      <c r="F1" s="12" t="n">
        <f aca="false">SUM(F6:F200)</f>
        <v>50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50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s="6" customFormat="true" ht="15" hidden="false" customHeight="true" outlineLevel="0" collapsed="false">
      <c r="A2" s="17" t="n">
        <f aca="false">A1+F1-Q1</f>
        <v>708</v>
      </c>
      <c r="B2" s="18" t="s">
        <v>2</v>
      </c>
      <c r="C2" s="9" t="n">
        <f aca="false">[1]Admin!$B$13</f>
        <v>46022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s="6" customFormat="true" ht="19.5" hidden="false" customHeight="true" outlineLevel="0" collapsed="false">
      <c r="A3" s="7"/>
      <c r="B3" s="23" t="s">
        <v>11</v>
      </c>
      <c r="C3" s="24" t="n">
        <f aca="false">C2</f>
        <v>46022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708</v>
      </c>
      <c r="B4" s="28" t="str">
        <f aca="false">IF(A4=0,"&lt;  Cash Balanced"," &lt; Check Cash Entries With Count")</f>
        <v> &lt; Check Cash Entries With Count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A6" s="46" t="n">
        <v>46001</v>
      </c>
      <c r="B6" s="2" t="s">
        <v>39</v>
      </c>
      <c r="E6" s="5" t="s">
        <v>30</v>
      </c>
      <c r="F6" s="6" t="n">
        <v>50</v>
      </c>
      <c r="G6" s="6" t="str">
        <f aca="false">IF(E6="BB",F6," ")</f>
        <v> </v>
      </c>
      <c r="H6" s="6" t="str">
        <f aca="false">IF(E6="DR",F6," ")</f>
        <v> </v>
      </c>
      <c r="I6" s="6" t="n">
        <f aca="false">IF(E6="CR",F6," ")</f>
        <v>50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s="6" customFormat="true" ht="15" hidden="false" customHeight="true" outlineLevel="0" collapsed="false">
      <c r="A1" s="49" t="n">
        <f aca="false">Dec!A2</f>
        <v>708</v>
      </c>
      <c r="B1" s="8" t="s">
        <v>0</v>
      </c>
      <c r="C1" s="9" t="n">
        <f aca="false">Dec!C2</f>
        <v>46022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s="6" customFormat="true" ht="15" hidden="false" customHeight="true" outlineLevel="0" collapsed="false">
      <c r="A2" s="17" t="n">
        <f aca="false">A1+F1-Q1</f>
        <v>708</v>
      </c>
      <c r="B2" s="18" t="s">
        <v>2</v>
      </c>
      <c r="C2" s="9" t="n">
        <f aca="false">[1]Admin!$B$14</f>
        <v>46053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s="6" customFormat="true" ht="19.5" hidden="false" customHeight="true" outlineLevel="0" collapsed="false">
      <c r="A3" s="7"/>
      <c r="B3" s="23" t="s">
        <v>11</v>
      </c>
      <c r="C3" s="24" t="n">
        <f aca="false">C2</f>
        <v>46053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708</v>
      </c>
      <c r="B4" s="28" t="str">
        <f aca="false">IF(A4=0,"&lt;  Cash Balanced"," &lt; Check Cash Entries With Count")</f>
        <v> &lt; Check Cash Entries With Count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s="6" customFormat="true" ht="15" hidden="false" customHeight="true" outlineLevel="0" collapsed="false">
      <c r="A1" s="49" t="n">
        <f aca="false">Jan!A2</f>
        <v>708</v>
      </c>
      <c r="B1" s="8" t="s">
        <v>0</v>
      </c>
      <c r="C1" s="9" t="n">
        <f aca="false">Jan!C2</f>
        <v>46053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s="6" customFormat="true" ht="15" hidden="false" customHeight="true" outlineLevel="0" collapsed="false">
      <c r="A2" s="17" t="n">
        <f aca="false">A1+F1-Q1</f>
        <v>708</v>
      </c>
      <c r="B2" s="18" t="s">
        <v>2</v>
      </c>
      <c r="C2" s="9" t="n">
        <f aca="false">[1]Admin!$B$15</f>
        <v>46081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s="6" customFormat="true" ht="19.5" hidden="false" customHeight="true" outlineLevel="0" collapsed="false">
      <c r="A3" s="7"/>
      <c r="B3" s="23" t="s">
        <v>11</v>
      </c>
      <c r="C3" s="24" t="n">
        <f aca="false">C2</f>
        <v>46081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708</v>
      </c>
      <c r="B4" s="28" t="str">
        <f aca="false">IF(A4=0,"&lt;  Cash Balanced"," &lt; Check Cash Entries With Count")</f>
        <v> &lt; Check Cash Entries With Count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 of  &amp;N&amp;R&amp;F  &amp;A</oddFooter>
  </headerFooter>
  <colBreaks count="1" manualBreakCount="1">
    <brk id="10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s="6" customFormat="true" ht="15" hidden="false" customHeight="true" outlineLevel="0" collapsed="false">
      <c r="A1" s="49" t="n">
        <f aca="false">Feb!A2</f>
        <v>708</v>
      </c>
      <c r="B1" s="8" t="s">
        <v>0</v>
      </c>
      <c r="C1" s="9" t="n">
        <f aca="false">Feb!C2</f>
        <v>46081</v>
      </c>
      <c r="D1" s="10" t="s">
        <v>1</v>
      </c>
      <c r="E1" s="11" t="n">
        <f aca="false">F1-SUM(G1:J1)</f>
        <v>0</v>
      </c>
      <c r="F1" s="12" t="n">
        <f aca="false">SUM(F6:F200)</f>
        <v>12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12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s="6" customFormat="true" ht="15" hidden="false" customHeight="true" outlineLevel="0" collapsed="false">
      <c r="A2" s="17" t="n">
        <f aca="false">A1+F1-Q1</f>
        <v>720</v>
      </c>
      <c r="B2" s="18" t="s">
        <v>2</v>
      </c>
      <c r="C2" s="9" t="n">
        <f aca="false">[1]Admin!$B$17</f>
        <v>46117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s="6" customFormat="true" ht="19.5" hidden="false" customHeight="true" outlineLevel="0" collapsed="false">
      <c r="A3" s="7"/>
      <c r="B3" s="23" t="s">
        <v>11</v>
      </c>
      <c r="C3" s="24" t="n">
        <f aca="false">C2</f>
        <v>46117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720</v>
      </c>
      <c r="B4" s="28" t="str">
        <f aca="false">IF(A4=0,"&lt;  Cash Balanced"," &lt; Check Cash Entries With Count")</f>
        <v> &lt; Check Cash Entries With Count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A6" s="46" t="n">
        <v>46101</v>
      </c>
      <c r="B6" s="2" t="s">
        <v>40</v>
      </c>
      <c r="E6" s="5" t="s">
        <v>30</v>
      </c>
      <c r="F6" s="6" t="n">
        <v>12</v>
      </c>
      <c r="G6" s="6" t="str">
        <f aca="false">IF(E6="BB",F6," ")</f>
        <v> </v>
      </c>
      <c r="H6" s="6" t="str">
        <f aca="false">IF(E6="DR",F6," ")</f>
        <v> </v>
      </c>
      <c r="I6" s="6" t="n">
        <f aca="false">IF(E6="CR",F6," ")</f>
        <v>12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2006-07-04T12:07:29Z</dcterms:created>
  <dc:creator>Terry Cartwright</dc:creator>
  <dc:description/>
  <dc:language>en-US</dc:language>
  <cp:lastModifiedBy>Cartwright, Antony</cp:lastModifiedBy>
  <cp:lastPrinted>2007-03-02T15:36:23Z</cp:lastPrinted>
  <dcterms:modified xsi:type="dcterms:W3CDTF">2025-04-03T22:50:22Z</dcterms:modified>
  <cp:revision>0</cp:revision>
  <dc:subject/>
  <dc:title>Self employed cash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