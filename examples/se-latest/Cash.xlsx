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<sst xmlns="http://schemas.openxmlformats.org/spreadsheetml/2006/main" count="504" uniqueCount="41">
  <si>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</si>
  <si>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</si>
  <si>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</si>
  <si>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</si>
  <si>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</si>
  <si>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</si>
  <si>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</si>
  <si>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</si>
  <si>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</si>
  <si>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</si>
  <si>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</si>
  <si>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</si>
  <si>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</si>
  <si>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</si>
  <si>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</si>
  <si>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</si>
  <si>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</si>
  <si>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</si>
  <si>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</si>
  <si>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</si>
  <si>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</si>
  <si>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</si>
  <si>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</si>
  <si>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</si>
  <si>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</si>
  <si>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</si>
  <si>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</si>
  <si>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</si>
  <si>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</si>
  <si>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</si>
  <si>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</si>
  <si>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</si>
  <si>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</si>
  <si>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</si>
  <si>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</si>
  <si>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</si>
  <si>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Cash top-up</t>
  </si>
  <si>
    <t xml:space="preserve">X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</si>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</sst>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45753</v>
      </c>
      <c r="D1" s="10" t="s">
        <v>1</v>
      </c>
      <c r="E1" s="11" t="n">
        <f aca="false">F1-SUM(G1:J1)</f>
        <v>0</v>
      </c>
      <c r="F1" s="12" t="n">
        <f aca="false">SUM(F6:F200)</f>
        <v>15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15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515</v>
      </c>
      <c r="B2" s="18" t="s">
        <v>2</v>
      </c>
      <c r="C2" s="9" t="n">
        <f aca="false">[1]Admin!$B$5</f>
        <v>45777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45777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1" t="n">
        <v>45757</v>
      </c>
      <c r="B6" s="2" t="s">
        <v>35</v>
      </c>
      <c r="E6" s="5" t="s">
        <v>30</v>
      </c>
      <c r="F6" s="6" t="n">
        <v>15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15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515</v>
      </c>
      <c r="B1" s="8" t="s">
        <v>0</v>
      </c>
      <c r="C1" s="9" t="n">
        <f aca="false">Apr!C2</f>
        <v>45777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515</v>
      </c>
      <c r="B2" s="18" t="s">
        <v>2</v>
      </c>
      <c r="C2" s="9" t="n">
        <f aca="false">[1]Admin!$B$6</f>
        <v>45808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45808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515</v>
      </c>
      <c r="B1" s="8" t="s">
        <v>0</v>
      </c>
      <c r="C1" s="9" t="n">
        <f aca="false">May!C2</f>
        <v>45808</v>
      </c>
      <c r="D1" s="10" t="s">
        <v>1</v>
      </c>
      <c r="E1" s="11" t="n">
        <f aca="false">F1-SUM(G1:J1)</f>
        <v>100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25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640</v>
      </c>
      <c r="B2" s="18" t="s">
        <v>2</v>
      </c>
      <c r="C2" s="9" t="n">
        <f aca="false">[1]Admin!$B$7</f>
        <v>45838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Check all Receipts Code Letters entered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45838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45818</v>
      </c>
      <c r="B6" s="2" t="s">
        <v>36</v>
      </c>
      <c r="E6" s="5" t="s">
        <v>37</v>
      </c>
      <c r="F6" s="6" t="n">
        <v>100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A7" s="46" t="n">
        <v>45818</v>
      </c>
      <c r="B7" s="2" t="s">
        <v>38</v>
      </c>
      <c r="E7" s="5" t="s">
        <v>30</v>
      </c>
      <c r="F7" s="6" t="n">
        <v>25</v>
      </c>
      <c r="G7" s="6" t="str">
        <f aca="false">IF(E7="BB",F7," ")</f>
        <v> </v>
      </c>
      <c r="H7" s="6" t="str">
        <f aca="false">IF(E7="DR",F7," ")</f>
        <v> </v>
      </c>
      <c r="I7" s="6" t="n">
        <f aca="false">IF(E7="CR",F7," ")</f>
        <v>25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640</v>
      </c>
      <c r="B1" s="8" t="s">
        <v>0</v>
      </c>
      <c r="C1" s="9" t="n">
        <f aca="false">Jun!C2</f>
        <v>45838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640</v>
      </c>
      <c r="B2" s="18" t="s">
        <v>2</v>
      </c>
      <c r="C2" s="9" t="n">
        <f aca="false">[1]Admin!$B$8</f>
        <v>45869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45869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640</v>
      </c>
      <c r="B1" s="8" t="s">
        <v>0</v>
      </c>
      <c r="C1" s="9" t="n">
        <f aca="false">Jul!C2</f>
        <v>45869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640</v>
      </c>
      <c r="B2" s="18" t="s">
        <v>2</v>
      </c>
      <c r="C2" s="9" t="n">
        <f aca="false">[1]Admin!$B$9</f>
        <v>45900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45900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640</v>
      </c>
      <c r="B1" s="8" t="s">
        <v>0</v>
      </c>
      <c r="C1" s="9" t="n">
        <f aca="false">Aug!C2</f>
        <v>45900</v>
      </c>
      <c r="D1" s="10" t="s">
        <v>1</v>
      </c>
      <c r="E1" s="11" t="n">
        <f aca="false">F1-SUM(G1:J1)</f>
        <v>0</v>
      </c>
      <c r="F1" s="12" t="n">
        <f aca="false">SUM(F6:F200)</f>
        <v>18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18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658</v>
      </c>
      <c r="B2" s="18" t="s">
        <v>2</v>
      </c>
      <c r="C2" s="9" t="n">
        <f aca="false">[1]Admin!$B$10</f>
        <v>45930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45930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45905</v>
      </c>
      <c r="B6" s="2" t="s">
        <v>35</v>
      </c>
      <c r="E6" s="5" t="s">
        <v>30</v>
      </c>
      <c r="F6" s="6" t="n">
        <v>18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18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658</v>
      </c>
      <c r="B1" s="8" t="s">
        <v>0</v>
      </c>
      <c r="C1" s="9" t="n">
        <f aca="false">Sep!C2</f>
        <v>45930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658</v>
      </c>
      <c r="B2" s="18" t="s">
        <v>2</v>
      </c>
      <c r="C2" s="9" t="n">
        <f aca="false">[1]Admin!$B$11</f>
        <v>45961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45961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658</v>
      </c>
      <c r="B1" s="8" t="s">
        <v>0</v>
      </c>
      <c r="C1" s="9" t="n">
        <f aca="false">Oct!C2</f>
        <v>45961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658</v>
      </c>
      <c r="B2" s="18" t="s">
        <v>2</v>
      </c>
      <c r="C2" s="9" t="n">
        <f aca="false">[1]Admin!$B$12</f>
        <v>45991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45991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658</v>
      </c>
      <c r="B1" s="8" t="s">
        <v>0</v>
      </c>
      <c r="C1" s="9" t="n">
        <f aca="false">Nov!C2</f>
        <v>45991</v>
      </c>
      <c r="D1" s="10" t="s">
        <v>1</v>
      </c>
      <c r="E1" s="11" t="n">
        <f aca="false">F1-SUM(G1:J1)</f>
        <v>0</v>
      </c>
      <c r="F1" s="12" t="n">
        <f aca="false">SUM(F6:F200)</f>
        <v>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50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708</v>
      </c>
      <c r="B2" s="18" t="s">
        <v>2</v>
      </c>
      <c r="C2" s="9" t="n">
        <f aca="false">[1]Admin!$B$13</f>
        <v>46022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46022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46001</v>
      </c>
      <c r="B6" s="2" t="s">
        <v>39</v>
      </c>
      <c r="E6" s="5" t="s">
        <v>30</v>
      </c>
      <c r="F6" s="6" t="n">
        <v>50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50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708</v>
      </c>
      <c r="B1" s="8" t="s">
        <v>0</v>
      </c>
      <c r="C1" s="9" t="n">
        <f aca="false">Dec!C2</f>
        <v>46022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708</v>
      </c>
      <c r="B2" s="18" t="s">
        <v>2</v>
      </c>
      <c r="C2" s="9" t="n">
        <f aca="false">[1]Admin!$B$14</f>
        <v>46053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46053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708</v>
      </c>
      <c r="B1" s="8" t="s">
        <v>0</v>
      </c>
      <c r="C1" s="9" t="n">
        <f aca="false">Jan!C2</f>
        <v>46053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708</v>
      </c>
      <c r="B2" s="18" t="s">
        <v>2</v>
      </c>
      <c r="C2" s="9" t="n">
        <f aca="false">[1]Admin!$B$15</f>
        <v>46081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46081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708</v>
      </c>
      <c r="B1" s="8" t="s">
        <v>0</v>
      </c>
      <c r="C1" s="9" t="n">
        <f aca="false">Feb!C2</f>
        <v>46081</v>
      </c>
      <c r="D1" s="10" t="s">
        <v>1</v>
      </c>
      <c r="E1" s="11" t="n">
        <f aca="false">F1-SUM(G1:J1)</f>
        <v>0</v>
      </c>
      <c r="F1" s="12" t="n">
        <f aca="false">SUM(F6:F200)</f>
        <v>12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12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720</v>
      </c>
      <c r="B2" s="18" t="s">
        <v>2</v>
      </c>
      <c r="C2" s="9" t="n">
        <f aca="false">[1]Admin!$B$17</f>
        <v>46117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46117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720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46101</v>
      </c>
      <c r="B6" s="2" t="s">
        <v>40</v>
      </c>
      <c r="E6" s="5" t="s">
        <v>30</v>
      </c>
      <c r="F6" s="6" t="n">
        <v>12</v>
      </c>
      <c r="G6" s="6" t="str">
        <f aca="false">IF(E6="BB",F6," ")</f>
        <v> </v>
      </c>
      <c r="H6" s="6" t="str">
        <f aca="false">IF(E6="DR",F6," ")</f>
        <v> </v>
      </c>
      <c r="I6" s="6" t="n">
        <f aca="false">IF(E6="CR",F6," ")</f>
        <v>12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