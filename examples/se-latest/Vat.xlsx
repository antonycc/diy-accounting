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TQtr1" sheetId="1" state="visible" r:id="rId3"/>
    <sheet name="VATQtr2" sheetId="2" state="visible" r:id="rId4"/>
    <sheet name="VATQtr3" sheetId="3" state="visible" r:id="rId5"/>
    <sheet name="VATQtr4" sheetId="4" state="visible" r:id="rId6"/>
    <sheet name="VATQtr5" sheetId="5" state="visible" r:id="rId7"/>
    <sheet name="Vatinterface" sheetId="6" state="visible" r:id="rId8"/>
    <sheet name="S02Y1" sheetId="7" state="visible" r:id="rId9"/>
    <sheet name="S03Y1" sheetId="8" state="visible" r:id="rId10"/>
    <sheet name="S04Y2" sheetId="9" state="visible" r:id="rId11"/>
    <sheet name="S05Y2" sheetId="10" state="visible" r:id="rId12"/>
    <sheet name="P02Y1" sheetId="11" state="visible" r:id="rId13"/>
    <sheet name="P03Y1" sheetId="12" state="visible" r:id="rId14"/>
    <sheet name="P04Y2" sheetId="13" state="visible" r:id="rId15"/>
    <sheet name="P05Y2" sheetId="14" state="visible" r:id="rId16"/>
  </sheets>
  <externalReferences>
    <externalReference r:id="rId17"/>
    <externalReference r:id="rId18"/>
    <externalReference r:id="rId19"/>
  </externalReferences>
  <definedNames>
    <definedName function="false" hidden="false" localSheetId="0" name="_xlnm.Print_Area" vbProcedure="false">VATQtr1!$A$1:$I$32</definedName>
    <definedName function="false" hidden="false" localSheetId="1" name="_xlnm.Print_Area" vbProcedure="false">VATQtr2!$A$1:$I$32</definedName>
    <definedName function="false" hidden="false" localSheetId="2" name="_xlnm.Print_Area" vbProcedure="false">VATQtr3!$A$1:$I$32</definedName>
    <definedName function="false" hidden="false" localSheetId="3" name="_xlnm.Print_Area" vbProcedure="false">VATQtr4!$A$1:$I$32</definedName>
    <definedName function="false" hidden="false" localSheetId="4" name="_xlnm.Print_Area" vbProcedure="false">VATQtr5!$A$1:$I$32</definedName>
    <definedName function="false" hidden="false" localSheetId="0" name="_xlnm_Print_Area" vbProcedure="false">VATQtr1!$A$1:$I$32</definedName>
    <definedName function="false" hidden="false" localSheetId="1" name="_xlnm_Print_Area" vbProcedure="false">VATQtr2!$A$1:$I$32</definedName>
    <definedName function="false" hidden="false" localSheetId="2" name="_xlnm_Print_Area" vbProcedure="false">VATQtr3!$A$1:$I$32</definedName>
    <definedName function="false" hidden="false" localSheetId="3" name="_xlnm_Print_Area" vbProcedure="false">VATQtr4!$A$1:$I$32</definedName>
    <definedName function="false" hidden="false" localSheetId="4" name="_xlnm_Print_Area" vbProcedure="false">VATQtr5!$A$1:$I$32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<sst xmlns="http://schemas.openxmlformats.org/spreadsheetml/2006/main" count="168" uniqueCount="42">
  <si>
    <t xml:space="preserve">Value  Added  Tax  Return</t>
  </si>
  <si>
    <t xml:space="preserve">Copy values in boxes to your Vat return</t>
  </si>
  <si>
    <t xml:space="preserve">To calculate vat payable                       1.Click Cell G5 Vat Period                       2.Click down arrow                              3.Select Vat quarter end date</t>
  </si>
  <si>
    <t xml:space="preserve">VAT Period ends</t>
  </si>
  <si>
    <t xml:space="preserve">Due date:</t>
  </si>
  <si>
    <r>
      <rPr>
        <sz val="10"/>
        <rFont val="Times New Roman"/>
        <family val="1"/>
        <charset val="1"/>
      </rPr>
      <t xml:space="preserve">VAT due on </t>
    </r>
    <r>
      <rPr>
        <b val="true"/>
        <sz val="10"/>
        <rFont val="Times New Roman"/>
        <family val="1"/>
        <charset val="1"/>
      </rPr>
      <t xml:space="preserve">sales</t>
    </r>
  </si>
  <si>
    <r>
      <rPr>
        <sz val="10"/>
        <rFont val="Times New Roman"/>
        <family val="1"/>
        <charset val="1"/>
      </rPr>
      <t xml:space="preserve">VAT due on </t>
    </r>
    <r>
      <rPr>
        <b val="true"/>
        <sz val="10"/>
        <rFont val="Times New Roman"/>
        <family val="1"/>
        <charset val="1"/>
      </rPr>
      <t xml:space="preserve">purchases </t>
    </r>
    <r>
      <rPr>
        <sz val="10"/>
        <rFont val="Times New Roman"/>
        <family val="1"/>
        <charset val="1"/>
      </rPr>
      <t xml:space="preserve">from </t>
    </r>
    <r>
      <rPr>
        <b val="true"/>
        <sz val="10"/>
        <rFont val="Times New Roman"/>
        <family val="1"/>
        <charset val="1"/>
      </rPr>
      <t xml:space="preserve">other EU states</t>
    </r>
  </si>
  <si>
    <r>
      <rPr>
        <sz val="10"/>
        <rFont val="Times New Roman"/>
        <family val="1"/>
        <charset val="1"/>
      </rPr>
      <t xml:space="preserve">VAT reclaimed on </t>
    </r>
    <r>
      <rPr>
        <b val="true"/>
        <sz val="10"/>
        <rFont val="Times New Roman"/>
        <family val="1"/>
        <charset val="1"/>
      </rPr>
      <t xml:space="preserve">purchases</t>
    </r>
  </si>
  <si>
    <r>
      <rPr>
        <sz val="10"/>
        <rFont val="Times New Roman"/>
        <family val="1"/>
        <charset val="1"/>
      </rPr>
      <t xml:space="preserve">Total value of </t>
    </r>
    <r>
      <rPr>
        <b val="true"/>
        <sz val="10"/>
        <rFont val="Times New Roman"/>
        <family val="1"/>
        <charset val="1"/>
      </rPr>
      <t xml:space="preserve">purchases</t>
    </r>
    <r>
      <rPr>
        <sz val="10"/>
        <rFont val="Times New Roman"/>
        <family val="1"/>
        <charset val="1"/>
      </rPr>
      <t xml:space="preserve"> excluding VAT</t>
    </r>
  </si>
  <si>
    <t xml:space="preserve">Note: </t>
  </si>
  <si>
    <t xml:space="preserve">Box 2 is set to zero, any amounts due should be calculated and inserted manually</t>
  </si>
  <si>
    <t xml:space="preserve">If goods are bought or sold to other EU states boxes 8 &amp; 9 on the return will require completion</t>
  </si>
  <si>
    <t xml:space="preserve">Vat returns must be received by HM Customs &amp; Excise on or before the due date to avoid surcharges</t>
  </si>
  <si>
    <t xml:space="preserve">Make cheques payable to "H M Customs and Excise" and write your VAT registration number on the back</t>
  </si>
  <si>
    <t xml:space="preserve">Quote your VAT registration number as a reference if paying direct by bank</t>
  </si>
  <si>
    <t xml:space="preserve">Account Name: HMCE VAT: Account No: 52055000 Sort Code: 10 00 00 </t>
  </si>
  <si>
    <t xml:space="preserve">Vat Period End</t>
  </si>
  <si>
    <t xml:space="preserve">Final Date for Vat Payment</t>
  </si>
  <si>
    <t xml:space="preserve">Month         Sales</t>
  </si>
  <si>
    <t xml:space="preserve">Quarter Sales          Net of Vat</t>
  </si>
  <si>
    <t xml:space="preserve">Month Vat Output</t>
  </si>
  <si>
    <t xml:space="preserve">Quarter Vat Due       Sales</t>
  </si>
  <si>
    <t xml:space="preserve">Month Purchases</t>
  </si>
  <si>
    <t xml:space="preserve">Quarter Purchases Net of vat</t>
  </si>
  <si>
    <t xml:space="preserve">Month Vat Input</t>
  </si>
  <si>
    <t xml:space="preserve">Quarter Vat Reclaimed Purchases</t>
  </si>
  <si>
    <t xml:space="preserve">Flat rate Scheme Applied</t>
  </si>
  <si>
    <t xml:space="preserve">USE FOR VAT PERIODS OUTSIDE FINANCIAL YEAR</t>
  </si>
  <si>
    <t xml:space="preserve">Total for Month</t>
  </si>
  <si>
    <t xml:space="preserve">Sales      Date</t>
  </si>
  <si>
    <t xml:space="preserve">Customer Name</t>
  </si>
  <si>
    <t xml:space="preserve">Sales Invoice Number or reference</t>
  </si>
  <si>
    <t xml:space="preserve">Sales Value including   Vat</t>
  </si>
  <si>
    <t xml:space="preserve">Sales         Net of Vat</t>
  </si>
  <si>
    <t xml:space="preserve">Vat       Output</t>
  </si>
  <si>
    <t xml:space="preserve">Entries below this row are not included in Row 1 Totals</t>
  </si>
  <si>
    <t xml:space="preserve">Purchase Invoice Number or Reference</t>
  </si>
  <si>
    <t xml:space="preserve">Purchase Date</t>
  </si>
  <si>
    <t xml:space="preserve">Purchase Description</t>
  </si>
  <si>
    <t xml:space="preserve">Total Purchase Value incl Vat</t>
  </si>
  <si>
    <t xml:space="preserve">Purchases           Net of Vat</t>
  </si>
  <si>
    <t xml:space="preserve">Vat Input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</si>
</sst>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_ ;[RED]\-#,##0.00\ "/>
    <numFmt numFmtId="166" formatCode="[$-F800]dddd&quot;, &quot;mmmm\ dd&quot;, &quot;yyyy"/>
    <numFmt numFmtId="167" formatCode="d\-mmm\-yy"/>
    <numFmt numFmtId="168" formatCode="[$-809]dd\ mmmm\ yyyy;@"/>
    <numFmt numFmtId="169" formatCode="General"/>
    <numFmt numFmtId="170" formatCode="#,##0_ ;[RED]\-#,##0\ "/>
    <numFmt numFmtId="171" formatCode="0"/>
    <numFmt numFmtId="172" formatCode="#,##0"/>
    <numFmt numFmtId="173" formatCode="#,##0.0_ ;[RED]\-#,##0.0\ "/>
    <numFmt numFmtId="174" formatCode="0.00"/>
  </numFmts>
  <fonts count="2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color rgb="FFFFFFFF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2"/>
      <color rgb="FF008000"/>
      <name val="Arial"/>
      <family val="2"/>
      <charset val="1"/>
    </font>
    <font>
      <sz val="8"/>
      <color rgb="FFFFFFFF"/>
      <name val="Times New Roman"/>
      <family val="1"/>
      <charset val="1"/>
    </font>
    <font>
      <sz val="8"/>
      <color rgb="FFCCFFCC"/>
      <name val="Arial"/>
      <family val="2"/>
      <charset val="1"/>
    </font>
    <font>
      <b val="true"/>
      <i val="true"/>
      <sz val="10"/>
      <color rgb="FFFF00FF"/>
      <name val="Arial"/>
      <family val="2"/>
      <charset val="1"/>
    </font>
    <font>
      <b val="true"/>
      <sz val="10"/>
      <color rgb="FFFF00FF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Arial"/>
      <family val="2"/>
      <charset val="1"/>
    </font>
    <font>
      <sz val="9"/>
      <name val="Times New Roman"/>
      <family val="1"/>
      <charset val="1"/>
    </font>
    <font>
      <sz val="8"/>
      <color rgb="FF339966"/>
      <name val="Times New Roman"/>
      <family val="1"/>
      <charset val="1"/>
    </font>
    <font>
      <b val="true"/>
      <sz val="9"/>
      <color rgb="FFFFFFFF"/>
      <name val="Arial"/>
      <family val="2"/>
      <charset val="1"/>
    </font>
    <font>
      <sz val="10"/>
      <color rgb="FFCCFFFF"/>
      <name val="Times New Roman"/>
      <family val="1"/>
      <charset val="1"/>
    </font>
    <font>
      <b val="true"/>
      <sz val="10"/>
      <color rgb="FF000080"/>
      <name val="Times New Roman"/>
      <family val="1"/>
      <charset val="1"/>
    </font>
    <font>
      <i val="true"/>
      <sz val="9"/>
      <color rgb="FFFF00FF"/>
      <name val="Times New Roman"/>
      <family val="1"/>
      <charset val="1"/>
    </font>
    <font>
      <i val="true"/>
      <sz val="9"/>
      <name val="Times New Roman"/>
      <family val="1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sz val="8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9966"/>
        <bgColor rgb="FF00808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4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12" fillId="2" borderId="6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6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3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6" fillId="0" borderId="8" xfId="0" applyFont="true" applyBorder="true" applyAlignment="true" applyProtection="true">
      <alignment horizontal="right" vertical="center" textRotation="0" wrapText="false" indent="1" shrinkToFit="false"/>
      <protection locked="true" hidden="true"/>
    </xf>
    <xf numFmtId="166" fontId="16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6" fillId="2" borderId="0" xfId="0" applyFont="true" applyBorder="false" applyAlignment="true" applyProtection="true">
      <alignment horizontal="right" vertical="center" textRotation="0" wrapText="false" indent="1" shrinkToFit="false"/>
      <protection locked="true" hidden="true"/>
    </xf>
    <xf numFmtId="169" fontId="17" fillId="3" borderId="8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6" fontId="1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1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6" fontId="16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19" fillId="2" borderId="8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9" fontId="6" fillId="2" borderId="0" xfId="0" applyFont="true" applyBorder="false" applyAlignment="true" applyProtection="true">
      <alignment horizontal="left" vertical="center" textRotation="0" wrapText="false" indent="2" shrinkToFit="false"/>
      <protection locked="true" hidden="true"/>
    </xf>
    <xf numFmtId="164" fontId="6" fillId="2" borderId="1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70" fontId="6" fillId="0" borderId="8" xfId="0" applyFont="true" applyBorder="true" applyAlignment="true" applyProtection="true">
      <alignment horizontal="right" vertical="center" textRotation="0" wrapText="false" indent="1" shrinkToFit="false"/>
      <protection locked="true" hidden="true"/>
    </xf>
    <xf numFmtId="164" fontId="20" fillId="2" borderId="4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2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1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5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2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1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22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2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13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5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externalLink" Target="externalLinks/externalLink3.xml"/><Relationship Id="rId20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45777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45808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45838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46234</v>
      </c>
      <c r="H5" s="13"/>
      <c r="I5" s="14"/>
      <c r="K5" s="15" t="n">
        <f aca="false">[1]Admin!$B$8</f>
        <v>45869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45900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46203</v>
      </c>
      <c r="H7" s="13"/>
      <c r="I7" s="14"/>
      <c r="K7" s="15" t="n">
        <f aca="false">[1]Admin!$B$10</f>
        <v>45930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45961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0</v>
      </c>
      <c r="H9" s="13"/>
      <c r="I9" s="14"/>
      <c r="K9" s="15" t="n">
        <f aca="false">[1]Admin!$B$12</f>
        <v>45991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46022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46053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46081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[1]Admin!$B$16</f>
        <v>46112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46142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0</v>
      </c>
      <c r="H15" s="13"/>
      <c r="I15" s="14"/>
      <c r="K15" s="15" t="n">
        <f aca="false">[1]Admin!$B$19</f>
        <v>46173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/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RECLIAMED from Customs</v>
      </c>
      <c r="C17" s="42"/>
      <c r="D17" s="42"/>
      <c r="E17" s="42"/>
      <c r="F17" s="36" t="n">
        <v>5</v>
      </c>
      <c r="G17" s="37" t="n">
        <f aca="false">G13-G15</f>
        <v>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45777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45808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45838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46326</v>
      </c>
      <c r="H5" s="13"/>
      <c r="I5" s="14"/>
      <c r="K5" s="15" t="n">
        <f aca="false">[1]Admin!$B$8</f>
        <v>45869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45900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46203</v>
      </c>
      <c r="H7" s="13"/>
      <c r="I7" s="14"/>
      <c r="K7" s="15" t="n">
        <f aca="false">[1]Admin!$B$10</f>
        <v>45930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45961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0</v>
      </c>
      <c r="H9" s="13"/>
      <c r="I9" s="14"/>
      <c r="K9" s="15" t="n">
        <f aca="false">[1]Admin!$B$12</f>
        <v>45991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46022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46053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46081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[1]Admin!$B$16</f>
        <v>46112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46142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0</v>
      </c>
      <c r="H15" s="13"/>
      <c r="I15" s="14"/>
      <c r="K15" s="15" t="n">
        <f aca="false">[1]Admin!$B$19</f>
        <v>46173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/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RECLIAMED from Customs</v>
      </c>
      <c r="C17" s="42"/>
      <c r="D17" s="42"/>
      <c r="E17" s="42"/>
      <c r="F17" s="36" t="n">
        <v>5</v>
      </c>
      <c r="G17" s="37" t="n">
        <f aca="false">G13-G15</f>
        <v>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45777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45808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45838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46418</v>
      </c>
      <c r="H5" s="13"/>
      <c r="I5" s="14"/>
      <c r="K5" s="15" t="n">
        <f aca="false">[1]Admin!$B$8</f>
        <v>45869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45900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46203</v>
      </c>
      <c r="H7" s="13"/>
      <c r="I7" s="14"/>
      <c r="K7" s="15" t="n">
        <f aca="false">[1]Admin!$B$10</f>
        <v>45930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45961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0</v>
      </c>
      <c r="H9" s="13"/>
      <c r="I9" s="14"/>
      <c r="K9" s="15" t="n">
        <f aca="false">[1]Admin!$B$12</f>
        <v>45991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46022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46053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46081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[1]Admin!$B$16</f>
        <v>46112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46142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0</v>
      </c>
      <c r="H15" s="13"/>
      <c r="I15" s="14"/>
      <c r="K15" s="15" t="n">
        <f aca="false">[1]Admin!$B$19</f>
        <v>46173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/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RECLIAMED from Customs</v>
      </c>
      <c r="C17" s="42"/>
      <c r="D17" s="42"/>
      <c r="E17" s="42"/>
      <c r="F17" s="36" t="n">
        <v>5</v>
      </c>
      <c r="G17" s="37" t="n">
        <f aca="false">G13-G15</f>
        <v>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45777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45808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45838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46507</v>
      </c>
      <c r="H5" s="13"/>
      <c r="I5" s="14"/>
      <c r="K5" s="15" t="n">
        <f aca="false">[1]Admin!$B$8</f>
        <v>45869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45900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46203</v>
      </c>
      <c r="H7" s="13"/>
      <c r="I7" s="14"/>
      <c r="K7" s="15" t="n">
        <f aca="false">[1]Admin!$B$10</f>
        <v>45930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45961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0</v>
      </c>
      <c r="H9" s="13"/>
      <c r="I9" s="14"/>
      <c r="K9" s="15" t="n">
        <f aca="false">[1]Admin!$B$12</f>
        <v>45991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46022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46053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46081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[1]Admin!$B$16</f>
        <v>46112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46142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0</v>
      </c>
      <c r="H15" s="13"/>
      <c r="I15" s="14"/>
      <c r="K15" s="15" t="n">
        <f aca="false">[1]Admin!$B$19</f>
        <v>46173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/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RECLIAMED from Customs</v>
      </c>
      <c r="C17" s="42"/>
      <c r="D17" s="42"/>
      <c r="E17" s="42"/>
      <c r="F17" s="36" t="n">
        <v>5</v>
      </c>
      <c r="G17" s="37" t="n">
        <f aca="false">G13-G15</f>
        <v>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45777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45808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45838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46538</v>
      </c>
      <c r="H5" s="13"/>
      <c r="I5" s="14"/>
      <c r="K5" s="15" t="n">
        <f aca="false">[1]Admin!$B$8</f>
        <v>45869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45900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46203</v>
      </c>
      <c r="H7" s="13"/>
      <c r="I7" s="14"/>
      <c r="K7" s="15" t="n">
        <f aca="false">[1]Admin!$B$10</f>
        <v>45930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45961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0</v>
      </c>
      <c r="H9" s="13"/>
      <c r="I9" s="14"/>
      <c r="K9" s="15" t="n">
        <f aca="false">[1]Admin!$B$12</f>
        <v>45991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46022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46053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46081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[1]Admin!$B$16</f>
        <v>46112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46142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0</v>
      </c>
      <c r="H15" s="13"/>
      <c r="I15" s="14"/>
      <c r="K15" s="15" t="n">
        <f aca="false">[1]Admin!$B$19</f>
        <v>46173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/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RECLIAMED from Customs</v>
      </c>
      <c r="C17" s="42"/>
      <c r="D17" s="42"/>
      <c r="E17" s="42"/>
      <c r="F17" s="36" t="n">
        <v>5</v>
      </c>
      <c r="G17" s="37" t="n">
        <f aca="false">G13-G15</f>
        <v>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315277777777778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63" width="1.99"/>
    <col collapsed="false" customWidth="true" hidden="false" outlineLevel="0" max="3" min="2" style="64" width="24.82"/>
    <col collapsed="false" customWidth="true" hidden="false" outlineLevel="0" max="11" min="4" style="65" width="10.66"/>
    <col collapsed="false" customWidth="true" hidden="false" outlineLevel="0" max="12" min="12" style="63" width="1.66"/>
    <col collapsed="false" customWidth="false" hidden="false" outlineLevel="0" max="13" min="13" style="66" width="9.15"/>
    <col collapsed="false" customWidth="true" hidden="false" outlineLevel="0" max="14" min="14" style="63" width="1.66"/>
    <col collapsed="false" customWidth="false" hidden="false" outlineLevel="0" max="257" min="15" style="63" width="9.15"/>
  </cols>
  <sheetData>
    <row r="1" customFormat="false" ht="9" hidden="false" customHeight="true" outlineLevel="0" collapsed="false">
      <c r="A1" s="67"/>
      <c r="B1" s="68"/>
      <c r="C1" s="68"/>
      <c r="D1" s="69"/>
      <c r="E1" s="69"/>
      <c r="F1" s="69"/>
      <c r="G1" s="69"/>
      <c r="H1" s="69"/>
      <c r="I1" s="69"/>
      <c r="J1" s="69"/>
      <c r="K1" s="69"/>
      <c r="L1" s="70"/>
      <c r="M1" s="71"/>
      <c r="N1" s="72"/>
    </row>
    <row r="2" s="80" customFormat="true" ht="37.5" hidden="false" customHeight="true" outlineLevel="0" collapsed="false">
      <c r="A2" s="73"/>
      <c r="B2" s="74" t="s">
        <v>16</v>
      </c>
      <c r="C2" s="74" t="s">
        <v>17</v>
      </c>
      <c r="D2" s="75" t="s">
        <v>18</v>
      </c>
      <c r="E2" s="75" t="s">
        <v>19</v>
      </c>
      <c r="F2" s="75" t="s">
        <v>20</v>
      </c>
      <c r="G2" s="76" t="s">
        <v>21</v>
      </c>
      <c r="H2" s="75" t="s">
        <v>22</v>
      </c>
      <c r="I2" s="75" t="s">
        <v>23</v>
      </c>
      <c r="J2" s="75" t="s">
        <v>24</v>
      </c>
      <c r="K2" s="76" t="s">
        <v>25</v>
      </c>
      <c r="L2" s="77"/>
      <c r="M2" s="78" t="s">
        <v>26</v>
      </c>
      <c r="N2" s="79"/>
    </row>
    <row r="3" s="80" customFormat="true" ht="11.25" hidden="false" customHeight="true" outlineLevel="0" collapsed="false">
      <c r="A3" s="73"/>
      <c r="B3" s="81"/>
      <c r="C3" s="81"/>
      <c r="D3" s="82"/>
      <c r="E3" s="83"/>
      <c r="F3" s="83"/>
      <c r="G3" s="83"/>
      <c r="H3" s="83"/>
      <c r="I3" s="83"/>
      <c r="J3" s="83"/>
      <c r="K3" s="83"/>
      <c r="L3" s="77"/>
      <c r="M3" s="77"/>
      <c r="N3" s="79"/>
    </row>
    <row r="4" customFormat="false" ht="12" hidden="false" customHeight="false" outlineLevel="0" collapsed="false">
      <c r="A4" s="84"/>
      <c r="B4" s="85" t="n">
        <f aca="false">[1]Admin!$B$2</f>
        <v>45716</v>
      </c>
      <c r="C4" s="85" t="n">
        <f aca="false">B5</f>
        <v>45747</v>
      </c>
      <c r="D4" s="86" t="n">
        <f aca="false">S02Y1!$G$1</f>
        <v>0</v>
      </c>
      <c r="E4" s="87"/>
      <c r="F4" s="87" t="n">
        <f aca="false">S02Y1!$F$1</f>
        <v>0</v>
      </c>
      <c r="G4" s="87"/>
      <c r="H4" s="87" t="n">
        <f aca="false">P02Y1!$I$1</f>
        <v>0</v>
      </c>
      <c r="I4" s="87"/>
      <c r="J4" s="87" t="n">
        <f aca="false">P02Y1!$H$1</f>
        <v>0</v>
      </c>
      <c r="K4" s="87"/>
      <c r="L4" s="88"/>
      <c r="M4" s="89" t="n">
        <f aca="false">IF([2]Apr!$H$4&gt;0,[2]Apr!$H$4,0)</f>
        <v>0</v>
      </c>
      <c r="N4" s="90"/>
    </row>
    <row r="5" customFormat="false" ht="12" hidden="false" customHeight="false" outlineLevel="0" collapsed="false">
      <c r="A5" s="84"/>
      <c r="B5" s="85" t="n">
        <f aca="false">[1]Admin!$B$3</f>
        <v>45747</v>
      </c>
      <c r="C5" s="85" t="n">
        <f aca="false">B6</f>
        <v>45777</v>
      </c>
      <c r="D5" s="86" t="n">
        <f aca="false">S03Y1!$G$1</f>
        <v>0</v>
      </c>
      <c r="E5" s="87"/>
      <c r="F5" s="87" t="n">
        <f aca="false">S03Y1!$F$1</f>
        <v>0</v>
      </c>
      <c r="G5" s="87"/>
      <c r="H5" s="87" t="n">
        <f aca="false">P03Y1!$I$1</f>
        <v>0</v>
      </c>
      <c r="I5" s="87"/>
      <c r="J5" s="87" t="n">
        <f aca="false">P03Y1!$H$1</f>
        <v>0</v>
      </c>
      <c r="K5" s="87"/>
      <c r="L5" s="88"/>
      <c r="M5" s="89" t="n">
        <f aca="false">IF([2]Apr!$H$4&gt;0,[2]Apr!$H$4,0)</f>
        <v>0</v>
      </c>
      <c r="N5" s="90"/>
    </row>
    <row r="6" customFormat="false" ht="12" hidden="false" customHeight="false" outlineLevel="0" collapsed="false">
      <c r="A6" s="84"/>
      <c r="B6" s="85" t="n">
        <f aca="false">[1]Admin!$B$5</f>
        <v>45777</v>
      </c>
      <c r="C6" s="85" t="n">
        <f aca="false">B7</f>
        <v>45808</v>
      </c>
      <c r="D6" s="86" t="n">
        <f aca="false">[2]Apr!$I$1</f>
        <v>0</v>
      </c>
      <c r="E6" s="87" t="n">
        <f aca="false">SUM(D4:D6)</f>
        <v>0</v>
      </c>
      <c r="F6" s="87" t="n">
        <f aca="false">[2]Apr!$H$1</f>
        <v>0</v>
      </c>
      <c r="G6" s="87" t="n">
        <f aca="false">SUM(F4:F6)</f>
        <v>0</v>
      </c>
      <c r="H6" s="87" t="n">
        <f aca="false">[3]Apr!$I$1</f>
        <v>0</v>
      </c>
      <c r="I6" s="87" t="n">
        <f aca="false">SUM(H4:H6)</f>
        <v>0</v>
      </c>
      <c r="J6" s="87" t="n">
        <f aca="false">[3]Apr!$H$1</f>
        <v>0</v>
      </c>
      <c r="K6" s="87" t="n">
        <f aca="false">SUM(J4:J6)</f>
        <v>0</v>
      </c>
      <c r="L6" s="88"/>
      <c r="M6" s="89" t="n">
        <f aca="false">IF([2]Apr!$H$4&gt;0,[2]Apr!$H$4,0)</f>
        <v>0</v>
      </c>
      <c r="N6" s="90"/>
    </row>
    <row r="7" customFormat="false" ht="12" hidden="false" customHeight="false" outlineLevel="0" collapsed="false">
      <c r="A7" s="84"/>
      <c r="B7" s="85" t="n">
        <f aca="false">[1]Admin!$B$6</f>
        <v>45808</v>
      </c>
      <c r="C7" s="85" t="n">
        <f aca="false">B8</f>
        <v>45838</v>
      </c>
      <c r="D7" s="86" t="n">
        <f aca="false">[2]May!$I$1</f>
        <v>0</v>
      </c>
      <c r="E7" s="87" t="n">
        <f aca="false">SUM(D5:D7)</f>
        <v>0</v>
      </c>
      <c r="F7" s="87" t="n">
        <f aca="false">[2]May!$H$1</f>
        <v>0</v>
      </c>
      <c r="G7" s="87" t="n">
        <f aca="false">SUM(F5:F7)</f>
        <v>0</v>
      </c>
      <c r="H7" s="87" t="n">
        <f aca="false">[3]May!$I$1</f>
        <v>0</v>
      </c>
      <c r="I7" s="87" t="n">
        <f aca="false">SUM(H5:H7)</f>
        <v>0</v>
      </c>
      <c r="J7" s="87" t="n">
        <f aca="false">[3]May!$H$1</f>
        <v>0</v>
      </c>
      <c r="K7" s="87" t="n">
        <f aca="false">SUM(J5:J7)</f>
        <v>0</v>
      </c>
      <c r="L7" s="88"/>
      <c r="M7" s="89" t="n">
        <f aca="false">IF([2]May!$H$4&gt;0,[2]May!$H$4,0)</f>
        <v>0</v>
      </c>
      <c r="N7" s="90"/>
    </row>
    <row r="8" customFormat="false" ht="12" hidden="false" customHeight="false" outlineLevel="0" collapsed="false">
      <c r="A8" s="84"/>
      <c r="B8" s="85" t="n">
        <f aca="false">[1]Admin!$B$7</f>
        <v>45838</v>
      </c>
      <c r="C8" s="85" t="n">
        <f aca="false">B9</f>
        <v>45869</v>
      </c>
      <c r="D8" s="86" t="n">
        <f aca="false">[2]Jun!$I$1</f>
        <v>0</v>
      </c>
      <c r="E8" s="87" t="n">
        <f aca="false">SUM(D6:D8)</f>
        <v>0</v>
      </c>
      <c r="F8" s="87" t="n">
        <f aca="false">[2]Jun!$H$1</f>
        <v>0</v>
      </c>
      <c r="G8" s="87" t="n">
        <f aca="false">SUM(F6:F8)</f>
        <v>0</v>
      </c>
      <c r="H8" s="87" t="n">
        <f aca="false">[3]Jun!$I$1</f>
        <v>0</v>
      </c>
      <c r="I8" s="87" t="n">
        <f aca="false">SUM(H6:H8)</f>
        <v>0</v>
      </c>
      <c r="J8" s="87" t="n">
        <f aca="false">[3]Jun!$H$1</f>
        <v>0</v>
      </c>
      <c r="K8" s="87" t="n">
        <f aca="false">SUM(J6:J8)</f>
        <v>0</v>
      </c>
      <c r="L8" s="88"/>
      <c r="M8" s="89" t="n">
        <f aca="false">IF([2]Jun!$H$4&gt;0,[2]Jun!$H$4,0)</f>
        <v>0</v>
      </c>
      <c r="N8" s="90"/>
    </row>
    <row r="9" customFormat="false" ht="12" hidden="false" customHeight="false" outlineLevel="0" collapsed="false">
      <c r="A9" s="84"/>
      <c r="B9" s="85" t="n">
        <f aca="false">[1]Admin!$B$8</f>
        <v>45869</v>
      </c>
      <c r="C9" s="85" t="n">
        <f aca="false">B10</f>
        <v>45900</v>
      </c>
      <c r="D9" s="86" t="n">
        <f aca="false">[2]Jul!$I$1</f>
        <v>0</v>
      </c>
      <c r="E9" s="87" t="n">
        <f aca="false">SUM(D7:D9)</f>
        <v>0</v>
      </c>
      <c r="F9" s="87" t="n">
        <f aca="false">[2]Jul!$H$1</f>
        <v>0</v>
      </c>
      <c r="G9" s="87" t="n">
        <f aca="false">SUM(F7:F9)</f>
        <v>0</v>
      </c>
      <c r="H9" s="87" t="n">
        <f aca="false">[3]Jul!$I$1</f>
        <v>0</v>
      </c>
      <c r="I9" s="87" t="n">
        <f aca="false">SUM(H7:H9)</f>
        <v>0</v>
      </c>
      <c r="J9" s="87" t="n">
        <f aca="false">[3]Jul!$H$1</f>
        <v>0</v>
      </c>
      <c r="K9" s="87" t="n">
        <f aca="false">SUM(J7:J9)</f>
        <v>0</v>
      </c>
      <c r="L9" s="88"/>
      <c r="M9" s="89" t="n">
        <f aca="false">IF([2]Jul!$H$4&gt;0,[2]Jul!$H$4,0)</f>
        <v>0</v>
      </c>
      <c r="N9" s="90"/>
    </row>
    <row r="10" customFormat="false" ht="12" hidden="false" customHeight="false" outlineLevel="0" collapsed="false">
      <c r="A10" s="84"/>
      <c r="B10" s="85" t="n">
        <f aca="false">[1]Admin!$B$9</f>
        <v>45900</v>
      </c>
      <c r="C10" s="85" t="n">
        <f aca="false">B11</f>
        <v>45930</v>
      </c>
      <c r="D10" s="86" t="n">
        <f aca="false">[2]Aug!$I$1</f>
        <v>0</v>
      </c>
      <c r="E10" s="87" t="n">
        <f aca="false">SUM(D8:D10)</f>
        <v>0</v>
      </c>
      <c r="F10" s="87" t="n">
        <f aca="false">[2]Aug!$H$1</f>
        <v>0</v>
      </c>
      <c r="G10" s="87" t="n">
        <f aca="false">SUM(F8:F10)</f>
        <v>0</v>
      </c>
      <c r="H10" s="87" t="n">
        <f aca="false">[3]Aug!$I$1</f>
        <v>0</v>
      </c>
      <c r="I10" s="87" t="n">
        <f aca="false">SUM(H8:H10)</f>
        <v>0</v>
      </c>
      <c r="J10" s="87" t="n">
        <f aca="false">[3]Aug!$H$1</f>
        <v>0</v>
      </c>
      <c r="K10" s="87" t="n">
        <f aca="false">SUM(J8:J10)</f>
        <v>0</v>
      </c>
      <c r="L10" s="88"/>
      <c r="M10" s="89" t="n">
        <f aca="false">IF([2]Aug!$H$4&gt;0,[2]Aug!$H$4,0)</f>
        <v>0</v>
      </c>
      <c r="N10" s="90"/>
    </row>
    <row r="11" customFormat="false" ht="12" hidden="false" customHeight="false" outlineLevel="0" collapsed="false">
      <c r="A11" s="84"/>
      <c r="B11" s="85" t="n">
        <f aca="false">[1]Admin!$B$10</f>
        <v>45930</v>
      </c>
      <c r="C11" s="85" t="n">
        <f aca="false">B12</f>
        <v>45961</v>
      </c>
      <c r="D11" s="86" t="n">
        <f aca="false">[2]Sep!$I$1</f>
        <v>0</v>
      </c>
      <c r="E11" s="87" t="n">
        <f aca="false">SUM(D9:D11)</f>
        <v>0</v>
      </c>
      <c r="F11" s="87" t="n">
        <f aca="false">[2]Sep!$H$1</f>
        <v>0</v>
      </c>
      <c r="G11" s="87" t="n">
        <f aca="false">SUM(F9:F11)</f>
        <v>0</v>
      </c>
      <c r="H11" s="87" t="n">
        <f aca="false">[3]Sep!$I$1</f>
        <v>0</v>
      </c>
      <c r="I11" s="87" t="n">
        <f aca="false">SUM(H9:H11)</f>
        <v>0</v>
      </c>
      <c r="J11" s="87" t="n">
        <f aca="false">[3]Sep!$H$1</f>
        <v>0</v>
      </c>
      <c r="K11" s="87" t="n">
        <f aca="false">SUM(J9:J11)</f>
        <v>0</v>
      </c>
      <c r="L11" s="88"/>
      <c r="M11" s="89" t="n">
        <f aca="false">IF([2]Sep!$H$4&gt;0,[2]Sep!$H$4,0)</f>
        <v>0</v>
      </c>
      <c r="N11" s="90"/>
    </row>
    <row r="12" customFormat="false" ht="12" hidden="false" customHeight="false" outlineLevel="0" collapsed="false">
      <c r="A12" s="84"/>
      <c r="B12" s="85" t="n">
        <f aca="false">[1]Admin!$B$11</f>
        <v>45961</v>
      </c>
      <c r="C12" s="85" t="n">
        <f aca="false">B13</f>
        <v>45991</v>
      </c>
      <c r="D12" s="86" t="n">
        <f aca="false">[2]Oct!$I$1</f>
        <v>0</v>
      </c>
      <c r="E12" s="87" t="n">
        <f aca="false">SUM(D10:D12)</f>
        <v>0</v>
      </c>
      <c r="F12" s="87" t="n">
        <f aca="false">[2]Oct!$H$1</f>
        <v>0</v>
      </c>
      <c r="G12" s="87" t="n">
        <f aca="false">SUM(F10:F12)</f>
        <v>0</v>
      </c>
      <c r="H12" s="87" t="n">
        <f aca="false">[3]Oct!$I$1</f>
        <v>0</v>
      </c>
      <c r="I12" s="87" t="n">
        <f aca="false">SUM(H10:H12)</f>
        <v>0</v>
      </c>
      <c r="J12" s="87" t="n">
        <f aca="false">[3]Oct!$H$1</f>
        <v>0</v>
      </c>
      <c r="K12" s="87" t="n">
        <f aca="false">SUM(J10:J12)</f>
        <v>0</v>
      </c>
      <c r="L12" s="88"/>
      <c r="M12" s="89" t="n">
        <f aca="false">IF([2]Oct!$H$4&gt;0,[2]Oct!$H$4,0)</f>
        <v>0</v>
      </c>
      <c r="N12" s="90"/>
    </row>
    <row r="13" customFormat="false" ht="12" hidden="false" customHeight="false" outlineLevel="0" collapsed="false">
      <c r="A13" s="84"/>
      <c r="B13" s="85" t="n">
        <f aca="false">[1]Admin!$B$12</f>
        <v>45991</v>
      </c>
      <c r="C13" s="85" t="n">
        <f aca="false">B14</f>
        <v>46022</v>
      </c>
      <c r="D13" s="86" t="n">
        <f aca="false">[2]Nov!$I$1</f>
        <v>0</v>
      </c>
      <c r="E13" s="87" t="n">
        <f aca="false">SUM(D11:D13)</f>
        <v>0</v>
      </c>
      <c r="F13" s="87" t="n">
        <f aca="false">[2]Nov!$H$1</f>
        <v>0</v>
      </c>
      <c r="G13" s="87" t="n">
        <f aca="false">SUM(F11:F13)</f>
        <v>0</v>
      </c>
      <c r="H13" s="87" t="n">
        <f aca="false">[3]Nov!$I$1</f>
        <v>0</v>
      </c>
      <c r="I13" s="87" t="n">
        <f aca="false">SUM(H11:H13)</f>
        <v>0</v>
      </c>
      <c r="J13" s="87" t="n">
        <f aca="false">[3]Nov!$H$1</f>
        <v>0</v>
      </c>
      <c r="K13" s="87" t="n">
        <f aca="false">SUM(J11:J13)</f>
        <v>0</v>
      </c>
      <c r="L13" s="88"/>
      <c r="M13" s="89" t="n">
        <f aca="false">IF([2]Nov!$H$4&gt;0,[2]Nov!$H$4,0)</f>
        <v>0</v>
      </c>
      <c r="N13" s="90"/>
    </row>
    <row r="14" customFormat="false" ht="12" hidden="false" customHeight="false" outlineLevel="0" collapsed="false">
      <c r="A14" s="84"/>
      <c r="B14" s="85" t="n">
        <f aca="false">[1]Admin!$B$13</f>
        <v>46022</v>
      </c>
      <c r="C14" s="85" t="n">
        <f aca="false">B15</f>
        <v>46053</v>
      </c>
      <c r="D14" s="86" t="n">
        <f aca="false">[2]Dec!$I$1</f>
        <v>0</v>
      </c>
      <c r="E14" s="87" t="n">
        <f aca="false">SUM(D12:D14)</f>
        <v>0</v>
      </c>
      <c r="F14" s="87" t="n">
        <f aca="false">[2]Dec!$H$1</f>
        <v>0</v>
      </c>
      <c r="G14" s="87" t="n">
        <f aca="false">SUM(F12:F14)</f>
        <v>0</v>
      </c>
      <c r="H14" s="87" t="n">
        <f aca="false">[3]Dec!$I$1</f>
        <v>0</v>
      </c>
      <c r="I14" s="87" t="n">
        <f aca="false">SUM(H12:H14)</f>
        <v>0</v>
      </c>
      <c r="J14" s="87" t="n">
        <f aca="false">[3]Dec!$H$1</f>
        <v>0</v>
      </c>
      <c r="K14" s="87" t="n">
        <f aca="false">SUM(J12:J14)</f>
        <v>0</v>
      </c>
      <c r="L14" s="88"/>
      <c r="M14" s="89" t="n">
        <f aca="false">IF([2]Dec!$H$4&gt;0,[2]Dec!$H$4,0)</f>
        <v>0</v>
      </c>
      <c r="N14" s="90"/>
    </row>
    <row r="15" customFormat="false" ht="12" hidden="false" customHeight="false" outlineLevel="0" collapsed="false">
      <c r="A15" s="84"/>
      <c r="B15" s="85" t="n">
        <f aca="false">[1]Admin!$B$14</f>
        <v>46053</v>
      </c>
      <c r="C15" s="85" t="n">
        <f aca="false">B16</f>
        <v>46081</v>
      </c>
      <c r="D15" s="86" t="n">
        <f aca="false">[2]Jan!$I$1</f>
        <v>0</v>
      </c>
      <c r="E15" s="87" t="n">
        <f aca="false">SUM(D13:D15)</f>
        <v>0</v>
      </c>
      <c r="F15" s="87" t="n">
        <f aca="false">[2]Jan!$H$1</f>
        <v>0</v>
      </c>
      <c r="G15" s="87" t="n">
        <f aca="false">SUM(F13:F15)</f>
        <v>0</v>
      </c>
      <c r="H15" s="87" t="n">
        <f aca="false">[3]Jan!$I$1</f>
        <v>0</v>
      </c>
      <c r="I15" s="87" t="n">
        <f aca="false">SUM(H13:H15)</f>
        <v>0</v>
      </c>
      <c r="J15" s="87" t="n">
        <f aca="false">[3]Jan!$H$1</f>
        <v>0</v>
      </c>
      <c r="K15" s="87" t="n">
        <f aca="false">SUM(J13:J15)</f>
        <v>0</v>
      </c>
      <c r="L15" s="88"/>
      <c r="M15" s="89" t="n">
        <f aca="false">IF([2]Jan!$H$4&gt;0,[2]Jan!$H$4,0)</f>
        <v>0</v>
      </c>
      <c r="N15" s="90"/>
    </row>
    <row r="16" customFormat="false" ht="12" hidden="false" customHeight="false" outlineLevel="0" collapsed="false">
      <c r="A16" s="84"/>
      <c r="B16" s="85" t="n">
        <f aca="false">[1]Admin!$B$15</f>
        <v>46081</v>
      </c>
      <c r="C16" s="85" t="n">
        <f aca="false">B17</f>
        <v>46112</v>
      </c>
      <c r="D16" s="86" t="n">
        <f aca="false">[2]Feb!$I$1</f>
        <v>0</v>
      </c>
      <c r="E16" s="87" t="n">
        <f aca="false">SUM(D14:D16)</f>
        <v>0</v>
      </c>
      <c r="F16" s="87" t="n">
        <f aca="false">[2]Feb!$H$1</f>
        <v>0</v>
      </c>
      <c r="G16" s="87" t="n">
        <f aca="false">SUM(F14:F16)</f>
        <v>0</v>
      </c>
      <c r="H16" s="87" t="n">
        <f aca="false">[3]Feb!$I$1</f>
        <v>0</v>
      </c>
      <c r="I16" s="87" t="n">
        <f aca="false">SUM(H14:H16)</f>
        <v>0</v>
      </c>
      <c r="J16" s="87" t="n">
        <f aca="false">[3]Feb!$H$1</f>
        <v>0</v>
      </c>
      <c r="K16" s="87" t="n">
        <f aca="false">SUM(J14:J16)</f>
        <v>0</v>
      </c>
      <c r="L16" s="88"/>
      <c r="M16" s="89" t="n">
        <f aca="false">IF([2]Feb!$H$4&gt;0,[2]Feb!$H$4,0)</f>
        <v>0</v>
      </c>
      <c r="N16" s="90"/>
    </row>
    <row r="17" customFormat="false" ht="12" hidden="false" customHeight="false" outlineLevel="0" collapsed="false">
      <c r="A17" s="84"/>
      <c r="B17" s="85" t="n">
        <f aca="false">[1]Admin!$B$16</f>
        <v>46112</v>
      </c>
      <c r="C17" s="85" t="n">
        <f aca="false">B18</f>
        <v>46142</v>
      </c>
      <c r="D17" s="86" t="n">
        <f aca="false">[2]Mar!$I$1</f>
        <v>0</v>
      </c>
      <c r="E17" s="87" t="n">
        <f aca="false">SUM(D15:D17)</f>
        <v>0</v>
      </c>
      <c r="F17" s="87" t="n">
        <f aca="false">[2]Mar!$H$1</f>
        <v>0</v>
      </c>
      <c r="G17" s="87" t="n">
        <f aca="false">SUM(F15:F17)</f>
        <v>0</v>
      </c>
      <c r="H17" s="87" t="n">
        <f aca="false">[3]Mar!$I$1</f>
        <v>0</v>
      </c>
      <c r="I17" s="87" t="n">
        <f aca="false">SUM(H15:H17)</f>
        <v>0</v>
      </c>
      <c r="J17" s="87" t="n">
        <f aca="false">[3]Mar!$H$1</f>
        <v>0</v>
      </c>
      <c r="K17" s="87" t="n">
        <f aca="false">SUM(J15:J17)</f>
        <v>0</v>
      </c>
      <c r="L17" s="88"/>
      <c r="M17" s="89" t="n">
        <f aca="false">IF([2]Mar!$H$4&gt;0,[2]Mar!$H$4,0)</f>
        <v>0</v>
      </c>
      <c r="N17" s="90"/>
    </row>
    <row r="18" customFormat="false" ht="12" hidden="false" customHeight="false" outlineLevel="0" collapsed="false">
      <c r="A18" s="84"/>
      <c r="B18" s="85" t="n">
        <f aca="false">[1]Admin!$B$18</f>
        <v>46142</v>
      </c>
      <c r="C18" s="85" t="n">
        <f aca="false">B19</f>
        <v>46173</v>
      </c>
      <c r="D18" s="86" t="n">
        <f aca="false">S04Y2!$G$1</f>
        <v>0</v>
      </c>
      <c r="E18" s="87" t="n">
        <f aca="false">SUM(D16:D18)</f>
        <v>0</v>
      </c>
      <c r="F18" s="87" t="n">
        <f aca="false">S04Y2!$F$1</f>
        <v>0</v>
      </c>
      <c r="G18" s="87" t="n">
        <f aca="false">SUM(F16:F18)</f>
        <v>0</v>
      </c>
      <c r="H18" s="87" t="n">
        <f aca="false">P04Y2!$I$1</f>
        <v>0</v>
      </c>
      <c r="I18" s="87" t="n">
        <f aca="false">SUM(H16:H18)</f>
        <v>0</v>
      </c>
      <c r="J18" s="87" t="n">
        <f aca="false">P04Y2!$H$1</f>
        <v>0</v>
      </c>
      <c r="K18" s="87" t="n">
        <f aca="false">SUM(J16:J18)</f>
        <v>0</v>
      </c>
      <c r="L18" s="88"/>
      <c r="M18" s="89" t="n">
        <f aca="false">IF([2]Mar!$H$4&gt;0,[2]Mar!$H$4,0)</f>
        <v>0</v>
      </c>
      <c r="N18" s="90"/>
    </row>
    <row r="19" customFormat="false" ht="12" hidden="false" customHeight="false" outlineLevel="0" collapsed="false">
      <c r="A19" s="84"/>
      <c r="B19" s="85" t="n">
        <f aca="false">[1]Admin!$B$19</f>
        <v>46173</v>
      </c>
      <c r="C19" s="91" t="n">
        <f aca="false">[1]Admin!$B$20</f>
        <v>46203</v>
      </c>
      <c r="D19" s="86" t="n">
        <f aca="false">S05Y2!$G$1</f>
        <v>0</v>
      </c>
      <c r="E19" s="87" t="n">
        <f aca="false">SUM(D17:D19)</f>
        <v>0</v>
      </c>
      <c r="F19" s="87" t="n">
        <f aca="false">S05Y2!$F$1</f>
        <v>0</v>
      </c>
      <c r="G19" s="87" t="n">
        <f aca="false">SUM(F17:F19)</f>
        <v>0</v>
      </c>
      <c r="H19" s="87" t="n">
        <f aca="false">P05Y2!$I$1</f>
        <v>0</v>
      </c>
      <c r="I19" s="87" t="n">
        <f aca="false">SUM(H17:H19)</f>
        <v>0</v>
      </c>
      <c r="J19" s="87" t="n">
        <f aca="false">P05Y2!$H$1</f>
        <v>0</v>
      </c>
      <c r="K19" s="87" t="n">
        <f aca="false">SUM(J17:J19)</f>
        <v>0</v>
      </c>
      <c r="L19" s="88"/>
      <c r="M19" s="89" t="n">
        <f aca="false">IF([2]Mar!$H$4&gt;0,[2]Mar!$H$4,0)</f>
        <v>0</v>
      </c>
      <c r="N19" s="90"/>
    </row>
    <row r="20" customFormat="false" ht="9" hidden="false" customHeight="true" outlineLevel="0" collapsed="false">
      <c r="A20" s="92"/>
      <c r="B20" s="93"/>
      <c r="C20" s="93"/>
      <c r="D20" s="94"/>
      <c r="E20" s="94"/>
      <c r="F20" s="94"/>
      <c r="G20" s="94"/>
      <c r="H20" s="94"/>
      <c r="I20" s="94"/>
      <c r="J20" s="94"/>
      <c r="K20" s="94"/>
      <c r="L20" s="95"/>
      <c r="M20" s="96"/>
      <c r="N20" s="97"/>
    </row>
  </sheetData>
  <printOptions headings="false" gridLines="false" gridLinesSet="true" horizontalCentered="true" verticalCentered="false"/>
  <pageMargins left="0.551388888888889" right="0.551388888888889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s="107" customFormat="tru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0</v>
      </c>
      <c r="F1" s="106" t="n">
        <f aca="false">SUM(F5:F200)</f>
        <v>0</v>
      </c>
      <c r="G1" s="106" t="n">
        <f aca="false">SUM(G5:G200)</f>
        <v>0</v>
      </c>
    </row>
    <row r="2" s="107" customFormat="tru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[2]OpeningDebtors!$H$2</f>
        <v>20</v>
      </c>
      <c r="G2" s="109" t="s">
        <v>33</v>
      </c>
    </row>
    <row r="3" s="113" customFormat="tru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[2]OpeningDebtors!$H$4</f>
        <v>0</v>
      </c>
      <c r="G4" s="109"/>
    </row>
    <row r="5" customFormat="false" ht="12.75" hidden="false" customHeight="false" outlineLevel="0" collapsed="false">
      <c r="F5" s="99" t="str">
        <f aca="false">IF(F$4&gt;0,(IF(E5&lt;&gt;0,E5*F$4/100," ")),IF(E5&lt;&gt;0,E5*F$2/(100+F$2)," "))</f>
        <v> </v>
      </c>
      <c r="G5" s="99" t="str">
        <f aca="false">IF((E5&lt;&gt;0),E5-F5," ")</f>
        <v> 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35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s="107" customFormat="tru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0</v>
      </c>
      <c r="F1" s="106" t="n">
        <f aca="false">SUM(F5:F200)</f>
        <v>0</v>
      </c>
      <c r="G1" s="106" t="n">
        <f aca="false">SUM(G5:G200)</f>
        <v>0</v>
      </c>
    </row>
    <row r="2" s="107" customFormat="tru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[2]OpeningDebtors!$H$2</f>
        <v>20</v>
      </c>
      <c r="G2" s="109" t="s">
        <v>33</v>
      </c>
    </row>
    <row r="3" s="113" customFormat="tru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[2]OpeningDebtors!$H$4</f>
        <v>0</v>
      </c>
      <c r="G4" s="109"/>
    </row>
    <row r="5" customFormat="false" ht="12.75" hidden="false" customHeight="false" outlineLevel="0" collapsed="false">
      <c r="F5" s="99" t="str">
        <f aca="false">IF(F$4&gt;0,(IF(E5&lt;&gt;0,E5*F$4/100," ")),IF(E5&lt;&gt;0,E5*F$2/(100+F$2)," "))</f>
        <v> </v>
      </c>
      <c r="G5" s="99" t="str">
        <f aca="false">IF((E5&lt;&gt;0),E5-F5," ")</f>
        <v> 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35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s="107" customFormat="tru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0</v>
      </c>
      <c r="F1" s="106" t="n">
        <f aca="false">SUM(F5:F200)</f>
        <v>0</v>
      </c>
      <c r="G1" s="106" t="n">
        <f aca="false">SUM(G5:G200)</f>
        <v>0</v>
      </c>
    </row>
    <row r="2" s="107" customFormat="tru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[2]ClosingDebtors!$H$2</f>
        <v>20</v>
      </c>
      <c r="G2" s="109" t="s">
        <v>33</v>
      </c>
    </row>
    <row r="3" s="113" customFormat="tru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[2]ClosingDebtors!$H$4</f>
        <v>0</v>
      </c>
      <c r="G4" s="109"/>
    </row>
    <row r="5" customFormat="false" ht="12.75" hidden="false" customHeight="false" outlineLevel="0" collapsed="false">
      <c r="F5" s="99" t="str">
        <f aca="false">IF(F$4&gt;0,(IF(E5&lt;&gt;0,E5*F$4/100," ")),IF(E5&lt;&gt;0,E5*F$2/(100+F$2)," "))</f>
        <v> </v>
      </c>
      <c r="G5" s="99" t="str">
        <f aca="false">IF((E5&lt;&gt;0),E5-F5," ")</f>
        <v> 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35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s="107" customFormat="tru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0</v>
      </c>
      <c r="F1" s="106" t="n">
        <f aca="false">SUM(F5:F200)</f>
        <v>0</v>
      </c>
      <c r="G1" s="106" t="n">
        <f aca="false">SUM(G5:G200)</f>
        <v>0</v>
      </c>
    </row>
    <row r="2" s="107" customFormat="tru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[2]ClosingDebtors!$H$2</f>
        <v>20</v>
      </c>
      <c r="G2" s="109" t="s">
        <v>33</v>
      </c>
    </row>
    <row r="3" s="113" customFormat="tru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[2]ClosingDebtors!$H$4</f>
        <v>0</v>
      </c>
      <c r="G4" s="109"/>
    </row>
    <row r="5" customFormat="false" ht="12.75" hidden="false" customHeight="false" outlineLevel="0" collapsed="false">
      <c r="F5" s="99" t="str">
        <f aca="false">IF(F$4&gt;0,(IF(E5&lt;&gt;0,E5*F$4/100," ")),IF(E5&lt;&gt;0,E5*F$2/(100+F$2)," "))</f>
        <v> </v>
      </c>
      <c r="G5" s="99" t="str">
        <f aca="false">IF((E5&lt;&gt;0),E5-F5," ")</f>
        <v> 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35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s="102" customFormat="true" ht="30" hidden="false" customHeight="true" outlineLevel="0" collapsed="false">
      <c r="A1" s="103" t="s">
        <v>27</v>
      </c>
      <c r="B1" s="103"/>
      <c r="C1" s="126" t="s">
        <v>36</v>
      </c>
      <c r="D1" s="127"/>
      <c r="E1" s="106" t="s">
        <v>28</v>
      </c>
      <c r="F1" s="128"/>
      <c r="G1" s="106" t="n">
        <f aca="false">SUM(G5:G200)</f>
        <v>0</v>
      </c>
      <c r="H1" s="106" t="n">
        <f aca="false">SUM(H5:H200)</f>
        <v>0</v>
      </c>
      <c r="I1" s="106" t="n">
        <f aca="false">SUM(I5:I200)</f>
        <v>0</v>
      </c>
    </row>
    <row r="2" s="131" customFormat="true" ht="12" hidden="false" customHeight="true" outlineLevel="0" collapsed="false">
      <c r="A2" s="108" t="s">
        <v>37</v>
      </c>
      <c r="B2" s="109" t="str">
        <f aca="false">IF((I1-SUM(P1:AL1)&lt;&gt;0),"COMPLETE EXPENSE ANALYSIS by inserting expense letter in col F","Supplier")</f>
        <v>Supplier</v>
      </c>
      <c r="C2" s="126"/>
      <c r="D2" s="127"/>
      <c r="E2" s="129" t="s">
        <v>38</v>
      </c>
      <c r="F2" s="128"/>
      <c r="G2" s="109" t="s">
        <v>39</v>
      </c>
      <c r="H2" s="130" t="n">
        <f aca="false">[3]OpeningCreditors!$H$2</f>
        <v>20</v>
      </c>
      <c r="I2" s="109" t="s">
        <v>40</v>
      </c>
    </row>
    <row r="3" s="132" customFormat="tru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41</v>
      </c>
      <c r="I3" s="109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B5" s="124"/>
      <c r="C5" s="122"/>
      <c r="E5" s="124"/>
      <c r="F5" s="120"/>
      <c r="G5" s="133"/>
      <c r="H5" s="125" t="str">
        <f aca="false">IF(G5&lt;&gt;0,G5*H$2/(100+H$2)," ")</f>
        <v> </v>
      </c>
      <c r="I5" s="125" t="str">
        <f aca="false">IF((G5&lt;&gt;0),G5-H5," ")</f>
        <v> 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35</v>
      </c>
      <c r="H201" s="125" t="e">
        <f aca="false">NA()</f>
        <v>#N/A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s="102" customFormat="true" ht="30" hidden="false" customHeight="true" outlineLevel="0" collapsed="false">
      <c r="A1" s="103" t="s">
        <v>27</v>
      </c>
      <c r="B1" s="103"/>
      <c r="C1" s="126" t="s">
        <v>36</v>
      </c>
      <c r="D1" s="127"/>
      <c r="E1" s="106" t="s">
        <v>28</v>
      </c>
      <c r="F1" s="128"/>
      <c r="G1" s="106" t="n">
        <f aca="false">SUM(G5:G200)</f>
        <v>0</v>
      </c>
      <c r="H1" s="106" t="n">
        <f aca="false">SUM(H5:H200)</f>
        <v>0</v>
      </c>
      <c r="I1" s="106" t="n">
        <f aca="false">SUM(I5:I200)</f>
        <v>0</v>
      </c>
    </row>
    <row r="2" s="131" customFormat="true" ht="12" hidden="false" customHeight="true" outlineLevel="0" collapsed="false">
      <c r="A2" s="108" t="s">
        <v>37</v>
      </c>
      <c r="B2" s="109" t="str">
        <f aca="false">IF((I1-SUM(P1:AL1)&lt;&gt;0),"COMPLETE EXPENSE ANALYSIS by inserting expense letter in col F","Supplier")</f>
        <v>Supplier</v>
      </c>
      <c r="C2" s="126"/>
      <c r="D2" s="127"/>
      <c r="E2" s="129" t="s">
        <v>38</v>
      </c>
      <c r="F2" s="128"/>
      <c r="G2" s="109" t="s">
        <v>39</v>
      </c>
      <c r="H2" s="130" t="n">
        <f aca="false">[3]OpeningCreditors!$H$2</f>
        <v>20</v>
      </c>
      <c r="I2" s="109" t="s">
        <v>40</v>
      </c>
    </row>
    <row r="3" s="132" customFormat="tru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41</v>
      </c>
      <c r="I3" s="109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B5" s="124"/>
      <c r="C5" s="122"/>
      <c r="E5" s="124"/>
      <c r="F5" s="120"/>
      <c r="G5" s="133"/>
      <c r="H5" s="125" t="str">
        <f aca="false">IF(G5&lt;&gt;0,G5*H$2/(100+H$2)," ")</f>
        <v> </v>
      </c>
      <c r="I5" s="125" t="str">
        <f aca="false">IF((G5&lt;&gt;0),G5-H5," ")</f>
        <v> 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35</v>
      </c>
      <c r="H201" s="125" t="e">
        <f aca="false">NA()</f>
        <v>#N/A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s="102" customFormat="true" ht="30" hidden="false" customHeight="true" outlineLevel="0" collapsed="false">
      <c r="A1" s="103" t="s">
        <v>27</v>
      </c>
      <c r="B1" s="103"/>
      <c r="C1" s="126" t="s">
        <v>36</v>
      </c>
      <c r="D1" s="127"/>
      <c r="E1" s="106" t="s">
        <v>28</v>
      </c>
      <c r="F1" s="128"/>
      <c r="G1" s="106" t="n">
        <f aca="false">SUM(G5:G200)</f>
        <v>0</v>
      </c>
      <c r="H1" s="106" t="n">
        <f aca="false">SUM(H5:H200)</f>
        <v>0</v>
      </c>
      <c r="I1" s="106" t="n">
        <f aca="false">SUM(I5:I200)</f>
        <v>0</v>
      </c>
    </row>
    <row r="2" s="131" customFormat="true" ht="12" hidden="false" customHeight="true" outlineLevel="0" collapsed="false">
      <c r="A2" s="108" t="s">
        <v>37</v>
      </c>
      <c r="B2" s="109" t="str">
        <f aca="false">IF((I1-SUM(P1:AL1)&lt;&gt;0),"COMPLETE EXPENSE ANALYSIS by inserting expense letter in col F","Supplier")</f>
        <v>Supplier</v>
      </c>
      <c r="C2" s="126"/>
      <c r="D2" s="127"/>
      <c r="E2" s="129" t="s">
        <v>38</v>
      </c>
      <c r="F2" s="128"/>
      <c r="G2" s="109" t="s">
        <v>39</v>
      </c>
      <c r="H2" s="130" t="n">
        <f aca="false">[3]ClosingCreditors!$H$2</f>
        <v>20</v>
      </c>
      <c r="I2" s="109" t="s">
        <v>40</v>
      </c>
    </row>
    <row r="3" s="132" customFormat="tru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41</v>
      </c>
      <c r="I3" s="109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B5" s="124"/>
      <c r="C5" s="122"/>
      <c r="E5" s="124"/>
      <c r="F5" s="120"/>
      <c r="G5" s="133"/>
      <c r="H5" s="125" t="str">
        <f aca="false">IF(G5&lt;&gt;0,G5*H$2/(100+H$2)," ")</f>
        <v> </v>
      </c>
      <c r="I5" s="125" t="str">
        <f aca="false">IF((G5&lt;&gt;0),G5-H5," ")</f>
        <v> 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35</v>
      </c>
      <c r="H201" s="125" t="e">
        <f aca="false">NA()</f>
        <v>#N/A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s="102" customFormat="true" ht="30" hidden="false" customHeight="true" outlineLevel="0" collapsed="false">
      <c r="A1" s="103" t="s">
        <v>27</v>
      </c>
      <c r="B1" s="103"/>
      <c r="C1" s="126" t="s">
        <v>36</v>
      </c>
      <c r="D1" s="127"/>
      <c r="E1" s="106" t="s">
        <v>28</v>
      </c>
      <c r="F1" s="128"/>
      <c r="G1" s="106" t="n">
        <f aca="false">SUM(G5:G200)</f>
        <v>0</v>
      </c>
      <c r="H1" s="106" t="n">
        <f aca="false">SUM(H5:H200)</f>
        <v>0</v>
      </c>
      <c r="I1" s="106" t="n">
        <f aca="false">SUM(I5:I200)</f>
        <v>0</v>
      </c>
    </row>
    <row r="2" s="131" customFormat="true" ht="12" hidden="false" customHeight="true" outlineLevel="0" collapsed="false">
      <c r="A2" s="108" t="s">
        <v>37</v>
      </c>
      <c r="B2" s="109" t="str">
        <f aca="false">IF((I1-SUM(P1:AL1)&lt;&gt;0),"COMPLETE EXPENSE ANALYSIS by inserting expense letter in col F","Supplier")</f>
        <v>Supplier</v>
      </c>
      <c r="C2" s="126"/>
      <c r="D2" s="127"/>
      <c r="E2" s="129" t="s">
        <v>38</v>
      </c>
      <c r="F2" s="128"/>
      <c r="G2" s="109" t="s">
        <v>39</v>
      </c>
      <c r="H2" s="130" t="n">
        <f aca="false">[3]ClosingCreditors!$H$2</f>
        <v>20</v>
      </c>
      <c r="I2" s="109" t="s">
        <v>40</v>
      </c>
    </row>
    <row r="3" s="132" customFormat="tru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41</v>
      </c>
      <c r="I3" s="109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B5" s="124"/>
      <c r="C5" s="122"/>
      <c r="E5" s="124"/>
      <c r="F5" s="120"/>
      <c r="G5" s="133"/>
      <c r="H5" s="125" t="str">
        <f aca="false">IF(G5&lt;&gt;0,G5*H$2/(100+H$2)," ")</f>
        <v> </v>
      </c>
      <c r="I5" s="125" t="str">
        <f aca="false">IF((G5&lt;&gt;0),G5-H5," ")</f>
        <v> 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35</v>
      </c>
      <c r="H201" s="125" t="e">
        <f aca="false">NA()</f>
        <v>#N/A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2006-06-05T10:56:36Z</dcterms:created>
  <dc:creator>Terry Cartwright</dc:creator>
  <dc:description/>
  <dc:language>en-US</dc:language>
  <cp:lastModifiedBy>Cartwright, Antony</cp:lastModifiedBy>
  <cp:lastPrinted>2007-02-10T23:38:25Z</cp:lastPrinted>
  <dcterms:modified xsi:type="dcterms:W3CDTF">2025-04-03T22:49:40Z</dcterms:modified>
  <cp:revision>0</cp:revision>
  <dc:subject/>
  <dc:title>Vat returns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