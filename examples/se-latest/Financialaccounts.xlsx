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<sst xmlns="http://schemas.openxmlformats.org/spreadsheetml/2006/main" count="819" uniqueCount="440">
  <si>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</si>
  <si>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</si>
  <si>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</si>
  <si>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Precision Code Trading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</si>
  <si>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</si>
  <si>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</si>
  <si>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</si>
  <si>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</si>
  <si>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</si>
  <si>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</si>
  <si>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</si>
  <si>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</si>
  <si>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</si>
  <si>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</si>
  <si>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</si>
  <si>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</si>
  <si>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</si>
  <si>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</si>
  <si>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</si>
  <si>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</si>
  <si>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</si>
  <si>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</si>
  <si>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</si>
  <si>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</si>
  <si>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</si>
  <si>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</si>
  <si>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</si>
  <si>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</si>
  <si>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</si>
  <si>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</si>
  <si>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</si>
  <si>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</si>
  <si>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</si>
  <si>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</si>
  <si>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</si>
  <si>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</si>
  <si>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</si>
  <si>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</si>
  <si>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</si>
  <si>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</si>
  <si>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</si>
  <si>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</si>
  <si>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Business details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</si>
  <si>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</si>
  <si>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</si>
  <si>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</si>
  <si>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</si>
  <si>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</si>
  <si>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</si>
  <si>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</si>
  <si>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</si>
  <si>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</si>
  <si>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</si>
  <si>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</si>
  <si>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</si>
  <si>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</si>
  <si>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</si>
  <si>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</si>
  <si>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</si>
  <si>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</si>
  <si>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</si>
  <si>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</si>
  <si>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</si>
  <si>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</si>
  <si>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</si>
  <si>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</si>
  <si>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</si>
  <si>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</si>
  <si>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</si>
  <si>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</si>
  <si>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</si>
  <si>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</si>
  <si>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</si>
  <si>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</si>
  <si>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</si>
  <si>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</si>
  <si>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</si>
  <si>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</si>
  <si>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</si>
  <si>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</si>
  <si>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</si>
  <si>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</si>
  <si>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</si>
  <si>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</si>
  <si>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</si>
  <si>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</si>
  <si>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</si>
  <si>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</si>
  <si>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</si>
  <si>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</si>
  <si>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</si>
  <si>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</si>
  <si>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</si>
  <si>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</si>
  <si>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</si>
  <si>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</si>
  <si>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</si>
  <si>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</si>
  <si>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</si>
  <si>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</si>
  <si>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</si>
  <si>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</si>
  <si>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</si>
  <si>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</si>
  <si>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</si>
  <si>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</si>
  <si>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</si>
  <si>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</si>
  <si>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</si>
  <si>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</si>
  <si>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</si>
  <si>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</si>
  <si>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</si>
  <si>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</si>
  <si>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</si>
  <si>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</si>
  <si>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</si>
  <si>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</si>
  <si>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</si>
  <si>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</si>
  <si>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</si>
  <si>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</si>
  <si>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</si>
  <si>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</si>
  <si>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</si>
  <si>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</si>
  <si>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</si>
  <si>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</si>
  <si>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</si>
  <si>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</si>
  <si>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</si>
  <si>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</si>
  <si>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</si>
  <si>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</si>
  <si>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</si>
  <si>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</si>
  <si>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</si>
  <si>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</si>
  <si>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</si>
  <si>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</si>
  <si>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</si>
  <si>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</si>
  <si>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</si>
  <si>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</si>
  <si>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</si>
  <si>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</si>
  <si>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</si>
  <si>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</si>
  <si>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</si>
  <si>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</si>
  <si>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</si>
  <si>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</si>
  <si>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</si>
  <si>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</si>
  <si>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</si>
  <si>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</si>
  <si>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</si>
  <si>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</si>
  <si>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</si>
  <si>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</si>
  <si>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</si>
  <si>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</si>
  <si>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</si>
  <si>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</si>
  <si>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</si>
  <si>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</si>
  <si>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</si>
  <si>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</si>
  <si>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</si>
  <si>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</si>
  <si>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</si>
  <si>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</si>
  <si>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</si>
  <si>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</si>
  <si>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</si>
  <si>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</si>
  <si>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</si>
  <si>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</si>
  <si>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</si>
  <si>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</si>
  <si>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</si>
  <si>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</si>
  <si>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</si>
  <si>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</si>
  <si>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</si>
  <si>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</si>
  <si>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</si>
  <si>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</si>
  <si>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</si>
  <si>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</si>
  <si>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</si>
  <si>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</si>
  <si>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</si>
  <si>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</si>
  <si>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</si>
  <si>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</si>
  <si>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</si>
  <si>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</si>
  <si>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</si>
  <si>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</si>
  <si>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</si>
  <si>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</si>
  <si>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</si>
  <si>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</si>
  <si>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</si>
  <si>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</si>
  <si>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</si>
  <si>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</si>
  <si>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</si>
  <si>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</si>
  <si>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</si>
  <si>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</si>
  <si>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</si>
  <si>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</si>
  <si>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</si>
  <si>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</si>
  <si>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</si>
  <si>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</si>
  <si>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</si>
  <si>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</si>
  <si>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</si>
  <si>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</si>
  <si>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</si>
  <si>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</si>
  <si>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</si>
  <si>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</si>
  <si>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</si>
  <si>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</si>
  <si>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</si>
  <si>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</si>
  <si>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</si>
  <si>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</si>
  <si>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</si>
  <si>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</si>
  <si>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</si>
  <si>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</si>
  <si>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</si>
  <si>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</si>
  <si>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</si>
  <si>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</si>
  <si>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</si>
  <si>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</si>
  <si>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</si>
  <si>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</si>
  <si>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</si>
  <si>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</si>
  <si>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</si>
  <si>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</si>
  <si>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</si>
  <si>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</si>
  <si>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</si>
  <si>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</si>
  <si>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</si>
  <si>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</si>
  <si>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</si>
  <si>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</si>
  <si>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</si>
  <si>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</si>
  <si>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</si>
  <si>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</si>
  <si>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</si>
  <si>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</si>
  <si>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</si>
  <si>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</si>
  <si>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</si>
  <si>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</si>
  <si>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</si>
  <si>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</si>
  <si>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</si>
  <si>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</si>
  <si>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</si>
  <si>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</si>
  <si>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</si>
  <si>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</si>
  <si>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</si>
  <si>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</si>
  <si>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</si>
  <si>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</si>
  <si>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</si>
  <si>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</si>
  <si>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</si>
  <si>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</si>
  <si>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</si>
  <si>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</si>
  <si>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</si>
  <si>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</si>
  <si>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</si>
  <si>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</si>
  <si>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</si>
  <si>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</si>
  <si>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</si>
  <si>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</si>
  <si>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</si>
  <si>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</si>
  <si>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</si>
  <si>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</si>
  <si>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</si>
  <si>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</si>
  <si>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</si>
  <si>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</si>
  <si>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</si>
  <si>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</si>
  <si>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</si>
  <si>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</si>
  <si>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</si>
  <si>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</si>
  <si>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</si>
  <si>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</si>
  <si>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</si>
  <si>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</si>
  <si>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</si>
  <si>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</si>
  <si>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</si>
  <si>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</si>
  <si>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</si>
  <si>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</si>
  <si>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</si>
  <si>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</si>
  <si>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</si>
  <si>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</si>
  <si>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</si>
  <si>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</si>
  <si>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</si>
  <si>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</si>
  <si>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</si>
  <si>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</si>
  <si>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</si>
  <si>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</si>
  <si>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</si>
  <si>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</si>
  <si>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</si>
  <si>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</si>
  <si>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</si>
  <si>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</si>
  <si>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</si>
  <si>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</si>
  <si>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</si>
  <si>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</si>
  <si>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</si>
  <si>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</si>
  <si>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</si>
  <si>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</si>
  <si>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</si>
  <si>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</si>
  <si>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</si>
  <si>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</si>
  <si>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</si>
  <si>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</si>
  <si>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</si>
  <si>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</si>
  <si>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</si>
  <si>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</si>
  <si>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</si>
  <si>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</si>
  <si>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</si>
  <si>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</si>
  <si>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</si>
  <si>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</si>
  <si>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</si>
  <si>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</si>
  <si>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</si>
  <si>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</si>
  <si>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</si>
  <si>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</si>
  <si>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</si>
  <si>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</si>
  <si>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</si>
  <si>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</si>
  <si>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</si>
  <si>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</si>
  <si>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</si>
  <si>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</si>
  <si>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</si>
  <si>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</si>
  <si>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</si>
  <si>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</si>
  <si>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</si>
  <si>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</si>
  <si>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</si>
  <si>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</si>
  <si>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</si>
  <si>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</si>
  <si>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</si>
  <si>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</si>
  <si>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</si>
  <si>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</si>
  <si>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</si>
  <si>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</si>
  <si>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</si>
  <si>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</si>
  <si>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</si>
  <si>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</si>
  <si>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</si>
  <si>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</si>
  <si>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</si>
  <si>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</si>
  <si>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</si>
  <si>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</si>
  <si>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</si>
  <si>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</si>
  <si>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</si>
  <si>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</si>
  <si>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</si>
  <si>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</si>
  <si>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</si>
  <si>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</si>
  <si>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</si>
  <si>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</si>
  <si>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</si>
  <si>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</si>
  <si>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</si>
  <si>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</si>
  <si>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</si>
  <si>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</si>
  <si>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</si>
  <si>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</si>
  <si>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</si>
  <si>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</si>
  <si>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</si>
  <si>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</si>
  <si>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</si>
  <si>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</si>
  <si>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</si>
  <si>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</si>
  <si>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</si>
  <si>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</si>
  <si>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</si>
  <si>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</si>
  <si>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</si>
  <si>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</si>
  <si>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</si>
  <si>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</si>
  <si>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</si>
  <si>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</si>
  <si>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</si>
  <si>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</si>
  <si>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2026-27</t>
  </si>
  <si>
    <t xml:space="preserve">2027-28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</si>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</sst>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1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3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1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1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1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5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2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3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2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2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0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3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2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2" fillId="2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25333.3333333333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25633.3333333333</v>
          </cell>
          <cell r="Q1">
            <v>800</v>
          </cell>
          <cell r="R1">
            <v>1000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26533.3333333333</v>
          </cell>
          <cell r="Q1">
            <v>800</v>
          </cell>
          <cell r="R1">
            <v>2000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25633.3333333333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27133.3333333333</v>
          </cell>
          <cell r="Q1">
            <v>800</v>
          </cell>
          <cell r="R1">
            <v>0</v>
          </cell>
          <cell r="S1">
            <v>0</v>
          </cell>
          <cell r="T1">
            <v>2083.33333333333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25033.3333333333</v>
          </cell>
          <cell r="Q1">
            <v>800</v>
          </cell>
          <cell r="R1">
            <v>1800</v>
          </cell>
          <cell r="S1">
            <v>500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27133.3333333333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25633.3333333333</v>
          </cell>
          <cell r="Q1">
            <v>800</v>
          </cell>
          <cell r="R1">
            <v>3000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26533.3333333333</v>
          </cell>
          <cell r="Q1">
            <v>800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25633.3333333333</v>
          </cell>
          <cell r="Q1">
            <v>1800</v>
          </cell>
          <cell r="R1">
            <v>1000</v>
          </cell>
          <cell r="S1">
            <v>1100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26333.3333333333</v>
          </cell>
          <cell r="Q1">
            <v>800</v>
          </cell>
          <cell r="R1">
            <v>1500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25033.3333333333</v>
          </cell>
          <cell r="Q1">
            <v>800</v>
          </cell>
          <cell r="R1">
            <v>0</v>
          </cell>
          <cell r="S1">
            <v>0</v>
          </cell>
          <cell r="T1">
            <v>0</v>
          </cell>
          <cell r="U1">
            <v>300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600</v>
          </cell>
          <cell r="Q1">
            <v>0</v>
          </cell>
          <cell r="R1">
            <v>285</v>
          </cell>
          <cell r="S1">
            <v>0</v>
          </cell>
          <cell r="T1">
            <v>0</v>
          </cell>
          <cell r="U1">
            <v>120</v>
          </cell>
          <cell r="V1">
            <v>135</v>
          </cell>
          <cell r="W1">
            <v>602.25</v>
          </cell>
          <cell r="X1">
            <v>92</v>
          </cell>
          <cell r="Y1">
            <v>0</v>
          </cell>
          <cell r="Z1">
            <v>300</v>
          </cell>
          <cell r="AA1">
            <v>0</v>
          </cell>
        </row>
      </sheetData>
      <sheetData sheetId="2">
        <row r="1">
          <cell r="P1">
            <v>720</v>
          </cell>
          <cell r="Q1">
            <v>0</v>
          </cell>
          <cell r="R1">
            <v>249</v>
          </cell>
          <cell r="S1">
            <v>0</v>
          </cell>
          <cell r="T1">
            <v>0</v>
          </cell>
          <cell r="U1">
            <v>0</v>
          </cell>
          <cell r="V1">
            <v>153</v>
          </cell>
          <cell r="W1">
            <v>666</v>
          </cell>
          <cell r="X1">
            <v>152</v>
          </cell>
          <cell r="Y1">
            <v>600</v>
          </cell>
          <cell r="Z1">
            <v>300</v>
          </cell>
          <cell r="AA1">
            <v>0</v>
          </cell>
        </row>
      </sheetData>
      <sheetData sheetId="3">
        <row r="1">
          <cell r="P1">
            <v>360</v>
          </cell>
          <cell r="Q1">
            <v>5000</v>
          </cell>
          <cell r="R1">
            <v>285</v>
          </cell>
          <cell r="S1">
            <v>0</v>
          </cell>
          <cell r="T1">
            <v>360</v>
          </cell>
          <cell r="U1">
            <v>0</v>
          </cell>
          <cell r="V1">
            <v>231</v>
          </cell>
          <cell r="W1">
            <v>654</v>
          </cell>
          <cell r="X1">
            <v>272</v>
          </cell>
          <cell r="Y1">
            <v>0</v>
          </cell>
          <cell r="Z1">
            <v>550</v>
          </cell>
          <cell r="AA1">
            <v>0</v>
          </cell>
        </row>
      </sheetData>
      <sheetData sheetId="4">
        <row r="1">
          <cell r="P1">
            <v>720</v>
          </cell>
          <cell r="Q1">
            <v>0</v>
          </cell>
          <cell r="R1">
            <v>249</v>
          </cell>
          <cell r="S1">
            <v>0</v>
          </cell>
          <cell r="T1">
            <v>0</v>
          </cell>
          <cell r="U1">
            <v>180</v>
          </cell>
          <cell r="V1">
            <v>159</v>
          </cell>
          <cell r="W1">
            <v>584.25</v>
          </cell>
          <cell r="X1">
            <v>92</v>
          </cell>
          <cell r="Y1">
            <v>480</v>
          </cell>
          <cell r="Z1">
            <v>300</v>
          </cell>
          <cell r="AA1">
            <v>0</v>
          </cell>
        </row>
      </sheetData>
      <sheetData sheetId="5">
        <row r="1">
          <cell r="P1">
            <v>540</v>
          </cell>
          <cell r="Q1">
            <v>0</v>
          </cell>
          <cell r="R1">
            <v>285</v>
          </cell>
          <cell r="S1">
            <v>800</v>
          </cell>
          <cell r="T1">
            <v>0</v>
          </cell>
          <cell r="U1">
            <v>240</v>
          </cell>
          <cell r="V1">
            <v>135</v>
          </cell>
          <cell r="W1">
            <v>602.25</v>
          </cell>
          <cell r="X1">
            <v>140</v>
          </cell>
          <cell r="Y1">
            <v>0</v>
          </cell>
          <cell r="Z1">
            <v>300</v>
          </cell>
          <cell r="AA1">
            <v>0</v>
          </cell>
        </row>
      </sheetData>
      <sheetData sheetId="6">
        <row r="1">
          <cell r="P1">
            <v>240</v>
          </cell>
          <cell r="Q1">
            <v>0</v>
          </cell>
          <cell r="R1">
            <v>249</v>
          </cell>
          <cell r="S1">
            <v>0</v>
          </cell>
          <cell r="T1">
            <v>300</v>
          </cell>
          <cell r="U1">
            <v>0</v>
          </cell>
          <cell r="V1">
            <v>147</v>
          </cell>
          <cell r="W1">
            <v>708</v>
          </cell>
          <cell r="X1">
            <v>92</v>
          </cell>
          <cell r="Y1">
            <v>0</v>
          </cell>
          <cell r="Z1">
            <v>1468</v>
          </cell>
          <cell r="AA1">
            <v>0</v>
          </cell>
        </row>
      </sheetData>
      <sheetData sheetId="7">
        <row r="1">
          <cell r="P1">
            <v>480</v>
          </cell>
          <cell r="Q1">
            <v>0</v>
          </cell>
          <cell r="R1">
            <v>285</v>
          </cell>
          <cell r="S1">
            <v>0</v>
          </cell>
          <cell r="T1">
            <v>0</v>
          </cell>
          <cell r="U1">
            <v>96</v>
          </cell>
          <cell r="V1">
            <v>135</v>
          </cell>
          <cell r="W1">
            <v>606.75</v>
          </cell>
          <cell r="X1">
            <v>212</v>
          </cell>
          <cell r="Y1">
            <v>3000</v>
          </cell>
          <cell r="Z1">
            <v>300</v>
          </cell>
          <cell r="AA1">
            <v>0</v>
          </cell>
        </row>
      </sheetData>
      <sheetData sheetId="8">
        <row r="1">
          <cell r="P1">
            <v>840</v>
          </cell>
          <cell r="Q1">
            <v>3000</v>
          </cell>
          <cell r="R1">
            <v>249</v>
          </cell>
          <cell r="S1">
            <v>0</v>
          </cell>
          <cell r="T1">
            <v>0</v>
          </cell>
          <cell r="U1">
            <v>0</v>
          </cell>
          <cell r="V1">
            <v>165</v>
          </cell>
          <cell r="W1">
            <v>645</v>
          </cell>
          <cell r="X1">
            <v>164</v>
          </cell>
          <cell r="Y1">
            <v>0</v>
          </cell>
          <cell r="Z1">
            <v>300</v>
          </cell>
          <cell r="AA1">
            <v>0</v>
          </cell>
        </row>
      </sheetData>
      <sheetData sheetId="9">
        <row r="1">
          <cell r="P1">
            <v>480</v>
          </cell>
          <cell r="Q1">
            <v>0</v>
          </cell>
          <cell r="R1">
            <v>285</v>
          </cell>
          <cell r="S1">
            <v>5000</v>
          </cell>
          <cell r="T1">
            <v>420</v>
          </cell>
          <cell r="U1">
            <v>0</v>
          </cell>
          <cell r="V1">
            <v>255</v>
          </cell>
          <cell r="W1">
            <v>613.5</v>
          </cell>
          <cell r="X1">
            <v>92</v>
          </cell>
          <cell r="Y1">
            <v>0</v>
          </cell>
          <cell r="Z1">
            <v>467</v>
          </cell>
          <cell r="AA1">
            <v>500</v>
          </cell>
        </row>
      </sheetData>
      <sheetData sheetId="10">
        <row r="1">
          <cell r="P1">
            <v>600</v>
          </cell>
          <cell r="Q1">
            <v>0</v>
          </cell>
          <cell r="R1">
            <v>249</v>
          </cell>
          <cell r="S1">
            <v>0</v>
          </cell>
          <cell r="T1">
            <v>0</v>
          </cell>
          <cell r="U1">
            <v>144</v>
          </cell>
          <cell r="V1">
            <v>153</v>
          </cell>
          <cell r="W1">
            <v>638.25</v>
          </cell>
          <cell r="X1">
            <v>92</v>
          </cell>
          <cell r="Y1">
            <v>480</v>
          </cell>
          <cell r="Z1">
            <v>300</v>
          </cell>
          <cell r="AA1">
            <v>0</v>
          </cell>
        </row>
      </sheetData>
      <sheetData sheetId="11">
        <row r="1">
          <cell r="P1">
            <v>660</v>
          </cell>
          <cell r="Q1">
            <v>0</v>
          </cell>
          <cell r="R1">
            <v>285</v>
          </cell>
          <cell r="S1">
            <v>0</v>
          </cell>
          <cell r="T1">
            <v>0</v>
          </cell>
          <cell r="U1">
            <v>360</v>
          </cell>
          <cell r="V1">
            <v>135</v>
          </cell>
          <cell r="W1">
            <v>595.5</v>
          </cell>
          <cell r="X1">
            <v>368</v>
          </cell>
          <cell r="Y1">
            <v>0</v>
          </cell>
          <cell r="Z1">
            <v>300</v>
          </cell>
          <cell r="AA1">
            <v>0</v>
          </cell>
        </row>
      </sheetData>
      <sheetData sheetId="12">
        <row r="1">
          <cell r="P1">
            <v>300</v>
          </cell>
          <cell r="Q1">
            <v>0</v>
          </cell>
          <cell r="R1">
            <v>249</v>
          </cell>
          <cell r="S1">
            <v>0</v>
          </cell>
          <cell r="T1">
            <v>360</v>
          </cell>
          <cell r="U1">
            <v>0</v>
          </cell>
          <cell r="V1">
            <v>159</v>
          </cell>
          <cell r="W1">
            <v>682.5</v>
          </cell>
          <cell r="X1">
            <v>92</v>
          </cell>
          <cell r="Y1">
            <v>0</v>
          </cell>
          <cell r="Z1">
            <v>425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1000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1000</v>
          </cell>
        </row>
        <row r="1">
          <cell r="Y1">
            <v>25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1000</v>
          </cell>
        </row>
        <row r="1">
          <cell r="Y1">
            <v>250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1000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1000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1000</v>
          </cell>
        </row>
        <row r="1">
          <cell r="Y1">
            <v>208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1000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1000</v>
          </cell>
        </row>
        <row r="1">
          <cell r="Y1">
            <v>25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1000</v>
          </cell>
        </row>
        <row r="1">
          <cell r="Y1">
            <v>167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6000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1000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1000</v>
          </cell>
        </row>
        <row r="1">
          <cell r="Y1">
            <v>125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 t="s">
        <v>3</v>
      </c>
      <c r="D5" s="10"/>
      <c r="E5" s="10"/>
      <c r="F5" s="10"/>
      <c r="G5" s="10"/>
      <c r="H5" s="10"/>
      <c r="I5" s="10"/>
      <c r="J5" s="10"/>
      <c r="O5" s="11"/>
      <c r="P5" s="11"/>
      <c r="R5" s="11"/>
      <c r="S5" s="11"/>
      <c r="T5" s="11"/>
      <c r="U5" s="11"/>
    </row>
    <row r="7" customFormat="false" ht="12" hidden="false" customHeight="false" outlineLevel="0" collapsed="false">
      <c r="C7" s="11"/>
      <c r="D7" s="11"/>
      <c r="E7" s="11"/>
      <c r="F7" s="11"/>
      <c r="G7" s="11"/>
      <c r="H7" s="11"/>
      <c r="I7" s="11"/>
      <c r="J7" s="11"/>
    </row>
    <row r="9" customFormat="false" ht="12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customFormat="false" ht="7.5" hidden="false" customHeight="true" outlineLevel="0" collapsed="false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</row>
    <row r="11" customFormat="false" ht="12" hidden="false" customHeight="false" outlineLevel="0" collapsed="false">
      <c r="A11" s="15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15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6"/>
    </row>
    <row r="12" customFormat="false" ht="12" hidden="false" customHeight="true" outlineLevel="0" collapsed="false">
      <c r="A12" s="17"/>
      <c r="B12" s="7"/>
      <c r="C12" s="18"/>
      <c r="D12" s="18"/>
      <c r="E12" s="18"/>
      <c r="F12" s="18"/>
      <c r="G12" s="18"/>
      <c r="H12" s="18"/>
      <c r="I12" s="18"/>
      <c r="J12" s="18"/>
      <c r="K12" s="7"/>
      <c r="L12" s="7"/>
      <c r="M12" s="7"/>
      <c r="N12" s="19" t="s">
        <v>6</v>
      </c>
      <c r="O12" s="8"/>
      <c r="P12" s="8"/>
      <c r="Q12" s="8"/>
      <c r="R12" s="8"/>
      <c r="S12" s="8"/>
      <c r="T12" s="8"/>
      <c r="U12" s="8"/>
      <c r="V12" s="8"/>
      <c r="W12" s="16"/>
    </row>
    <row r="13" customFormat="false" ht="9.75" hidden="false" customHeight="true" outlineLevel="0" collapsed="false">
      <c r="A13" s="1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6"/>
    </row>
    <row r="14" customFormat="false" ht="12" hidden="false" customHeight="true" outlineLevel="0" collapsed="false">
      <c r="A14" s="17"/>
      <c r="B14" s="7"/>
      <c r="C14" s="18"/>
      <c r="D14" s="18"/>
      <c r="E14" s="18"/>
      <c r="F14" s="18"/>
      <c r="G14" s="18"/>
      <c r="H14" s="18"/>
      <c r="I14" s="18"/>
      <c r="J14" s="18"/>
      <c r="K14" s="7"/>
      <c r="L14" s="7"/>
      <c r="M14" s="7"/>
      <c r="N14" s="20"/>
      <c r="O14" s="7"/>
      <c r="P14" s="7"/>
      <c r="Q14" s="7"/>
      <c r="R14" s="7"/>
      <c r="S14" s="7"/>
      <c r="T14" s="7"/>
      <c r="U14" s="7"/>
      <c r="V14" s="7"/>
      <c r="W14" s="21"/>
    </row>
    <row r="15" customFormat="false" ht="7.5" hidden="false" customHeight="true" outlineLevel="0" collapsed="false">
      <c r="A15" s="1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1"/>
    </row>
    <row r="16" customFormat="false" ht="12" hidden="false" customHeight="false" outlineLevel="0" collapsed="false">
      <c r="A16" s="15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15" t="n">
        <v>6</v>
      </c>
      <c r="M16" s="7"/>
      <c r="N16" s="8" t="s">
        <v>9</v>
      </c>
      <c r="O16" s="8"/>
      <c r="P16" s="8"/>
      <c r="Q16" s="8"/>
      <c r="R16" s="7"/>
      <c r="S16" s="22" t="n">
        <f aca="false">Admin!B4</f>
        <v>46118</v>
      </c>
      <c r="T16" s="22"/>
      <c r="U16" s="22"/>
      <c r="V16" s="22"/>
      <c r="W16" s="16"/>
    </row>
    <row r="17" customFormat="false" ht="15" hidden="false" customHeight="true" outlineLevel="0" collapsed="false">
      <c r="A17" s="17"/>
      <c r="B17" s="7"/>
      <c r="C17" s="18"/>
      <c r="D17" s="18"/>
      <c r="E17" s="18"/>
      <c r="F17" s="18"/>
      <c r="G17" s="18"/>
      <c r="H17" s="18"/>
      <c r="I17" s="18"/>
      <c r="J17" s="18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6"/>
    </row>
    <row r="18" customFormat="false" ht="7.5" hidden="false" customHeight="true" outlineLevel="0" collapsed="false">
      <c r="A18" s="1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23"/>
      <c r="Q18" s="23"/>
      <c r="R18" s="7"/>
      <c r="S18" s="7"/>
      <c r="T18" s="7"/>
      <c r="U18" s="7"/>
      <c r="V18" s="7"/>
      <c r="W18" s="21"/>
    </row>
    <row r="19" customFormat="false" ht="13.5" hidden="false" customHeight="false" outlineLevel="0" collapsed="false">
      <c r="A19" s="17"/>
      <c r="B19" s="7"/>
      <c r="C19" s="18"/>
      <c r="D19" s="18"/>
      <c r="E19" s="18"/>
      <c r="F19" s="18"/>
      <c r="G19" s="18"/>
      <c r="H19" s="18"/>
      <c r="I19" s="18"/>
      <c r="J19" s="18"/>
      <c r="K19" s="7"/>
      <c r="L19" s="7"/>
      <c r="M19" s="7"/>
      <c r="N19" s="24"/>
      <c r="O19" s="24"/>
      <c r="P19" s="24"/>
      <c r="Q19" s="24"/>
      <c r="R19" s="7"/>
      <c r="S19" s="7"/>
      <c r="T19" s="7"/>
      <c r="U19" s="7"/>
      <c r="V19" s="7"/>
      <c r="W19" s="21"/>
    </row>
    <row r="20" customFormat="false" ht="7.5" hidden="false" customHeight="true" outlineLevel="0" collapsed="false">
      <c r="A20" s="1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1"/>
    </row>
    <row r="21" customFormat="false" ht="13.5" hidden="false" customHeight="false" outlineLevel="0" collapsed="false">
      <c r="A21" s="17"/>
      <c r="B21" s="7"/>
      <c r="C21" s="18"/>
      <c r="D21" s="18"/>
      <c r="E21" s="18"/>
      <c r="F21" s="18"/>
      <c r="G21" s="18"/>
      <c r="H21" s="18"/>
      <c r="I21" s="18"/>
      <c r="J21" s="18"/>
      <c r="K21" s="7"/>
      <c r="L21" s="15" t="n">
        <v>7</v>
      </c>
      <c r="M21" s="7"/>
      <c r="N21" s="8" t="s">
        <v>11</v>
      </c>
      <c r="O21" s="8"/>
      <c r="P21" s="8"/>
      <c r="Q21" s="8"/>
      <c r="R21" s="7"/>
      <c r="S21" s="22" t="n">
        <f aca="false">Admin!B17</f>
        <v>46482</v>
      </c>
      <c r="T21" s="22"/>
      <c r="U21" s="22"/>
      <c r="V21" s="22"/>
      <c r="W21" s="16"/>
    </row>
    <row r="22" customFormat="false" ht="7.5" hidden="false" customHeight="true" outlineLevel="0" collapsed="false">
      <c r="A22" s="1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5" t="s">
        <v>12</v>
      </c>
      <c r="O22" s="25"/>
      <c r="P22" s="25"/>
      <c r="Q22" s="25"/>
      <c r="R22" s="25"/>
      <c r="S22" s="25"/>
      <c r="T22" s="25"/>
      <c r="U22" s="25"/>
      <c r="V22" s="25"/>
      <c r="W22" s="26"/>
    </row>
    <row r="23" customFormat="false" ht="12" hidden="false" customHeight="false" outlineLevel="0" collapsed="false">
      <c r="A23" s="15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5"/>
      <c r="O23" s="25"/>
      <c r="P23" s="25"/>
      <c r="Q23" s="25"/>
      <c r="R23" s="25"/>
      <c r="S23" s="25"/>
      <c r="T23" s="25"/>
      <c r="U23" s="25"/>
      <c r="V23" s="25"/>
      <c r="W23" s="26"/>
    </row>
    <row r="24" customFormat="false" ht="13.5" hidden="false" customHeight="false" outlineLevel="0" collapsed="false">
      <c r="A24" s="17"/>
      <c r="B24" s="7"/>
      <c r="C24" s="27" t="s">
        <v>14</v>
      </c>
      <c r="D24" s="28"/>
      <c r="E24" s="28"/>
      <c r="F24" s="7"/>
      <c r="G24" s="7"/>
      <c r="H24" s="7"/>
      <c r="I24" s="7"/>
      <c r="J24" s="7"/>
      <c r="K24" s="7"/>
      <c r="L24" s="7"/>
      <c r="M24" s="7"/>
      <c r="N24" s="24"/>
      <c r="O24" s="24"/>
      <c r="P24" s="24"/>
      <c r="Q24" s="24"/>
      <c r="R24" s="7"/>
      <c r="S24" s="7"/>
      <c r="T24" s="7"/>
      <c r="U24" s="7"/>
      <c r="V24" s="7"/>
      <c r="W24" s="21"/>
    </row>
    <row r="25" customFormat="false" ht="13.5" hidden="false" customHeight="false" outlineLevel="0" collapsed="false">
      <c r="A25" s="17"/>
      <c r="B25" s="7"/>
      <c r="C25" s="18"/>
      <c r="D25" s="18"/>
      <c r="E25" s="18"/>
      <c r="F25" s="18"/>
      <c r="G25" s="18"/>
      <c r="H25" s="18"/>
      <c r="I25" s="18"/>
      <c r="J25" s="18"/>
      <c r="K25" s="7"/>
      <c r="L25" s="15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6"/>
    </row>
    <row r="26" s="30" customFormat="true" ht="12" hidden="false" customHeight="true" outlineLevel="0" collapsed="false">
      <c r="A26" s="2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7" t="s">
        <v>16</v>
      </c>
      <c r="O26" s="19"/>
      <c r="P26" s="19"/>
      <c r="Q26" s="19"/>
      <c r="R26" s="19"/>
      <c r="S26" s="19"/>
      <c r="T26" s="19"/>
      <c r="U26" s="19"/>
      <c r="V26" s="19"/>
      <c r="W26" s="26"/>
    </row>
    <row r="27" customFormat="false" ht="13.5" hidden="false" customHeight="false" outlineLevel="0" collapsed="false">
      <c r="A27" s="17"/>
      <c r="B27" s="7"/>
      <c r="C27" s="18"/>
      <c r="D27" s="18"/>
      <c r="E27" s="18"/>
      <c r="F27" s="18"/>
      <c r="G27" s="18"/>
      <c r="H27" s="18"/>
      <c r="I27" s="18"/>
      <c r="J27" s="18"/>
      <c r="K27" s="7"/>
      <c r="L27" s="7"/>
      <c r="M27" s="7"/>
      <c r="N27" s="24"/>
      <c r="O27" s="24"/>
      <c r="P27" s="24"/>
      <c r="Q27" s="24"/>
      <c r="R27" s="7"/>
      <c r="S27" s="7"/>
      <c r="T27" s="7"/>
      <c r="U27" s="7"/>
      <c r="V27" s="7"/>
      <c r="W27" s="21"/>
    </row>
    <row r="28" customFormat="false" ht="7.5" hidden="false" customHeight="true" outlineLevel="0" collapsed="false">
      <c r="A28" s="1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1"/>
    </row>
    <row r="29" customFormat="false" ht="12" hidden="false" customHeight="false" outlineLevel="0" collapsed="false">
      <c r="A29" s="15" t="n">
        <v>4</v>
      </c>
      <c r="B29" s="7"/>
      <c r="C29" s="19" t="s">
        <v>17</v>
      </c>
      <c r="D29" s="8"/>
      <c r="E29" s="8"/>
      <c r="F29" s="7"/>
      <c r="G29" s="7"/>
      <c r="H29" s="7"/>
      <c r="I29" s="7"/>
      <c r="J29" s="7"/>
      <c r="K29" s="7"/>
      <c r="L29" s="15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6"/>
    </row>
    <row r="30" customFormat="false" ht="13.5" hidden="false" customHeight="false" outlineLevel="0" collapsed="false">
      <c r="A30" s="17"/>
      <c r="B30" s="7"/>
      <c r="C30" s="31"/>
      <c r="D30" s="31"/>
      <c r="E30" s="7"/>
      <c r="F30" s="31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6"/>
    </row>
    <row r="31" customFormat="false" ht="12" hidden="false" customHeight="false" outlineLevel="0" collapsed="false">
      <c r="A31" s="1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8" t="s">
        <v>20</v>
      </c>
      <c r="O31" s="28"/>
      <c r="P31" s="8"/>
      <c r="Q31" s="8"/>
      <c r="R31" s="8"/>
      <c r="S31" s="8"/>
      <c r="T31" s="8"/>
      <c r="U31" s="8"/>
      <c r="V31" s="8"/>
      <c r="W31" s="16"/>
    </row>
    <row r="32" customFormat="false" ht="15" hidden="false" customHeight="true" outlineLevel="0" collapsed="false">
      <c r="A32" s="1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4" t="n">
        <f aca="false">Admin!B17</f>
        <v>46482</v>
      </c>
      <c r="O32" s="24"/>
      <c r="P32" s="24"/>
      <c r="Q32" s="24"/>
      <c r="R32" s="7"/>
      <c r="S32" s="7"/>
      <c r="T32" s="7"/>
      <c r="U32" s="7"/>
      <c r="V32" s="7"/>
      <c r="W32" s="21"/>
    </row>
    <row r="33" customFormat="false" ht="7.5" hidden="false" customHeight="true" outlineLevel="0" collapsed="false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4"/>
    </row>
    <row r="34" customFormat="false" ht="24.75" hidden="false" customHeight="true" outlineLevel="0" collapsed="false">
      <c r="A34" s="35" t="s">
        <v>21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customFormat="false" ht="6" hidden="false" customHeight="true" outlineLevel="0" collapsed="false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</row>
    <row r="36" customFormat="false" ht="12" hidden="false" customHeight="false" outlineLevel="0" collapsed="false">
      <c r="A36" s="15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15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6"/>
    </row>
    <row r="37" customFormat="false" ht="12" hidden="false" customHeight="false" outlineLevel="0" collapsed="false">
      <c r="A37" s="17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6"/>
    </row>
    <row r="38" customFormat="false" ht="7.5" hidden="false" customHeight="true" outlineLevel="0" collapsed="false">
      <c r="A38" s="1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1"/>
    </row>
    <row r="39" customFormat="false" ht="17.35" hidden="false" customHeight="false" outlineLevel="0" collapsed="false">
      <c r="A39" s="17"/>
      <c r="B39" s="7"/>
      <c r="C39" s="20"/>
      <c r="D39" s="7"/>
      <c r="E39" s="7"/>
      <c r="F39" s="7"/>
      <c r="G39" s="7"/>
      <c r="H39" s="7"/>
      <c r="I39" s="7"/>
      <c r="J39" s="7"/>
      <c r="K39" s="7"/>
      <c r="L39" s="7"/>
      <c r="M39" s="7"/>
      <c r="N39" s="20"/>
      <c r="O39" s="7"/>
      <c r="P39" s="7"/>
      <c r="Q39" s="7"/>
      <c r="R39" s="7"/>
      <c r="S39" s="7"/>
      <c r="T39" s="7"/>
      <c r="U39" s="7"/>
      <c r="V39" s="7"/>
      <c r="W39" s="21"/>
    </row>
    <row r="40" customFormat="false" ht="7.5" hidden="false" customHeight="true" outlineLevel="0" collapsed="false">
      <c r="A40" s="1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1"/>
    </row>
    <row r="41" customFormat="false" ht="12" hidden="false" customHeight="false" outlineLevel="0" collapsed="false">
      <c r="A41" s="15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15" t="n">
        <v>13</v>
      </c>
      <c r="M41" s="7"/>
      <c r="N41" s="8" t="str">
        <f aca="false">"If you have provided the information about your "&amp;Admin!G2</f>
        <v>If you have provided the information about your 2026-27</v>
      </c>
      <c r="O41" s="8"/>
      <c r="P41" s="8"/>
      <c r="Q41" s="8"/>
      <c r="R41" s="8"/>
      <c r="S41" s="8"/>
      <c r="T41" s="8"/>
      <c r="U41" s="8"/>
      <c r="V41" s="8"/>
      <c r="W41" s="16"/>
    </row>
    <row r="42" customFormat="false" ht="12" hidden="false" customHeight="false" outlineLevel="0" collapsed="false">
      <c r="A42" s="17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6"/>
    </row>
    <row r="43" customFormat="false" ht="12" hidden="false" customHeight="false" outlineLevel="0" collapsed="false">
      <c r="A43" s="1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6"/>
    </row>
    <row r="44" customFormat="false" ht="7.5" hidden="false" customHeight="true" outlineLevel="0" collapsed="false">
      <c r="A44" s="1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1"/>
    </row>
    <row r="45" customFormat="false" ht="17.35" hidden="false" customHeight="false" outlineLevel="0" collapsed="false">
      <c r="A45" s="17"/>
      <c r="B45" s="7"/>
      <c r="C45" s="20"/>
      <c r="D45" s="7"/>
      <c r="E45" s="7"/>
      <c r="F45" s="7"/>
      <c r="G45" s="7"/>
      <c r="H45" s="7"/>
      <c r="I45" s="7"/>
      <c r="J45" s="7"/>
      <c r="K45" s="7"/>
      <c r="L45" s="7"/>
      <c r="M45" s="7"/>
      <c r="N45" s="20"/>
      <c r="O45" s="7"/>
      <c r="P45" s="7"/>
      <c r="Q45" s="7"/>
      <c r="R45" s="7"/>
      <c r="S45" s="7"/>
      <c r="T45" s="7"/>
      <c r="U45" s="7"/>
      <c r="V45" s="7"/>
      <c r="W45" s="21"/>
    </row>
    <row r="46" customFormat="false" ht="7.5" hidden="false" customHeight="true" outlineLevel="0" collapsed="false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</row>
    <row r="47" customFormat="false" ht="12" hidden="false" customHeight="true" outlineLevel="0" collapsed="false">
      <c r="A47" s="1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27"/>
      <c r="O47" s="23"/>
      <c r="P47" s="23"/>
      <c r="Q47" s="23"/>
      <c r="R47" s="7"/>
      <c r="S47" s="7"/>
      <c r="T47" s="7"/>
      <c r="U47" s="7"/>
      <c r="V47" s="7"/>
      <c r="W47" s="21"/>
    </row>
    <row r="48" customFormat="false" ht="12" hidden="false" customHeight="false" outlineLevel="0" collapsed="false">
      <c r="A48" s="15" t="n">
        <v>26</v>
      </c>
      <c r="B48" s="7"/>
      <c r="C48" s="36" t="s">
        <v>29</v>
      </c>
      <c r="D48" s="7"/>
      <c r="E48" s="7"/>
      <c r="F48" s="7"/>
      <c r="G48" s="7"/>
      <c r="H48" s="7"/>
      <c r="I48" s="7"/>
      <c r="J48" s="7"/>
      <c r="K48" s="7"/>
      <c r="L48" s="15" t="n">
        <v>24</v>
      </c>
      <c r="M48" s="7"/>
      <c r="N48" s="36" t="s">
        <v>30</v>
      </c>
      <c r="O48" s="8"/>
      <c r="P48" s="8"/>
      <c r="Q48" s="8"/>
      <c r="R48" s="8"/>
      <c r="S48" s="8"/>
      <c r="T48" s="8"/>
      <c r="U48" s="8"/>
      <c r="V48" s="8"/>
      <c r="W48" s="21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28" t="s">
        <v>31</v>
      </c>
      <c r="O49" s="8"/>
      <c r="P49" s="8"/>
      <c r="Q49" s="8"/>
      <c r="R49" s="8"/>
      <c r="S49" s="8"/>
      <c r="T49" s="8"/>
      <c r="U49" s="8"/>
      <c r="V49" s="8"/>
      <c r="W49" s="21"/>
    </row>
    <row r="50" customFormat="false" ht="15" hidden="false" customHeight="true" outlineLevel="0" collapsed="false">
      <c r="A50" s="7"/>
      <c r="B50" s="7"/>
      <c r="C50" s="37" t="s">
        <v>32</v>
      </c>
      <c r="D50" s="38" t="n">
        <v>0</v>
      </c>
      <c r="E50" s="38"/>
      <c r="F50" s="38"/>
      <c r="G50" s="39" t="s">
        <v>33</v>
      </c>
      <c r="H50" s="40" t="n">
        <v>0</v>
      </c>
      <c r="I50" s="40" t="n">
        <v>0</v>
      </c>
      <c r="J50" s="7"/>
      <c r="K50" s="7"/>
      <c r="L50" s="8"/>
      <c r="M50" s="7"/>
      <c r="N50" s="37" t="s">
        <v>32</v>
      </c>
      <c r="O50" s="38"/>
      <c r="P50" s="38"/>
      <c r="Q50" s="38"/>
      <c r="R50" s="39" t="s">
        <v>33</v>
      </c>
      <c r="S50" s="40" t="n">
        <v>0</v>
      </c>
      <c r="T50" s="40" t="n">
        <v>0</v>
      </c>
      <c r="U50" s="8"/>
      <c r="V50" s="8"/>
      <c r="W50" s="21"/>
    </row>
    <row r="51" customFormat="false" ht="7.5" hidden="false" customHeight="true" outlineLevel="0" collapsed="false">
      <c r="A51" s="7"/>
      <c r="B51" s="7"/>
      <c r="C51" s="41"/>
      <c r="D51" s="42"/>
      <c r="E51" s="42"/>
      <c r="F51" s="42"/>
      <c r="G51" s="39"/>
      <c r="H51" s="43"/>
      <c r="I51" s="4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1"/>
    </row>
    <row r="52" s="30" customFormat="true" ht="12" hidden="false" customHeight="true" outlineLevel="0" collapsed="false">
      <c r="A52" s="23"/>
      <c r="B52" s="23"/>
      <c r="C52" s="19" t="s">
        <v>34</v>
      </c>
      <c r="D52" s="42"/>
      <c r="E52" s="42"/>
      <c r="F52" s="42"/>
      <c r="G52" s="39"/>
      <c r="H52" s="43"/>
      <c r="I52" s="43"/>
      <c r="J52" s="23"/>
      <c r="K52" s="23"/>
      <c r="L52" s="23"/>
      <c r="M52" s="23"/>
      <c r="N52" s="19" t="s">
        <v>35</v>
      </c>
      <c r="O52" s="23"/>
      <c r="P52" s="23"/>
      <c r="Q52" s="23"/>
      <c r="R52" s="23"/>
      <c r="S52" s="23"/>
      <c r="T52" s="23"/>
      <c r="U52" s="23"/>
      <c r="V52" s="23"/>
      <c r="W52" s="44"/>
    </row>
    <row r="53" s="30" customFormat="true" ht="12" hidden="false" customHeight="true" outlineLevel="0" collapsed="false">
      <c r="A53" s="23"/>
      <c r="B53" s="23"/>
      <c r="C53" s="45" t="s">
        <v>36</v>
      </c>
      <c r="D53" s="42"/>
      <c r="E53" s="42"/>
      <c r="F53" s="42"/>
      <c r="G53" s="39"/>
      <c r="H53" s="43"/>
      <c r="I53" s="43"/>
      <c r="J53" s="23"/>
      <c r="K53" s="23"/>
      <c r="L53" s="23"/>
      <c r="M53" s="23"/>
      <c r="N53" s="45" t="s">
        <v>36</v>
      </c>
      <c r="O53" s="42"/>
      <c r="P53" s="42"/>
      <c r="Q53" s="42"/>
      <c r="R53" s="39"/>
      <c r="S53" s="43"/>
      <c r="T53" s="43"/>
      <c r="U53" s="23"/>
      <c r="V53" s="23"/>
      <c r="W53" s="44"/>
    </row>
    <row r="54" customFormat="false" ht="3.75" hidden="false" customHeight="true" outlineLevel="0" collapsed="false">
      <c r="A54" s="1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3"/>
      <c r="O54" s="23"/>
      <c r="P54" s="23"/>
      <c r="Q54" s="23"/>
      <c r="R54" s="7"/>
      <c r="S54" s="7"/>
      <c r="T54" s="7"/>
      <c r="U54" s="7"/>
      <c r="V54" s="7"/>
      <c r="W54" s="21"/>
    </row>
    <row r="55" customFormat="false" ht="15" hidden="false" customHeight="true" outlineLevel="0" collapsed="false">
      <c r="A55" s="7"/>
      <c r="B55" s="7"/>
      <c r="C55" s="37" t="s">
        <v>32</v>
      </c>
      <c r="D55" s="46" t="n">
        <f aca="false">'SE Short'!O94</f>
        <v>0</v>
      </c>
      <c r="E55" s="46"/>
      <c r="F55" s="46"/>
      <c r="G55" s="39" t="s">
        <v>33</v>
      </c>
      <c r="H55" s="40" t="n">
        <v>0</v>
      </c>
      <c r="I55" s="40" t="n">
        <v>0</v>
      </c>
      <c r="J55" s="7"/>
      <c r="K55" s="7"/>
      <c r="L55" s="7"/>
      <c r="M55" s="7"/>
      <c r="N55" s="37" t="s">
        <v>32</v>
      </c>
      <c r="O55" s="46" t="n">
        <f aca="false">D50-D55+'SE Short'!O106</f>
        <v>0</v>
      </c>
      <c r="P55" s="46"/>
      <c r="Q55" s="46"/>
      <c r="R55" s="39" t="s">
        <v>33</v>
      </c>
      <c r="S55" s="40" t="n">
        <v>0</v>
      </c>
      <c r="T55" s="40" t="n">
        <v>0</v>
      </c>
      <c r="U55" s="7"/>
      <c r="V55" s="7"/>
      <c r="W55" s="21"/>
    </row>
    <row r="56" customFormat="false" ht="7.5" hidden="false" customHeight="true" outlineLevel="0" collapsed="false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4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47" width="3.66"/>
    <col collapsed="false" customWidth="true" hidden="false" outlineLevel="0" max="2" min="2" style="47" width="0.82"/>
    <col collapsed="false" customWidth="true" hidden="false" outlineLevel="0" max="3" min="3" style="47" width="3.66"/>
    <col collapsed="false" customWidth="true" hidden="false" outlineLevel="0" max="4" min="4" style="47" width="4.66"/>
    <col collapsed="false" customWidth="true" hidden="false" outlineLevel="0" max="5" min="5" style="47" width="1.66"/>
    <col collapsed="false" customWidth="true" hidden="false" outlineLevel="0" max="6" min="6" style="47" width="10.66"/>
    <col collapsed="false" customWidth="true" hidden="false" outlineLevel="0" max="7" min="7" style="47" width="1.66"/>
    <col collapsed="false" customWidth="true" hidden="false" outlineLevel="0" max="9" min="8" style="47" width="2.5"/>
    <col collapsed="false" customWidth="true" hidden="false" outlineLevel="0" max="11" min="10" style="47" width="6.66"/>
    <col collapsed="false" customWidth="true" hidden="false" outlineLevel="0" max="12" min="12" style="47" width="3.66"/>
    <col collapsed="false" customWidth="true" hidden="false" outlineLevel="0" max="13" min="13" style="47" width="0.82"/>
    <col collapsed="false" customWidth="true" hidden="false" outlineLevel="0" max="15" min="14" style="47" width="3.66"/>
    <col collapsed="false" customWidth="true" hidden="false" outlineLevel="0" max="17" min="16" style="47" width="6.66"/>
    <col collapsed="false" customWidth="true" hidden="false" outlineLevel="0" max="18" min="18" style="47" width="1.66"/>
    <col collapsed="false" customWidth="true" hidden="false" outlineLevel="0" max="19" min="19" style="47" width="2.5"/>
    <col collapsed="false" customWidth="true" hidden="false" outlineLevel="0" max="20" min="20" style="47" width="12.15"/>
    <col collapsed="false" customWidth="true" hidden="false" outlineLevel="0" max="21" min="21" style="47" width="2.66"/>
    <col collapsed="false" customWidth="true" hidden="false" outlineLevel="0" max="22" min="22" style="47" width="7.66"/>
    <col collapsed="false" customWidth="true" hidden="false" outlineLevel="0" max="23" min="23" style="47" width="12.32"/>
    <col collapsed="false" customWidth="false" hidden="false" outlineLevel="0" max="257" min="24" style="47" width="9.15"/>
  </cols>
  <sheetData>
    <row r="1" customFormat="false" ht="30" hidden="false" customHeight="true" outlineLevel="0" collapsed="false">
      <c r="A1" s="48" t="s">
        <v>37</v>
      </c>
      <c r="B1" s="48"/>
      <c r="C1" s="48"/>
      <c r="D1" s="48"/>
      <c r="E1" s="48"/>
      <c r="F1" s="48"/>
      <c r="G1" s="49" t="s">
        <v>38</v>
      </c>
      <c r="H1" s="49"/>
      <c r="I1" s="49"/>
      <c r="J1" s="49"/>
      <c r="K1" s="49"/>
      <c r="L1" s="49"/>
      <c r="M1" s="49"/>
      <c r="N1" s="49"/>
      <c r="O1" s="50" t="s">
        <v>39</v>
      </c>
      <c r="P1" s="50"/>
      <c r="Q1" s="50"/>
      <c r="R1" s="50"/>
      <c r="S1" s="50"/>
      <c r="T1" s="50"/>
      <c r="U1" s="50"/>
      <c r="V1" s="50"/>
      <c r="W1" s="50"/>
    </row>
    <row r="2" customFormat="false" ht="30" hidden="false" customHeight="true" outlineLevel="0" collapsed="false">
      <c r="A2" s="48"/>
      <c r="B2" s="48"/>
      <c r="C2" s="48"/>
      <c r="D2" s="48"/>
      <c r="E2" s="48"/>
      <c r="F2" s="48"/>
      <c r="G2" s="49"/>
      <c r="H2" s="49"/>
      <c r="I2" s="49"/>
      <c r="J2" s="49"/>
      <c r="K2" s="49"/>
      <c r="L2" s="49"/>
      <c r="M2" s="49"/>
      <c r="N2" s="49"/>
      <c r="O2" s="51" t="s">
        <v>40</v>
      </c>
      <c r="P2" s="51"/>
      <c r="Q2" s="52" t="n">
        <f aca="false">Admin!B4</f>
        <v>46118</v>
      </c>
      <c r="R2" s="52"/>
      <c r="S2" s="52"/>
      <c r="T2" s="52"/>
      <c r="U2" s="53" t="s">
        <v>41</v>
      </c>
      <c r="V2" s="52" t="n">
        <f aca="false">Admin!B17</f>
        <v>46482</v>
      </c>
      <c r="W2" s="52"/>
    </row>
    <row r="3" customFormat="false" ht="8.25" hidden="false" customHeight="true" outlineLevel="0" collapsed="false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customFormat="false" ht="9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customFormat="false" ht="6" hidden="false" customHeight="true" outlineLevel="0" collapsed="false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</row>
    <row r="6" customFormat="false" ht="12" hidden="false" customHeight="false" outlineLevel="0" collapsed="false">
      <c r="A6" s="59"/>
      <c r="B6" s="60"/>
      <c r="C6" s="61" t="s">
        <v>1</v>
      </c>
      <c r="D6" s="61"/>
      <c r="E6" s="61"/>
      <c r="F6" s="60"/>
      <c r="G6" s="60"/>
      <c r="H6" s="60"/>
      <c r="I6" s="60"/>
      <c r="J6" s="60"/>
      <c r="K6" s="60"/>
      <c r="L6" s="60"/>
      <c r="M6" s="60"/>
      <c r="N6" s="61" t="s">
        <v>2</v>
      </c>
      <c r="O6" s="61"/>
      <c r="P6" s="61"/>
      <c r="Q6" s="61"/>
      <c r="R6" s="61"/>
      <c r="S6" s="61"/>
      <c r="T6" s="61"/>
      <c r="U6" s="61"/>
      <c r="V6" s="61"/>
      <c r="W6" s="62"/>
    </row>
    <row r="7" customFormat="false" ht="7.5" hidden="false" customHeight="true" outlineLevel="0" collapsed="false">
      <c r="A7" s="59"/>
      <c r="B7" s="60"/>
      <c r="C7" s="61"/>
      <c r="D7" s="61"/>
      <c r="E7" s="61"/>
      <c r="F7" s="60"/>
      <c r="G7" s="60"/>
      <c r="H7" s="60"/>
      <c r="I7" s="60"/>
      <c r="J7" s="60"/>
      <c r="K7" s="60"/>
      <c r="L7" s="60"/>
      <c r="M7" s="60"/>
      <c r="N7" s="61"/>
      <c r="O7" s="61"/>
      <c r="P7" s="61"/>
      <c r="Q7" s="61"/>
      <c r="R7" s="61"/>
      <c r="S7" s="61"/>
      <c r="T7" s="61"/>
      <c r="U7" s="61"/>
      <c r="V7" s="61"/>
      <c r="W7" s="62"/>
    </row>
    <row r="8" customFormat="false" ht="15" hidden="false" customHeight="true" outlineLevel="0" collapsed="false">
      <c r="A8" s="59"/>
      <c r="B8" s="60"/>
      <c r="C8" s="63" t="str">
        <f aca="false">IF('Business Details'!C5&gt;0,'Business Details'!C5:J5," ")</f>
        <v>Precision Code Trading</v>
      </c>
      <c r="D8" s="63"/>
      <c r="E8" s="63"/>
      <c r="F8" s="63"/>
      <c r="G8" s="63"/>
      <c r="H8" s="63"/>
      <c r="I8" s="63"/>
      <c r="J8" s="63"/>
      <c r="K8" s="60"/>
      <c r="L8" s="60"/>
      <c r="M8" s="60"/>
      <c r="N8" s="60"/>
      <c r="O8" s="64" t="str">
        <f aca="false">IF('Business Details'!O5&gt;0,'Business Details'!O5," ")</f>
        <v> </v>
      </c>
      <c r="P8" s="64"/>
      <c r="Q8" s="7"/>
      <c r="R8" s="64" t="str">
        <f aca="false">IF('Business Details'!R5&gt;0,'Business Details'!R5," ")</f>
        <v> </v>
      </c>
      <c r="S8" s="64"/>
      <c r="T8" s="64"/>
      <c r="U8" s="64"/>
      <c r="V8" s="60"/>
      <c r="W8" s="65"/>
    </row>
    <row r="9" customFormat="false" ht="6" hidden="false" customHeight="true" outlineLevel="0" collapsed="false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8"/>
    </row>
    <row r="10" customFormat="false" ht="24.75" hidden="false" customHeight="true" outlineLevel="0" collapsed="false">
      <c r="A10" s="69" t="s">
        <v>42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customFormat="false" ht="7.5" hidden="false" customHeight="true" outlineLevel="0" collapsed="false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2"/>
    </row>
    <row r="12" customFormat="false" ht="12.65" hidden="false" customHeight="false" outlineLevel="0" collapsed="false">
      <c r="A12" s="73" t="n">
        <v>1</v>
      </c>
      <c r="B12" s="60"/>
      <c r="C12" s="61" t="s">
        <v>8</v>
      </c>
      <c r="D12" s="61"/>
      <c r="E12" s="61"/>
      <c r="F12" s="60"/>
      <c r="G12" s="60"/>
      <c r="H12" s="60"/>
      <c r="I12" s="60"/>
      <c r="J12" s="60"/>
      <c r="K12" s="60"/>
      <c r="L12" s="73" t="n">
        <v>4</v>
      </c>
      <c r="M12" s="60"/>
      <c r="N12" s="61" t="s">
        <v>43</v>
      </c>
      <c r="O12" s="61"/>
      <c r="P12" s="61"/>
      <c r="Q12" s="61"/>
      <c r="R12" s="74"/>
      <c r="S12" s="75"/>
      <c r="T12" s="75"/>
      <c r="U12" s="75"/>
      <c r="V12" s="61"/>
      <c r="W12" s="76"/>
    </row>
    <row r="13" customFormat="false" ht="15" hidden="false" customHeight="true" outlineLevel="0" collapsed="false">
      <c r="A13" s="77"/>
      <c r="B13" s="60"/>
      <c r="C13" s="63" t="str">
        <f aca="false">IF('Business Details'!C17&gt;0,'Business Details'!C17," ")</f>
        <v> </v>
      </c>
      <c r="D13" s="63"/>
      <c r="E13" s="63"/>
      <c r="F13" s="63"/>
      <c r="G13" s="63"/>
      <c r="H13" s="63"/>
      <c r="I13" s="63"/>
      <c r="J13" s="63"/>
      <c r="K13" s="60"/>
      <c r="L13" s="60"/>
      <c r="M13" s="60"/>
      <c r="N13" s="78" t="s">
        <v>44</v>
      </c>
      <c r="O13" s="61"/>
      <c r="P13" s="61"/>
      <c r="Q13" s="61"/>
      <c r="R13" s="61"/>
      <c r="S13" s="61"/>
      <c r="T13" s="61"/>
      <c r="U13" s="61"/>
      <c r="V13" s="61"/>
      <c r="W13" s="76"/>
    </row>
    <row r="14" customFormat="false" ht="7.5" hidden="false" customHeight="true" outlineLevel="0" collapsed="false">
      <c r="A14" s="77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79"/>
      <c r="O14" s="79"/>
      <c r="P14" s="79"/>
      <c r="Q14" s="79"/>
      <c r="R14" s="60"/>
      <c r="S14" s="60"/>
      <c r="T14" s="60"/>
      <c r="U14" s="60"/>
      <c r="V14" s="60"/>
      <c r="W14" s="80"/>
    </row>
    <row r="15" customFormat="false" ht="15" hidden="false" customHeight="true" outlineLevel="0" collapsed="false">
      <c r="A15" s="77"/>
      <c r="B15" s="60"/>
      <c r="C15" s="63" t="str">
        <f aca="false">IF('Business Details'!C19&gt;0,'Business Details'!C19," ")</f>
        <v> </v>
      </c>
      <c r="D15" s="63"/>
      <c r="E15" s="63"/>
      <c r="F15" s="63"/>
      <c r="G15" s="63"/>
      <c r="H15" s="63"/>
      <c r="I15" s="63"/>
      <c r="J15" s="63"/>
      <c r="K15" s="60"/>
      <c r="L15" s="60"/>
      <c r="M15" s="60"/>
      <c r="N15" s="81" t="str">
        <f aca="false">IF('Business Details'!N14="X","X"," ")</f>
        <v> </v>
      </c>
      <c r="O15" s="79"/>
      <c r="P15" s="79"/>
      <c r="Q15" s="79"/>
      <c r="R15" s="60"/>
      <c r="S15" s="60"/>
      <c r="T15" s="60"/>
      <c r="U15" s="60"/>
      <c r="V15" s="60"/>
      <c r="W15" s="80"/>
    </row>
    <row r="16" customFormat="false" ht="7.5" hidden="false" customHeight="true" outlineLevel="0" collapsed="false">
      <c r="A16" s="77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80"/>
    </row>
    <row r="17" customFormat="false" ht="15" hidden="false" customHeight="true" outlineLevel="0" collapsed="false">
      <c r="A17" s="77"/>
      <c r="B17" s="60"/>
      <c r="C17" s="63" t="str">
        <f aca="false">IF('Business Details'!C21&gt;0,'Business Details'!C21," ")</f>
        <v> </v>
      </c>
      <c r="D17" s="63"/>
      <c r="E17" s="63"/>
      <c r="F17" s="63"/>
      <c r="G17" s="63"/>
      <c r="H17" s="63"/>
      <c r="I17" s="63"/>
      <c r="J17" s="63"/>
      <c r="K17" s="60"/>
      <c r="L17" s="73" t="n">
        <v>5</v>
      </c>
      <c r="M17" s="60"/>
      <c r="N17" s="61" t="s">
        <v>45</v>
      </c>
      <c r="O17" s="61"/>
      <c r="P17" s="61"/>
      <c r="Q17" s="61"/>
      <c r="R17" s="74"/>
      <c r="S17" s="82" t="n">
        <f aca="false">Q2</f>
        <v>46118</v>
      </c>
      <c r="T17" s="82"/>
      <c r="U17" s="82"/>
      <c r="V17" s="82"/>
      <c r="W17" s="76"/>
    </row>
    <row r="18" customFormat="false" ht="12" hidden="false" customHeight="true" outlineLevel="0" collapsed="false">
      <c r="A18" s="77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83" t="s">
        <v>46</v>
      </c>
      <c r="O18" s="83"/>
      <c r="P18" s="83"/>
      <c r="Q18" s="83"/>
      <c r="R18" s="83"/>
      <c r="S18" s="83"/>
      <c r="T18" s="83"/>
      <c r="U18" s="83"/>
      <c r="V18" s="83"/>
      <c r="W18" s="84"/>
    </row>
    <row r="19" customFormat="false" ht="7.5" hidden="false" customHeight="true" outlineLevel="0" collapsed="false">
      <c r="A19" s="77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80"/>
    </row>
    <row r="20" customFormat="false" ht="13.5" hidden="false" customHeight="false" outlineLevel="0" collapsed="false">
      <c r="A20" s="73" t="n">
        <v>2</v>
      </c>
      <c r="B20" s="60"/>
      <c r="C20" s="61" t="s">
        <v>17</v>
      </c>
      <c r="D20" s="61"/>
      <c r="E20" s="61"/>
      <c r="F20" s="60"/>
      <c r="G20" s="60"/>
      <c r="H20" s="60"/>
      <c r="I20" s="60"/>
      <c r="J20" s="60"/>
      <c r="K20" s="60"/>
      <c r="L20" s="60"/>
      <c r="M20" s="60"/>
      <c r="N20" s="85" t="str">
        <f aca="false">IF('Business Details'!N19&gt;0,'Business Details'!N19," ")</f>
        <v> </v>
      </c>
      <c r="O20" s="85"/>
      <c r="P20" s="85"/>
      <c r="Q20" s="85"/>
      <c r="R20" s="61"/>
      <c r="S20" s="61"/>
      <c r="T20" s="61"/>
      <c r="U20" s="61"/>
      <c r="V20" s="61"/>
      <c r="W20" s="76"/>
    </row>
    <row r="21" customFormat="false" ht="7.5" hidden="false" customHeight="true" outlineLevel="0" collapsed="false">
      <c r="A21" s="77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80"/>
    </row>
    <row r="22" customFormat="false" ht="15" hidden="false" customHeight="true" outlineLevel="0" collapsed="false">
      <c r="A22" s="77"/>
      <c r="B22" s="60"/>
      <c r="C22" s="86" t="str">
        <f aca="false">IF('Business Details'!C30&gt;0,'Business Details'!C30," ")</f>
        <v> </v>
      </c>
      <c r="D22" s="86"/>
      <c r="E22" s="60"/>
      <c r="F22" s="87" t="str">
        <f aca="false">IF('Business Details'!F30&gt;0,'Business Details'!F30," ")</f>
        <v> </v>
      </c>
      <c r="G22" s="60"/>
      <c r="H22" s="60"/>
      <c r="I22" s="60"/>
      <c r="J22" s="60"/>
      <c r="K22" s="60"/>
      <c r="L22" s="60"/>
      <c r="M22" s="60"/>
      <c r="N22" s="61"/>
      <c r="O22" s="61"/>
      <c r="P22" s="61"/>
      <c r="Q22" s="61"/>
      <c r="R22" s="61"/>
      <c r="S22" s="61"/>
      <c r="T22" s="61"/>
      <c r="U22" s="61"/>
      <c r="V22" s="61"/>
      <c r="W22" s="76"/>
    </row>
    <row r="23" customFormat="false" ht="12" hidden="false" customHeight="false" outlineLevel="0" collapsed="false">
      <c r="A23" s="77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73" t="n">
        <v>6</v>
      </c>
      <c r="M23" s="61"/>
      <c r="N23" s="61" t="s">
        <v>47</v>
      </c>
      <c r="O23" s="88"/>
      <c r="P23" s="61"/>
      <c r="Q23" s="61"/>
      <c r="R23" s="61"/>
      <c r="S23" s="82" t="n">
        <f aca="false">V2</f>
        <v>46482</v>
      </c>
      <c r="T23" s="82"/>
      <c r="U23" s="82"/>
      <c r="V23" s="82"/>
      <c r="W23" s="76"/>
    </row>
    <row r="24" customFormat="false" ht="12" hidden="false" customHeight="false" outlineLevel="0" collapsed="false">
      <c r="A24" s="73" t="n">
        <v>3</v>
      </c>
      <c r="B24" s="60"/>
      <c r="C24" s="61" t="s">
        <v>48</v>
      </c>
      <c r="D24" s="60"/>
      <c r="E24" s="60"/>
      <c r="F24" s="60"/>
      <c r="G24" s="60"/>
      <c r="H24" s="60"/>
      <c r="I24" s="60"/>
      <c r="J24" s="60"/>
      <c r="K24" s="60"/>
      <c r="L24" s="60"/>
      <c r="M24" s="61"/>
      <c r="N24" s="78" t="s">
        <v>12</v>
      </c>
      <c r="O24" s="79"/>
      <c r="P24" s="79"/>
      <c r="Q24" s="79"/>
      <c r="R24" s="60"/>
      <c r="S24" s="60"/>
      <c r="T24" s="60"/>
      <c r="U24" s="60"/>
      <c r="V24" s="60"/>
      <c r="W24" s="80"/>
    </row>
    <row r="25" customFormat="false" ht="12" hidden="false" customHeight="false" outlineLevel="0" collapsed="false">
      <c r="A25" s="77"/>
      <c r="B25" s="60"/>
      <c r="C25" s="61" t="s">
        <v>49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79"/>
      <c r="O25" s="79"/>
      <c r="P25" s="79"/>
      <c r="Q25" s="79"/>
      <c r="R25" s="60"/>
      <c r="S25" s="60"/>
      <c r="T25" s="60"/>
      <c r="U25" s="60"/>
      <c r="V25" s="60"/>
      <c r="W25" s="80"/>
    </row>
    <row r="26" customFormat="false" ht="13.5" hidden="false" customHeight="false" outlineLevel="0" collapsed="false">
      <c r="A26" s="77"/>
      <c r="B26" s="60"/>
      <c r="C26" s="78" t="s">
        <v>50</v>
      </c>
      <c r="D26" s="79"/>
      <c r="E26" s="79"/>
      <c r="F26" s="79"/>
      <c r="G26" s="79"/>
      <c r="H26" s="79"/>
      <c r="I26" s="79"/>
      <c r="J26" s="79"/>
      <c r="K26" s="79"/>
      <c r="L26" s="60"/>
      <c r="M26" s="60"/>
      <c r="N26" s="85" t="str">
        <f aca="false">IF('Business Details'!N24&gt;0,'Business Details'!N24," ")</f>
        <v> </v>
      </c>
      <c r="O26" s="85"/>
      <c r="P26" s="85"/>
      <c r="Q26" s="85"/>
      <c r="R26" s="60"/>
      <c r="S26" s="60"/>
      <c r="T26" s="60"/>
      <c r="U26" s="60"/>
      <c r="V26" s="60"/>
      <c r="W26" s="80"/>
    </row>
    <row r="27" customFormat="false" ht="12" hidden="false" customHeight="false" outlineLevel="0" collapsed="false">
      <c r="A27" s="77"/>
      <c r="B27" s="60"/>
      <c r="C27" s="78" t="s">
        <v>51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79"/>
      <c r="O27" s="79"/>
      <c r="P27" s="79"/>
      <c r="Q27" s="79"/>
      <c r="R27" s="60"/>
      <c r="S27" s="60"/>
      <c r="T27" s="60"/>
      <c r="U27" s="60"/>
      <c r="V27" s="60"/>
      <c r="W27" s="80"/>
    </row>
    <row r="28" customFormat="false" ht="12" hidden="false" customHeight="false" outlineLevel="0" collapsed="false">
      <c r="A28" s="77"/>
      <c r="B28" s="60"/>
      <c r="C28" s="79"/>
      <c r="D28" s="60"/>
      <c r="E28" s="60"/>
      <c r="F28" s="60"/>
      <c r="G28" s="60"/>
      <c r="H28" s="60"/>
      <c r="I28" s="60"/>
      <c r="J28" s="60"/>
      <c r="K28" s="60"/>
      <c r="L28" s="73" t="n">
        <v>7</v>
      </c>
      <c r="M28" s="60"/>
      <c r="N28" s="78" t="s">
        <v>52</v>
      </c>
      <c r="O28" s="79"/>
      <c r="P28" s="79"/>
      <c r="Q28" s="79"/>
      <c r="R28" s="60"/>
      <c r="S28" s="60"/>
      <c r="T28" s="60"/>
      <c r="U28" s="60"/>
      <c r="V28" s="60"/>
      <c r="W28" s="80"/>
    </row>
    <row r="29" customFormat="false" ht="15" hidden="false" customHeight="true" outlineLevel="0" collapsed="false">
      <c r="A29" s="77"/>
      <c r="B29" s="60"/>
      <c r="C29" s="8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90" t="s">
        <v>53</v>
      </c>
      <c r="O29" s="79"/>
      <c r="P29" s="79"/>
      <c r="Q29" s="79"/>
      <c r="R29" s="60"/>
      <c r="S29" s="60"/>
      <c r="T29" s="60"/>
      <c r="U29" s="60"/>
      <c r="V29" s="60"/>
      <c r="W29" s="80"/>
    </row>
    <row r="30" customFormat="false" ht="7.5" hidden="false" customHeight="true" outlineLevel="0" collapsed="false">
      <c r="A30" s="77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90"/>
      <c r="O30" s="79"/>
      <c r="P30" s="79"/>
      <c r="Q30" s="79"/>
      <c r="R30" s="60"/>
      <c r="S30" s="60"/>
      <c r="T30" s="60"/>
      <c r="U30" s="60"/>
      <c r="V30" s="60"/>
      <c r="W30" s="80"/>
    </row>
    <row r="31" customFormat="false" ht="13.5" hidden="false" customHeight="false" outlineLevel="0" collapsed="false">
      <c r="A31" s="77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85" t="n">
        <f aca="false">Admin!B17</f>
        <v>46482</v>
      </c>
      <c r="O31" s="85"/>
      <c r="P31" s="85"/>
      <c r="Q31" s="85"/>
      <c r="R31" s="60"/>
      <c r="S31" s="60"/>
      <c r="T31" s="60"/>
      <c r="U31" s="60"/>
      <c r="V31" s="60"/>
      <c r="W31" s="80"/>
    </row>
    <row r="32" customFormat="false" ht="7.5" hidden="false" customHeight="true" outlineLevel="0" collapsed="false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3"/>
    </row>
    <row r="33" customFormat="false" ht="24.75" hidden="false" customHeight="true" outlineLevel="0" collapsed="false">
      <c r="A33" s="94" t="str">
        <f aca="false">IF(D38&gt;67000,"SELF-EMPLOYMENT FULL RETURN REQUIRED AS TURNOVER EXCEEDS £"&amp;Admin!F26&amp;" VAT threshold","Business income - if your annual turnover was below £"&amp;Admin!F26&amp;" VAT threshold")</f>
        <v>SELF-EMPLOYMENT FULL RETURN REQUIRED AS TURNOVER EXCEEDS £90000 VAT threshold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</row>
    <row r="34" customFormat="false" ht="7.5" hidden="false" customHeight="true" outlineLevel="0" collapsed="false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2"/>
    </row>
    <row r="35" customFormat="false" ht="12" hidden="false" customHeight="false" outlineLevel="0" collapsed="false">
      <c r="A35" s="73" t="n">
        <v>8</v>
      </c>
      <c r="B35" s="60"/>
      <c r="C35" s="61" t="s">
        <v>54</v>
      </c>
      <c r="D35" s="61"/>
      <c r="E35" s="61"/>
      <c r="F35" s="61"/>
      <c r="G35" s="61"/>
      <c r="H35" s="61"/>
      <c r="I35" s="61"/>
      <c r="J35" s="61"/>
      <c r="K35" s="61"/>
      <c r="L35" s="73" t="n">
        <v>9</v>
      </c>
      <c r="M35" s="60"/>
      <c r="N35" s="61" t="s">
        <v>55</v>
      </c>
      <c r="O35" s="61"/>
      <c r="P35" s="61"/>
      <c r="Q35" s="61"/>
      <c r="R35" s="61"/>
      <c r="S35" s="61"/>
      <c r="T35" s="61"/>
      <c r="U35" s="61"/>
      <c r="V35" s="61"/>
      <c r="W35" s="76"/>
    </row>
    <row r="36" customFormat="false" ht="12" hidden="false" customHeight="false" outlineLevel="0" collapsed="false">
      <c r="A36" s="77"/>
      <c r="B36" s="60"/>
      <c r="C36" s="88" t="s">
        <v>56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88" t="s">
        <v>57</v>
      </c>
      <c r="O36" s="60"/>
      <c r="P36" s="60"/>
      <c r="Q36" s="60"/>
      <c r="R36" s="60"/>
      <c r="S36" s="60"/>
      <c r="T36" s="60"/>
      <c r="U36" s="60"/>
      <c r="V36" s="60"/>
      <c r="W36" s="80"/>
    </row>
    <row r="37" customFormat="false" ht="6" hidden="false" customHeight="true" outlineLevel="0" collapsed="false">
      <c r="A37" s="77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80"/>
    </row>
    <row r="38" customFormat="false" ht="15" hidden="false" customHeight="false" outlineLevel="0" collapsed="false">
      <c r="A38" s="77"/>
      <c r="B38" s="60"/>
      <c r="C38" s="95" t="s">
        <v>32</v>
      </c>
      <c r="D38" s="96" t="n">
        <f aca="false">'Profit &amp; Loss Account'!B9</f>
        <v>339200</v>
      </c>
      <c r="E38" s="96"/>
      <c r="F38" s="96"/>
      <c r="G38" s="97" t="s">
        <v>33</v>
      </c>
      <c r="H38" s="98" t="n">
        <v>0</v>
      </c>
      <c r="I38" s="98" t="n">
        <v>0</v>
      </c>
      <c r="J38" s="60"/>
      <c r="K38" s="60"/>
      <c r="L38" s="60"/>
      <c r="M38" s="60"/>
      <c r="N38" s="95" t="s">
        <v>32</v>
      </c>
      <c r="O38" s="96" t="n">
        <f aca="false">'Profit &amp; Loss Account'!B38</f>
        <v>0</v>
      </c>
      <c r="P38" s="96"/>
      <c r="Q38" s="96"/>
      <c r="R38" s="97" t="s">
        <v>33</v>
      </c>
      <c r="S38" s="98" t="n">
        <v>0</v>
      </c>
      <c r="T38" s="98" t="n">
        <v>0</v>
      </c>
      <c r="U38" s="99"/>
      <c r="V38" s="100"/>
      <c r="W38" s="80"/>
    </row>
    <row r="39" customFormat="false" ht="7.5" hidden="false" customHeight="true" outlineLevel="0" collapsed="false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3"/>
    </row>
    <row r="40" customFormat="false" ht="24.75" hidden="false" customHeight="true" outlineLevel="0" collapsed="false">
      <c r="A40" s="101" t="s">
        <v>58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</row>
    <row r="41" s="103" customFormat="true" ht="13.5" hidden="false" customHeight="true" outlineLevel="0" collapsed="false">
      <c r="A41" s="102" t="s">
        <v>59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</row>
    <row r="42" s="103" customFormat="true" ht="13.5" hidden="false" customHeight="true" outlineLevel="0" collapsed="false">
      <c r="A42" s="102" t="s">
        <v>60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</row>
    <row r="43" customFormat="false" ht="7.5" hidden="false" customHeight="true" outlineLevel="0" collapsed="false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2"/>
    </row>
    <row r="44" customFormat="false" ht="12" hidden="false" customHeight="false" outlineLevel="0" collapsed="false">
      <c r="A44" s="73" t="n">
        <v>10</v>
      </c>
      <c r="B44" s="60"/>
      <c r="C44" s="61" t="s">
        <v>61</v>
      </c>
      <c r="D44" s="61"/>
      <c r="E44" s="61"/>
      <c r="F44" s="61"/>
      <c r="G44" s="61"/>
      <c r="H44" s="61"/>
      <c r="I44" s="61"/>
      <c r="J44" s="61"/>
      <c r="K44" s="61"/>
      <c r="L44" s="73" t="n">
        <v>15</v>
      </c>
      <c r="M44" s="60"/>
      <c r="N44" s="61" t="s">
        <v>62</v>
      </c>
      <c r="O44" s="60"/>
      <c r="P44" s="60"/>
      <c r="Q44" s="60"/>
      <c r="R44" s="60"/>
      <c r="S44" s="60"/>
      <c r="T44" s="60"/>
      <c r="U44" s="60"/>
      <c r="V44" s="60"/>
      <c r="W44" s="80"/>
    </row>
    <row r="45" customFormat="false" ht="6" hidden="false" customHeight="true" outlineLevel="0" collapsed="false">
      <c r="A45" s="104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80"/>
    </row>
    <row r="46" customFormat="false" ht="15" hidden="false" customHeight="false" outlineLevel="0" collapsed="false">
      <c r="A46" s="77"/>
      <c r="B46" s="60"/>
      <c r="C46" s="95" t="s">
        <v>32</v>
      </c>
      <c r="D46" s="96" t="n">
        <f aca="false">IF('Profit &amp; Loss Account'!B9&gt;30000,'Profit &amp; Loss Account'!B17," ")</f>
        <v>17744</v>
      </c>
      <c r="E46" s="96"/>
      <c r="F46" s="96"/>
      <c r="G46" s="97" t="s">
        <v>33</v>
      </c>
      <c r="H46" s="98" t="n">
        <v>0</v>
      </c>
      <c r="I46" s="98" t="n">
        <v>0</v>
      </c>
      <c r="J46" s="60"/>
      <c r="K46" s="60"/>
      <c r="L46" s="60"/>
      <c r="M46" s="60"/>
      <c r="N46" s="95" t="s">
        <v>32</v>
      </c>
      <c r="O46" s="96" t="n">
        <f aca="false">IF('Profit &amp; Loss Account'!B9&gt;30000,'Profit &amp; Loss Account'!B28," ")</f>
        <v>5310</v>
      </c>
      <c r="P46" s="96"/>
      <c r="Q46" s="96"/>
      <c r="R46" s="97" t="s">
        <v>33</v>
      </c>
      <c r="S46" s="98" t="n">
        <v>0</v>
      </c>
      <c r="T46" s="98" t="n">
        <v>0</v>
      </c>
      <c r="U46" s="60"/>
      <c r="V46" s="60"/>
      <c r="W46" s="80"/>
    </row>
    <row r="47" customFormat="false" ht="12" hidden="false" customHeight="false" outlineLevel="0" collapsed="false">
      <c r="A47" s="77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80"/>
    </row>
    <row r="48" customFormat="false" ht="12" hidden="false" customHeight="false" outlineLevel="0" collapsed="false">
      <c r="A48" s="73" t="n">
        <v>11</v>
      </c>
      <c r="B48" s="60"/>
      <c r="C48" s="61" t="s">
        <v>63</v>
      </c>
      <c r="D48" s="61"/>
      <c r="E48" s="61"/>
      <c r="F48" s="61"/>
      <c r="G48" s="61"/>
      <c r="H48" s="61"/>
      <c r="I48" s="61"/>
      <c r="J48" s="61"/>
      <c r="K48" s="61"/>
      <c r="L48" s="73" t="n">
        <v>16</v>
      </c>
      <c r="M48" s="60"/>
      <c r="N48" s="61" t="s">
        <v>64</v>
      </c>
      <c r="O48" s="60"/>
      <c r="P48" s="60"/>
      <c r="Q48" s="60"/>
      <c r="R48" s="60"/>
      <c r="S48" s="60"/>
      <c r="T48" s="60"/>
      <c r="U48" s="60"/>
      <c r="V48" s="60"/>
      <c r="W48" s="80"/>
    </row>
    <row r="49" customFormat="false" ht="12.75" hidden="false" customHeight="true" outlineLevel="0" collapsed="false">
      <c r="A49" s="77"/>
      <c r="B49" s="60"/>
      <c r="C49" s="88" t="s">
        <v>65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80"/>
    </row>
    <row r="50" customFormat="false" ht="6" hidden="false" customHeight="true" outlineLevel="0" collapsed="false">
      <c r="A50" s="104"/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80"/>
    </row>
    <row r="51" customFormat="false" ht="15" hidden="false" customHeight="false" outlineLevel="0" collapsed="false">
      <c r="A51" s="77"/>
      <c r="B51" s="60"/>
      <c r="C51" s="95" t="s">
        <v>32</v>
      </c>
      <c r="D51" s="96" t="n">
        <f aca="false">IF('Profit &amp; Loss Account'!B9&gt;30000,'Profit &amp; Loss Account'!B25+'Profit &amp; Loss Account'!B26," ")</f>
        <v>9458.25</v>
      </c>
      <c r="E51" s="96"/>
      <c r="F51" s="96"/>
      <c r="G51" s="97" t="s">
        <v>33</v>
      </c>
      <c r="H51" s="98" t="n">
        <v>0</v>
      </c>
      <c r="I51" s="98" t="n">
        <v>0</v>
      </c>
      <c r="J51" s="60"/>
      <c r="K51" s="60"/>
      <c r="L51" s="60"/>
      <c r="M51" s="60"/>
      <c r="N51" s="95" t="s">
        <v>32</v>
      </c>
      <c r="O51" s="96" t="n">
        <f aca="false">IF('Profit &amp; Loss Account'!B9&gt;30000,'Profit &amp; Loss Account'!B30+'Profit &amp; Loss Account'!B31," ")</f>
        <v>800</v>
      </c>
      <c r="P51" s="96"/>
      <c r="Q51" s="96"/>
      <c r="R51" s="97" t="s">
        <v>33</v>
      </c>
      <c r="S51" s="98" t="n">
        <v>0</v>
      </c>
      <c r="T51" s="98" t="n">
        <v>0</v>
      </c>
      <c r="U51" s="60"/>
      <c r="V51" s="60"/>
      <c r="W51" s="80"/>
    </row>
    <row r="52" customFormat="false" ht="12.75" hidden="false" customHeight="true" outlineLevel="0" collapsed="false">
      <c r="A52" s="77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80"/>
    </row>
    <row r="53" customFormat="false" ht="12" hidden="false" customHeight="false" outlineLevel="0" collapsed="false">
      <c r="A53" s="73" t="n">
        <v>12</v>
      </c>
      <c r="B53" s="60"/>
      <c r="C53" s="61" t="s">
        <v>66</v>
      </c>
      <c r="D53" s="61"/>
      <c r="E53" s="61"/>
      <c r="F53" s="61"/>
      <c r="G53" s="61"/>
      <c r="H53" s="61"/>
      <c r="I53" s="61"/>
      <c r="J53" s="61"/>
      <c r="K53" s="61"/>
      <c r="L53" s="73" t="n">
        <v>17</v>
      </c>
      <c r="M53" s="60"/>
      <c r="N53" s="61" t="s">
        <v>67</v>
      </c>
      <c r="O53" s="60"/>
      <c r="P53" s="60"/>
      <c r="Q53" s="60"/>
      <c r="R53" s="60"/>
      <c r="S53" s="60"/>
      <c r="T53" s="60"/>
      <c r="U53" s="60"/>
      <c r="V53" s="60"/>
      <c r="W53" s="80"/>
    </row>
    <row r="54" customFormat="false" ht="6" hidden="false" customHeight="true" outlineLevel="0" collapsed="false">
      <c r="A54" s="104"/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80"/>
    </row>
    <row r="55" customFormat="false" ht="15" hidden="false" customHeight="false" outlineLevel="0" collapsed="false">
      <c r="A55" s="77"/>
      <c r="B55" s="60"/>
      <c r="C55" s="95" t="s">
        <v>32</v>
      </c>
      <c r="D55" s="96" t="n">
        <f aca="false">IF('Profit &amp; Loss Account'!B9&gt;30000,'Profit &amp; Loss Account'!B21," ")</f>
        <v>5800</v>
      </c>
      <c r="E55" s="96"/>
      <c r="F55" s="96"/>
      <c r="G55" s="97" t="s">
        <v>33</v>
      </c>
      <c r="H55" s="98" t="n">
        <v>0</v>
      </c>
      <c r="I55" s="98" t="n">
        <v>0</v>
      </c>
      <c r="J55" s="60"/>
      <c r="K55" s="60"/>
      <c r="L55" s="60"/>
      <c r="M55" s="60"/>
      <c r="N55" s="95" t="s">
        <v>32</v>
      </c>
      <c r="O55" s="96" t="n">
        <f aca="false">IF('Profit &amp; Loss Account'!B9&gt;30000,'Profit &amp; Loss Account'!B24," ")</f>
        <v>1962</v>
      </c>
      <c r="P55" s="96"/>
      <c r="Q55" s="96"/>
      <c r="R55" s="97" t="s">
        <v>33</v>
      </c>
      <c r="S55" s="98" t="n">
        <v>0</v>
      </c>
      <c r="T55" s="98" t="n">
        <v>0</v>
      </c>
      <c r="U55" s="60"/>
      <c r="V55" s="60"/>
      <c r="W55" s="80"/>
    </row>
    <row r="56" customFormat="false" ht="12" hidden="false" customHeight="false" outlineLevel="0" collapsed="false">
      <c r="A56" s="77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80"/>
    </row>
    <row r="57" customFormat="false" ht="12" hidden="false" customHeight="false" outlineLevel="0" collapsed="false">
      <c r="A57" s="73" t="n">
        <v>13</v>
      </c>
      <c r="B57" s="60"/>
      <c r="C57" s="61" t="s">
        <v>68</v>
      </c>
      <c r="D57" s="61"/>
      <c r="E57" s="61"/>
      <c r="F57" s="61"/>
      <c r="G57" s="61"/>
      <c r="H57" s="61"/>
      <c r="I57" s="61"/>
      <c r="J57" s="61"/>
      <c r="K57" s="61"/>
      <c r="L57" s="73" t="n">
        <v>18</v>
      </c>
      <c r="M57" s="60"/>
      <c r="N57" s="61" t="s">
        <v>69</v>
      </c>
      <c r="O57" s="60"/>
      <c r="P57" s="60"/>
      <c r="Q57" s="60"/>
      <c r="R57" s="60"/>
      <c r="S57" s="60"/>
      <c r="T57" s="60"/>
      <c r="U57" s="60"/>
      <c r="V57" s="60"/>
      <c r="W57" s="80"/>
    </row>
    <row r="58" customFormat="false" ht="12" hidden="false" customHeight="false" outlineLevel="0" collapsed="false">
      <c r="A58" s="77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88" t="s">
        <v>70</v>
      </c>
      <c r="O58" s="60"/>
      <c r="P58" s="60"/>
      <c r="Q58" s="60"/>
      <c r="R58" s="60"/>
      <c r="S58" s="60"/>
      <c r="T58" s="60"/>
      <c r="U58" s="60"/>
      <c r="V58" s="60"/>
      <c r="W58" s="80"/>
    </row>
    <row r="59" customFormat="false" ht="6" hidden="false" customHeight="true" outlineLevel="0" collapsed="false">
      <c r="A59" s="104"/>
      <c r="B59" s="60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80"/>
    </row>
    <row r="60" customFormat="false" ht="15" hidden="false" customHeight="false" outlineLevel="0" collapsed="false">
      <c r="A60" s="77"/>
      <c r="B60" s="60"/>
      <c r="C60" s="95" t="s">
        <v>32</v>
      </c>
      <c r="D60" s="96" t="n">
        <f aca="false">IF('Profit &amp; Loss Account'!B9&gt;30000,'Profit &amp; Loss Account'!B22," ")</f>
        <v>1440</v>
      </c>
      <c r="E60" s="96"/>
      <c r="F60" s="96"/>
      <c r="G60" s="97" t="s">
        <v>33</v>
      </c>
      <c r="H60" s="98" t="n">
        <v>0</v>
      </c>
      <c r="I60" s="98" t="n">
        <v>0</v>
      </c>
      <c r="J60" s="60"/>
      <c r="K60" s="60"/>
      <c r="L60" s="60"/>
      <c r="M60" s="60"/>
      <c r="N60" s="95" t="s">
        <v>32</v>
      </c>
      <c r="O60" s="96" t="n">
        <f aca="false">IF('Profit &amp; Loss Account'!B9&gt;30000,'Profit &amp; Loss Account'!B27+'Profit &amp; Loss Account'!B29+'Profit &amp; Loss Account'!B32+'Profit &amp; Loss Account'!B33," ")</f>
        <v>4760</v>
      </c>
      <c r="P60" s="96"/>
      <c r="Q60" s="96"/>
      <c r="R60" s="97" t="s">
        <v>33</v>
      </c>
      <c r="S60" s="98" t="n">
        <v>0</v>
      </c>
      <c r="T60" s="98" t="n">
        <v>0</v>
      </c>
      <c r="U60" s="60"/>
      <c r="V60" s="60"/>
      <c r="W60" s="80"/>
    </row>
    <row r="61" customFormat="false" ht="12" hidden="false" customHeight="false" outlineLevel="0" collapsed="false">
      <c r="A61" s="77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80"/>
    </row>
    <row r="62" customFormat="false" ht="12" hidden="false" customHeight="false" outlineLevel="0" collapsed="false">
      <c r="A62" s="73" t="n">
        <v>14</v>
      </c>
      <c r="B62" s="60"/>
      <c r="C62" s="61" t="s">
        <v>71</v>
      </c>
      <c r="D62" s="61"/>
      <c r="E62" s="61"/>
      <c r="F62" s="61"/>
      <c r="G62" s="61"/>
      <c r="H62" s="61"/>
      <c r="I62" s="61"/>
      <c r="J62" s="61"/>
      <c r="K62" s="61"/>
      <c r="L62" s="73" t="n">
        <v>19</v>
      </c>
      <c r="M62" s="60"/>
      <c r="N62" s="61" t="s">
        <v>72</v>
      </c>
      <c r="O62" s="60"/>
      <c r="P62" s="60"/>
      <c r="Q62" s="60"/>
      <c r="R62" s="60"/>
      <c r="S62" s="60"/>
      <c r="T62" s="60"/>
      <c r="U62" s="60"/>
      <c r="V62" s="60"/>
      <c r="W62" s="80"/>
    </row>
    <row r="63" customFormat="false" ht="6" hidden="false" customHeight="true" outlineLevel="0" collapsed="false">
      <c r="A63" s="104"/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80"/>
    </row>
    <row r="64" customFormat="false" ht="15" hidden="false" customHeight="false" outlineLevel="0" collapsed="false">
      <c r="A64" s="77"/>
      <c r="B64" s="60"/>
      <c r="C64" s="95" t="s">
        <v>32</v>
      </c>
      <c r="D64" s="96" t="n">
        <f aca="false">IF('Profit &amp; Loss Account'!B9&gt;30000,'Profit &amp; Loss Account'!B23," ")</f>
        <v>1140</v>
      </c>
      <c r="E64" s="96"/>
      <c r="F64" s="96"/>
      <c r="G64" s="97" t="s">
        <v>33</v>
      </c>
      <c r="H64" s="98" t="n">
        <v>0</v>
      </c>
      <c r="I64" s="98" t="n">
        <v>0</v>
      </c>
      <c r="J64" s="60"/>
      <c r="K64" s="60"/>
      <c r="L64" s="60"/>
      <c r="M64" s="60"/>
      <c r="N64" s="95" t="s">
        <v>32</v>
      </c>
      <c r="O64" s="96" t="n">
        <f aca="false">'Profit &amp; Loss Account'!B17+'Profit &amp; Loss Account'!B35-'Profit &amp; Loss Account'!B34</f>
        <v>48414.25</v>
      </c>
      <c r="P64" s="96"/>
      <c r="Q64" s="96"/>
      <c r="R64" s="97" t="s">
        <v>33</v>
      </c>
      <c r="S64" s="98" t="n">
        <v>0</v>
      </c>
      <c r="T64" s="98" t="n">
        <v>0</v>
      </c>
      <c r="U64" s="60"/>
      <c r="V64" s="60"/>
      <c r="W64" s="80"/>
    </row>
    <row r="65" customFormat="false" ht="7.5" hidden="false" customHeight="true" outlineLevel="0" collapsed="false">
      <c r="A65" s="91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</row>
    <row r="66" customFormat="false" ht="24.75" hidden="false" customHeight="true" outlineLevel="0" collapsed="false">
      <c r="A66" s="105" t="s">
        <v>73</v>
      </c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</row>
    <row r="67" customFormat="false" ht="7.5" hidden="false" customHeight="true" outlineLevel="0" collapsed="false">
      <c r="A67" s="70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2"/>
    </row>
    <row r="68" customFormat="false" ht="12" hidden="false" customHeight="false" outlineLevel="0" collapsed="false">
      <c r="A68" s="73" t="n">
        <v>20</v>
      </c>
      <c r="B68" s="60"/>
      <c r="C68" s="61" t="s">
        <v>74</v>
      </c>
      <c r="D68" s="61"/>
      <c r="E68" s="61"/>
      <c r="F68" s="61"/>
      <c r="G68" s="61"/>
      <c r="H68" s="61"/>
      <c r="I68" s="61"/>
      <c r="J68" s="61"/>
      <c r="K68" s="61"/>
      <c r="L68" s="73" t="n">
        <v>21</v>
      </c>
      <c r="M68" s="60"/>
      <c r="N68" s="61" t="s">
        <v>75</v>
      </c>
      <c r="O68" s="60"/>
      <c r="P68" s="60"/>
      <c r="Q68" s="60"/>
      <c r="R68" s="60"/>
      <c r="S68" s="60"/>
      <c r="T68" s="60"/>
      <c r="U68" s="60"/>
      <c r="V68" s="60"/>
      <c r="W68" s="80"/>
    </row>
    <row r="69" customFormat="false" ht="12" hidden="false" customHeight="false" outlineLevel="0" collapsed="false">
      <c r="A69" s="77"/>
      <c r="B69" s="60"/>
      <c r="C69" s="88" t="s">
        <v>76</v>
      </c>
      <c r="D69" s="61"/>
      <c r="E69" s="61"/>
      <c r="F69" s="61"/>
      <c r="G69" s="61"/>
      <c r="H69" s="61"/>
      <c r="I69" s="61"/>
      <c r="J69" s="61"/>
      <c r="K69" s="61"/>
      <c r="L69" s="60"/>
      <c r="M69" s="60"/>
      <c r="N69" s="88" t="s">
        <v>77</v>
      </c>
      <c r="O69" s="60"/>
      <c r="P69" s="60"/>
      <c r="Q69" s="60"/>
      <c r="R69" s="60"/>
      <c r="S69" s="60"/>
      <c r="T69" s="60"/>
      <c r="U69" s="60"/>
      <c r="V69" s="60"/>
      <c r="W69" s="80"/>
    </row>
    <row r="70" customFormat="false" ht="6" hidden="false" customHeight="true" outlineLevel="0" collapsed="false">
      <c r="A70" s="104"/>
      <c r="B70" s="6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80"/>
    </row>
    <row r="71" customFormat="false" ht="15" hidden="false" customHeight="false" outlineLevel="0" collapsed="false">
      <c r="A71" s="77"/>
      <c r="B71" s="60"/>
      <c r="C71" s="95" t="s">
        <v>32</v>
      </c>
      <c r="D71" s="96" t="n">
        <f aca="false">IF((D38+O38-O64)&gt;=0,D38+O38-O64,0)</f>
        <v>290785.75</v>
      </c>
      <c r="E71" s="96"/>
      <c r="F71" s="96"/>
      <c r="G71" s="97" t="s">
        <v>33</v>
      </c>
      <c r="H71" s="98" t="n">
        <v>0</v>
      </c>
      <c r="I71" s="98" t="n">
        <v>0</v>
      </c>
      <c r="J71" s="60"/>
      <c r="K71" s="60"/>
      <c r="L71" s="60"/>
      <c r="M71" s="60"/>
      <c r="N71" s="95" t="s">
        <v>32</v>
      </c>
      <c r="O71" s="96" t="n">
        <f aca="false">IF((D38+O38-O64)&lt;0,O64-D38-O38,0)</f>
        <v>0</v>
      </c>
      <c r="P71" s="96"/>
      <c r="Q71" s="96"/>
      <c r="R71" s="97" t="s">
        <v>33</v>
      </c>
      <c r="S71" s="98" t="n">
        <v>0</v>
      </c>
      <c r="T71" s="98" t="n">
        <v>0</v>
      </c>
      <c r="U71" s="60"/>
      <c r="V71" s="60"/>
      <c r="W71" s="106"/>
      <c r="Y71" s="107"/>
      <c r="Z71" s="107"/>
    </row>
    <row r="72" customFormat="false" ht="7.5" hidden="false" customHeight="true" outlineLevel="0" collapsed="false">
      <c r="A72" s="91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3"/>
    </row>
    <row r="73" customFormat="false" ht="24.75" hidden="false" customHeight="true" outlineLevel="0" collapsed="false">
      <c r="A73" s="101" t="s">
        <v>78</v>
      </c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Y73" s="107"/>
      <c r="Z73" s="107"/>
    </row>
    <row r="74" customFormat="false" ht="13.5" hidden="false" customHeight="true" outlineLevel="0" collapsed="false">
      <c r="A74" s="102" t="s">
        <v>79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</row>
    <row r="75" customFormat="false" ht="13.5" hidden="false" customHeight="true" outlineLevel="0" collapsed="false">
      <c r="A75" s="102" t="s">
        <v>80</v>
      </c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Y75" s="107"/>
      <c r="Z75" s="107"/>
    </row>
    <row r="76" customFormat="false" ht="13.5" hidden="false" customHeight="true" outlineLevel="0" collapsed="false">
      <c r="A76" s="102" t="s">
        <v>81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</row>
    <row r="77" customFormat="false" ht="7.5" hidden="false" customHeight="true" outlineLevel="0" collapsed="false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2"/>
    </row>
    <row r="78" customFormat="false" ht="12" hidden="false" customHeight="false" outlineLevel="0" collapsed="false">
      <c r="A78" s="73" t="n">
        <v>22</v>
      </c>
      <c r="B78" s="60"/>
      <c r="C78" s="61" t="s">
        <v>82</v>
      </c>
      <c r="D78" s="61"/>
      <c r="E78" s="61"/>
      <c r="F78" s="61"/>
      <c r="G78" s="61"/>
      <c r="H78" s="61"/>
      <c r="I78" s="61"/>
      <c r="J78" s="61"/>
      <c r="K78" s="61"/>
      <c r="L78" s="73" t="n">
        <v>24</v>
      </c>
      <c r="M78" s="60"/>
      <c r="N78" s="61" t="s">
        <v>83</v>
      </c>
      <c r="O78" s="60"/>
      <c r="P78" s="60"/>
      <c r="Q78" s="60"/>
      <c r="R78" s="60"/>
      <c r="S78" s="60"/>
      <c r="T78" s="60"/>
      <c r="U78" s="60"/>
      <c r="V78" s="60"/>
      <c r="W78" s="80"/>
    </row>
    <row r="79" customFormat="false" ht="12" hidden="false" customHeight="false" outlineLevel="0" collapsed="false">
      <c r="A79" s="104"/>
      <c r="B79" s="60"/>
      <c r="C79" s="61"/>
      <c r="D79" s="61"/>
      <c r="E79" s="61"/>
      <c r="F79" s="61"/>
      <c r="G79" s="61"/>
      <c r="H79" s="61"/>
      <c r="I79" s="61"/>
      <c r="J79" s="61"/>
      <c r="K79" s="61"/>
      <c r="L79" s="60"/>
      <c r="M79" s="60"/>
      <c r="N79" s="60"/>
      <c r="O79" s="60"/>
      <c r="P79" s="60"/>
      <c r="Q79" s="60"/>
      <c r="R79" s="60"/>
      <c r="S79" s="108"/>
      <c r="T79" s="108"/>
      <c r="U79" s="108"/>
      <c r="V79" s="108"/>
      <c r="W79" s="80"/>
    </row>
    <row r="80" customFormat="false" ht="15" hidden="false" customHeight="true" outlineLevel="0" collapsed="false">
      <c r="A80" s="104"/>
      <c r="B80" s="60"/>
      <c r="C80" s="95" t="s">
        <v>32</v>
      </c>
      <c r="D80" s="96" t="n">
        <f aca="false">IF(([1]Schedule!$Q$1)&gt;0,[1]Schedule!$Q$1,0)</f>
        <v>0</v>
      </c>
      <c r="E80" s="96"/>
      <c r="F80" s="96"/>
      <c r="G80" s="97" t="s">
        <v>33</v>
      </c>
      <c r="H80" s="98" t="n">
        <v>0</v>
      </c>
      <c r="I80" s="98" t="n">
        <v>0</v>
      </c>
      <c r="J80" s="61"/>
      <c r="K80" s="61"/>
      <c r="L80" s="61"/>
      <c r="M80" s="60"/>
      <c r="N80" s="95" t="s">
        <v>32</v>
      </c>
      <c r="O80" s="96" t="n">
        <f aca="false">IF(([1]Schedule!$R$1+[1]Schedule!$Y$1)&gt;0,[1]Schedule!$R$1+[1]Schedule!$Y$1,0)</f>
        <v>0</v>
      </c>
      <c r="P80" s="96"/>
      <c r="Q80" s="96"/>
      <c r="R80" s="97" t="s">
        <v>33</v>
      </c>
      <c r="S80" s="98" t="n">
        <v>0</v>
      </c>
      <c r="T80" s="98" t="n">
        <v>0</v>
      </c>
      <c r="U80" s="60"/>
      <c r="V80" s="60"/>
      <c r="W80" s="80"/>
    </row>
    <row r="81" customFormat="false" ht="6" hidden="false" customHeight="true" outlineLevel="0" collapsed="false">
      <c r="A81" s="104"/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80"/>
    </row>
    <row r="82" customFormat="false" ht="12" hidden="false" customHeight="false" outlineLevel="0" collapsed="false">
      <c r="A82" s="73" t="n">
        <v>23</v>
      </c>
      <c r="B82" s="60"/>
      <c r="C82" s="61" t="s">
        <v>84</v>
      </c>
      <c r="D82" s="60"/>
      <c r="E82" s="60"/>
      <c r="F82" s="60"/>
      <c r="G82" s="60"/>
      <c r="H82" s="60"/>
      <c r="I82" s="60"/>
      <c r="J82" s="60"/>
      <c r="K82" s="60"/>
      <c r="L82" s="73" t="n">
        <v>25</v>
      </c>
      <c r="M82" s="60"/>
      <c r="N82" s="61" t="s">
        <v>85</v>
      </c>
      <c r="O82" s="60"/>
      <c r="P82" s="60"/>
      <c r="Q82" s="60"/>
      <c r="R82" s="60"/>
      <c r="S82" s="60"/>
      <c r="T82" s="60"/>
      <c r="U82" s="60"/>
      <c r="V82" s="60"/>
      <c r="W82" s="80"/>
    </row>
    <row r="83" customFormat="false" ht="11.25" hidden="false" customHeight="true" outlineLevel="0" collapsed="false">
      <c r="A83" s="77"/>
      <c r="B83" s="60"/>
      <c r="C83" s="61" t="s">
        <v>86</v>
      </c>
      <c r="D83" s="60"/>
      <c r="E83" s="60"/>
      <c r="F83" s="60"/>
      <c r="G83" s="60"/>
      <c r="H83" s="60"/>
      <c r="I83" s="60"/>
      <c r="J83" s="60"/>
      <c r="K83" s="60"/>
      <c r="L83" s="61"/>
      <c r="M83" s="60"/>
      <c r="N83" s="61" t="s">
        <v>87</v>
      </c>
      <c r="O83" s="108"/>
      <c r="P83" s="108"/>
      <c r="Q83" s="108"/>
      <c r="R83" s="108"/>
      <c r="S83" s="92"/>
      <c r="T83" s="92"/>
      <c r="U83" s="92"/>
      <c r="V83" s="92"/>
      <c r="W83" s="93"/>
    </row>
    <row r="84" customFormat="false" ht="6" hidden="false" customHeight="true" outlineLevel="0" collapsed="false">
      <c r="A84" s="104"/>
      <c r="B84" s="60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80"/>
    </row>
    <row r="85" customFormat="false" ht="15" hidden="false" customHeight="false" outlineLevel="0" collapsed="false">
      <c r="A85" s="104"/>
      <c r="B85" s="60"/>
      <c r="C85" s="95" t="s">
        <v>32</v>
      </c>
      <c r="D85" s="96" t="n">
        <f aca="false">IF(([1]Schedule!$R$1+[1]Schedule!$S$1)&lt;1000,[1]Schedule!$S$1,0)</f>
        <v>0</v>
      </c>
      <c r="E85" s="96"/>
      <c r="F85" s="96"/>
      <c r="G85" s="97" t="s">
        <v>33</v>
      </c>
      <c r="H85" s="98" t="n">
        <v>0</v>
      </c>
      <c r="I85" s="98" t="n">
        <v>0</v>
      </c>
      <c r="J85" s="61"/>
      <c r="K85" s="61"/>
      <c r="L85" s="60"/>
      <c r="M85" s="60"/>
      <c r="N85" s="95" t="s">
        <v>32</v>
      </c>
      <c r="O85" s="96" t="n">
        <f aca="false">IF([1]Schedule!$Z$1&gt;0,[1]Schedule!$Z$1,0)</f>
        <v>0</v>
      </c>
      <c r="P85" s="96"/>
      <c r="Q85" s="96"/>
      <c r="R85" s="97" t="s">
        <v>33</v>
      </c>
      <c r="S85" s="98" t="n">
        <v>0</v>
      </c>
      <c r="T85" s="98" t="n">
        <v>0</v>
      </c>
      <c r="U85" s="60"/>
      <c r="V85" s="60"/>
      <c r="W85" s="80"/>
    </row>
    <row r="86" customFormat="false" ht="7.5" hidden="false" customHeight="true" outlineLevel="0" collapsed="false">
      <c r="A86" s="91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3"/>
    </row>
    <row r="87" customFormat="false" ht="24.75" hidden="false" customHeight="true" outlineLevel="0" collapsed="false">
      <c r="A87" s="109" t="s">
        <v>88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</row>
    <row r="88" customFormat="false" ht="15.75" hidden="false" customHeight="true" outlineLevel="0" collapsed="false">
      <c r="A88" s="102" t="s">
        <v>89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</row>
    <row r="89" customFormat="false" ht="15.75" hidden="false" customHeight="true" outlineLevel="0" collapsed="false">
      <c r="A89" s="102" t="s">
        <v>90</v>
      </c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</row>
    <row r="90" customFormat="false" ht="7.5" hidden="false" customHeight="true" outlineLevel="0" collapsed="false">
      <c r="A90" s="70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2"/>
    </row>
    <row r="91" customFormat="false" ht="12" hidden="false" customHeight="false" outlineLevel="0" collapsed="false">
      <c r="A91" s="73" t="n">
        <v>26</v>
      </c>
      <c r="B91" s="60"/>
      <c r="C91" s="61" t="s">
        <v>91</v>
      </c>
      <c r="D91" s="61"/>
      <c r="E91" s="61"/>
      <c r="F91" s="61"/>
      <c r="G91" s="61"/>
      <c r="H91" s="61"/>
      <c r="I91" s="61"/>
      <c r="J91" s="61"/>
      <c r="K91" s="61"/>
      <c r="L91" s="73" t="n">
        <v>28</v>
      </c>
      <c r="M91" s="60"/>
      <c r="N91" s="61" t="s">
        <v>92</v>
      </c>
      <c r="O91" s="60"/>
      <c r="P91" s="60"/>
      <c r="Q91" s="60"/>
      <c r="R91" s="60"/>
      <c r="S91" s="60"/>
      <c r="T91" s="60"/>
      <c r="U91" s="60"/>
      <c r="V91" s="60"/>
      <c r="W91" s="80"/>
    </row>
    <row r="92" customFormat="false" ht="12" hidden="false" customHeight="false" outlineLevel="0" collapsed="false">
      <c r="A92" s="61"/>
      <c r="B92" s="60"/>
      <c r="C92" s="88" t="s">
        <v>93</v>
      </c>
      <c r="D92" s="61"/>
      <c r="E92" s="61"/>
      <c r="F92" s="61"/>
      <c r="G92" s="61"/>
      <c r="H92" s="61"/>
      <c r="I92" s="61"/>
      <c r="J92" s="61"/>
      <c r="K92" s="61"/>
      <c r="L92" s="61"/>
      <c r="M92" s="60"/>
      <c r="N92" s="61" t="s">
        <v>94</v>
      </c>
      <c r="O92" s="108"/>
      <c r="P92" s="108"/>
      <c r="Q92" s="108"/>
      <c r="R92" s="108"/>
      <c r="S92" s="108"/>
      <c r="T92" s="108"/>
      <c r="U92" s="108"/>
      <c r="V92" s="108"/>
      <c r="W92" s="80"/>
    </row>
    <row r="93" customFormat="false" ht="6" hidden="false" customHeight="true" outlineLevel="0" collapsed="false">
      <c r="A93" s="61"/>
      <c r="B93" s="60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80"/>
    </row>
    <row r="94" customFormat="false" ht="15" hidden="false" customHeight="false" outlineLevel="0" collapsed="false">
      <c r="A94" s="60"/>
      <c r="B94" s="60"/>
      <c r="C94" s="95" t="s">
        <v>32</v>
      </c>
      <c r="D94" s="96" t="n">
        <f aca="false">'Business Details'!O50</f>
        <v>0</v>
      </c>
      <c r="E94" s="96"/>
      <c r="F94" s="96"/>
      <c r="G94" s="97" t="s">
        <v>33</v>
      </c>
      <c r="H94" s="98" t="n">
        <v>0</v>
      </c>
      <c r="I94" s="98" t="n">
        <v>0</v>
      </c>
      <c r="J94" s="60"/>
      <c r="K94" s="60"/>
      <c r="L94" s="60"/>
      <c r="M94" s="60"/>
      <c r="N94" s="95" t="s">
        <v>32</v>
      </c>
      <c r="O94" s="96" t="n">
        <f aca="false">IF(O106&gt;0,0,IF('Business Details'!D50=0,0,IF(D99&gt;'Business Details'!D50,'Business Details'!D50,D99)))</f>
        <v>0</v>
      </c>
      <c r="P94" s="96"/>
      <c r="Q94" s="96"/>
      <c r="R94" s="97" t="s">
        <v>33</v>
      </c>
      <c r="S94" s="98" t="n">
        <v>0</v>
      </c>
      <c r="T94" s="98" t="n">
        <v>0</v>
      </c>
      <c r="U94" s="60"/>
      <c r="V94" s="60"/>
      <c r="W94" s="80"/>
    </row>
    <row r="95" customFormat="false" ht="12" hidden="false" customHeight="false" outlineLevel="0" collapsed="false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80"/>
    </row>
    <row r="96" customFormat="false" ht="12" hidden="false" customHeight="false" outlineLevel="0" collapsed="false">
      <c r="A96" s="73" t="n">
        <v>27</v>
      </c>
      <c r="B96" s="60"/>
      <c r="C96" s="61" t="s">
        <v>95</v>
      </c>
      <c r="D96" s="61"/>
      <c r="E96" s="61"/>
      <c r="F96" s="61"/>
      <c r="G96" s="61"/>
      <c r="H96" s="61"/>
      <c r="I96" s="61"/>
      <c r="J96" s="61"/>
      <c r="K96" s="61"/>
      <c r="L96" s="73" t="n">
        <v>29</v>
      </c>
      <c r="M96" s="60"/>
      <c r="N96" s="61" t="s">
        <v>96</v>
      </c>
      <c r="O96" s="60"/>
      <c r="P96" s="60"/>
      <c r="Q96" s="60"/>
      <c r="R96" s="60"/>
      <c r="S96" s="60"/>
      <c r="T96" s="60"/>
      <c r="U96" s="60"/>
      <c r="V96" s="60"/>
      <c r="W96" s="80"/>
    </row>
    <row r="97" customFormat="false" ht="12" hidden="false" customHeight="true" outlineLevel="0" collapsed="false">
      <c r="A97" s="104"/>
      <c r="B97" s="60"/>
      <c r="C97" s="61" t="s">
        <v>97</v>
      </c>
      <c r="D97" s="61"/>
      <c r="E97" s="61"/>
      <c r="F97" s="61"/>
      <c r="G97" s="61"/>
      <c r="H97" s="61"/>
      <c r="I97" s="61"/>
      <c r="J97" s="61"/>
      <c r="K97" s="61"/>
      <c r="L97" s="61"/>
      <c r="M97" s="60"/>
      <c r="N97" s="88" t="s">
        <v>98</v>
      </c>
      <c r="O97" s="60"/>
      <c r="P97" s="60"/>
      <c r="Q97" s="60"/>
      <c r="R97" s="60"/>
      <c r="S97" s="60"/>
      <c r="T97" s="60"/>
      <c r="U97" s="60"/>
      <c r="V97" s="60"/>
      <c r="W97" s="80"/>
    </row>
    <row r="98" customFormat="false" ht="6" hidden="false" customHeight="true" outlineLevel="0" collapsed="false">
      <c r="A98" s="104"/>
      <c r="B98" s="60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80"/>
    </row>
    <row r="99" customFormat="false" ht="15" hidden="false" customHeight="false" outlineLevel="0" collapsed="false">
      <c r="A99" s="77"/>
      <c r="B99" s="60"/>
      <c r="C99" s="95" t="s">
        <v>32</v>
      </c>
      <c r="D99" s="96" t="n">
        <f aca="false">IF((D71+O85+D94-O71-D80-D85-O80)&gt;0,D71+O85+D94-O71-D80-D85-O80,0)</f>
        <v>290785.75</v>
      </c>
      <c r="E99" s="96"/>
      <c r="F99" s="96"/>
      <c r="G99" s="97" t="s">
        <v>33</v>
      </c>
      <c r="H99" s="98" t="n">
        <v>0</v>
      </c>
      <c r="I99" s="98" t="n">
        <v>0</v>
      </c>
      <c r="J99" s="60"/>
      <c r="K99" s="60"/>
      <c r="L99" s="61"/>
      <c r="M99" s="60"/>
      <c r="N99" s="95" t="s">
        <v>32</v>
      </c>
      <c r="O99" s="96" t="n">
        <f aca="false">'Profit &amp; Loss Account'!B11</f>
        <v>2083.33333333333</v>
      </c>
      <c r="P99" s="96"/>
      <c r="Q99" s="96"/>
      <c r="R99" s="97" t="s">
        <v>33</v>
      </c>
      <c r="S99" s="98" t="n">
        <v>0</v>
      </c>
      <c r="T99" s="98" t="n">
        <v>0</v>
      </c>
      <c r="U99" s="60"/>
      <c r="V99" s="60"/>
      <c r="W99" s="80"/>
      <c r="Y99" s="107"/>
      <c r="Z99" s="107"/>
    </row>
    <row r="100" customFormat="false" ht="12" hidden="false" customHeight="true" outlineLevel="0" collapsed="false">
      <c r="A100" s="91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3"/>
    </row>
    <row r="101" customFormat="false" ht="24.75" hidden="false" customHeight="true" outlineLevel="0" collapsed="false">
      <c r="A101" s="101" t="s">
        <v>99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</row>
    <row r="102" customFormat="false" ht="7.5" hidden="false" customHeight="true" outlineLevel="0" collapsed="false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2"/>
    </row>
    <row r="103" customFormat="false" ht="12" hidden="false" customHeight="false" outlineLevel="0" collapsed="false">
      <c r="A103" s="73" t="n">
        <v>30</v>
      </c>
      <c r="B103" s="60"/>
      <c r="C103" s="61" t="s">
        <v>100</v>
      </c>
      <c r="D103" s="61"/>
      <c r="E103" s="61"/>
      <c r="F103" s="61"/>
      <c r="G103" s="61"/>
      <c r="H103" s="61"/>
      <c r="I103" s="61"/>
      <c r="J103" s="61"/>
      <c r="K103" s="61"/>
      <c r="L103" s="73" t="n">
        <v>31</v>
      </c>
      <c r="M103" s="60"/>
      <c r="N103" s="61" t="s">
        <v>101</v>
      </c>
      <c r="O103" s="60"/>
      <c r="P103" s="60"/>
      <c r="Q103" s="60"/>
      <c r="R103" s="60"/>
      <c r="S103" s="60"/>
      <c r="T103" s="60"/>
      <c r="U103" s="60"/>
      <c r="V103" s="60"/>
      <c r="W103" s="80"/>
    </row>
    <row r="104" customFormat="false" ht="12" hidden="false" customHeight="true" outlineLevel="0" collapsed="false">
      <c r="A104" s="77"/>
      <c r="B104" s="60"/>
      <c r="C104" s="78" t="s">
        <v>102</v>
      </c>
      <c r="D104" s="110"/>
      <c r="E104" s="110"/>
      <c r="F104" s="110"/>
      <c r="G104" s="97"/>
      <c r="H104" s="100"/>
      <c r="I104" s="100"/>
      <c r="J104" s="60"/>
      <c r="K104" s="60"/>
      <c r="L104" s="61"/>
      <c r="M104" s="60"/>
      <c r="N104" s="61" t="s">
        <v>103</v>
      </c>
      <c r="O104" s="60"/>
      <c r="P104" s="60"/>
      <c r="Q104" s="60"/>
      <c r="R104" s="60"/>
      <c r="S104" s="60"/>
      <c r="T104" s="60"/>
      <c r="U104" s="60"/>
      <c r="V104" s="60"/>
      <c r="W104" s="80"/>
    </row>
    <row r="105" customFormat="false" ht="6" hidden="false" customHeight="true" outlineLevel="0" collapsed="false">
      <c r="A105" s="104"/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80"/>
    </row>
    <row r="106" customFormat="false" ht="15" hidden="false" customHeight="false" outlineLevel="0" collapsed="false">
      <c r="A106" s="104"/>
      <c r="B106" s="60"/>
      <c r="C106" s="95" t="s">
        <v>32</v>
      </c>
      <c r="D106" s="96" t="n">
        <f aca="false">IF((D99+O99-O94)&gt;0,D99+O99-O94,0)</f>
        <v>292869.083333333</v>
      </c>
      <c r="E106" s="96"/>
      <c r="F106" s="96"/>
      <c r="G106" s="97" t="s">
        <v>33</v>
      </c>
      <c r="H106" s="98" t="n">
        <v>0</v>
      </c>
      <c r="I106" s="98" t="n">
        <v>0</v>
      </c>
      <c r="J106" s="61"/>
      <c r="K106" s="61"/>
      <c r="L106" s="61"/>
      <c r="M106" s="60"/>
      <c r="N106" s="95" t="s">
        <v>32</v>
      </c>
      <c r="O106" s="96" t="n">
        <f aca="false">IF((O71+D80+D85+O80-D71-O85-D94)&gt;=0,O71+D80+D85+O80-D71-O85-D94,0)</f>
        <v>0</v>
      </c>
      <c r="P106" s="96"/>
      <c r="Q106" s="96"/>
      <c r="R106" s="97" t="s">
        <v>33</v>
      </c>
      <c r="S106" s="98" t="n">
        <v>0</v>
      </c>
      <c r="T106" s="98" t="n">
        <v>0</v>
      </c>
      <c r="U106" s="60"/>
      <c r="V106" s="60"/>
      <c r="W106" s="80"/>
    </row>
    <row r="107" customFormat="false" ht="6" hidden="false" customHeight="true" outlineLevel="0" collapsed="false">
      <c r="A107" s="91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111"/>
      <c r="O107" s="92"/>
      <c r="P107" s="92"/>
      <c r="Q107" s="92"/>
      <c r="R107" s="92"/>
      <c r="S107" s="92"/>
      <c r="T107" s="92"/>
      <c r="U107" s="92"/>
      <c r="V107" s="92"/>
      <c r="W107" s="93"/>
    </row>
    <row r="108" customFormat="false" ht="24.75" hidden="false" customHeight="true" outlineLevel="0" collapsed="false">
      <c r="A108" s="109" t="s">
        <v>104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</row>
    <row r="109" customFormat="false" ht="15.75" hidden="false" customHeight="true" outlineLevel="0" collapsed="false">
      <c r="A109" s="102" t="s">
        <v>105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</row>
    <row r="110" customFormat="false" ht="7.5" hidden="false" customHeight="true" outlineLevel="0" collapsed="false">
      <c r="A110" s="70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2"/>
    </row>
    <row r="111" customFormat="false" ht="12" hidden="false" customHeight="false" outlineLevel="0" collapsed="false">
      <c r="A111" s="73" t="n">
        <v>32</v>
      </c>
      <c r="B111" s="60"/>
      <c r="C111" s="61" t="s">
        <v>106</v>
      </c>
      <c r="D111" s="61"/>
      <c r="E111" s="61"/>
      <c r="F111" s="61"/>
      <c r="G111" s="61"/>
      <c r="H111" s="61"/>
      <c r="I111" s="61"/>
      <c r="J111" s="61"/>
      <c r="K111" s="61"/>
      <c r="L111" s="73" t="n">
        <v>35</v>
      </c>
      <c r="M111" s="60"/>
      <c r="N111" s="61" t="s">
        <v>107</v>
      </c>
      <c r="O111" s="60"/>
      <c r="P111" s="60"/>
      <c r="Q111" s="60"/>
      <c r="R111" s="60"/>
      <c r="S111" s="60"/>
      <c r="T111" s="60"/>
      <c r="U111" s="60"/>
      <c r="V111" s="60"/>
      <c r="W111" s="80"/>
    </row>
    <row r="112" customFormat="false" ht="12" hidden="false" customHeight="false" outlineLevel="0" collapsed="false">
      <c r="A112" s="104"/>
      <c r="B112" s="60"/>
      <c r="C112" s="61" t="s">
        <v>108</v>
      </c>
      <c r="D112" s="112" t="str">
        <f aca="false">Admin!G2</f>
        <v>2026-27</v>
      </c>
      <c r="E112" s="112"/>
      <c r="F112" s="112"/>
      <c r="G112" s="61"/>
      <c r="H112" s="61"/>
      <c r="I112" s="61"/>
      <c r="J112" s="61"/>
      <c r="K112" s="61"/>
      <c r="L112" s="61"/>
      <c r="M112" s="60"/>
      <c r="N112" s="61" t="s">
        <v>109</v>
      </c>
      <c r="O112" s="108"/>
      <c r="P112" s="108"/>
      <c r="Q112" s="108"/>
      <c r="R112" s="108"/>
      <c r="S112" s="108"/>
      <c r="T112" s="108"/>
      <c r="U112" s="108"/>
      <c r="V112" s="108"/>
      <c r="W112" s="80"/>
    </row>
    <row r="113" customFormat="false" ht="6" hidden="false" customHeight="true" outlineLevel="0" collapsed="false">
      <c r="A113" s="104"/>
      <c r="B113" s="60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80"/>
    </row>
    <row r="114" customFormat="false" ht="15" hidden="false" customHeight="false" outlineLevel="0" collapsed="false">
      <c r="A114" s="77"/>
      <c r="B114" s="60"/>
      <c r="C114" s="95" t="s">
        <v>32</v>
      </c>
      <c r="D114" s="96"/>
      <c r="E114" s="96"/>
      <c r="F114" s="96"/>
      <c r="G114" s="97" t="s">
        <v>33</v>
      </c>
      <c r="H114" s="98" t="n">
        <v>0</v>
      </c>
      <c r="I114" s="98" t="n">
        <v>0</v>
      </c>
      <c r="J114" s="60"/>
      <c r="K114" s="60"/>
      <c r="L114" s="60"/>
      <c r="M114" s="60"/>
      <c r="N114" s="73"/>
      <c r="O114" s="110"/>
      <c r="P114" s="110"/>
      <c r="Q114" s="110"/>
      <c r="R114" s="97"/>
      <c r="S114" s="100"/>
      <c r="T114" s="100"/>
      <c r="U114" s="60"/>
      <c r="V114" s="60"/>
      <c r="W114" s="80"/>
    </row>
    <row r="115" customFormat="false" ht="12" hidden="false" customHeight="false" outlineLevel="0" collapsed="false">
      <c r="A115" s="77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80"/>
    </row>
    <row r="116" customFormat="false" ht="12" hidden="false" customHeight="false" outlineLevel="0" collapsed="false">
      <c r="A116" s="73" t="n">
        <v>33</v>
      </c>
      <c r="B116" s="60"/>
      <c r="C116" s="61" t="s">
        <v>110</v>
      </c>
      <c r="D116" s="61"/>
      <c r="E116" s="61"/>
      <c r="F116" s="61"/>
      <c r="G116" s="61"/>
      <c r="H116" s="61"/>
      <c r="I116" s="61"/>
      <c r="J116" s="61"/>
      <c r="K116" s="61"/>
      <c r="L116" s="73" t="n">
        <v>36</v>
      </c>
      <c r="M116" s="60"/>
      <c r="N116" s="61" t="s">
        <v>111</v>
      </c>
      <c r="O116" s="60"/>
      <c r="P116" s="60"/>
      <c r="Q116" s="60"/>
      <c r="R116" s="113" t="str">
        <f aca="false">Admin!G2</f>
        <v>2026-27</v>
      </c>
      <c r="S116" s="113"/>
      <c r="T116" s="113"/>
      <c r="U116" s="61" t="s">
        <v>112</v>
      </c>
      <c r="V116" s="60"/>
      <c r="W116" s="80"/>
    </row>
    <row r="117" customFormat="false" ht="12" hidden="false" customHeight="true" outlineLevel="0" collapsed="false">
      <c r="A117" s="104"/>
      <c r="B117" s="60"/>
      <c r="C117" s="61" t="s">
        <v>113</v>
      </c>
      <c r="D117" s="61"/>
      <c r="E117" s="61"/>
      <c r="F117" s="61"/>
      <c r="G117" s="61"/>
      <c r="H117" s="61"/>
      <c r="I117" s="61"/>
      <c r="J117" s="61"/>
      <c r="K117" s="61"/>
      <c r="L117" s="61"/>
      <c r="M117" s="60"/>
      <c r="N117" s="61" t="s">
        <v>114</v>
      </c>
      <c r="O117" s="60"/>
      <c r="P117" s="60"/>
      <c r="Q117" s="60"/>
      <c r="R117" s="60"/>
      <c r="S117" s="60"/>
      <c r="T117" s="60"/>
      <c r="U117" s="60"/>
      <c r="V117" s="60"/>
      <c r="W117" s="80"/>
    </row>
    <row r="118" customFormat="false" ht="12" hidden="false" customHeight="true" outlineLevel="0" collapsed="false">
      <c r="A118" s="104"/>
      <c r="B118" s="60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0"/>
      <c r="N118" s="90" t="s">
        <v>115</v>
      </c>
      <c r="O118" s="60"/>
      <c r="P118" s="60"/>
      <c r="Q118" s="60"/>
      <c r="R118" s="60"/>
      <c r="S118" s="60"/>
      <c r="T118" s="60"/>
      <c r="U118" s="60"/>
      <c r="V118" s="60"/>
      <c r="W118" s="80"/>
    </row>
    <row r="119" customFormat="false" ht="15" hidden="false" customHeight="false" outlineLevel="0" collapsed="false">
      <c r="A119" s="77"/>
      <c r="B119" s="60"/>
      <c r="C119" s="95" t="s">
        <v>32</v>
      </c>
      <c r="D119" s="96"/>
      <c r="E119" s="96"/>
      <c r="F119" s="96"/>
      <c r="G119" s="97" t="s">
        <v>33</v>
      </c>
      <c r="H119" s="98" t="n">
        <v>0</v>
      </c>
      <c r="I119" s="98" t="n">
        <v>0</v>
      </c>
      <c r="J119" s="60"/>
      <c r="K119" s="60"/>
      <c r="L119" s="61"/>
      <c r="M119" s="60"/>
      <c r="N119" s="73"/>
      <c r="O119" s="60"/>
      <c r="P119" s="60"/>
      <c r="Q119" s="60"/>
      <c r="R119" s="60"/>
      <c r="S119" s="60"/>
      <c r="T119" s="60"/>
      <c r="U119" s="60"/>
      <c r="V119" s="60"/>
      <c r="W119" s="80"/>
    </row>
    <row r="120" customFormat="false" ht="12" hidden="false" customHeight="true" outlineLevel="0" collapsed="false">
      <c r="A120" s="77"/>
      <c r="B120" s="60"/>
      <c r="C120" s="61"/>
      <c r="D120" s="60"/>
      <c r="E120" s="60"/>
      <c r="F120" s="60"/>
      <c r="G120" s="60"/>
      <c r="H120" s="60"/>
      <c r="I120" s="60"/>
      <c r="J120" s="60"/>
      <c r="K120" s="60"/>
      <c r="L120" s="61"/>
      <c r="M120" s="60"/>
      <c r="N120" s="114"/>
      <c r="O120" s="110"/>
      <c r="P120" s="110"/>
      <c r="Q120" s="110"/>
      <c r="R120" s="97"/>
      <c r="S120" s="100"/>
      <c r="T120" s="100"/>
      <c r="U120" s="60"/>
      <c r="V120" s="60"/>
      <c r="W120" s="80"/>
    </row>
    <row r="121" customFormat="false" ht="12" hidden="false" customHeight="false" outlineLevel="0" collapsed="false">
      <c r="A121" s="73" t="n">
        <v>34</v>
      </c>
      <c r="B121" s="60"/>
      <c r="C121" s="61" t="s">
        <v>116</v>
      </c>
      <c r="D121" s="61"/>
      <c r="E121" s="61"/>
      <c r="F121" s="61"/>
      <c r="G121" s="61"/>
      <c r="H121" s="61"/>
      <c r="I121" s="61"/>
      <c r="J121" s="61"/>
      <c r="K121" s="61"/>
      <c r="L121" s="73" t="n">
        <v>37</v>
      </c>
      <c r="M121" s="60"/>
      <c r="N121" s="61" t="s">
        <v>117</v>
      </c>
      <c r="O121" s="60"/>
      <c r="P121" s="60"/>
      <c r="Q121" s="60"/>
      <c r="R121" s="60"/>
      <c r="S121" s="60"/>
      <c r="T121" s="60"/>
      <c r="U121" s="60"/>
      <c r="V121" s="60"/>
      <c r="W121" s="80"/>
    </row>
    <row r="122" customFormat="false" ht="12" hidden="false" customHeight="true" outlineLevel="0" collapsed="false">
      <c r="A122" s="104"/>
      <c r="B122" s="60"/>
      <c r="C122" s="88" t="s">
        <v>118</v>
      </c>
      <c r="D122" s="61"/>
      <c r="E122" s="61"/>
      <c r="F122" s="61"/>
      <c r="G122" s="61"/>
      <c r="H122" s="61"/>
      <c r="I122" s="61"/>
      <c r="J122" s="61"/>
      <c r="K122" s="61"/>
      <c r="L122" s="61"/>
      <c r="M122" s="60"/>
      <c r="N122" s="61" t="s">
        <v>119</v>
      </c>
      <c r="O122" s="60"/>
      <c r="P122" s="60"/>
      <c r="Q122" s="60"/>
      <c r="R122" s="60"/>
      <c r="S122" s="60"/>
      <c r="T122" s="60"/>
      <c r="U122" s="60"/>
      <c r="V122" s="60"/>
      <c r="W122" s="80"/>
    </row>
    <row r="123" customFormat="false" ht="6" hidden="false" customHeight="true" outlineLevel="0" collapsed="false">
      <c r="A123" s="104"/>
      <c r="B123" s="60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80"/>
    </row>
    <row r="124" customFormat="false" ht="15" hidden="false" customHeight="false" outlineLevel="0" collapsed="false">
      <c r="A124" s="77"/>
      <c r="B124" s="60"/>
      <c r="C124" s="95" t="s">
        <v>32</v>
      </c>
      <c r="D124" s="96" t="n">
        <f aca="false">'Business Details'!O55</f>
        <v>0</v>
      </c>
      <c r="E124" s="96"/>
      <c r="F124" s="96"/>
      <c r="G124" s="97" t="s">
        <v>33</v>
      </c>
      <c r="H124" s="98" t="n">
        <v>0</v>
      </c>
      <c r="I124" s="98" t="n">
        <v>0</v>
      </c>
      <c r="J124" s="60"/>
      <c r="K124" s="60"/>
      <c r="L124" s="61"/>
      <c r="M124" s="60"/>
      <c r="N124" s="95" t="s">
        <v>32</v>
      </c>
      <c r="O124" s="96" t="n">
        <f aca="false">[2]Mar!$X$1</f>
        <v>0</v>
      </c>
      <c r="P124" s="96"/>
      <c r="Q124" s="96"/>
      <c r="R124" s="97" t="s">
        <v>33</v>
      </c>
      <c r="S124" s="98" t="n">
        <v>0</v>
      </c>
      <c r="T124" s="98" t="n">
        <v>0</v>
      </c>
      <c r="U124" s="60"/>
      <c r="V124" s="60"/>
      <c r="W124" s="80"/>
    </row>
    <row r="125" customFormat="false" ht="12" hidden="false" customHeight="true" outlineLevel="0" collapsed="false">
      <c r="A125" s="91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111"/>
      <c r="M125" s="92"/>
      <c r="N125" s="115"/>
      <c r="O125" s="116"/>
      <c r="P125" s="116"/>
      <c r="Q125" s="116"/>
      <c r="R125" s="117"/>
      <c r="S125" s="118"/>
      <c r="T125" s="118"/>
      <c r="U125" s="92"/>
      <c r="V125" s="92"/>
      <c r="W125" s="93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47" width="3.66"/>
    <col collapsed="false" customWidth="true" hidden="false" outlineLevel="0" max="2" min="2" style="47" width="0.82"/>
    <col collapsed="false" customWidth="true" hidden="false" outlineLevel="0" max="3" min="3" style="47" width="3.66"/>
    <col collapsed="false" customWidth="true" hidden="false" outlineLevel="0" max="4" min="4" style="47" width="4.15"/>
    <col collapsed="false" customWidth="true" hidden="false" outlineLevel="0" max="5" min="5" style="47" width="1.66"/>
    <col collapsed="false" customWidth="true" hidden="false" outlineLevel="0" max="6" min="6" style="47" width="10.66"/>
    <col collapsed="false" customWidth="true" hidden="false" outlineLevel="0" max="7" min="7" style="47" width="1.66"/>
    <col collapsed="false" customWidth="true" hidden="false" outlineLevel="0" max="9" min="8" style="47" width="2.5"/>
    <col collapsed="false" customWidth="true" hidden="false" outlineLevel="0" max="10" min="10" style="47" width="6.66"/>
    <col collapsed="false" customWidth="true" hidden="false" outlineLevel="0" max="11" min="11" style="47" width="9.66"/>
    <col collapsed="false" customWidth="true" hidden="false" outlineLevel="0" max="12" min="12" style="47" width="3.66"/>
    <col collapsed="false" customWidth="true" hidden="false" outlineLevel="0" max="13" min="13" style="47" width="0.82"/>
    <col collapsed="false" customWidth="true" hidden="false" outlineLevel="0" max="14" min="14" style="47" width="3.66"/>
    <col collapsed="false" customWidth="true" hidden="false" outlineLevel="0" max="15" min="15" style="47" width="3.49"/>
    <col collapsed="false" customWidth="true" hidden="false" outlineLevel="0" max="17" min="16" style="47" width="6.66"/>
    <col collapsed="false" customWidth="true" hidden="false" outlineLevel="0" max="18" min="18" style="47" width="1.66"/>
    <col collapsed="false" customWidth="true" hidden="false" outlineLevel="0" max="19" min="19" style="47" width="2.5"/>
    <col collapsed="false" customWidth="true" hidden="false" outlineLevel="0" max="20" min="20" style="47" width="11.32"/>
    <col collapsed="false" customWidth="true" hidden="false" outlineLevel="0" max="21" min="21" style="47" width="2.66"/>
    <col collapsed="false" customWidth="true" hidden="false" outlineLevel="0" max="22" min="22" style="47" width="5.5"/>
    <col collapsed="false" customWidth="true" hidden="false" outlineLevel="0" max="23" min="23" style="47" width="13.82"/>
    <col collapsed="false" customWidth="false" hidden="false" outlineLevel="0" max="257" min="24" style="47" width="9.15"/>
  </cols>
  <sheetData>
    <row r="1" customFormat="false" ht="30" hidden="false" customHeight="true" outlineLevel="0" collapsed="false">
      <c r="A1" s="48" t="s">
        <v>120</v>
      </c>
      <c r="B1" s="48"/>
      <c r="C1" s="48"/>
      <c r="D1" s="48"/>
      <c r="E1" s="48"/>
      <c r="F1" s="48"/>
      <c r="G1" s="49" t="s">
        <v>38</v>
      </c>
      <c r="H1" s="49"/>
      <c r="I1" s="49"/>
      <c r="J1" s="49"/>
      <c r="K1" s="49"/>
      <c r="L1" s="49"/>
      <c r="M1" s="49"/>
      <c r="N1" s="119" t="s">
        <v>121</v>
      </c>
      <c r="O1" s="119"/>
      <c r="P1" s="119"/>
      <c r="Q1" s="119"/>
      <c r="R1" s="119"/>
      <c r="S1" s="119"/>
      <c r="T1" s="119"/>
      <c r="U1" s="119"/>
      <c r="V1" s="119"/>
      <c r="W1" s="119"/>
    </row>
    <row r="2" customFormat="false" ht="30" hidden="false" customHeight="true" outlineLevel="0" collapsed="false">
      <c r="A2" s="48"/>
      <c r="B2" s="48"/>
      <c r="C2" s="48"/>
      <c r="D2" s="48"/>
      <c r="E2" s="48"/>
      <c r="F2" s="48"/>
      <c r="G2" s="49"/>
      <c r="H2" s="49"/>
      <c r="I2" s="49"/>
      <c r="J2" s="49"/>
      <c r="K2" s="49"/>
      <c r="L2" s="49"/>
      <c r="M2" s="49"/>
      <c r="N2" s="51" t="s">
        <v>40</v>
      </c>
      <c r="O2" s="51"/>
      <c r="P2" s="51"/>
      <c r="Q2" s="52" t="n">
        <f aca="false">Admin!B4</f>
        <v>46118</v>
      </c>
      <c r="R2" s="52"/>
      <c r="S2" s="52"/>
      <c r="T2" s="52"/>
      <c r="U2" s="53" t="s">
        <v>41</v>
      </c>
      <c r="V2" s="52" t="n">
        <f aca="false">Admin!B17</f>
        <v>46482</v>
      </c>
      <c r="W2" s="52"/>
    </row>
    <row r="3" customFormat="false" ht="8.25" hidden="false" customHeight="true" outlineLevel="0" collapsed="false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customFormat="false" ht="9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customFormat="false" ht="6" hidden="false" customHeight="true" outlineLevel="0" collapsed="false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</row>
    <row r="6" customFormat="false" ht="12" hidden="false" customHeight="false" outlineLevel="0" collapsed="false">
      <c r="A6" s="59"/>
      <c r="B6" s="60"/>
      <c r="C6" s="61" t="s">
        <v>1</v>
      </c>
      <c r="D6" s="61"/>
      <c r="E6" s="61"/>
      <c r="F6" s="60"/>
      <c r="G6" s="60"/>
      <c r="H6" s="60"/>
      <c r="I6" s="60"/>
      <c r="J6" s="60"/>
      <c r="K6" s="60"/>
      <c r="L6" s="60"/>
      <c r="M6" s="60"/>
      <c r="N6" s="61" t="s">
        <v>2</v>
      </c>
      <c r="O6" s="61"/>
      <c r="P6" s="61"/>
      <c r="Q6" s="61"/>
      <c r="R6" s="61"/>
      <c r="S6" s="61"/>
      <c r="T6" s="61"/>
      <c r="U6" s="61"/>
      <c r="V6" s="61"/>
      <c r="W6" s="62"/>
    </row>
    <row r="7" customFormat="false" ht="4.5" hidden="false" customHeight="true" outlineLevel="0" collapsed="false">
      <c r="A7" s="59"/>
      <c r="B7" s="60"/>
      <c r="C7" s="61"/>
      <c r="D7" s="61"/>
      <c r="E7" s="61"/>
      <c r="F7" s="60"/>
      <c r="G7" s="60"/>
      <c r="H7" s="60"/>
      <c r="I7" s="60"/>
      <c r="J7" s="60"/>
      <c r="K7" s="60"/>
      <c r="L7" s="60"/>
      <c r="M7" s="60"/>
      <c r="N7" s="61"/>
      <c r="O7" s="61"/>
      <c r="P7" s="61"/>
      <c r="Q7" s="61"/>
      <c r="R7" s="61"/>
      <c r="S7" s="61"/>
      <c r="T7" s="61"/>
      <c r="U7" s="61"/>
      <c r="V7" s="61"/>
      <c r="W7" s="62"/>
    </row>
    <row r="8" customFormat="false" ht="15" hidden="false" customHeight="true" outlineLevel="0" collapsed="false">
      <c r="A8" s="59"/>
      <c r="B8" s="60"/>
      <c r="C8" s="120" t="str">
        <f aca="false">IF('Business Details'!C5&gt;0,'Business Details'!C5," ")</f>
        <v>Precision Code Trading</v>
      </c>
      <c r="D8" s="120"/>
      <c r="E8" s="120"/>
      <c r="F8" s="120"/>
      <c r="G8" s="120"/>
      <c r="H8" s="120"/>
      <c r="I8" s="120"/>
      <c r="J8" s="120"/>
      <c r="K8" s="60"/>
      <c r="L8" s="60"/>
      <c r="M8" s="60"/>
      <c r="N8" s="60"/>
      <c r="O8" s="120" t="str">
        <f aca="false">IF('Business Details'!O5&gt;0,'Business Details'!O5," ")</f>
        <v> </v>
      </c>
      <c r="P8" s="120"/>
      <c r="Q8" s="60"/>
      <c r="R8" s="120" t="str">
        <f aca="false">IF('Business Details'!R5&gt;0,'Business Details'!R5," ")</f>
        <v> </v>
      </c>
      <c r="S8" s="120"/>
      <c r="T8" s="120"/>
      <c r="U8" s="120"/>
      <c r="V8" s="60"/>
      <c r="W8" s="65"/>
    </row>
    <row r="9" customFormat="false" ht="9.75" hidden="false" customHeight="true" outlineLevel="0" collapsed="false">
      <c r="A9" s="77"/>
      <c r="B9" s="60"/>
      <c r="C9" s="121"/>
      <c r="D9" s="121"/>
      <c r="E9" s="121"/>
      <c r="F9" s="121"/>
      <c r="G9" s="121"/>
      <c r="H9" s="121"/>
      <c r="I9" s="121"/>
      <c r="J9" s="121"/>
      <c r="K9" s="60"/>
      <c r="L9" s="60"/>
      <c r="M9" s="60"/>
      <c r="N9" s="61"/>
      <c r="O9" s="61"/>
      <c r="P9" s="61"/>
      <c r="Q9" s="61"/>
      <c r="R9" s="61"/>
      <c r="S9" s="61"/>
      <c r="T9" s="61"/>
      <c r="U9" s="61"/>
      <c r="V9" s="61"/>
      <c r="W9" s="76"/>
    </row>
    <row r="10" customFormat="false" ht="15" hidden="false" customHeight="true" outlineLevel="0" collapsed="false">
      <c r="A10" s="77"/>
      <c r="B10" s="60"/>
      <c r="C10" s="120" t="str">
        <f aca="false">IF('Business Details'!C7&gt;0,'Business Details'!C7," ")</f>
        <v> </v>
      </c>
      <c r="D10" s="120"/>
      <c r="E10" s="120"/>
      <c r="F10" s="120"/>
      <c r="G10" s="120"/>
      <c r="H10" s="120"/>
      <c r="I10" s="120"/>
      <c r="J10" s="120"/>
      <c r="K10" s="60"/>
      <c r="L10" s="60"/>
      <c r="M10" s="60"/>
      <c r="N10" s="61"/>
      <c r="O10" s="61"/>
      <c r="P10" s="61"/>
      <c r="Q10" s="61"/>
      <c r="R10" s="61"/>
      <c r="S10" s="61"/>
      <c r="T10" s="61"/>
      <c r="U10" s="61"/>
      <c r="V10" s="61"/>
      <c r="W10" s="76"/>
    </row>
    <row r="11" customFormat="false" ht="6" hidden="false" customHeight="true" outlineLevel="0" collapsed="false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8"/>
    </row>
    <row r="12" customFormat="false" ht="24.75" hidden="false" customHeight="true" outlineLevel="0" collapsed="false">
      <c r="A12" s="122" t="s">
        <v>42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</row>
    <row r="13" customFormat="false" ht="7.5" hidden="false" customHeight="true" outlineLevel="0" collapsed="false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2"/>
    </row>
    <row r="14" customFormat="false" ht="12" hidden="false" customHeight="false" outlineLevel="0" collapsed="false">
      <c r="A14" s="73" t="n">
        <v>1</v>
      </c>
      <c r="B14" s="60"/>
      <c r="C14" s="61" t="s">
        <v>4</v>
      </c>
      <c r="D14" s="61"/>
      <c r="E14" s="61"/>
      <c r="F14" s="60"/>
      <c r="G14" s="60"/>
      <c r="H14" s="60"/>
      <c r="I14" s="60"/>
      <c r="J14" s="60"/>
      <c r="K14" s="60"/>
      <c r="L14" s="73" t="n">
        <v>5</v>
      </c>
      <c r="M14" s="60"/>
      <c r="N14" s="61" t="s">
        <v>5</v>
      </c>
      <c r="O14" s="61"/>
      <c r="P14" s="61"/>
      <c r="Q14" s="61"/>
      <c r="R14" s="61"/>
      <c r="S14" s="61"/>
      <c r="T14" s="61"/>
      <c r="U14" s="61"/>
      <c r="V14" s="61"/>
      <c r="W14" s="76"/>
    </row>
    <row r="15" customFormat="false" ht="15" hidden="false" customHeight="true" outlineLevel="0" collapsed="false">
      <c r="A15" s="77"/>
      <c r="B15" s="60"/>
      <c r="C15" s="120" t="str">
        <f aca="false">IF('Business Details'!C12&gt;0,'Business Details'!C12," ")</f>
        <v> </v>
      </c>
      <c r="D15" s="120"/>
      <c r="E15" s="120"/>
      <c r="F15" s="120"/>
      <c r="G15" s="120"/>
      <c r="H15" s="120"/>
      <c r="I15" s="120"/>
      <c r="J15" s="120"/>
      <c r="K15" s="60"/>
      <c r="L15" s="60"/>
      <c r="M15" s="60"/>
      <c r="N15" s="78" t="s">
        <v>6</v>
      </c>
      <c r="O15" s="61"/>
      <c r="P15" s="61"/>
      <c r="Q15" s="61"/>
      <c r="R15" s="61"/>
      <c r="S15" s="61"/>
      <c r="T15" s="61"/>
      <c r="U15" s="61"/>
      <c r="V15" s="61"/>
      <c r="W15" s="76"/>
    </row>
    <row r="16" customFormat="false" ht="9.75" hidden="false" customHeight="true" outlineLevel="0" collapsed="false">
      <c r="A16" s="77"/>
      <c r="B16" s="60"/>
      <c r="C16" s="121"/>
      <c r="D16" s="121"/>
      <c r="E16" s="121"/>
      <c r="F16" s="121"/>
      <c r="G16" s="121"/>
      <c r="H16" s="121"/>
      <c r="I16" s="121"/>
      <c r="J16" s="121"/>
      <c r="K16" s="60"/>
      <c r="L16" s="60"/>
      <c r="M16" s="60"/>
      <c r="N16" s="61" t="s">
        <v>7</v>
      </c>
      <c r="O16" s="61"/>
      <c r="P16" s="61"/>
      <c r="Q16" s="61"/>
      <c r="R16" s="61"/>
      <c r="S16" s="61"/>
      <c r="T16" s="61"/>
      <c r="U16" s="61"/>
      <c r="V16" s="61"/>
      <c r="W16" s="76"/>
    </row>
    <row r="17" customFormat="false" ht="15" hidden="false" customHeight="true" outlineLevel="0" collapsed="false">
      <c r="A17" s="77"/>
      <c r="B17" s="60"/>
      <c r="C17" s="120" t="str">
        <f aca="false">IF('Business Details'!C14&gt;0,'Business Details'!C14," ")</f>
        <v> </v>
      </c>
      <c r="D17" s="120"/>
      <c r="E17" s="120"/>
      <c r="F17" s="120"/>
      <c r="G17" s="120"/>
      <c r="H17" s="120"/>
      <c r="I17" s="120"/>
      <c r="J17" s="120"/>
      <c r="K17" s="60"/>
      <c r="L17" s="60"/>
      <c r="M17" s="60"/>
      <c r="N17" s="123" t="str">
        <f aca="false">IF('Business Details'!N14="X","X"," ")</f>
        <v> </v>
      </c>
      <c r="O17" s="60"/>
      <c r="P17" s="60"/>
      <c r="Q17" s="60"/>
      <c r="R17" s="60"/>
      <c r="S17" s="60"/>
      <c r="T17" s="60"/>
      <c r="U17" s="60"/>
      <c r="V17" s="60"/>
      <c r="W17" s="80"/>
    </row>
    <row r="18" customFormat="false" ht="7.5" hidden="false" customHeight="true" outlineLevel="0" collapsed="false">
      <c r="A18" s="77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80"/>
    </row>
    <row r="19" customFormat="false" ht="12" hidden="false" customHeight="false" outlineLevel="0" collapsed="false">
      <c r="A19" s="73" t="n">
        <v>2</v>
      </c>
      <c r="B19" s="60"/>
      <c r="C19" s="61" t="s">
        <v>8</v>
      </c>
      <c r="D19" s="61"/>
      <c r="E19" s="61"/>
      <c r="F19" s="60"/>
      <c r="G19" s="60"/>
      <c r="H19" s="60"/>
      <c r="I19" s="60"/>
      <c r="J19" s="60"/>
      <c r="K19" s="60"/>
      <c r="L19" s="73" t="n">
        <v>6</v>
      </c>
      <c r="M19" s="60"/>
      <c r="N19" s="61" t="s">
        <v>9</v>
      </c>
      <c r="O19" s="61"/>
      <c r="P19" s="61"/>
      <c r="Q19" s="61"/>
      <c r="R19" s="60"/>
      <c r="S19" s="82" t="n">
        <f aca="false">Admin!B4</f>
        <v>46118</v>
      </c>
      <c r="T19" s="82"/>
      <c r="U19" s="82"/>
      <c r="V19" s="82"/>
      <c r="W19" s="76"/>
    </row>
    <row r="20" customFormat="false" ht="15" hidden="false" customHeight="true" outlineLevel="0" collapsed="false">
      <c r="A20" s="77"/>
      <c r="B20" s="60"/>
      <c r="C20" s="120" t="str">
        <f aca="false">IF('Business Details'!C17&gt;0,'Business Details'!C17," ")</f>
        <v> </v>
      </c>
      <c r="D20" s="120"/>
      <c r="E20" s="120"/>
      <c r="F20" s="120"/>
      <c r="G20" s="120"/>
      <c r="H20" s="120"/>
      <c r="I20" s="120"/>
      <c r="J20" s="120"/>
      <c r="K20" s="60"/>
      <c r="L20" s="60"/>
      <c r="M20" s="60"/>
      <c r="N20" s="61" t="s">
        <v>10</v>
      </c>
      <c r="O20" s="61"/>
      <c r="P20" s="61"/>
      <c r="Q20" s="61"/>
      <c r="R20" s="61"/>
      <c r="S20" s="61"/>
      <c r="T20" s="61"/>
      <c r="U20" s="61"/>
      <c r="V20" s="61"/>
      <c r="W20" s="76"/>
    </row>
    <row r="21" customFormat="false" ht="7.5" hidden="false" customHeight="true" outlineLevel="0" collapsed="false">
      <c r="A21" s="77"/>
      <c r="B21" s="60"/>
      <c r="C21" s="121"/>
      <c r="D21" s="121"/>
      <c r="E21" s="121"/>
      <c r="F21" s="121"/>
      <c r="G21" s="121"/>
      <c r="H21" s="121"/>
      <c r="I21" s="121"/>
      <c r="J21" s="121"/>
      <c r="K21" s="60"/>
      <c r="L21" s="60"/>
      <c r="M21" s="60"/>
      <c r="N21" s="79"/>
      <c r="O21" s="79"/>
      <c r="P21" s="79"/>
      <c r="Q21" s="79"/>
      <c r="R21" s="60"/>
      <c r="S21" s="60"/>
      <c r="T21" s="60"/>
      <c r="U21" s="60"/>
      <c r="V21" s="60"/>
      <c r="W21" s="80"/>
    </row>
    <row r="22" customFormat="false" ht="13.5" hidden="false" customHeight="false" outlineLevel="0" collapsed="false">
      <c r="A22" s="77"/>
      <c r="B22" s="60"/>
      <c r="C22" s="120" t="str">
        <f aca="false">IF('Business Details'!C19&gt;0,'Business Details'!C19," ")</f>
        <v> </v>
      </c>
      <c r="D22" s="120"/>
      <c r="E22" s="120"/>
      <c r="F22" s="120"/>
      <c r="G22" s="120"/>
      <c r="H22" s="120"/>
      <c r="I22" s="120"/>
      <c r="J22" s="120"/>
      <c r="K22" s="60"/>
      <c r="L22" s="60"/>
      <c r="M22" s="60"/>
      <c r="N22" s="85" t="str">
        <f aca="false">IF('Business Details'!N10&gt;0,'Business Details'!N19," ")</f>
        <v> </v>
      </c>
      <c r="O22" s="85"/>
      <c r="P22" s="85"/>
      <c r="Q22" s="85"/>
      <c r="R22" s="60"/>
      <c r="S22" s="60"/>
      <c r="T22" s="60"/>
      <c r="U22" s="60"/>
      <c r="V22" s="60"/>
      <c r="W22" s="80"/>
    </row>
    <row r="23" customFormat="false" ht="7.5" hidden="false" customHeight="true" outlineLevel="0" collapsed="false">
      <c r="A23" s="77"/>
      <c r="B23" s="60"/>
      <c r="C23" s="121"/>
      <c r="D23" s="121"/>
      <c r="E23" s="121"/>
      <c r="F23" s="121"/>
      <c r="G23" s="121"/>
      <c r="H23" s="121"/>
      <c r="I23" s="121"/>
      <c r="J23" s="121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80"/>
    </row>
    <row r="24" customFormat="false" ht="13.5" hidden="false" customHeight="false" outlineLevel="0" collapsed="false">
      <c r="A24" s="77"/>
      <c r="B24" s="60"/>
      <c r="C24" s="120" t="str">
        <f aca="false">IF('Business Details'!C21&gt;0,'Business Details'!C21," ")</f>
        <v> </v>
      </c>
      <c r="D24" s="120"/>
      <c r="E24" s="120"/>
      <c r="F24" s="120"/>
      <c r="G24" s="120"/>
      <c r="H24" s="120"/>
      <c r="I24" s="120"/>
      <c r="J24" s="120"/>
      <c r="K24" s="60"/>
      <c r="L24" s="73" t="n">
        <v>7</v>
      </c>
      <c r="M24" s="60"/>
      <c r="N24" s="61" t="s">
        <v>11</v>
      </c>
      <c r="O24" s="61"/>
      <c r="P24" s="61"/>
      <c r="Q24" s="61"/>
      <c r="R24" s="60"/>
      <c r="S24" s="82" t="n">
        <f aca="false">Admin!B17</f>
        <v>46482</v>
      </c>
      <c r="T24" s="82"/>
      <c r="U24" s="82"/>
      <c r="V24" s="82"/>
      <c r="W24" s="76"/>
    </row>
    <row r="25" customFormat="false" ht="7.5" hidden="false" customHeight="true" outlineLevel="0" collapsed="false">
      <c r="A25" s="77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83" t="s">
        <v>12</v>
      </c>
      <c r="O25" s="83"/>
      <c r="P25" s="83"/>
      <c r="Q25" s="83"/>
      <c r="R25" s="83"/>
      <c r="S25" s="83"/>
      <c r="T25" s="83"/>
      <c r="U25" s="83"/>
      <c r="V25" s="83"/>
      <c r="W25" s="84"/>
    </row>
    <row r="26" customFormat="false" ht="12" hidden="false" customHeight="false" outlineLevel="0" collapsed="false">
      <c r="A26" s="73" t="n">
        <v>3</v>
      </c>
      <c r="B26" s="60"/>
      <c r="C26" s="61" t="s">
        <v>13</v>
      </c>
      <c r="D26" s="61"/>
      <c r="E26" s="61"/>
      <c r="F26" s="60"/>
      <c r="G26" s="60"/>
      <c r="H26" s="60"/>
      <c r="I26" s="60"/>
      <c r="J26" s="60"/>
      <c r="K26" s="60"/>
      <c r="L26" s="60"/>
      <c r="M26" s="60"/>
      <c r="N26" s="83"/>
      <c r="O26" s="83"/>
      <c r="P26" s="83"/>
      <c r="Q26" s="83"/>
      <c r="R26" s="83"/>
      <c r="S26" s="83"/>
      <c r="T26" s="83"/>
      <c r="U26" s="83"/>
      <c r="V26" s="83"/>
      <c r="W26" s="84"/>
    </row>
    <row r="27" customFormat="false" ht="15" hidden="false" customHeight="true" outlineLevel="0" collapsed="false">
      <c r="A27" s="77"/>
      <c r="B27" s="60"/>
      <c r="C27" s="90" t="s">
        <v>14</v>
      </c>
      <c r="D27" s="88"/>
      <c r="E27" s="88"/>
      <c r="F27" s="60"/>
      <c r="G27" s="60"/>
      <c r="H27" s="60"/>
      <c r="I27" s="60"/>
      <c r="J27" s="60"/>
      <c r="K27" s="60"/>
      <c r="L27" s="60"/>
      <c r="M27" s="60"/>
      <c r="N27" s="85" t="str">
        <f aca="false">IF('Business Details'!N24&gt;0,'Business Details'!N24," ")</f>
        <v> </v>
      </c>
      <c r="O27" s="85"/>
      <c r="P27" s="85"/>
      <c r="Q27" s="85"/>
      <c r="R27" s="60"/>
      <c r="S27" s="60"/>
      <c r="T27" s="60"/>
      <c r="U27" s="60"/>
      <c r="V27" s="60"/>
      <c r="W27" s="80"/>
    </row>
    <row r="28" customFormat="false" ht="13.5" hidden="false" customHeight="false" outlineLevel="0" collapsed="false">
      <c r="A28" s="77"/>
      <c r="B28" s="60"/>
      <c r="C28" s="120" t="str">
        <f aca="false">IF('Business Details'!C25&gt;0,'Business Details'!C25," ")</f>
        <v> </v>
      </c>
      <c r="D28" s="120"/>
      <c r="E28" s="120"/>
      <c r="F28" s="120"/>
      <c r="G28" s="120"/>
      <c r="H28" s="120"/>
      <c r="I28" s="120"/>
      <c r="J28" s="120"/>
      <c r="K28" s="60"/>
      <c r="L28" s="73" t="n">
        <v>8</v>
      </c>
      <c r="M28" s="60"/>
      <c r="N28" s="61" t="s">
        <v>15</v>
      </c>
      <c r="O28" s="61"/>
      <c r="P28" s="61"/>
      <c r="Q28" s="61"/>
      <c r="R28" s="61"/>
      <c r="S28" s="61"/>
      <c r="T28" s="61"/>
      <c r="U28" s="61"/>
      <c r="V28" s="61"/>
      <c r="W28" s="76"/>
    </row>
    <row r="29" s="125" customFormat="true" ht="12" hidden="false" customHeight="true" outlineLevel="0" collapsed="false">
      <c r="A29" s="124"/>
      <c r="B29" s="79"/>
      <c r="C29" s="110"/>
      <c r="D29" s="110"/>
      <c r="E29" s="110"/>
      <c r="F29" s="110"/>
      <c r="G29" s="110"/>
      <c r="H29" s="110"/>
      <c r="I29" s="110"/>
      <c r="J29" s="110"/>
      <c r="K29" s="79"/>
      <c r="L29" s="79"/>
      <c r="M29" s="79"/>
      <c r="N29" s="90" t="s">
        <v>16</v>
      </c>
      <c r="O29" s="78"/>
      <c r="P29" s="78"/>
      <c r="Q29" s="78"/>
      <c r="R29" s="78"/>
      <c r="S29" s="78"/>
      <c r="T29" s="78"/>
      <c r="U29" s="78"/>
      <c r="V29" s="78"/>
      <c r="W29" s="84"/>
    </row>
    <row r="30" customFormat="false" ht="13.5" hidden="false" customHeight="false" outlineLevel="0" collapsed="false">
      <c r="A30" s="77"/>
      <c r="B30" s="60"/>
      <c r="C30" s="120" t="str">
        <f aca="false">IF('Business Details'!C27&gt;0,'Business Details'!C27," ")</f>
        <v> </v>
      </c>
      <c r="D30" s="120"/>
      <c r="E30" s="120"/>
      <c r="F30" s="120"/>
      <c r="G30" s="120"/>
      <c r="H30" s="120"/>
      <c r="I30" s="120"/>
      <c r="J30" s="120"/>
      <c r="K30" s="60"/>
      <c r="L30" s="60"/>
      <c r="M30" s="60"/>
      <c r="N30" s="85" t="str">
        <f aca="false">IF('Business Details'!N27&gt;0,'Business Details'!N27," ")</f>
        <v> </v>
      </c>
      <c r="O30" s="85"/>
      <c r="P30" s="85"/>
      <c r="Q30" s="85"/>
      <c r="R30" s="60"/>
      <c r="S30" s="60"/>
      <c r="T30" s="60"/>
      <c r="U30" s="60"/>
      <c r="V30" s="60"/>
      <c r="W30" s="80"/>
    </row>
    <row r="31" customFormat="false" ht="7.5" hidden="false" customHeight="true" outlineLevel="0" collapsed="false">
      <c r="A31" s="77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80"/>
    </row>
    <row r="32" customFormat="false" ht="12" hidden="false" customHeight="false" outlineLevel="0" collapsed="false">
      <c r="A32" s="73" t="n">
        <v>4</v>
      </c>
      <c r="B32" s="60"/>
      <c r="C32" s="78" t="s">
        <v>17</v>
      </c>
      <c r="D32" s="61"/>
      <c r="E32" s="61"/>
      <c r="F32" s="60"/>
      <c r="G32" s="60"/>
      <c r="H32" s="60"/>
      <c r="I32" s="60"/>
      <c r="J32" s="60"/>
      <c r="K32" s="60"/>
      <c r="L32" s="73" t="n">
        <v>9</v>
      </c>
      <c r="M32" s="60"/>
      <c r="N32" s="61" t="s">
        <v>18</v>
      </c>
      <c r="O32" s="61"/>
      <c r="P32" s="61"/>
      <c r="Q32" s="61"/>
      <c r="R32" s="61"/>
      <c r="S32" s="61"/>
      <c r="T32" s="61"/>
      <c r="U32" s="61"/>
      <c r="V32" s="61"/>
      <c r="W32" s="76"/>
    </row>
    <row r="33" customFormat="false" ht="13.5" hidden="false" customHeight="false" outlineLevel="0" collapsed="false">
      <c r="A33" s="77"/>
      <c r="B33" s="60"/>
      <c r="C33" s="123" t="str">
        <f aca="false">IF('Business Details'!C30&gt;0,'Business Details'!C30," ")</f>
        <v> </v>
      </c>
      <c r="D33" s="123"/>
      <c r="E33" s="121"/>
      <c r="F33" s="123" t="str">
        <f aca="false">IF('Business Details'!F30&gt;0,'Business Details'!F30," ")</f>
        <v> </v>
      </c>
      <c r="G33" s="60"/>
      <c r="H33" s="60"/>
      <c r="I33" s="60"/>
      <c r="J33" s="60"/>
      <c r="K33" s="60"/>
      <c r="L33" s="60"/>
      <c r="M33" s="60"/>
      <c r="N33" s="61" t="s">
        <v>19</v>
      </c>
      <c r="O33" s="61"/>
      <c r="P33" s="61"/>
      <c r="Q33" s="61"/>
      <c r="R33" s="61"/>
      <c r="S33" s="61"/>
      <c r="T33" s="61"/>
      <c r="U33" s="61"/>
      <c r="V33" s="61"/>
      <c r="W33" s="76"/>
    </row>
    <row r="34" customFormat="false" ht="12" hidden="false" customHeight="false" outlineLevel="0" collapsed="false">
      <c r="A34" s="77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88" t="s">
        <v>20</v>
      </c>
      <c r="O34" s="88"/>
      <c r="P34" s="61"/>
      <c r="Q34" s="61"/>
      <c r="R34" s="61"/>
      <c r="S34" s="61"/>
      <c r="T34" s="61"/>
      <c r="U34" s="61"/>
      <c r="V34" s="61"/>
      <c r="W34" s="76"/>
    </row>
    <row r="35" customFormat="false" ht="15" hidden="false" customHeight="true" outlineLevel="0" collapsed="false">
      <c r="A35" s="77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85" t="n">
        <f aca="false">Admin!B17</f>
        <v>46482</v>
      </c>
      <c r="O35" s="85"/>
      <c r="P35" s="85"/>
      <c r="Q35" s="85"/>
      <c r="R35" s="60"/>
      <c r="S35" s="60"/>
      <c r="T35" s="60"/>
      <c r="U35" s="60"/>
      <c r="V35" s="60"/>
      <c r="W35" s="80"/>
    </row>
    <row r="36" customFormat="false" ht="7.5" hidden="false" customHeight="true" outlineLevel="0" collapsed="false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3"/>
    </row>
    <row r="37" customFormat="false" ht="24.75" hidden="false" customHeight="true" outlineLevel="0" collapsed="false">
      <c r="A37" s="109" t="s">
        <v>21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</row>
    <row r="38" customFormat="false" ht="6" hidden="false" customHeight="true" outlineLevel="0" collapsed="false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2"/>
    </row>
    <row r="39" customFormat="false" ht="12" hidden="false" customHeight="false" outlineLevel="0" collapsed="false">
      <c r="A39" s="73" t="n">
        <v>10</v>
      </c>
      <c r="B39" s="60"/>
      <c r="C39" s="61" t="s">
        <v>22</v>
      </c>
      <c r="D39" s="61"/>
      <c r="E39" s="61"/>
      <c r="F39" s="61"/>
      <c r="G39" s="61"/>
      <c r="H39" s="61"/>
      <c r="I39" s="61"/>
      <c r="J39" s="61"/>
      <c r="K39" s="61"/>
      <c r="L39" s="73" t="n">
        <v>12</v>
      </c>
      <c r="M39" s="60"/>
      <c r="N39" s="61" t="s">
        <v>23</v>
      </c>
      <c r="O39" s="61"/>
      <c r="P39" s="61"/>
      <c r="Q39" s="61"/>
      <c r="R39" s="61"/>
      <c r="S39" s="61"/>
      <c r="T39" s="61"/>
      <c r="U39" s="61"/>
      <c r="V39" s="61"/>
      <c r="W39" s="76"/>
    </row>
    <row r="40" customFormat="false" ht="12" hidden="false" customHeight="false" outlineLevel="0" collapsed="false">
      <c r="A40" s="77"/>
      <c r="B40" s="60"/>
      <c r="C40" s="61" t="s">
        <v>24</v>
      </c>
      <c r="D40" s="61"/>
      <c r="E40" s="61"/>
      <c r="F40" s="61"/>
      <c r="G40" s="61"/>
      <c r="H40" s="61"/>
      <c r="I40" s="61"/>
      <c r="J40" s="61"/>
      <c r="K40" s="61"/>
      <c r="L40" s="60"/>
      <c r="M40" s="60"/>
      <c r="N40" s="61" t="s">
        <v>25</v>
      </c>
      <c r="O40" s="61"/>
      <c r="P40" s="61"/>
      <c r="Q40" s="61"/>
      <c r="R40" s="61"/>
      <c r="S40" s="61"/>
      <c r="T40" s="61"/>
      <c r="U40" s="61"/>
      <c r="V40" s="61"/>
      <c r="W40" s="76"/>
    </row>
    <row r="41" customFormat="false" ht="7.5" hidden="false" customHeight="true" outlineLevel="0" collapsed="false">
      <c r="A41" s="77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80"/>
    </row>
    <row r="42" customFormat="false" ht="13.5" hidden="false" customHeight="false" outlineLevel="0" collapsed="false">
      <c r="A42" s="77"/>
      <c r="B42" s="60"/>
      <c r="C42" s="126" t="str">
        <f aca="false">IF('Business Details'!C39="x","x"," ")</f>
        <v> 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26" t="str">
        <f aca="false">IF('Business Details'!N39="x","x"," ")</f>
        <v> </v>
      </c>
      <c r="O42" s="60"/>
      <c r="P42" s="60"/>
      <c r="Q42" s="60"/>
      <c r="R42" s="60"/>
      <c r="S42" s="60"/>
      <c r="T42" s="60"/>
      <c r="U42" s="60"/>
      <c r="V42" s="60"/>
      <c r="W42" s="80"/>
    </row>
    <row r="43" customFormat="false" ht="7.5" hidden="false" customHeight="true" outlineLevel="0" collapsed="false">
      <c r="A43" s="77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80"/>
    </row>
    <row r="44" customFormat="false" ht="12" hidden="false" customHeight="false" outlineLevel="0" collapsed="false">
      <c r="A44" s="73" t="n">
        <v>11</v>
      </c>
      <c r="B44" s="60"/>
      <c r="C44" s="61" t="s">
        <v>26</v>
      </c>
      <c r="D44" s="61"/>
      <c r="E44" s="61"/>
      <c r="F44" s="61"/>
      <c r="G44" s="61"/>
      <c r="H44" s="61"/>
      <c r="I44" s="61"/>
      <c r="J44" s="61"/>
      <c r="K44" s="61"/>
      <c r="L44" s="73" t="n">
        <v>13</v>
      </c>
      <c r="M44" s="60"/>
      <c r="N44" s="61" t="s">
        <v>122</v>
      </c>
      <c r="O44" s="61"/>
      <c r="P44" s="61"/>
      <c r="Q44" s="61"/>
      <c r="R44" s="61"/>
      <c r="S44" s="61"/>
      <c r="T44" s="61"/>
      <c r="U44" s="61"/>
      <c r="V44" s="61"/>
      <c r="W44" s="76"/>
    </row>
    <row r="45" customFormat="false" ht="12" hidden="false" customHeight="false" outlineLevel="0" collapsed="false">
      <c r="A45" s="77"/>
      <c r="B45" s="60"/>
      <c r="C45" s="61" t="s">
        <v>27</v>
      </c>
      <c r="D45" s="61"/>
      <c r="E45" s="61"/>
      <c r="F45" s="61"/>
      <c r="G45" s="61"/>
      <c r="H45" s="61"/>
      <c r="I45" s="61"/>
      <c r="J45" s="61"/>
      <c r="K45" s="61"/>
      <c r="L45" s="60"/>
      <c r="M45" s="60"/>
      <c r="N45" s="61" t="s">
        <v>28</v>
      </c>
      <c r="O45" s="61"/>
      <c r="P45" s="61"/>
      <c r="Q45" s="61"/>
      <c r="R45" s="61"/>
      <c r="S45" s="61"/>
      <c r="T45" s="61"/>
      <c r="U45" s="61"/>
      <c r="V45" s="61"/>
      <c r="W45" s="76"/>
    </row>
    <row r="46" customFormat="false" ht="12" hidden="false" customHeight="false" outlineLevel="0" collapsed="false">
      <c r="A46" s="77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1" t="s">
        <v>25</v>
      </c>
      <c r="O46" s="61"/>
      <c r="P46" s="61"/>
      <c r="Q46" s="61"/>
      <c r="R46" s="61"/>
      <c r="S46" s="61"/>
      <c r="T46" s="61"/>
      <c r="U46" s="61"/>
      <c r="V46" s="61"/>
      <c r="W46" s="76"/>
    </row>
    <row r="47" customFormat="false" ht="7.5" hidden="false" customHeight="true" outlineLevel="0" collapsed="false">
      <c r="A47" s="77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80"/>
    </row>
    <row r="48" customFormat="false" ht="13.5" hidden="false" customHeight="false" outlineLevel="0" collapsed="false">
      <c r="A48" s="77"/>
      <c r="B48" s="60"/>
      <c r="C48" s="126" t="str">
        <f aca="false">IF('Business Details'!C45="x","x"," ")</f>
        <v> 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26" t="str">
        <f aca="false">IF('Business Details'!N45="x","x"," ")</f>
        <v> </v>
      </c>
      <c r="O48" s="60"/>
      <c r="P48" s="60"/>
      <c r="Q48" s="60"/>
      <c r="R48" s="60"/>
      <c r="S48" s="60"/>
      <c r="T48" s="60"/>
      <c r="U48" s="60"/>
      <c r="V48" s="60"/>
      <c r="W48" s="80"/>
    </row>
    <row r="49" customFormat="false" ht="7.5" hidden="false" customHeight="true" outlineLevel="0" collapsed="false">
      <c r="A49" s="91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3"/>
    </row>
    <row r="50" customFormat="false" ht="24.75" hidden="false" customHeight="true" outlineLevel="0" collapsed="false">
      <c r="A50" s="101" t="s">
        <v>123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</row>
    <row r="51" customFormat="false" ht="7.5" hidden="false" customHeight="true" outlineLevel="0" collapsed="false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2"/>
    </row>
    <row r="52" customFormat="false" ht="12" hidden="false" customHeight="false" outlineLevel="0" collapsed="false">
      <c r="A52" s="73" t="n">
        <v>14</v>
      </c>
      <c r="B52" s="60"/>
      <c r="C52" s="61" t="s">
        <v>54</v>
      </c>
      <c r="D52" s="61"/>
      <c r="E52" s="61"/>
      <c r="F52" s="61"/>
      <c r="G52" s="61"/>
      <c r="H52" s="61"/>
      <c r="I52" s="61"/>
      <c r="J52" s="61"/>
      <c r="K52" s="61"/>
      <c r="L52" s="73" t="n">
        <v>15</v>
      </c>
      <c r="M52" s="60"/>
      <c r="N52" s="61" t="s">
        <v>124</v>
      </c>
      <c r="O52" s="61"/>
      <c r="P52" s="61"/>
      <c r="Q52" s="61"/>
      <c r="R52" s="61"/>
      <c r="S52" s="61"/>
      <c r="T52" s="61"/>
      <c r="U52" s="61"/>
      <c r="V52" s="61"/>
      <c r="W52" s="76"/>
    </row>
    <row r="53" customFormat="false" ht="12" hidden="false" customHeight="false" outlineLevel="0" collapsed="false">
      <c r="A53" s="77"/>
      <c r="B53" s="60"/>
      <c r="C53" s="61" t="s">
        <v>56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88" t="s">
        <v>57</v>
      </c>
      <c r="O53" s="60"/>
      <c r="P53" s="60"/>
      <c r="Q53" s="60"/>
      <c r="R53" s="60"/>
      <c r="S53" s="60"/>
      <c r="T53" s="60"/>
      <c r="U53" s="60"/>
      <c r="V53" s="60"/>
      <c r="W53" s="80"/>
    </row>
    <row r="54" customFormat="false" ht="6" hidden="false" customHeight="true" outlineLevel="0" collapsed="false">
      <c r="A54" s="7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80"/>
    </row>
    <row r="55" customFormat="false" ht="15" hidden="false" customHeight="false" outlineLevel="0" collapsed="false">
      <c r="A55" s="77"/>
      <c r="B55" s="60"/>
      <c r="C55" s="95" t="s">
        <v>32</v>
      </c>
      <c r="D55" s="96" t="n">
        <f aca="false">'Profit &amp; Loss Account'!B9</f>
        <v>339200</v>
      </c>
      <c r="E55" s="96"/>
      <c r="F55" s="96"/>
      <c r="G55" s="97" t="s">
        <v>33</v>
      </c>
      <c r="H55" s="98" t="n">
        <v>0</v>
      </c>
      <c r="I55" s="98" t="n">
        <v>0</v>
      </c>
      <c r="J55" s="60"/>
      <c r="K55" s="60"/>
      <c r="L55" s="60"/>
      <c r="M55" s="60"/>
      <c r="N55" s="95" t="s">
        <v>32</v>
      </c>
      <c r="O55" s="96" t="n">
        <f aca="false">'Profit &amp; Loss Account'!B38</f>
        <v>0</v>
      </c>
      <c r="P55" s="96"/>
      <c r="Q55" s="96"/>
      <c r="R55" s="97" t="s">
        <v>33</v>
      </c>
      <c r="S55" s="98" t="n">
        <v>0</v>
      </c>
      <c r="T55" s="98" t="n">
        <v>0</v>
      </c>
      <c r="U55" s="99"/>
      <c r="V55" s="100"/>
      <c r="W55" s="80"/>
    </row>
    <row r="56" customFormat="false" ht="7.5" hidden="false" customHeight="true" outlineLevel="0" collapsed="false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3"/>
    </row>
    <row r="57" customFormat="false" ht="24.75" hidden="false" customHeight="true" outlineLevel="0" collapsed="false">
      <c r="A57" s="101" t="s">
        <v>125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</row>
    <row r="58" s="103" customFormat="true" ht="15.75" hidden="false" customHeight="true" outlineLevel="0" collapsed="false">
      <c r="A58" s="102" t="s">
        <v>126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</row>
    <row r="59" customFormat="false" ht="6" hidden="false" customHeight="true" outlineLevel="0" collapsed="false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2"/>
    </row>
    <row r="60" customFormat="false" ht="13.5" hidden="false" customHeight="false" outlineLevel="0" collapsed="false">
      <c r="A60" s="77"/>
      <c r="B60" s="60"/>
      <c r="C60" s="127" t="s">
        <v>127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27" t="s">
        <v>128</v>
      </c>
      <c r="O60" s="60"/>
      <c r="P60" s="60"/>
      <c r="Q60" s="60"/>
      <c r="R60" s="60"/>
      <c r="S60" s="60"/>
      <c r="T60" s="60"/>
      <c r="U60" s="60"/>
      <c r="V60" s="60"/>
      <c r="W60" s="80"/>
    </row>
    <row r="61" customFormat="false" ht="12" hidden="false" customHeight="false" outlineLevel="0" collapsed="false">
      <c r="A61" s="77"/>
      <c r="B61" s="60"/>
      <c r="C61" s="61" t="s">
        <v>129</v>
      </c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 t="s">
        <v>130</v>
      </c>
      <c r="O61" s="61"/>
      <c r="P61" s="61"/>
      <c r="Q61" s="61"/>
      <c r="R61" s="61"/>
      <c r="S61" s="61"/>
      <c r="T61" s="61"/>
      <c r="U61" s="61"/>
      <c r="V61" s="61"/>
      <c r="W61" s="80"/>
    </row>
    <row r="62" customFormat="false" ht="12" hidden="false" customHeight="false" outlineLevel="0" collapsed="false">
      <c r="A62" s="77"/>
      <c r="B62" s="60"/>
      <c r="C62" s="61" t="s">
        <v>131</v>
      </c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 t="s">
        <v>132</v>
      </c>
      <c r="O62" s="61"/>
      <c r="P62" s="61"/>
      <c r="Q62" s="61"/>
      <c r="R62" s="61"/>
      <c r="S62" s="61"/>
      <c r="T62" s="61"/>
      <c r="U62" s="61"/>
      <c r="V62" s="61"/>
      <c r="W62" s="80"/>
    </row>
    <row r="63" customFormat="false" ht="12" hidden="false" customHeight="false" outlineLevel="0" collapsed="false">
      <c r="A63" s="77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80"/>
    </row>
    <row r="64" customFormat="false" ht="12" hidden="false" customHeight="false" outlineLevel="0" collapsed="false">
      <c r="A64" s="73" t="n">
        <v>16</v>
      </c>
      <c r="B64" s="60"/>
      <c r="C64" s="61" t="s">
        <v>61</v>
      </c>
      <c r="D64" s="61"/>
      <c r="E64" s="61"/>
      <c r="F64" s="61"/>
      <c r="G64" s="61"/>
      <c r="H64" s="61"/>
      <c r="I64" s="61"/>
      <c r="J64" s="61"/>
      <c r="K64" s="61"/>
      <c r="L64" s="73" t="n">
        <v>31</v>
      </c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80"/>
    </row>
    <row r="65" customFormat="false" ht="6" hidden="false" customHeight="true" outlineLevel="0" collapsed="false">
      <c r="A65" s="104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80"/>
    </row>
    <row r="66" customFormat="false" ht="15" hidden="false" customHeight="false" outlineLevel="0" collapsed="false">
      <c r="A66" s="77"/>
      <c r="B66" s="60"/>
      <c r="C66" s="95" t="s">
        <v>32</v>
      </c>
      <c r="D66" s="96" t="n">
        <f aca="false">'Profit &amp; Loss Account'!B14+'Profit &amp; Loss Account'!B16</f>
        <v>9744</v>
      </c>
      <c r="E66" s="96"/>
      <c r="F66" s="96"/>
      <c r="G66" s="97" t="s">
        <v>33</v>
      </c>
      <c r="H66" s="98" t="n">
        <v>0</v>
      </c>
      <c r="I66" s="98" t="n">
        <v>0</v>
      </c>
      <c r="J66" s="60"/>
      <c r="K66" s="60"/>
      <c r="L66" s="60"/>
      <c r="M66" s="60"/>
      <c r="N66" s="95" t="s">
        <v>32</v>
      </c>
      <c r="O66" s="96"/>
      <c r="P66" s="96"/>
      <c r="Q66" s="96"/>
      <c r="R66" s="97" t="s">
        <v>33</v>
      </c>
      <c r="S66" s="98" t="n">
        <v>0</v>
      </c>
      <c r="T66" s="98" t="n">
        <v>0</v>
      </c>
      <c r="U66" s="60"/>
      <c r="V66" s="60"/>
      <c r="W66" s="80"/>
    </row>
    <row r="67" customFormat="false" ht="9.75" hidden="false" customHeight="true" outlineLevel="0" collapsed="false">
      <c r="A67" s="77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80"/>
    </row>
    <row r="68" customFormat="false" ht="12" hidden="false" customHeight="false" outlineLevel="0" collapsed="false">
      <c r="A68" s="73" t="n">
        <v>17</v>
      </c>
      <c r="B68" s="60"/>
      <c r="C68" s="61" t="s">
        <v>133</v>
      </c>
      <c r="D68" s="61"/>
      <c r="E68" s="61"/>
      <c r="F68" s="61"/>
      <c r="G68" s="61"/>
      <c r="H68" s="61"/>
      <c r="I68" s="61"/>
      <c r="J68" s="61"/>
      <c r="K68" s="61"/>
      <c r="L68" s="73" t="n">
        <v>32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80"/>
    </row>
    <row r="69" customFormat="false" ht="6" hidden="false" customHeight="true" outlineLevel="0" collapsed="false">
      <c r="A69" s="104"/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80"/>
    </row>
    <row r="70" customFormat="false" ht="15" hidden="false" customHeight="false" outlineLevel="0" collapsed="false">
      <c r="A70" s="77"/>
      <c r="B70" s="60"/>
      <c r="C70" s="95" t="s">
        <v>32</v>
      </c>
      <c r="D70" s="96" t="n">
        <f aca="false">'Profit &amp; Loss Account'!B15</f>
        <v>8000</v>
      </c>
      <c r="E70" s="96"/>
      <c r="F70" s="96"/>
      <c r="G70" s="97" t="s">
        <v>33</v>
      </c>
      <c r="H70" s="98" t="n">
        <v>0</v>
      </c>
      <c r="I70" s="98" t="n">
        <v>0</v>
      </c>
      <c r="J70" s="60"/>
      <c r="K70" s="60"/>
      <c r="L70" s="60"/>
      <c r="M70" s="60"/>
      <c r="N70" s="95" t="s">
        <v>32</v>
      </c>
      <c r="O70" s="96"/>
      <c r="P70" s="96"/>
      <c r="Q70" s="96"/>
      <c r="R70" s="97" t="s">
        <v>33</v>
      </c>
      <c r="S70" s="98" t="n">
        <v>0</v>
      </c>
      <c r="T70" s="98" t="n">
        <v>0</v>
      </c>
      <c r="U70" s="60"/>
      <c r="V70" s="60"/>
      <c r="W70" s="80"/>
    </row>
    <row r="71" customFormat="false" ht="9.75" hidden="false" customHeight="true" outlineLevel="0" collapsed="false">
      <c r="A71" s="77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80"/>
    </row>
    <row r="72" customFormat="false" ht="12" hidden="false" customHeight="false" outlineLevel="0" collapsed="false">
      <c r="A72" s="73" t="n">
        <v>18</v>
      </c>
      <c r="B72" s="60"/>
      <c r="C72" s="61" t="s">
        <v>66</v>
      </c>
      <c r="D72" s="61"/>
      <c r="E72" s="61"/>
      <c r="F72" s="61"/>
      <c r="G72" s="61"/>
      <c r="H72" s="61"/>
      <c r="I72" s="61"/>
      <c r="J72" s="61"/>
      <c r="K72" s="61"/>
      <c r="L72" s="73" t="n">
        <v>33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80"/>
    </row>
    <row r="73" customFormat="false" ht="6" hidden="false" customHeight="true" outlineLevel="0" collapsed="false">
      <c r="A73" s="104"/>
      <c r="B73" s="60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80"/>
    </row>
    <row r="74" customFormat="false" ht="15" hidden="false" customHeight="false" outlineLevel="0" collapsed="false">
      <c r="A74" s="77"/>
      <c r="B74" s="60"/>
      <c r="C74" s="95" t="s">
        <v>32</v>
      </c>
      <c r="D74" s="96" t="n">
        <f aca="false">'Profit &amp; Loss Account'!B21</f>
        <v>5800</v>
      </c>
      <c r="E74" s="96"/>
      <c r="F74" s="96"/>
      <c r="G74" s="97" t="s">
        <v>33</v>
      </c>
      <c r="H74" s="98" t="n">
        <v>0</v>
      </c>
      <c r="I74" s="98" t="n">
        <v>0</v>
      </c>
      <c r="J74" s="60"/>
      <c r="K74" s="60"/>
      <c r="L74" s="60"/>
      <c r="M74" s="60"/>
      <c r="N74" s="95" t="s">
        <v>32</v>
      </c>
      <c r="O74" s="96"/>
      <c r="P74" s="96"/>
      <c r="Q74" s="96"/>
      <c r="R74" s="97" t="s">
        <v>33</v>
      </c>
      <c r="S74" s="98" t="n">
        <v>0</v>
      </c>
      <c r="T74" s="98" t="n">
        <v>0</v>
      </c>
      <c r="U74" s="60"/>
      <c r="V74" s="60"/>
      <c r="W74" s="80"/>
    </row>
    <row r="75" customFormat="false" ht="9.75" hidden="false" customHeight="true" outlineLevel="0" collapsed="false">
      <c r="A75" s="77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80"/>
    </row>
    <row r="76" customFormat="false" ht="12" hidden="false" customHeight="false" outlineLevel="0" collapsed="false">
      <c r="A76" s="73" t="n">
        <v>19</v>
      </c>
      <c r="B76" s="60"/>
      <c r="C76" s="61" t="s">
        <v>134</v>
      </c>
      <c r="D76" s="61"/>
      <c r="E76" s="61"/>
      <c r="F76" s="61"/>
      <c r="G76" s="61"/>
      <c r="H76" s="61"/>
      <c r="I76" s="61"/>
      <c r="J76" s="61"/>
      <c r="K76" s="61"/>
      <c r="L76" s="73" t="n">
        <v>34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80"/>
    </row>
    <row r="77" customFormat="false" ht="6" hidden="false" customHeight="true" outlineLevel="0" collapsed="false">
      <c r="A77" s="104"/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80"/>
    </row>
    <row r="78" customFormat="false" ht="15" hidden="false" customHeight="false" outlineLevel="0" collapsed="false">
      <c r="A78" s="77"/>
      <c r="B78" s="60"/>
      <c r="C78" s="95" t="s">
        <v>32</v>
      </c>
      <c r="D78" s="96" t="n">
        <f aca="false">'Profit &amp; Loss Account'!B25+'Profit &amp; Loss Account'!B26</f>
        <v>9458.25</v>
      </c>
      <c r="E78" s="96"/>
      <c r="F78" s="96"/>
      <c r="G78" s="97" t="s">
        <v>33</v>
      </c>
      <c r="H78" s="98" t="n">
        <v>0</v>
      </c>
      <c r="I78" s="98" t="n">
        <v>0</v>
      </c>
      <c r="J78" s="60"/>
      <c r="K78" s="60"/>
      <c r="L78" s="60"/>
      <c r="M78" s="60"/>
      <c r="N78" s="95" t="s">
        <v>32</v>
      </c>
      <c r="O78" s="96"/>
      <c r="P78" s="96"/>
      <c r="Q78" s="96"/>
      <c r="R78" s="97" t="s">
        <v>33</v>
      </c>
      <c r="S78" s="98" t="n">
        <v>0</v>
      </c>
      <c r="T78" s="98" t="n">
        <v>0</v>
      </c>
      <c r="U78" s="60"/>
      <c r="V78" s="60"/>
      <c r="W78" s="80"/>
    </row>
    <row r="79" customFormat="false" ht="9.75" hidden="false" customHeight="true" outlineLevel="0" collapsed="false">
      <c r="A79" s="77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80"/>
    </row>
    <row r="80" customFormat="false" ht="12" hidden="false" customHeight="false" outlineLevel="0" collapsed="false">
      <c r="A80" s="73" t="n">
        <v>20</v>
      </c>
      <c r="B80" s="60"/>
      <c r="C80" s="61" t="s">
        <v>68</v>
      </c>
      <c r="D80" s="61"/>
      <c r="E80" s="61"/>
      <c r="F80" s="61"/>
      <c r="G80" s="61"/>
      <c r="H80" s="61"/>
      <c r="I80" s="61"/>
      <c r="J80" s="61"/>
      <c r="K80" s="61"/>
      <c r="L80" s="73" t="n">
        <v>35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80"/>
    </row>
    <row r="81" customFormat="false" ht="6" hidden="false" customHeight="true" outlineLevel="0" collapsed="false">
      <c r="A81" s="104"/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80"/>
    </row>
    <row r="82" customFormat="false" ht="15" hidden="false" customHeight="false" outlineLevel="0" collapsed="false">
      <c r="A82" s="77"/>
      <c r="B82" s="60"/>
      <c r="C82" s="95" t="s">
        <v>32</v>
      </c>
      <c r="D82" s="96" t="n">
        <f aca="false">'Profit &amp; Loss Account'!B22</f>
        <v>1440</v>
      </c>
      <c r="E82" s="96"/>
      <c r="F82" s="96"/>
      <c r="G82" s="97" t="s">
        <v>33</v>
      </c>
      <c r="H82" s="98" t="n">
        <v>0</v>
      </c>
      <c r="I82" s="98" t="n">
        <v>0</v>
      </c>
      <c r="J82" s="60"/>
      <c r="K82" s="60"/>
      <c r="L82" s="60"/>
      <c r="M82" s="60"/>
      <c r="N82" s="95" t="s">
        <v>32</v>
      </c>
      <c r="O82" s="96"/>
      <c r="P82" s="96"/>
      <c r="Q82" s="96"/>
      <c r="R82" s="97" t="s">
        <v>33</v>
      </c>
      <c r="S82" s="98" t="n">
        <v>0</v>
      </c>
      <c r="T82" s="98" t="n">
        <v>0</v>
      </c>
      <c r="U82" s="60"/>
      <c r="V82" s="60"/>
      <c r="W82" s="80"/>
    </row>
    <row r="83" customFormat="false" ht="9.75" hidden="false" customHeight="true" outlineLevel="0" collapsed="false">
      <c r="A83" s="77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80"/>
    </row>
    <row r="84" customFormat="false" ht="12" hidden="false" customHeight="false" outlineLevel="0" collapsed="false">
      <c r="A84" s="73" t="n">
        <v>21</v>
      </c>
      <c r="B84" s="60"/>
      <c r="C84" s="61" t="s">
        <v>135</v>
      </c>
      <c r="D84" s="61"/>
      <c r="E84" s="61"/>
      <c r="F84" s="61"/>
      <c r="G84" s="61"/>
      <c r="H84" s="61"/>
      <c r="I84" s="61"/>
      <c r="J84" s="61"/>
      <c r="K84" s="61"/>
      <c r="L84" s="73" t="n">
        <v>36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80"/>
    </row>
    <row r="85" customFormat="false" ht="6" hidden="false" customHeight="true" outlineLevel="0" collapsed="false">
      <c r="A85" s="104"/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80"/>
    </row>
    <row r="86" customFormat="false" ht="15" hidden="false" customHeight="false" outlineLevel="0" collapsed="false">
      <c r="A86" s="77"/>
      <c r="B86" s="60"/>
      <c r="C86" s="95" t="s">
        <v>32</v>
      </c>
      <c r="D86" s="96" t="n">
        <f aca="false">'Profit &amp; Loss Account'!B23</f>
        <v>1140</v>
      </c>
      <c r="E86" s="96"/>
      <c r="F86" s="96"/>
      <c r="G86" s="97" t="s">
        <v>33</v>
      </c>
      <c r="H86" s="98" t="n">
        <v>0</v>
      </c>
      <c r="I86" s="98" t="n">
        <v>0</v>
      </c>
      <c r="J86" s="60"/>
      <c r="K86" s="60"/>
      <c r="L86" s="60"/>
      <c r="M86" s="60"/>
      <c r="N86" s="95" t="s">
        <v>32</v>
      </c>
      <c r="O86" s="96"/>
      <c r="P86" s="96"/>
      <c r="Q86" s="96"/>
      <c r="R86" s="97" t="s">
        <v>33</v>
      </c>
      <c r="S86" s="98" t="n">
        <v>0</v>
      </c>
      <c r="T86" s="98" t="n">
        <v>0</v>
      </c>
      <c r="U86" s="60"/>
      <c r="V86" s="60"/>
      <c r="W86" s="80"/>
    </row>
    <row r="87" customFormat="false" ht="9.75" hidden="false" customHeight="true" outlineLevel="0" collapsed="false">
      <c r="A87" s="77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80"/>
    </row>
    <row r="88" customFormat="false" ht="12" hidden="false" customHeight="false" outlineLevel="0" collapsed="false">
      <c r="A88" s="73" t="n">
        <v>22</v>
      </c>
      <c r="B88" s="60"/>
      <c r="C88" s="61" t="s">
        <v>67</v>
      </c>
      <c r="D88" s="61"/>
      <c r="E88" s="61"/>
      <c r="F88" s="61"/>
      <c r="G88" s="61"/>
      <c r="H88" s="61"/>
      <c r="I88" s="61"/>
      <c r="J88" s="61"/>
      <c r="K88" s="61"/>
      <c r="L88" s="73" t="n">
        <v>37</v>
      </c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80"/>
    </row>
    <row r="89" customFormat="false" ht="6" hidden="false" customHeight="true" outlineLevel="0" collapsed="false">
      <c r="A89" s="104"/>
      <c r="B89" s="60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80"/>
    </row>
    <row r="90" customFormat="false" ht="15" hidden="false" customHeight="false" outlineLevel="0" collapsed="false">
      <c r="A90" s="77"/>
      <c r="B90" s="60"/>
      <c r="C90" s="95" t="s">
        <v>32</v>
      </c>
      <c r="D90" s="96" t="n">
        <f aca="false">'Profit &amp; Loss Account'!B24</f>
        <v>1962</v>
      </c>
      <c r="E90" s="96"/>
      <c r="F90" s="96"/>
      <c r="G90" s="97" t="s">
        <v>33</v>
      </c>
      <c r="H90" s="98" t="n">
        <v>0</v>
      </c>
      <c r="I90" s="98" t="n">
        <v>0</v>
      </c>
      <c r="J90" s="60"/>
      <c r="K90" s="60"/>
      <c r="L90" s="60"/>
      <c r="M90" s="60"/>
      <c r="N90" s="95" t="s">
        <v>32</v>
      </c>
      <c r="O90" s="96"/>
      <c r="P90" s="96"/>
      <c r="Q90" s="96"/>
      <c r="R90" s="97" t="s">
        <v>33</v>
      </c>
      <c r="S90" s="98" t="n">
        <v>0</v>
      </c>
      <c r="T90" s="98" t="n">
        <v>0</v>
      </c>
      <c r="U90" s="60"/>
      <c r="V90" s="60"/>
      <c r="W90" s="80"/>
    </row>
    <row r="91" customFormat="false" ht="9.75" hidden="false" customHeight="true" outlineLevel="0" collapsed="false">
      <c r="A91" s="77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80"/>
    </row>
    <row r="92" customFormat="false" ht="12" hidden="false" customHeight="false" outlineLevel="0" collapsed="false">
      <c r="A92" s="73" t="n">
        <v>23</v>
      </c>
      <c r="B92" s="60"/>
      <c r="C92" s="61" t="s">
        <v>136</v>
      </c>
      <c r="D92" s="61"/>
      <c r="E92" s="61"/>
      <c r="F92" s="61"/>
      <c r="G92" s="61"/>
      <c r="H92" s="61"/>
      <c r="I92" s="61"/>
      <c r="J92" s="61"/>
      <c r="K92" s="61"/>
      <c r="L92" s="73" t="n">
        <v>38</v>
      </c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80"/>
    </row>
    <row r="93" customFormat="false" ht="6" hidden="false" customHeight="true" outlineLevel="0" collapsed="false">
      <c r="A93" s="104"/>
      <c r="B93" s="60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80"/>
    </row>
    <row r="94" customFormat="false" ht="15" hidden="false" customHeight="false" outlineLevel="0" collapsed="false">
      <c r="A94" s="77"/>
      <c r="B94" s="60"/>
      <c r="C94" s="95" t="s">
        <v>32</v>
      </c>
      <c r="D94" s="96" t="n">
        <f aca="false">'Profit &amp; Loss Account'!B27</f>
        <v>4560</v>
      </c>
      <c r="E94" s="96"/>
      <c r="F94" s="96"/>
      <c r="G94" s="97" t="s">
        <v>33</v>
      </c>
      <c r="H94" s="98" t="n">
        <v>0</v>
      </c>
      <c r="I94" s="98" t="n">
        <v>0</v>
      </c>
      <c r="J94" s="60"/>
      <c r="K94" s="60"/>
      <c r="L94" s="60"/>
      <c r="M94" s="60"/>
      <c r="N94" s="95" t="s">
        <v>32</v>
      </c>
      <c r="O94" s="96"/>
      <c r="P94" s="96"/>
      <c r="Q94" s="96"/>
      <c r="R94" s="97" t="s">
        <v>33</v>
      </c>
      <c r="S94" s="98" t="n">
        <v>0</v>
      </c>
      <c r="T94" s="98" t="n">
        <v>0</v>
      </c>
      <c r="U94" s="60"/>
      <c r="V94" s="60"/>
      <c r="W94" s="80"/>
    </row>
    <row r="95" customFormat="false" ht="9.75" hidden="false" customHeight="true" outlineLevel="0" collapsed="false">
      <c r="A95" s="77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80"/>
    </row>
    <row r="96" customFormat="false" ht="12" hidden="false" customHeight="false" outlineLevel="0" collapsed="false">
      <c r="A96" s="73" t="n">
        <v>24</v>
      </c>
      <c r="B96" s="60"/>
      <c r="C96" s="61" t="s">
        <v>137</v>
      </c>
      <c r="D96" s="61"/>
      <c r="E96" s="61"/>
      <c r="F96" s="61"/>
      <c r="G96" s="61"/>
      <c r="H96" s="61"/>
      <c r="I96" s="61"/>
      <c r="J96" s="61"/>
      <c r="K96" s="61"/>
      <c r="L96" s="73" t="n">
        <v>39</v>
      </c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80"/>
    </row>
    <row r="97" customFormat="false" ht="6" hidden="false" customHeight="true" outlineLevel="0" collapsed="false">
      <c r="A97" s="104"/>
      <c r="B97" s="60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80"/>
    </row>
    <row r="98" customFormat="false" ht="15" hidden="false" customHeight="false" outlineLevel="0" collapsed="false">
      <c r="A98" s="77"/>
      <c r="B98" s="60"/>
      <c r="C98" s="95" t="s">
        <v>32</v>
      </c>
      <c r="D98" s="96" t="n">
        <f aca="false">'Profit &amp; Loss Account'!B30</f>
        <v>0</v>
      </c>
      <c r="E98" s="96"/>
      <c r="F98" s="96"/>
      <c r="G98" s="97" t="s">
        <v>33</v>
      </c>
      <c r="H98" s="98" t="n">
        <v>0</v>
      </c>
      <c r="I98" s="98" t="n">
        <v>0</v>
      </c>
      <c r="J98" s="60"/>
      <c r="K98" s="60"/>
      <c r="L98" s="60"/>
      <c r="M98" s="60"/>
      <c r="N98" s="95" t="s">
        <v>32</v>
      </c>
      <c r="O98" s="96"/>
      <c r="P98" s="96"/>
      <c r="Q98" s="96"/>
      <c r="R98" s="97" t="s">
        <v>33</v>
      </c>
      <c r="S98" s="98" t="n">
        <v>0</v>
      </c>
      <c r="T98" s="98" t="n">
        <v>0</v>
      </c>
      <c r="U98" s="60"/>
      <c r="V98" s="60"/>
      <c r="W98" s="80"/>
    </row>
    <row r="99" customFormat="false" ht="9.75" hidden="false" customHeight="true" outlineLevel="0" collapsed="false">
      <c r="A99" s="77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80"/>
    </row>
    <row r="100" customFormat="false" ht="12" hidden="false" customHeight="false" outlineLevel="0" collapsed="false">
      <c r="A100" s="73" t="n">
        <v>25</v>
      </c>
      <c r="B100" s="60"/>
      <c r="C100" s="61" t="s">
        <v>138</v>
      </c>
      <c r="D100" s="61"/>
      <c r="E100" s="61"/>
      <c r="F100" s="61"/>
      <c r="G100" s="61"/>
      <c r="H100" s="61"/>
      <c r="I100" s="61"/>
      <c r="J100" s="61"/>
      <c r="K100" s="61"/>
      <c r="L100" s="73" t="n">
        <v>40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80"/>
    </row>
    <row r="101" customFormat="false" ht="6" hidden="false" customHeight="true" outlineLevel="0" collapsed="false">
      <c r="A101" s="104"/>
      <c r="B101" s="60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80"/>
    </row>
    <row r="102" customFormat="false" ht="15" hidden="false" customHeight="false" outlineLevel="0" collapsed="false">
      <c r="A102" s="77"/>
      <c r="B102" s="60"/>
      <c r="C102" s="95" t="s">
        <v>32</v>
      </c>
      <c r="D102" s="96" t="n">
        <f aca="false">'Profit &amp; Loss Account'!B31</f>
        <v>800</v>
      </c>
      <c r="E102" s="96"/>
      <c r="F102" s="96"/>
      <c r="G102" s="97" t="s">
        <v>33</v>
      </c>
      <c r="H102" s="98" t="n">
        <v>0</v>
      </c>
      <c r="I102" s="98" t="n">
        <v>0</v>
      </c>
      <c r="J102" s="60"/>
      <c r="K102" s="60"/>
      <c r="L102" s="60"/>
      <c r="M102" s="60"/>
      <c r="N102" s="95" t="s">
        <v>32</v>
      </c>
      <c r="O102" s="96"/>
      <c r="P102" s="96"/>
      <c r="Q102" s="96"/>
      <c r="R102" s="97" t="s">
        <v>33</v>
      </c>
      <c r="S102" s="98" t="n">
        <v>0</v>
      </c>
      <c r="T102" s="98" t="n">
        <v>0</v>
      </c>
      <c r="U102" s="60"/>
      <c r="V102" s="60"/>
      <c r="W102" s="80"/>
    </row>
    <row r="103" customFormat="false" ht="9.75" hidden="false" customHeight="true" outlineLevel="0" collapsed="false">
      <c r="A103" s="77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80"/>
    </row>
    <row r="104" customFormat="false" ht="12" hidden="false" customHeight="false" outlineLevel="0" collapsed="false">
      <c r="A104" s="73" t="n">
        <v>26</v>
      </c>
      <c r="B104" s="60"/>
      <c r="C104" s="61" t="s">
        <v>139</v>
      </c>
      <c r="D104" s="61"/>
      <c r="E104" s="61"/>
      <c r="F104" s="61"/>
      <c r="G104" s="61"/>
      <c r="H104" s="61"/>
      <c r="I104" s="61"/>
      <c r="J104" s="61"/>
      <c r="K104" s="61"/>
      <c r="L104" s="73" t="n">
        <v>41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80"/>
    </row>
    <row r="105" customFormat="false" ht="6" hidden="false" customHeight="true" outlineLevel="0" collapsed="false">
      <c r="A105" s="104"/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80"/>
    </row>
    <row r="106" customFormat="false" ht="15" hidden="false" customHeight="false" outlineLevel="0" collapsed="false">
      <c r="A106" s="77"/>
      <c r="B106" s="60"/>
      <c r="C106" s="95" t="s">
        <v>32</v>
      </c>
      <c r="D106" s="96" t="n">
        <f aca="false">'Profit &amp; Loss Account'!B29</f>
        <v>-300</v>
      </c>
      <c r="E106" s="96"/>
      <c r="F106" s="96"/>
      <c r="G106" s="97" t="s">
        <v>33</v>
      </c>
      <c r="H106" s="98" t="n">
        <v>0</v>
      </c>
      <c r="I106" s="98" t="n">
        <v>0</v>
      </c>
      <c r="J106" s="60"/>
      <c r="K106" s="60"/>
      <c r="L106" s="60"/>
      <c r="M106" s="60"/>
      <c r="N106" s="95" t="s">
        <v>32</v>
      </c>
      <c r="O106" s="96"/>
      <c r="P106" s="96"/>
      <c r="Q106" s="96"/>
      <c r="R106" s="97" t="s">
        <v>33</v>
      </c>
      <c r="S106" s="98" t="n">
        <v>0</v>
      </c>
      <c r="T106" s="98" t="n">
        <v>0</v>
      </c>
      <c r="U106" s="60"/>
      <c r="V106" s="60"/>
      <c r="W106" s="80"/>
    </row>
    <row r="107" customFormat="false" ht="9.75" hidden="false" customHeight="true" outlineLevel="0" collapsed="false">
      <c r="A107" s="77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80"/>
    </row>
    <row r="108" customFormat="false" ht="12" hidden="false" customHeight="false" outlineLevel="0" collapsed="false">
      <c r="A108" s="73" t="n">
        <v>27</v>
      </c>
      <c r="B108" s="60"/>
      <c r="C108" s="61" t="s">
        <v>62</v>
      </c>
      <c r="D108" s="61"/>
      <c r="E108" s="61"/>
      <c r="F108" s="61"/>
      <c r="G108" s="61"/>
      <c r="H108" s="61"/>
      <c r="I108" s="61"/>
      <c r="J108" s="61"/>
      <c r="K108" s="61"/>
      <c r="L108" s="73" t="n">
        <v>42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80"/>
    </row>
    <row r="109" customFormat="false" ht="6" hidden="false" customHeight="true" outlineLevel="0" collapsed="false">
      <c r="A109" s="104"/>
      <c r="B109" s="60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80"/>
    </row>
    <row r="110" customFormat="false" ht="15" hidden="false" customHeight="false" outlineLevel="0" collapsed="false">
      <c r="A110" s="77"/>
      <c r="B110" s="60"/>
      <c r="C110" s="95" t="s">
        <v>32</v>
      </c>
      <c r="D110" s="96" t="n">
        <f aca="false">'Profit &amp; Loss Account'!B28</f>
        <v>5310</v>
      </c>
      <c r="E110" s="96"/>
      <c r="F110" s="96"/>
      <c r="G110" s="97" t="s">
        <v>33</v>
      </c>
      <c r="H110" s="98" t="n">
        <v>0</v>
      </c>
      <c r="I110" s="98" t="n">
        <v>0</v>
      </c>
      <c r="J110" s="60"/>
      <c r="K110" s="60"/>
      <c r="L110" s="60"/>
      <c r="M110" s="60"/>
      <c r="N110" s="95" t="s">
        <v>32</v>
      </c>
      <c r="O110" s="96"/>
      <c r="P110" s="96"/>
      <c r="Q110" s="96"/>
      <c r="R110" s="97" t="s">
        <v>33</v>
      </c>
      <c r="S110" s="98" t="n">
        <v>0</v>
      </c>
      <c r="T110" s="98" t="n">
        <v>0</v>
      </c>
      <c r="U110" s="60"/>
      <c r="V110" s="60"/>
      <c r="W110" s="80"/>
    </row>
    <row r="111" customFormat="false" ht="9.75" hidden="false" customHeight="true" outlineLevel="0" collapsed="false">
      <c r="A111" s="77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80"/>
    </row>
    <row r="112" customFormat="false" ht="12" hidden="false" customHeight="false" outlineLevel="0" collapsed="false">
      <c r="A112" s="73" t="n">
        <v>28</v>
      </c>
      <c r="B112" s="60"/>
      <c r="C112" s="61" t="s">
        <v>140</v>
      </c>
      <c r="D112" s="61"/>
      <c r="E112" s="61"/>
      <c r="F112" s="61"/>
      <c r="G112" s="61"/>
      <c r="H112" s="61"/>
      <c r="I112" s="61"/>
      <c r="J112" s="61"/>
      <c r="K112" s="61"/>
      <c r="L112" s="73" t="n">
        <v>43</v>
      </c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80"/>
    </row>
    <row r="113" customFormat="false" ht="6" hidden="false" customHeight="true" outlineLevel="0" collapsed="false">
      <c r="A113" s="104"/>
      <c r="B113" s="60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80"/>
    </row>
    <row r="114" customFormat="false" ht="15" hidden="false" customHeight="false" outlineLevel="0" collapsed="false">
      <c r="A114" s="77"/>
      <c r="B114" s="60"/>
      <c r="C114" s="95" t="s">
        <v>32</v>
      </c>
      <c r="D114" s="96" t="n">
        <f aca="false">'Profit &amp; Loss Account'!B33+'Profit &amp; Loss Account'!B34</f>
        <v>0</v>
      </c>
      <c r="E114" s="96"/>
      <c r="F114" s="96"/>
      <c r="G114" s="97" t="s">
        <v>33</v>
      </c>
      <c r="H114" s="98" t="n">
        <v>0</v>
      </c>
      <c r="I114" s="98" t="n">
        <v>0</v>
      </c>
      <c r="J114" s="60"/>
      <c r="K114" s="60"/>
      <c r="L114" s="60"/>
      <c r="M114" s="60"/>
      <c r="N114" s="95" t="s">
        <v>32</v>
      </c>
      <c r="O114" s="96" t="n">
        <f aca="false">'Profit &amp; Loss Account'!B34</f>
        <v>0</v>
      </c>
      <c r="P114" s="96"/>
      <c r="Q114" s="96"/>
      <c r="R114" s="97" t="s">
        <v>33</v>
      </c>
      <c r="S114" s="98" t="n">
        <v>0</v>
      </c>
      <c r="T114" s="98" t="n">
        <v>0</v>
      </c>
      <c r="U114" s="60"/>
      <c r="V114" s="60"/>
      <c r="W114" s="80"/>
    </row>
    <row r="115" customFormat="false" ht="9.75" hidden="false" customHeight="true" outlineLevel="0" collapsed="false">
      <c r="A115" s="77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80"/>
    </row>
    <row r="116" customFormat="false" ht="12" hidden="false" customHeight="false" outlineLevel="0" collapsed="false">
      <c r="A116" s="73" t="n">
        <v>29</v>
      </c>
      <c r="B116" s="60"/>
      <c r="C116" s="61" t="s">
        <v>141</v>
      </c>
      <c r="D116" s="61"/>
      <c r="E116" s="61"/>
      <c r="F116" s="61"/>
      <c r="G116" s="61"/>
      <c r="H116" s="61"/>
      <c r="I116" s="61"/>
      <c r="J116" s="61"/>
      <c r="K116" s="61"/>
      <c r="L116" s="73" t="n">
        <v>44</v>
      </c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80"/>
    </row>
    <row r="117" customFormat="false" ht="6" hidden="false" customHeight="true" outlineLevel="0" collapsed="false">
      <c r="A117" s="104"/>
      <c r="B117" s="60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80"/>
    </row>
    <row r="118" customFormat="false" ht="15" hidden="false" customHeight="false" outlineLevel="0" collapsed="false">
      <c r="A118" s="77"/>
      <c r="B118" s="60"/>
      <c r="C118" s="95" t="s">
        <v>32</v>
      </c>
      <c r="D118" s="96" t="n">
        <f aca="false">'Profit &amp; Loss Account'!B32</f>
        <v>500</v>
      </c>
      <c r="E118" s="96"/>
      <c r="F118" s="96"/>
      <c r="G118" s="97" t="s">
        <v>33</v>
      </c>
      <c r="H118" s="98" t="n">
        <v>0</v>
      </c>
      <c r="I118" s="98" t="n">
        <v>0</v>
      </c>
      <c r="J118" s="60"/>
      <c r="K118" s="60"/>
      <c r="L118" s="60"/>
      <c r="M118" s="60"/>
      <c r="N118" s="95" t="s">
        <v>32</v>
      </c>
      <c r="O118" s="96"/>
      <c r="P118" s="96"/>
      <c r="Q118" s="96"/>
      <c r="R118" s="97" t="s">
        <v>33</v>
      </c>
      <c r="S118" s="98" t="n">
        <v>0</v>
      </c>
      <c r="T118" s="98" t="n">
        <v>0</v>
      </c>
      <c r="U118" s="60"/>
      <c r="V118" s="60"/>
      <c r="W118" s="80"/>
    </row>
    <row r="119" customFormat="false" ht="9.75" hidden="false" customHeight="true" outlineLevel="0" collapsed="false">
      <c r="A119" s="77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80"/>
    </row>
    <row r="120" customFormat="false" ht="12" hidden="false" customHeight="false" outlineLevel="0" collapsed="false">
      <c r="A120" s="73" t="n">
        <v>30</v>
      </c>
      <c r="B120" s="60"/>
      <c r="C120" s="61" t="s">
        <v>142</v>
      </c>
      <c r="D120" s="61"/>
      <c r="E120" s="61"/>
      <c r="F120" s="61"/>
      <c r="G120" s="61"/>
      <c r="H120" s="61"/>
      <c r="I120" s="61"/>
      <c r="J120" s="61"/>
      <c r="K120" s="61"/>
      <c r="L120" s="73" t="n">
        <v>45</v>
      </c>
      <c r="M120" s="60"/>
      <c r="N120" s="61" t="s">
        <v>143</v>
      </c>
      <c r="O120" s="60"/>
      <c r="P120" s="60"/>
      <c r="Q120" s="60"/>
      <c r="R120" s="60"/>
      <c r="S120" s="60"/>
      <c r="T120" s="60"/>
      <c r="U120" s="60"/>
      <c r="V120" s="60"/>
      <c r="W120" s="80"/>
    </row>
    <row r="121" customFormat="false" ht="6" hidden="false" customHeight="true" outlineLevel="0" collapsed="false">
      <c r="A121" s="104"/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80"/>
    </row>
    <row r="122" customFormat="false" ht="15" hidden="false" customHeight="false" outlineLevel="0" collapsed="false">
      <c r="A122" s="77"/>
      <c r="B122" s="60"/>
      <c r="C122" s="95" t="s">
        <v>32</v>
      </c>
      <c r="D122" s="96" t="n">
        <f aca="false">'Profit &amp; Loss Account'!B17+'Profit &amp; Loss Account'!B35</f>
        <v>48414.25</v>
      </c>
      <c r="E122" s="96"/>
      <c r="F122" s="96"/>
      <c r="G122" s="97" t="s">
        <v>33</v>
      </c>
      <c r="H122" s="98" t="n">
        <v>0</v>
      </c>
      <c r="I122" s="98" t="n">
        <v>0</v>
      </c>
      <c r="J122" s="60"/>
      <c r="K122" s="60"/>
      <c r="L122" s="60"/>
      <c r="M122" s="60"/>
      <c r="N122" s="95" t="s">
        <v>32</v>
      </c>
      <c r="O122" s="96" t="n">
        <f aca="false">'Profit &amp; Loss Account'!B34</f>
        <v>0</v>
      </c>
      <c r="P122" s="96"/>
      <c r="Q122" s="96"/>
      <c r="R122" s="97" t="s">
        <v>33</v>
      </c>
      <c r="S122" s="98" t="n">
        <v>0</v>
      </c>
      <c r="T122" s="98" t="n">
        <v>0</v>
      </c>
      <c r="U122" s="60"/>
      <c r="V122" s="60"/>
      <c r="W122" s="80"/>
    </row>
    <row r="123" customFormat="false" ht="7.5" hidden="false" customHeight="true" outlineLevel="0" collapsed="false">
      <c r="A123" s="91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3"/>
    </row>
    <row r="124" customFormat="false" ht="24.75" hidden="false" customHeight="true" outlineLevel="0" collapsed="false">
      <c r="A124" s="105" t="s">
        <v>73</v>
      </c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</row>
    <row r="125" customFormat="false" ht="7.5" hidden="false" customHeight="true" outlineLevel="0" collapsed="false">
      <c r="A125" s="70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2"/>
    </row>
    <row r="126" customFormat="false" ht="12" hidden="false" customHeight="false" outlineLevel="0" collapsed="false">
      <c r="A126" s="73" t="n">
        <v>46</v>
      </c>
      <c r="B126" s="60"/>
      <c r="C126" s="61" t="s">
        <v>74</v>
      </c>
      <c r="D126" s="61"/>
      <c r="E126" s="61"/>
      <c r="F126" s="61"/>
      <c r="G126" s="61"/>
      <c r="H126" s="61"/>
      <c r="I126" s="61"/>
      <c r="J126" s="61"/>
      <c r="K126" s="61"/>
      <c r="L126" s="73" t="n">
        <v>47</v>
      </c>
      <c r="M126" s="60"/>
      <c r="N126" s="61" t="s">
        <v>75</v>
      </c>
      <c r="O126" s="60"/>
      <c r="P126" s="60"/>
      <c r="Q126" s="60"/>
      <c r="R126" s="60"/>
      <c r="S126" s="60"/>
      <c r="T126" s="60"/>
      <c r="U126" s="60"/>
      <c r="V126" s="60"/>
      <c r="W126" s="80"/>
    </row>
    <row r="127" customFormat="false" ht="12" hidden="false" customHeight="false" outlineLevel="0" collapsed="false">
      <c r="A127" s="77"/>
      <c r="B127" s="60"/>
      <c r="C127" s="88" t="s">
        <v>144</v>
      </c>
      <c r="D127" s="61"/>
      <c r="E127" s="61"/>
      <c r="F127" s="61"/>
      <c r="G127" s="61"/>
      <c r="H127" s="61"/>
      <c r="I127" s="61"/>
      <c r="J127" s="61"/>
      <c r="K127" s="61"/>
      <c r="L127" s="60"/>
      <c r="M127" s="60"/>
      <c r="N127" s="61" t="s">
        <v>145</v>
      </c>
      <c r="O127" s="60"/>
      <c r="P127" s="60"/>
      <c r="Q127" s="60"/>
      <c r="R127" s="60"/>
      <c r="S127" s="60"/>
      <c r="T127" s="60"/>
      <c r="U127" s="60"/>
      <c r="V127" s="60"/>
      <c r="W127" s="80"/>
    </row>
    <row r="128" customFormat="false" ht="6" hidden="false" customHeight="true" outlineLevel="0" collapsed="false">
      <c r="A128" s="104"/>
      <c r="B128" s="60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80"/>
    </row>
    <row r="129" customFormat="false" ht="15" hidden="false" customHeight="false" outlineLevel="0" collapsed="false">
      <c r="A129" s="77"/>
      <c r="B129" s="60"/>
      <c r="C129" s="95" t="s">
        <v>32</v>
      </c>
      <c r="D129" s="96" t="n">
        <f aca="false">IF((D55+O55-D122)&gt;=0,D55+O55-D122,0)</f>
        <v>290785.75</v>
      </c>
      <c r="E129" s="96"/>
      <c r="F129" s="96"/>
      <c r="G129" s="97" t="s">
        <v>33</v>
      </c>
      <c r="H129" s="98" t="n">
        <v>0</v>
      </c>
      <c r="I129" s="98" t="n">
        <v>0</v>
      </c>
      <c r="J129" s="60"/>
      <c r="K129" s="60"/>
      <c r="L129" s="60"/>
      <c r="M129" s="60"/>
      <c r="N129" s="95" t="s">
        <v>32</v>
      </c>
      <c r="O129" s="96" t="n">
        <f aca="false">IF((D55+O55-D122)&lt;0,D122-D55-O55,0)</f>
        <v>0</v>
      </c>
      <c r="P129" s="96"/>
      <c r="Q129" s="96"/>
      <c r="R129" s="97" t="s">
        <v>33</v>
      </c>
      <c r="S129" s="98" t="n">
        <v>0</v>
      </c>
      <c r="T129" s="98" t="n">
        <v>0</v>
      </c>
      <c r="U129" s="60"/>
      <c r="V129" s="60"/>
      <c r="W129" s="80"/>
    </row>
    <row r="130" customFormat="false" ht="7.5" hidden="false" customHeight="true" outlineLevel="0" collapsed="false">
      <c r="A130" s="91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3"/>
    </row>
    <row r="131" customFormat="false" ht="24.75" hidden="false" customHeight="true" outlineLevel="0" collapsed="false">
      <c r="A131" s="101" t="s">
        <v>78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</row>
    <row r="132" customFormat="false" ht="15.75" hidden="false" customHeight="true" outlineLevel="0" collapsed="false">
      <c r="A132" s="102" t="s">
        <v>146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</row>
    <row r="133" customFormat="false" ht="15.75" hidden="false" customHeight="true" outlineLevel="0" collapsed="false">
      <c r="A133" s="102" t="s">
        <v>147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</row>
    <row r="134" customFormat="false" ht="15.75" hidden="false" customHeight="true" outlineLevel="0" collapsed="false">
      <c r="A134" s="102" t="s">
        <v>148</v>
      </c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</row>
    <row r="135" customFormat="false" ht="7.5" hidden="false" customHeight="true" outlineLevel="0" collapsed="false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2"/>
    </row>
    <row r="136" customFormat="false" ht="12" hidden="false" customHeight="false" outlineLevel="0" collapsed="false">
      <c r="A136" s="73" t="n">
        <v>48</v>
      </c>
      <c r="B136" s="60"/>
      <c r="C136" s="128" t="s">
        <v>149</v>
      </c>
      <c r="D136" s="61"/>
      <c r="E136" s="61"/>
      <c r="F136" s="61"/>
      <c r="G136" s="61"/>
      <c r="H136" s="129" t="n">
        <f aca="false">Admin!G4</f>
        <v>1</v>
      </c>
      <c r="I136" s="129"/>
      <c r="J136" s="61"/>
      <c r="K136" s="61"/>
      <c r="L136" s="73" t="n">
        <v>54</v>
      </c>
      <c r="M136" s="60"/>
      <c r="N136" s="61" t="s">
        <v>150</v>
      </c>
      <c r="O136" s="60"/>
      <c r="P136" s="60"/>
      <c r="Q136" s="60"/>
      <c r="R136" s="60"/>
      <c r="S136" s="60"/>
      <c r="T136" s="60"/>
      <c r="U136" s="60"/>
      <c r="V136" s="60"/>
      <c r="W136" s="80"/>
    </row>
    <row r="137" customFormat="false" ht="12" hidden="false" customHeight="false" outlineLevel="0" collapsed="false">
      <c r="A137" s="104"/>
      <c r="B137" s="60"/>
      <c r="C137" s="130"/>
      <c r="D137" s="61"/>
      <c r="E137" s="61"/>
      <c r="F137" s="61"/>
      <c r="G137" s="61"/>
      <c r="H137" s="61"/>
      <c r="I137" s="61"/>
      <c r="J137" s="61"/>
      <c r="K137" s="61"/>
      <c r="L137" s="61"/>
      <c r="M137" s="60"/>
      <c r="N137" s="88" t="s">
        <v>151</v>
      </c>
      <c r="O137" s="108"/>
      <c r="P137" s="108"/>
      <c r="Q137" s="108"/>
      <c r="R137" s="108"/>
      <c r="S137" s="108"/>
      <c r="T137" s="108"/>
      <c r="U137" s="108"/>
      <c r="V137" s="108"/>
      <c r="W137" s="80"/>
    </row>
    <row r="138" customFormat="false" ht="6" hidden="false" customHeight="true" outlineLevel="0" collapsed="false">
      <c r="A138" s="104"/>
      <c r="B138" s="60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80"/>
    </row>
    <row r="139" customFormat="false" ht="15" hidden="false" customHeight="false" outlineLevel="0" collapsed="false">
      <c r="A139" s="77"/>
      <c r="B139" s="60"/>
      <c r="C139" s="95" t="s">
        <v>32</v>
      </c>
      <c r="D139" s="96" t="n">
        <f aca="false">IF([1]Schedule!$Q$1&gt;0,[1]Schedule!$Q$1,0)</f>
        <v>0</v>
      </c>
      <c r="E139" s="96"/>
      <c r="F139" s="96"/>
      <c r="G139" s="97" t="s">
        <v>33</v>
      </c>
      <c r="H139" s="98" t="n">
        <v>0</v>
      </c>
      <c r="I139" s="98" t="n">
        <v>0</v>
      </c>
      <c r="J139" s="60"/>
      <c r="K139" s="60"/>
      <c r="L139" s="60"/>
      <c r="M139" s="60"/>
      <c r="N139" s="95" t="s">
        <v>32</v>
      </c>
      <c r="O139" s="96" t="n">
        <f aca="false">IF(([1]Schedule!$R$1+[1]Schedule!$S$1)&lt;1000,[1]Schedule!$S$1,0)</f>
        <v>0</v>
      </c>
      <c r="P139" s="96"/>
      <c r="Q139" s="96"/>
      <c r="R139" s="97" t="s">
        <v>33</v>
      </c>
      <c r="S139" s="98" t="n">
        <v>0</v>
      </c>
      <c r="T139" s="98" t="n">
        <v>0</v>
      </c>
      <c r="U139" s="60"/>
      <c r="V139" s="60"/>
      <c r="W139" s="80"/>
    </row>
    <row r="140" customFormat="false" ht="12" hidden="false" customHeight="false" outlineLevel="0" collapsed="false">
      <c r="A140" s="77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80"/>
    </row>
    <row r="141" customFormat="false" ht="12" hidden="false" customHeight="false" outlineLevel="0" collapsed="false">
      <c r="A141" s="73" t="n">
        <v>49</v>
      </c>
      <c r="B141" s="60"/>
      <c r="C141" s="61" t="s">
        <v>152</v>
      </c>
      <c r="D141" s="61"/>
      <c r="E141" s="61"/>
      <c r="F141" s="61"/>
      <c r="G141" s="129" t="n">
        <f aca="false">Admin!G5</f>
        <v>0.14</v>
      </c>
      <c r="H141" s="129"/>
      <c r="I141" s="61" t="s">
        <v>153</v>
      </c>
      <c r="J141" s="61"/>
      <c r="K141" s="61"/>
      <c r="L141" s="73" t="n">
        <v>55</v>
      </c>
      <c r="M141" s="60"/>
      <c r="N141" s="61" t="s">
        <v>154</v>
      </c>
      <c r="O141" s="60"/>
      <c r="P141" s="60"/>
      <c r="Q141" s="60"/>
      <c r="R141" s="60"/>
      <c r="S141" s="60"/>
      <c r="T141" s="60"/>
      <c r="U141" s="60"/>
      <c r="V141" s="60"/>
      <c r="W141" s="80"/>
    </row>
    <row r="142" customFormat="false" ht="12" hidden="false" customHeight="true" outlineLevel="0" collapsed="false">
      <c r="A142" s="104"/>
      <c r="B142" s="60"/>
      <c r="C142" s="61" t="s">
        <v>155</v>
      </c>
      <c r="D142" s="61"/>
      <c r="E142" s="61"/>
      <c r="F142" s="61"/>
      <c r="G142" s="61"/>
      <c r="H142" s="61"/>
      <c r="I142" s="61"/>
      <c r="J142" s="61"/>
      <c r="K142" s="61"/>
      <c r="L142" s="61"/>
      <c r="M142" s="60"/>
      <c r="N142" s="61" t="s">
        <v>156</v>
      </c>
      <c r="O142" s="60"/>
      <c r="P142" s="60"/>
      <c r="Q142" s="60"/>
      <c r="R142" s="60"/>
      <c r="S142" s="60"/>
      <c r="T142" s="60"/>
      <c r="U142" s="60"/>
      <c r="V142" s="60"/>
      <c r="W142" s="80"/>
    </row>
    <row r="143" customFormat="false" ht="6" hidden="false" customHeight="true" outlineLevel="0" collapsed="false">
      <c r="A143" s="104"/>
      <c r="B143" s="60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80"/>
    </row>
    <row r="144" customFormat="false" ht="15" hidden="false" customHeight="false" outlineLevel="0" collapsed="false">
      <c r="A144" s="77"/>
      <c r="B144" s="60"/>
      <c r="C144" s="95" t="s">
        <v>32</v>
      </c>
      <c r="D144" s="96" t="n">
        <f aca="false">[1]Schedule!$R$1-D152</f>
        <v>0</v>
      </c>
      <c r="E144" s="96"/>
      <c r="F144" s="96"/>
      <c r="G144" s="97" t="s">
        <v>33</v>
      </c>
      <c r="H144" s="98" t="n">
        <v>0</v>
      </c>
      <c r="I144" s="98" t="n">
        <v>0</v>
      </c>
      <c r="J144" s="60"/>
      <c r="K144" s="60"/>
      <c r="L144" s="61"/>
      <c r="M144" s="60"/>
      <c r="N144" s="95" t="s">
        <v>32</v>
      </c>
      <c r="O144" s="96" t="n">
        <f aca="false">[1]Schedule!$Y$1</f>
        <v>0</v>
      </c>
      <c r="P144" s="96"/>
      <c r="Q144" s="96"/>
      <c r="R144" s="97" t="s">
        <v>33</v>
      </c>
      <c r="S144" s="98" t="n">
        <v>0</v>
      </c>
      <c r="T144" s="98" t="n">
        <v>0</v>
      </c>
      <c r="U144" s="60"/>
      <c r="V144" s="60"/>
      <c r="W144" s="80"/>
    </row>
    <row r="145" customFormat="false" ht="5.25" hidden="false" customHeight="true" outlineLevel="0" collapsed="false">
      <c r="A145" s="77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80"/>
    </row>
    <row r="146" customFormat="false" ht="12" hidden="false" customHeight="false" outlineLevel="0" collapsed="false">
      <c r="A146" s="73" t="n">
        <v>50</v>
      </c>
      <c r="B146" s="60"/>
      <c r="C146" s="128" t="s">
        <v>157</v>
      </c>
      <c r="D146" s="61"/>
      <c r="E146" s="61"/>
      <c r="F146" s="61"/>
      <c r="G146" s="61"/>
      <c r="H146" s="129" t="n">
        <v>0.1</v>
      </c>
      <c r="I146" s="129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</row>
    <row r="147" customFormat="false" ht="15" hidden="false" customHeight="false" outlineLevel="0" collapsed="false">
      <c r="A147" s="77"/>
      <c r="B147" s="60"/>
      <c r="C147" s="95" t="s">
        <v>32</v>
      </c>
      <c r="D147" s="96"/>
      <c r="E147" s="96"/>
      <c r="F147" s="96"/>
      <c r="G147" s="97" t="s">
        <v>33</v>
      </c>
      <c r="H147" s="98" t="n">
        <v>0</v>
      </c>
      <c r="I147" s="98" t="n">
        <v>0</v>
      </c>
      <c r="J147" s="60"/>
      <c r="K147" s="60"/>
      <c r="L147" s="73" t="n">
        <v>56</v>
      </c>
      <c r="M147" s="60"/>
      <c r="N147" s="61" t="s">
        <v>158</v>
      </c>
      <c r="O147" s="60"/>
      <c r="P147" s="60"/>
      <c r="Q147" s="60"/>
      <c r="R147" s="60"/>
      <c r="S147" s="60"/>
      <c r="T147" s="60"/>
      <c r="U147" s="60"/>
      <c r="V147" s="60"/>
      <c r="W147" s="80"/>
    </row>
    <row r="148" customFormat="false" ht="6" hidden="false" customHeight="true" outlineLevel="0" collapsed="false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1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80"/>
    </row>
    <row r="149" customFormat="false" ht="15" hidden="false" customHeight="false" outlineLevel="0" collapsed="false">
      <c r="A149" s="73" t="n">
        <v>51</v>
      </c>
      <c r="B149" s="60"/>
      <c r="C149" s="61" t="s">
        <v>159</v>
      </c>
      <c r="D149" s="61"/>
      <c r="E149" s="61"/>
      <c r="F149" s="61"/>
      <c r="G149" s="61"/>
      <c r="H149" s="61"/>
      <c r="I149" s="61"/>
      <c r="J149" s="61"/>
      <c r="K149" s="61"/>
      <c r="L149" s="60"/>
      <c r="M149" s="60"/>
      <c r="N149" s="95" t="s">
        <v>32</v>
      </c>
      <c r="O149" s="96" t="n">
        <f aca="false">D139+D144+D147+D152+D156+D160+O139+O144</f>
        <v>0</v>
      </c>
      <c r="P149" s="96"/>
      <c r="Q149" s="96"/>
      <c r="R149" s="97" t="s">
        <v>33</v>
      </c>
      <c r="S149" s="98" t="n">
        <v>0</v>
      </c>
      <c r="T149" s="98" t="n">
        <v>0</v>
      </c>
      <c r="U149" s="60"/>
      <c r="V149" s="60"/>
      <c r="W149" s="80"/>
    </row>
    <row r="150" customFormat="false" ht="12" hidden="false" customHeight="true" outlineLevel="0" collapsed="false">
      <c r="A150" s="77"/>
      <c r="B150" s="60"/>
      <c r="C150" s="61" t="s">
        <v>160</v>
      </c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114"/>
      <c r="O150" s="110"/>
      <c r="P150" s="110"/>
      <c r="Q150" s="110"/>
      <c r="R150" s="97"/>
      <c r="S150" s="100"/>
      <c r="T150" s="100"/>
      <c r="U150" s="60"/>
      <c r="V150" s="60"/>
      <c r="W150" s="80"/>
    </row>
    <row r="151" customFormat="false" ht="12" hidden="false" customHeight="false" outlineLevel="0" collapsed="false">
      <c r="A151" s="104"/>
      <c r="B151" s="60"/>
      <c r="C151" s="61"/>
      <c r="D151" s="61"/>
      <c r="E151" s="61"/>
      <c r="F151" s="61"/>
      <c r="G151" s="61"/>
      <c r="H151" s="61"/>
      <c r="I151" s="61"/>
      <c r="J151" s="61"/>
      <c r="K151" s="61"/>
      <c r="L151" s="73" t="n">
        <v>57</v>
      </c>
      <c r="M151" s="60"/>
      <c r="N151" s="61" t="s">
        <v>161</v>
      </c>
      <c r="O151" s="60"/>
      <c r="P151" s="60"/>
      <c r="Q151" s="60"/>
      <c r="R151" s="60"/>
      <c r="S151" s="60"/>
      <c r="T151" s="60"/>
      <c r="U151" s="60"/>
      <c r="V151" s="60"/>
      <c r="W151" s="80"/>
    </row>
    <row r="152" customFormat="false" ht="15" hidden="false" customHeight="false" outlineLevel="0" collapsed="false">
      <c r="A152" s="77"/>
      <c r="B152" s="60"/>
      <c r="C152" s="95" t="s">
        <v>32</v>
      </c>
      <c r="D152" s="96" t="n">
        <f aca="false">SUM([1]Schedule!$R$38:$R$42)+SUM([1]Schedule!$R$91:$R$95)</f>
        <v>0</v>
      </c>
      <c r="E152" s="96"/>
      <c r="F152" s="96"/>
      <c r="G152" s="97" t="s">
        <v>33</v>
      </c>
      <c r="H152" s="98" t="n">
        <v>0</v>
      </c>
      <c r="I152" s="98" t="n">
        <v>0</v>
      </c>
      <c r="J152" s="60"/>
      <c r="K152" s="60"/>
      <c r="L152" s="60"/>
      <c r="M152" s="60"/>
      <c r="N152" s="61" t="s">
        <v>162</v>
      </c>
      <c r="O152" s="60"/>
      <c r="P152" s="60"/>
      <c r="Q152" s="60"/>
      <c r="R152" s="60"/>
      <c r="S152" s="60"/>
      <c r="T152" s="60"/>
      <c r="U152" s="60"/>
      <c r="V152" s="60"/>
      <c r="W152" s="80"/>
    </row>
    <row r="153" customFormat="false" ht="6" hidden="false" customHeight="true" outlineLevel="0" collapsed="false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1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80"/>
    </row>
    <row r="154" customFormat="false" ht="15" hidden="false" customHeight="false" outlineLevel="0" collapsed="false">
      <c r="A154" s="73" t="n">
        <v>52</v>
      </c>
      <c r="B154" s="60"/>
      <c r="C154" s="61" t="s">
        <v>163</v>
      </c>
      <c r="D154" s="61"/>
      <c r="E154" s="61"/>
      <c r="F154" s="61"/>
      <c r="G154" s="61"/>
      <c r="H154" s="61"/>
      <c r="I154" s="61"/>
      <c r="J154" s="61"/>
      <c r="K154" s="61"/>
      <c r="L154" s="60"/>
      <c r="M154" s="60"/>
      <c r="N154" s="95" t="s">
        <v>32</v>
      </c>
      <c r="O154" s="96"/>
      <c r="P154" s="96"/>
      <c r="Q154" s="96"/>
      <c r="R154" s="97" t="s">
        <v>33</v>
      </c>
      <c r="S154" s="98" t="n">
        <v>0</v>
      </c>
      <c r="T154" s="98" t="n">
        <v>0</v>
      </c>
      <c r="U154" s="60"/>
      <c r="V154" s="60"/>
      <c r="W154" s="80"/>
    </row>
    <row r="155" customFormat="false" ht="6" hidden="false" customHeight="true" outlineLevel="0" collapsed="false">
      <c r="A155" s="104"/>
      <c r="B155" s="60"/>
      <c r="C155" s="61"/>
      <c r="D155" s="61"/>
      <c r="E155" s="61"/>
      <c r="F155" s="61"/>
      <c r="G155" s="61"/>
      <c r="H155" s="61"/>
      <c r="I155" s="61"/>
      <c r="J155" s="61"/>
      <c r="K155" s="61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80"/>
    </row>
    <row r="156" customFormat="false" ht="15" hidden="false" customHeight="false" outlineLevel="0" collapsed="false">
      <c r="A156" s="77"/>
      <c r="B156" s="60"/>
      <c r="C156" s="95" t="s">
        <v>32</v>
      </c>
      <c r="D156" s="96"/>
      <c r="E156" s="96"/>
      <c r="F156" s="96"/>
      <c r="G156" s="97" t="s">
        <v>33</v>
      </c>
      <c r="H156" s="98" t="n">
        <v>0</v>
      </c>
      <c r="I156" s="98" t="n">
        <v>0</v>
      </c>
      <c r="J156" s="60"/>
      <c r="K156" s="60"/>
      <c r="L156" s="73" t="n">
        <v>58</v>
      </c>
      <c r="M156" s="60"/>
      <c r="N156" s="61" t="s">
        <v>164</v>
      </c>
      <c r="O156" s="60"/>
      <c r="P156" s="60"/>
      <c r="Q156" s="60"/>
      <c r="R156" s="60"/>
      <c r="S156" s="60"/>
      <c r="T156" s="60"/>
      <c r="U156" s="60"/>
      <c r="V156" s="60"/>
      <c r="W156" s="80"/>
    </row>
    <row r="157" customFormat="false" ht="12" hidden="false" customHeight="false" outlineLevel="0" collapsed="false">
      <c r="A157" s="73" t="n">
        <v>53</v>
      </c>
      <c r="B157" s="60"/>
      <c r="C157" s="61" t="s">
        <v>165</v>
      </c>
      <c r="D157" s="61"/>
      <c r="E157" s="61"/>
      <c r="F157" s="61"/>
      <c r="G157" s="61"/>
      <c r="H157" s="61"/>
      <c r="I157" s="61"/>
      <c r="J157" s="61"/>
      <c r="K157" s="61"/>
      <c r="L157" s="60"/>
      <c r="M157" s="60"/>
      <c r="N157" s="61" t="s">
        <v>166</v>
      </c>
      <c r="O157" s="60"/>
      <c r="P157" s="60"/>
      <c r="Q157" s="60"/>
      <c r="R157" s="60"/>
      <c r="S157" s="60"/>
      <c r="T157" s="60"/>
      <c r="U157" s="60"/>
      <c r="V157" s="60"/>
      <c r="W157" s="80"/>
    </row>
    <row r="158" customFormat="false" ht="12" hidden="false" customHeight="false" outlineLevel="0" collapsed="false">
      <c r="A158" s="77"/>
      <c r="B158" s="60"/>
      <c r="C158" s="61" t="s">
        <v>167</v>
      </c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1" t="s">
        <v>168</v>
      </c>
      <c r="O158" s="60"/>
      <c r="P158" s="60"/>
      <c r="Q158" s="60"/>
      <c r="R158" s="60"/>
      <c r="S158" s="60"/>
      <c r="T158" s="60"/>
      <c r="U158" s="60"/>
      <c r="V158" s="60"/>
      <c r="W158" s="80"/>
    </row>
    <row r="159" customFormat="false" ht="6" hidden="false" customHeight="true" outlineLevel="0" collapsed="false">
      <c r="A159" s="104"/>
      <c r="B159" s="60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80"/>
    </row>
    <row r="160" customFormat="false" ht="15" hidden="false" customHeight="false" outlineLevel="0" collapsed="false">
      <c r="A160" s="77"/>
      <c r="B160" s="60"/>
      <c r="C160" s="95" t="s">
        <v>32</v>
      </c>
      <c r="D160" s="96"/>
      <c r="E160" s="96"/>
      <c r="F160" s="96"/>
      <c r="G160" s="97" t="s">
        <v>33</v>
      </c>
      <c r="H160" s="98" t="n">
        <v>0</v>
      </c>
      <c r="I160" s="98" t="n">
        <v>0</v>
      </c>
      <c r="J160" s="60"/>
      <c r="K160" s="60"/>
      <c r="L160" s="60"/>
      <c r="M160" s="60"/>
      <c r="N160" s="95" t="s">
        <v>32</v>
      </c>
      <c r="O160" s="96" t="n">
        <f aca="false">[1]Schedule!$Z$1</f>
        <v>0</v>
      </c>
      <c r="P160" s="96"/>
      <c r="Q160" s="96"/>
      <c r="R160" s="97" t="s">
        <v>33</v>
      </c>
      <c r="S160" s="98" t="n">
        <v>0</v>
      </c>
      <c r="T160" s="98" t="n">
        <v>0</v>
      </c>
      <c r="U160" s="60"/>
      <c r="V160" s="60"/>
      <c r="W160" s="80"/>
    </row>
    <row r="161" customFormat="false" ht="7.5" hidden="false" customHeight="true" outlineLevel="0" collapsed="false">
      <c r="A161" s="91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3"/>
    </row>
    <row r="162" customFormat="false" ht="24.75" hidden="false" customHeight="true" outlineLevel="0" collapsed="false">
      <c r="A162" s="101" t="s">
        <v>169</v>
      </c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</row>
    <row r="163" customFormat="false" ht="15.75" hidden="false" customHeight="true" outlineLevel="0" collapsed="false">
      <c r="A163" s="102" t="s">
        <v>170</v>
      </c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</row>
    <row r="164" customFormat="false" ht="15.75" hidden="false" customHeight="true" outlineLevel="0" collapsed="false">
      <c r="A164" s="102" t="s">
        <v>171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</row>
    <row r="165" customFormat="false" ht="7.5" hidden="false" customHeight="true" outlineLevel="0" collapsed="false">
      <c r="A165" s="70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2"/>
    </row>
    <row r="166" customFormat="false" ht="12" hidden="false" customHeight="false" outlineLevel="0" collapsed="false">
      <c r="A166" s="73" t="n">
        <v>59</v>
      </c>
      <c r="B166" s="60"/>
      <c r="C166" s="61" t="s">
        <v>172</v>
      </c>
      <c r="D166" s="61"/>
      <c r="E166" s="61"/>
      <c r="F166" s="61"/>
      <c r="G166" s="61"/>
      <c r="H166" s="61"/>
      <c r="I166" s="61"/>
      <c r="J166" s="61"/>
      <c r="K166" s="61"/>
      <c r="L166" s="73" t="n">
        <v>62</v>
      </c>
      <c r="M166" s="60"/>
      <c r="N166" s="61" t="s">
        <v>173</v>
      </c>
      <c r="O166" s="60"/>
      <c r="P166" s="60"/>
      <c r="Q166" s="60"/>
      <c r="R166" s="60"/>
      <c r="S166" s="60"/>
      <c r="T166" s="60"/>
      <c r="U166" s="60"/>
      <c r="V166" s="60"/>
      <c r="W166" s="80"/>
    </row>
    <row r="167" customFormat="false" ht="12" hidden="false" customHeight="false" outlineLevel="0" collapsed="false">
      <c r="A167" s="104"/>
      <c r="B167" s="60"/>
      <c r="C167" s="61" t="s">
        <v>115</v>
      </c>
      <c r="D167" s="61"/>
      <c r="E167" s="61"/>
      <c r="F167" s="61"/>
      <c r="G167" s="61"/>
      <c r="H167" s="61"/>
      <c r="I167" s="61"/>
      <c r="J167" s="61"/>
      <c r="K167" s="61"/>
      <c r="L167" s="61"/>
      <c r="M167" s="60"/>
      <c r="N167" s="61" t="s">
        <v>174</v>
      </c>
      <c r="O167" s="108"/>
      <c r="P167" s="108"/>
      <c r="Q167" s="108"/>
      <c r="R167" s="108"/>
      <c r="S167" s="108"/>
      <c r="T167" s="108"/>
      <c r="U167" s="108"/>
      <c r="V167" s="108"/>
      <c r="W167" s="80"/>
    </row>
    <row r="168" customFormat="false" ht="6" hidden="false" customHeight="true" outlineLevel="0" collapsed="false">
      <c r="A168" s="104"/>
      <c r="B168" s="60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80"/>
    </row>
    <row r="169" customFormat="false" ht="15" hidden="false" customHeight="false" outlineLevel="0" collapsed="false">
      <c r="A169" s="77"/>
      <c r="B169" s="60"/>
      <c r="C169" s="95" t="s">
        <v>32</v>
      </c>
      <c r="D169" s="96" t="n">
        <f aca="false">'Business Details'!O50</f>
        <v>0</v>
      </c>
      <c r="E169" s="96"/>
      <c r="F169" s="96"/>
      <c r="G169" s="97" t="s">
        <v>33</v>
      </c>
      <c r="H169" s="98" t="n">
        <v>0</v>
      </c>
      <c r="I169" s="98" t="n">
        <v>0</v>
      </c>
      <c r="J169" s="60"/>
      <c r="K169" s="60"/>
      <c r="L169" s="60"/>
      <c r="M169" s="60"/>
      <c r="N169" s="95" t="s">
        <v>32</v>
      </c>
      <c r="O169" s="96" t="n">
        <f aca="false">O149+D179</f>
        <v>0</v>
      </c>
      <c r="P169" s="96"/>
      <c r="Q169" s="96"/>
      <c r="R169" s="97" t="s">
        <v>33</v>
      </c>
      <c r="S169" s="98" t="n">
        <v>0</v>
      </c>
      <c r="T169" s="98" t="n">
        <v>0</v>
      </c>
      <c r="U169" s="60"/>
      <c r="V169" s="60"/>
      <c r="W169" s="80"/>
    </row>
    <row r="170" customFormat="false" ht="12" hidden="false" customHeight="false" outlineLevel="0" collapsed="false">
      <c r="A170" s="77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80"/>
    </row>
    <row r="171" customFormat="false" ht="12" hidden="false" customHeight="false" outlineLevel="0" collapsed="false">
      <c r="A171" s="73" t="n">
        <v>60</v>
      </c>
      <c r="B171" s="60"/>
      <c r="C171" s="61" t="s">
        <v>175</v>
      </c>
      <c r="D171" s="61"/>
      <c r="E171" s="61"/>
      <c r="F171" s="61"/>
      <c r="G171" s="61"/>
      <c r="H171" s="61"/>
      <c r="I171" s="61"/>
      <c r="J171" s="61"/>
      <c r="K171" s="61"/>
      <c r="L171" s="73" t="n">
        <v>63</v>
      </c>
      <c r="M171" s="60"/>
      <c r="N171" s="61" t="s">
        <v>176</v>
      </c>
      <c r="O171" s="60"/>
      <c r="P171" s="60"/>
      <c r="Q171" s="60"/>
      <c r="R171" s="60"/>
      <c r="S171" s="60"/>
      <c r="T171" s="60"/>
      <c r="U171" s="60"/>
      <c r="V171" s="60"/>
      <c r="W171" s="80"/>
    </row>
    <row r="172" customFormat="false" ht="12" hidden="false" customHeight="true" outlineLevel="0" collapsed="false">
      <c r="A172" s="104"/>
      <c r="B172" s="60"/>
      <c r="C172" s="61" t="s">
        <v>177</v>
      </c>
      <c r="D172" s="61"/>
      <c r="E172" s="61"/>
      <c r="F172" s="61"/>
      <c r="G172" s="61"/>
      <c r="H172" s="61"/>
      <c r="I172" s="61"/>
      <c r="J172" s="61"/>
      <c r="K172" s="61"/>
      <c r="L172" s="61"/>
      <c r="M172" s="60"/>
      <c r="N172" s="61" t="s">
        <v>178</v>
      </c>
      <c r="O172" s="60"/>
      <c r="P172" s="60"/>
      <c r="Q172" s="60"/>
      <c r="R172" s="60"/>
      <c r="S172" s="60"/>
      <c r="T172" s="60"/>
      <c r="U172" s="60"/>
      <c r="V172" s="60"/>
      <c r="W172" s="80"/>
    </row>
    <row r="173" customFormat="false" ht="6" hidden="false" customHeight="true" outlineLevel="0" collapsed="false">
      <c r="A173" s="104"/>
      <c r="B173" s="60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80"/>
    </row>
    <row r="174" customFormat="false" ht="15" hidden="false" customHeight="false" outlineLevel="0" collapsed="false">
      <c r="A174" s="77"/>
      <c r="B174" s="60"/>
      <c r="C174" s="95" t="s">
        <v>32</v>
      </c>
      <c r="D174" s="96" t="n">
        <f aca="false">O122+O154+O160+D169</f>
        <v>0</v>
      </c>
      <c r="E174" s="96"/>
      <c r="F174" s="96"/>
      <c r="G174" s="97" t="s">
        <v>33</v>
      </c>
      <c r="H174" s="98" t="n">
        <v>0</v>
      </c>
      <c r="I174" s="98" t="n">
        <v>0</v>
      </c>
      <c r="J174" s="60"/>
      <c r="K174" s="60"/>
      <c r="L174" s="61"/>
      <c r="M174" s="60"/>
      <c r="N174" s="95" t="s">
        <v>32</v>
      </c>
      <c r="O174" s="96" t="n">
        <f aca="false">IF((D129+D174-O169)&gt;0,(D129+D174-O169),IF((-O129+D174-O169)&gt;0,(-O129+D174-O169),0))</f>
        <v>290785.75</v>
      </c>
      <c r="P174" s="96"/>
      <c r="Q174" s="96"/>
      <c r="R174" s="97" t="s">
        <v>33</v>
      </c>
      <c r="S174" s="98" t="n">
        <v>0</v>
      </c>
      <c r="T174" s="98" t="n">
        <v>0</v>
      </c>
      <c r="U174" s="60"/>
      <c r="V174" s="60"/>
      <c r="W174" s="80"/>
    </row>
    <row r="175" customFormat="false" ht="12" hidden="false" customHeight="true" outlineLevel="0" collapsed="false">
      <c r="A175" s="77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80"/>
    </row>
    <row r="176" customFormat="false" ht="12" hidden="false" customHeight="false" outlineLevel="0" collapsed="false">
      <c r="A176" s="73" t="n">
        <v>61</v>
      </c>
      <c r="B176" s="60"/>
      <c r="C176" s="61" t="s">
        <v>179</v>
      </c>
      <c r="D176" s="61"/>
      <c r="E176" s="61"/>
      <c r="F176" s="61"/>
      <c r="G176" s="61"/>
      <c r="H176" s="61"/>
      <c r="I176" s="61"/>
      <c r="J176" s="61"/>
      <c r="K176" s="61"/>
      <c r="L176" s="73" t="n">
        <v>64</v>
      </c>
      <c r="M176" s="60"/>
      <c r="N176" s="61" t="s">
        <v>180</v>
      </c>
      <c r="O176" s="60"/>
      <c r="P176" s="60"/>
      <c r="Q176" s="60"/>
      <c r="R176" s="60"/>
      <c r="S176" s="60"/>
      <c r="T176" s="60"/>
      <c r="U176" s="60"/>
      <c r="V176" s="60"/>
      <c r="W176" s="80"/>
    </row>
    <row r="177" customFormat="false" ht="12" hidden="false" customHeight="false" outlineLevel="0" collapsed="false">
      <c r="A177" s="77"/>
      <c r="B177" s="60"/>
      <c r="C177" s="61" t="s">
        <v>181</v>
      </c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1" t="s">
        <v>182</v>
      </c>
      <c r="O177" s="60"/>
      <c r="P177" s="60"/>
      <c r="Q177" s="60"/>
      <c r="R177" s="60"/>
      <c r="S177" s="60"/>
      <c r="T177" s="60"/>
      <c r="U177" s="60"/>
      <c r="V177" s="60"/>
      <c r="W177" s="80"/>
    </row>
    <row r="178" customFormat="false" ht="6" hidden="false" customHeight="true" outlineLevel="0" collapsed="false">
      <c r="A178" s="104"/>
      <c r="B178" s="60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80"/>
    </row>
    <row r="179" customFormat="false" ht="15" hidden="false" customHeight="false" outlineLevel="0" collapsed="false">
      <c r="A179" s="77"/>
      <c r="B179" s="60"/>
      <c r="C179" s="95" t="s">
        <v>32</v>
      </c>
      <c r="D179" s="96"/>
      <c r="E179" s="96"/>
      <c r="F179" s="96"/>
      <c r="G179" s="97" t="s">
        <v>33</v>
      </c>
      <c r="H179" s="98" t="n">
        <v>0</v>
      </c>
      <c r="I179" s="98" t="n">
        <v>0</v>
      </c>
      <c r="J179" s="60"/>
      <c r="K179" s="60"/>
      <c r="L179" s="60"/>
      <c r="M179" s="60"/>
      <c r="N179" s="95" t="s">
        <v>32</v>
      </c>
      <c r="O179" s="96" t="n">
        <f aca="false">IF(O174&gt;0,0,IF((D129+D174-O169)&lt;0,-(D129+D174-O169),IF((-O129+D174-O169)&lt;0,-(-O129+D174-O169),0)))</f>
        <v>0</v>
      </c>
      <c r="P179" s="96"/>
      <c r="Q179" s="96"/>
      <c r="R179" s="97" t="s">
        <v>33</v>
      </c>
      <c r="S179" s="98" t="n">
        <v>0</v>
      </c>
      <c r="T179" s="98" t="n">
        <v>0</v>
      </c>
      <c r="U179" s="60"/>
      <c r="V179" s="60"/>
      <c r="W179" s="80"/>
    </row>
    <row r="180" customFormat="false" ht="7.5" hidden="false" customHeight="true" outlineLevel="0" collapsed="false">
      <c r="A180" s="91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3"/>
    </row>
    <row r="181" customFormat="false" ht="24.75" hidden="false" customHeight="true" outlineLevel="0" collapsed="false">
      <c r="A181" s="101" t="s">
        <v>183</v>
      </c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</row>
    <row r="182" customFormat="false" ht="15.75" hidden="false" customHeight="true" outlineLevel="0" collapsed="false">
      <c r="A182" s="102" t="s">
        <v>184</v>
      </c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</row>
    <row r="183" customFormat="false" ht="15.75" hidden="false" customHeight="true" outlineLevel="0" collapsed="false">
      <c r="A183" s="102" t="s">
        <v>185</v>
      </c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</row>
    <row r="184" customFormat="false" ht="15.75" hidden="false" customHeight="true" outlineLevel="0" collapsed="false">
      <c r="A184" s="131" t="s">
        <v>186</v>
      </c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</row>
    <row r="185" customFormat="false" ht="7.5" hidden="false" customHeight="true" outlineLevel="0" collapsed="false">
      <c r="A185" s="70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2"/>
    </row>
    <row r="186" customFormat="false" ht="12" hidden="false" customHeight="false" outlineLevel="0" collapsed="false">
      <c r="A186" s="73" t="n">
        <v>65</v>
      </c>
      <c r="B186" s="60"/>
      <c r="C186" s="61" t="s">
        <v>187</v>
      </c>
      <c r="D186" s="61"/>
      <c r="E186" s="61"/>
      <c r="F186" s="61"/>
      <c r="G186" s="61"/>
      <c r="H186" s="61"/>
      <c r="I186" s="61"/>
      <c r="J186" s="61"/>
      <c r="K186" s="61"/>
      <c r="L186" s="73" t="n">
        <v>71</v>
      </c>
      <c r="M186" s="60"/>
      <c r="N186" s="61" t="s">
        <v>188</v>
      </c>
      <c r="O186" s="60"/>
      <c r="P186" s="60"/>
      <c r="Q186" s="60"/>
      <c r="R186" s="60"/>
      <c r="S186" s="60"/>
      <c r="T186" s="60"/>
      <c r="U186" s="60"/>
      <c r="V186" s="60"/>
      <c r="W186" s="80"/>
    </row>
    <row r="187" customFormat="false" ht="13.5" hidden="false" customHeight="false" outlineLevel="0" collapsed="false">
      <c r="A187" s="104"/>
      <c r="B187" s="60"/>
      <c r="C187" s="132"/>
      <c r="D187" s="132"/>
      <c r="E187" s="132"/>
      <c r="F187" s="132"/>
      <c r="G187" s="61"/>
      <c r="H187" s="61"/>
      <c r="I187" s="61"/>
      <c r="J187" s="61"/>
      <c r="K187" s="61"/>
      <c r="L187" s="61"/>
      <c r="M187" s="60"/>
      <c r="N187" s="78" t="s">
        <v>189</v>
      </c>
      <c r="O187" s="60"/>
      <c r="P187" s="60"/>
      <c r="Q187" s="60"/>
      <c r="R187" s="60"/>
      <c r="S187" s="60"/>
      <c r="T187" s="60"/>
      <c r="U187" s="60"/>
      <c r="V187" s="60"/>
      <c r="W187" s="80"/>
    </row>
    <row r="188" customFormat="false" ht="12" hidden="false" customHeight="true" outlineLevel="0" collapsed="false">
      <c r="A188" s="77"/>
      <c r="B188" s="60"/>
      <c r="C188" s="114"/>
      <c r="D188" s="133"/>
      <c r="E188" s="133"/>
      <c r="F188" s="133"/>
      <c r="G188" s="97"/>
      <c r="H188" s="100"/>
      <c r="I188" s="100"/>
      <c r="J188" s="60"/>
      <c r="K188" s="60"/>
      <c r="L188" s="61"/>
      <c r="M188" s="60"/>
      <c r="N188" s="90" t="s">
        <v>190</v>
      </c>
      <c r="O188" s="60"/>
      <c r="P188" s="60"/>
      <c r="Q188" s="60"/>
      <c r="R188" s="60"/>
      <c r="S188" s="60"/>
      <c r="T188" s="60"/>
      <c r="U188" s="60"/>
      <c r="V188" s="60"/>
      <c r="W188" s="80"/>
    </row>
    <row r="189" customFormat="false" ht="12" hidden="false" customHeight="true" outlineLevel="0" collapsed="false">
      <c r="A189" s="73" t="n">
        <v>66</v>
      </c>
      <c r="B189" s="60"/>
      <c r="C189" s="61" t="s">
        <v>191</v>
      </c>
      <c r="D189" s="60"/>
      <c r="E189" s="60"/>
      <c r="F189" s="60"/>
      <c r="G189" s="60"/>
      <c r="H189" s="60"/>
      <c r="I189" s="60"/>
      <c r="J189" s="60"/>
      <c r="K189" s="60"/>
      <c r="L189" s="61"/>
      <c r="M189" s="60"/>
      <c r="N189" s="90" t="s">
        <v>192</v>
      </c>
      <c r="O189" s="108"/>
      <c r="P189" s="108"/>
      <c r="Q189" s="108"/>
      <c r="R189" s="108"/>
      <c r="S189" s="108"/>
      <c r="T189" s="108"/>
      <c r="U189" s="108"/>
      <c r="V189" s="108"/>
      <c r="W189" s="80"/>
    </row>
    <row r="190" customFormat="false" ht="15" hidden="false" customHeight="false" outlineLevel="0" collapsed="false">
      <c r="A190" s="104"/>
      <c r="B190" s="60"/>
      <c r="C190" s="132"/>
      <c r="D190" s="132"/>
      <c r="E190" s="132"/>
      <c r="F190" s="132"/>
      <c r="G190" s="61"/>
      <c r="H190" s="61"/>
      <c r="I190" s="61"/>
      <c r="J190" s="61"/>
      <c r="K190" s="61"/>
      <c r="L190" s="61"/>
      <c r="M190" s="60"/>
      <c r="N190" s="95" t="s">
        <v>32</v>
      </c>
      <c r="O190" s="134" t="s">
        <v>193</v>
      </c>
      <c r="P190" s="135"/>
      <c r="Q190" s="135"/>
      <c r="R190" s="97" t="s">
        <v>33</v>
      </c>
      <c r="S190" s="98" t="n">
        <v>0</v>
      </c>
      <c r="T190" s="98" t="n">
        <v>0</v>
      </c>
      <c r="U190" s="60"/>
      <c r="V190" s="60"/>
      <c r="W190" s="80"/>
    </row>
    <row r="191" customFormat="false" ht="12" hidden="false" customHeight="false" outlineLevel="0" collapsed="false">
      <c r="A191" s="104"/>
      <c r="B191" s="60"/>
      <c r="C191" s="61"/>
      <c r="D191" s="61"/>
      <c r="E191" s="61"/>
      <c r="F191" s="61"/>
      <c r="G191" s="61"/>
      <c r="H191" s="61"/>
      <c r="I191" s="61"/>
      <c r="J191" s="61"/>
      <c r="K191" s="61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80"/>
    </row>
    <row r="192" customFormat="false" ht="15" hidden="false" customHeight="true" outlineLevel="0" collapsed="false">
      <c r="A192" s="73" t="n">
        <v>67</v>
      </c>
      <c r="B192" s="60"/>
      <c r="C192" s="61" t="s">
        <v>194</v>
      </c>
      <c r="D192" s="110"/>
      <c r="E192" s="110"/>
      <c r="F192" s="110"/>
      <c r="G192" s="97"/>
      <c r="H192" s="100"/>
      <c r="I192" s="100"/>
      <c r="J192" s="60"/>
      <c r="K192" s="60"/>
      <c r="L192" s="73" t="n">
        <v>72</v>
      </c>
      <c r="M192" s="60"/>
      <c r="N192" s="61" t="s">
        <v>195</v>
      </c>
      <c r="O192" s="60"/>
      <c r="P192" s="60"/>
      <c r="Q192" s="136" t="str">
        <f aca="false">Admin!G2</f>
        <v>2026-27</v>
      </c>
      <c r="R192" s="61" t="s">
        <v>196</v>
      </c>
      <c r="S192" s="60"/>
      <c r="T192" s="60"/>
      <c r="U192" s="60"/>
      <c r="V192" s="60"/>
      <c r="W192" s="80"/>
    </row>
    <row r="193" customFormat="false" ht="12" hidden="false" customHeight="true" outlineLevel="0" collapsed="false">
      <c r="A193" s="77"/>
      <c r="B193" s="60"/>
      <c r="C193" s="61" t="s">
        <v>197</v>
      </c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78" t="s">
        <v>198</v>
      </c>
      <c r="O193" s="110"/>
      <c r="P193" s="110"/>
      <c r="Q193" s="110"/>
      <c r="R193" s="137"/>
      <c r="S193" s="138"/>
      <c r="T193" s="138"/>
      <c r="U193" s="60"/>
      <c r="V193" s="60"/>
      <c r="W193" s="80"/>
    </row>
    <row r="194" customFormat="false" ht="15" hidden="false" customHeight="false" outlineLevel="0" collapsed="false">
      <c r="A194" s="77"/>
      <c r="B194" s="60"/>
      <c r="C194" s="78" t="s">
        <v>199</v>
      </c>
      <c r="D194" s="61"/>
      <c r="E194" s="61"/>
      <c r="F194" s="61"/>
      <c r="G194" s="61"/>
      <c r="H194" s="61"/>
      <c r="I194" s="61"/>
      <c r="J194" s="61"/>
      <c r="K194" s="61"/>
      <c r="L194" s="61"/>
      <c r="M194" s="60"/>
      <c r="N194" s="95" t="s">
        <v>32</v>
      </c>
      <c r="O194" s="96" t="n">
        <f aca="false">O174</f>
        <v>290785.75</v>
      </c>
      <c r="P194" s="96"/>
      <c r="Q194" s="96"/>
      <c r="R194" s="97" t="s">
        <v>33</v>
      </c>
      <c r="S194" s="98" t="n">
        <v>0</v>
      </c>
      <c r="T194" s="98" t="n">
        <v>0</v>
      </c>
      <c r="U194" s="60"/>
      <c r="V194" s="60"/>
      <c r="W194" s="80"/>
    </row>
    <row r="195" customFormat="false" ht="12" hidden="false" customHeight="true" outlineLevel="0" collapsed="false">
      <c r="A195" s="77"/>
      <c r="B195" s="60"/>
      <c r="C195" s="61" t="s">
        <v>200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80"/>
    </row>
    <row r="196" customFormat="false" ht="12" hidden="false" customHeight="false" outlineLevel="0" collapsed="false">
      <c r="A196" s="104"/>
      <c r="B196" s="60"/>
      <c r="C196" s="61" t="s">
        <v>201</v>
      </c>
      <c r="D196" s="61"/>
      <c r="E196" s="61"/>
      <c r="F196" s="61"/>
      <c r="G196" s="61"/>
      <c r="H196" s="61"/>
      <c r="I196" s="61"/>
      <c r="J196" s="61"/>
      <c r="K196" s="61"/>
      <c r="L196" s="73" t="n">
        <v>73</v>
      </c>
      <c r="M196" s="60"/>
      <c r="N196" s="61" t="s">
        <v>92</v>
      </c>
      <c r="O196" s="60"/>
      <c r="P196" s="60"/>
      <c r="Q196" s="60"/>
      <c r="R196" s="60"/>
      <c r="S196" s="60"/>
      <c r="T196" s="60"/>
      <c r="U196" s="60"/>
      <c r="V196" s="60"/>
      <c r="W196" s="80"/>
    </row>
    <row r="197" customFormat="false" ht="15" hidden="false" customHeight="false" outlineLevel="0" collapsed="false">
      <c r="A197" s="77"/>
      <c r="B197" s="60"/>
      <c r="C197" s="95" t="s">
        <v>32</v>
      </c>
      <c r="D197" s="134" t="s">
        <v>193</v>
      </c>
      <c r="E197" s="135"/>
      <c r="F197" s="135"/>
      <c r="G197" s="97" t="s">
        <v>33</v>
      </c>
      <c r="H197" s="98" t="n">
        <v>0</v>
      </c>
      <c r="I197" s="98" t="n">
        <v>0</v>
      </c>
      <c r="J197" s="60"/>
      <c r="K197" s="60"/>
      <c r="L197" s="60"/>
      <c r="M197" s="60"/>
      <c r="N197" s="78" t="s">
        <v>202</v>
      </c>
      <c r="O197" s="60"/>
      <c r="P197" s="60"/>
      <c r="Q197" s="60"/>
      <c r="R197" s="60"/>
      <c r="S197" s="60"/>
      <c r="T197" s="60"/>
      <c r="U197" s="60"/>
      <c r="V197" s="60"/>
      <c r="W197" s="80"/>
    </row>
    <row r="198" customFormat="false" ht="9.75" hidden="false" customHeight="true" outlineLevel="0" collapsed="false">
      <c r="A198" s="77"/>
      <c r="B198" s="60"/>
      <c r="C198" s="114"/>
      <c r="D198" s="110"/>
      <c r="E198" s="110"/>
      <c r="F198" s="110"/>
      <c r="G198" s="97"/>
      <c r="H198" s="100"/>
      <c r="I198" s="100"/>
      <c r="J198" s="60"/>
      <c r="K198" s="60"/>
      <c r="L198" s="60"/>
      <c r="M198" s="60"/>
      <c r="N198" s="88" t="s">
        <v>203</v>
      </c>
      <c r="O198" s="60"/>
      <c r="P198" s="60"/>
      <c r="Q198" s="60"/>
      <c r="R198" s="60"/>
      <c r="S198" s="60"/>
      <c r="T198" s="60"/>
      <c r="U198" s="60"/>
      <c r="V198" s="60"/>
      <c r="W198" s="80"/>
    </row>
    <row r="199" customFormat="false" ht="15" hidden="false" customHeight="true" outlineLevel="0" collapsed="false">
      <c r="A199" s="73" t="n">
        <v>68</v>
      </c>
      <c r="B199" s="60"/>
      <c r="C199" s="61" t="s">
        <v>204</v>
      </c>
      <c r="D199" s="60"/>
      <c r="E199" s="60"/>
      <c r="F199" s="60"/>
      <c r="G199" s="60"/>
      <c r="H199" s="60"/>
      <c r="I199" s="60"/>
      <c r="J199" s="60"/>
      <c r="K199" s="60"/>
      <c r="L199" s="61"/>
      <c r="M199" s="60"/>
      <c r="N199" s="95" t="s">
        <v>32</v>
      </c>
      <c r="O199" s="96" t="n">
        <f aca="false">IF(D179&gt;0,0,IF((O194+O204)&gt;'Business Details'!D50,'Business Details'!D50,(O194+O204)))</f>
        <v>0</v>
      </c>
      <c r="P199" s="96"/>
      <c r="Q199" s="96"/>
      <c r="R199" s="97" t="s">
        <v>33</v>
      </c>
      <c r="S199" s="98" t="n">
        <v>0</v>
      </c>
      <c r="T199" s="98" t="n">
        <v>0</v>
      </c>
      <c r="U199" s="60"/>
      <c r="V199" s="60"/>
      <c r="W199" s="80"/>
    </row>
    <row r="200" customFormat="false" ht="12" hidden="false" customHeight="true" outlineLevel="0" collapsed="false">
      <c r="A200" s="104"/>
      <c r="B200" s="60"/>
      <c r="C200" s="61"/>
      <c r="D200" s="61"/>
      <c r="E200" s="61"/>
      <c r="F200" s="61"/>
      <c r="G200" s="61"/>
      <c r="H200" s="61"/>
      <c r="I200" s="61"/>
      <c r="J200" s="61"/>
      <c r="K200" s="61"/>
      <c r="L200" s="60"/>
      <c r="M200" s="60"/>
      <c r="N200" s="114"/>
      <c r="O200" s="110"/>
      <c r="P200" s="110"/>
      <c r="Q200" s="110"/>
      <c r="R200" s="97"/>
      <c r="S200" s="100"/>
      <c r="T200" s="100"/>
      <c r="U200" s="60"/>
      <c r="V200" s="60"/>
      <c r="W200" s="80"/>
    </row>
    <row r="201" customFormat="false" ht="15" hidden="false" customHeight="false" outlineLevel="0" collapsed="false">
      <c r="A201" s="77"/>
      <c r="B201" s="60"/>
      <c r="C201" s="95" t="s">
        <v>32</v>
      </c>
      <c r="D201" s="96"/>
      <c r="E201" s="96"/>
      <c r="F201" s="96"/>
      <c r="G201" s="97" t="s">
        <v>33</v>
      </c>
      <c r="H201" s="98" t="n">
        <v>0</v>
      </c>
      <c r="I201" s="98" t="n">
        <v>0</v>
      </c>
      <c r="J201" s="60"/>
      <c r="K201" s="60"/>
      <c r="L201" s="73" t="n">
        <v>74</v>
      </c>
      <c r="M201" s="60"/>
      <c r="N201" s="61" t="s">
        <v>205</v>
      </c>
      <c r="O201" s="60"/>
      <c r="P201" s="60"/>
      <c r="Q201" s="60"/>
      <c r="R201" s="60"/>
      <c r="S201" s="60"/>
      <c r="T201" s="60"/>
      <c r="U201" s="60"/>
      <c r="V201" s="60"/>
      <c r="W201" s="80"/>
    </row>
    <row r="202" customFormat="false" ht="12" hidden="false" customHeight="true" outlineLevel="0" collapsed="false">
      <c r="A202" s="77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1" t="s">
        <v>206</v>
      </c>
      <c r="O202" s="60"/>
      <c r="P202" s="60"/>
      <c r="Q202" s="60"/>
      <c r="R202" s="60"/>
      <c r="S202" s="60"/>
      <c r="T202" s="60"/>
      <c r="U202" s="60"/>
      <c r="V202" s="60"/>
      <c r="W202" s="80"/>
    </row>
    <row r="203" customFormat="false" ht="12" hidden="false" customHeight="false" outlineLevel="0" collapsed="false">
      <c r="A203" s="73" t="n">
        <v>69</v>
      </c>
      <c r="B203" s="60"/>
      <c r="C203" s="61" t="s">
        <v>207</v>
      </c>
      <c r="D203" s="61"/>
      <c r="E203" s="61"/>
      <c r="F203" s="61"/>
      <c r="G203" s="61"/>
      <c r="H203" s="61"/>
      <c r="I203" s="61"/>
      <c r="J203" s="61"/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80"/>
    </row>
    <row r="204" customFormat="false" ht="15" hidden="false" customHeight="true" outlineLevel="0" collapsed="false">
      <c r="A204" s="77"/>
      <c r="B204" s="60"/>
      <c r="C204" s="78"/>
      <c r="D204" s="60"/>
      <c r="E204" s="60"/>
      <c r="F204" s="60"/>
      <c r="G204" s="60"/>
      <c r="H204" s="60"/>
      <c r="I204" s="60"/>
      <c r="J204" s="60"/>
      <c r="K204" s="60"/>
      <c r="L204" s="61"/>
      <c r="M204" s="60"/>
      <c r="N204" s="95" t="s">
        <v>32</v>
      </c>
      <c r="O204" s="96" t="n">
        <f aca="false">'Profit &amp; Loss Account'!B11</f>
        <v>2083.33333333333</v>
      </c>
      <c r="P204" s="96"/>
      <c r="Q204" s="96"/>
      <c r="R204" s="97" t="s">
        <v>33</v>
      </c>
      <c r="S204" s="98" t="n">
        <v>0</v>
      </c>
      <c r="T204" s="98" t="n">
        <v>0</v>
      </c>
      <c r="U204" s="60"/>
      <c r="V204" s="60"/>
      <c r="W204" s="80"/>
    </row>
    <row r="205" customFormat="false" ht="9.75" hidden="false" customHeight="true" outlineLevel="0" collapsed="false">
      <c r="A205" s="104"/>
      <c r="B205" s="60"/>
      <c r="C205" s="61"/>
      <c r="D205" s="61"/>
      <c r="E205" s="61"/>
      <c r="F205" s="61"/>
      <c r="G205" s="61"/>
      <c r="H205" s="61"/>
      <c r="I205" s="61"/>
      <c r="J205" s="61"/>
      <c r="K205" s="61"/>
      <c r="L205" s="60"/>
      <c r="M205" s="60"/>
      <c r="N205" s="61"/>
      <c r="O205" s="60"/>
      <c r="P205" s="60"/>
      <c r="Q205" s="60"/>
      <c r="R205" s="60"/>
      <c r="S205" s="60"/>
      <c r="T205" s="60"/>
      <c r="U205" s="60"/>
      <c r="V205" s="60"/>
      <c r="W205" s="80"/>
    </row>
    <row r="206" customFormat="false" ht="15" hidden="false" customHeight="false" outlineLevel="0" collapsed="false">
      <c r="A206" s="77"/>
      <c r="B206" s="60"/>
      <c r="C206" s="95" t="s">
        <v>32</v>
      </c>
      <c r="D206" s="96"/>
      <c r="E206" s="96"/>
      <c r="F206" s="96"/>
      <c r="G206" s="97" t="s">
        <v>33</v>
      </c>
      <c r="H206" s="98" t="n">
        <v>0</v>
      </c>
      <c r="I206" s="98" t="n">
        <v>0</v>
      </c>
      <c r="J206" s="60"/>
      <c r="K206" s="60"/>
      <c r="L206" s="73" t="n">
        <v>75</v>
      </c>
      <c r="M206" s="60"/>
      <c r="N206" s="61" t="s">
        <v>208</v>
      </c>
      <c r="O206" s="60"/>
      <c r="P206" s="60"/>
      <c r="Q206" s="60"/>
      <c r="R206" s="60"/>
      <c r="S206" s="60"/>
      <c r="T206" s="60"/>
      <c r="U206" s="60"/>
      <c r="V206" s="60"/>
      <c r="W206" s="80"/>
    </row>
    <row r="207" customFormat="false" ht="12" hidden="false" customHeight="true" outlineLevel="0" collapsed="false">
      <c r="A207" s="77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1" t="s">
        <v>209</v>
      </c>
      <c r="O207" s="60"/>
      <c r="P207" s="60"/>
      <c r="Q207" s="60"/>
      <c r="R207" s="60"/>
      <c r="S207" s="60"/>
      <c r="T207" s="60"/>
      <c r="U207" s="60"/>
      <c r="V207" s="60"/>
      <c r="W207" s="80"/>
    </row>
    <row r="208" customFormat="false" ht="12" hidden="false" customHeight="false" outlineLevel="0" collapsed="false">
      <c r="A208" s="73" t="n">
        <v>70</v>
      </c>
      <c r="B208" s="60"/>
      <c r="C208" s="61" t="s">
        <v>210</v>
      </c>
      <c r="D208" s="61"/>
      <c r="E208" s="61"/>
      <c r="F208" s="61"/>
      <c r="G208" s="61"/>
      <c r="H208" s="61"/>
      <c r="I208" s="61"/>
      <c r="J208" s="61"/>
      <c r="K208" s="61"/>
      <c r="L208" s="60"/>
      <c r="M208" s="60"/>
      <c r="N208" s="88" t="s">
        <v>211</v>
      </c>
      <c r="O208" s="60"/>
      <c r="P208" s="60"/>
      <c r="Q208" s="60"/>
      <c r="R208" s="60"/>
      <c r="S208" s="60"/>
      <c r="T208" s="60"/>
      <c r="U208" s="60"/>
      <c r="V208" s="60"/>
      <c r="W208" s="80"/>
    </row>
    <row r="209" customFormat="false" ht="12" hidden="false" customHeight="false" outlineLevel="0" collapsed="false">
      <c r="A209" s="77"/>
      <c r="B209" s="60"/>
      <c r="C209" s="90" t="s">
        <v>212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80"/>
    </row>
    <row r="210" customFormat="false" ht="15" hidden="false" customHeight="false" outlineLevel="0" collapsed="false">
      <c r="A210" s="77"/>
      <c r="B210" s="60"/>
      <c r="C210" s="95" t="s">
        <v>32</v>
      </c>
      <c r="D210" s="96"/>
      <c r="E210" s="96"/>
      <c r="F210" s="96"/>
      <c r="G210" s="97" t="s">
        <v>33</v>
      </c>
      <c r="H210" s="98" t="n">
        <v>0</v>
      </c>
      <c r="I210" s="98" t="n">
        <v>0</v>
      </c>
      <c r="J210" s="60"/>
      <c r="K210" s="60"/>
      <c r="L210" s="61"/>
      <c r="M210" s="60"/>
      <c r="N210" s="95" t="s">
        <v>32</v>
      </c>
      <c r="O210" s="96" t="n">
        <f aca="false">O194-O199+O204</f>
        <v>292869.083333333</v>
      </c>
      <c r="P210" s="96"/>
      <c r="Q210" s="96"/>
      <c r="R210" s="97" t="s">
        <v>33</v>
      </c>
      <c r="S210" s="98" t="n">
        <v>0</v>
      </c>
      <c r="T210" s="98" t="n">
        <v>0</v>
      </c>
      <c r="U210" s="60"/>
      <c r="V210" s="60"/>
      <c r="W210" s="80"/>
    </row>
    <row r="211" customFormat="false" ht="6" hidden="false" customHeight="true" outlineLevel="0" collapsed="false">
      <c r="A211" s="91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111"/>
      <c r="O211" s="92"/>
      <c r="P211" s="92"/>
      <c r="Q211" s="92"/>
      <c r="R211" s="92"/>
      <c r="S211" s="92"/>
      <c r="T211" s="92"/>
      <c r="U211" s="92"/>
      <c r="V211" s="92"/>
      <c r="W211" s="93"/>
    </row>
    <row r="212" customFormat="false" ht="24.75" hidden="false" customHeight="true" outlineLevel="0" collapsed="false">
      <c r="A212" s="109" t="s">
        <v>213</v>
      </c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</row>
    <row r="213" customFormat="false" ht="15.75" hidden="false" customHeight="true" outlineLevel="0" collapsed="false">
      <c r="A213" s="102" t="s">
        <v>214</v>
      </c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</row>
    <row r="214" customFormat="false" ht="15.75" hidden="false" customHeight="true" outlineLevel="0" collapsed="false">
      <c r="A214" s="102" t="s">
        <v>215</v>
      </c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</row>
    <row r="215" customFormat="false" ht="7.5" hidden="false" customHeight="true" outlineLevel="0" collapsed="false">
      <c r="A215" s="70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139"/>
      <c r="M215" s="71"/>
      <c r="N215" s="140"/>
      <c r="O215" s="141"/>
      <c r="P215" s="141"/>
      <c r="Q215" s="141"/>
      <c r="R215" s="142"/>
      <c r="S215" s="143"/>
      <c r="T215" s="143"/>
      <c r="U215" s="71"/>
      <c r="V215" s="71"/>
      <c r="W215" s="72"/>
    </row>
    <row r="216" customFormat="false" ht="12" hidden="false" customHeight="false" outlineLevel="0" collapsed="false">
      <c r="A216" s="73" t="n">
        <v>76</v>
      </c>
      <c r="B216" s="60"/>
      <c r="C216" s="61" t="s">
        <v>216</v>
      </c>
      <c r="D216" s="61"/>
      <c r="E216" s="61"/>
      <c r="F216" s="144" t="str">
        <f aca="false">Admin!G2</f>
        <v>2026-27</v>
      </c>
      <c r="G216" s="61" t="s">
        <v>217</v>
      </c>
      <c r="H216" s="61"/>
      <c r="I216" s="61"/>
      <c r="J216" s="60"/>
      <c r="K216" s="61"/>
      <c r="L216" s="73" t="n">
        <v>78</v>
      </c>
      <c r="M216" s="60"/>
      <c r="N216" s="61" t="s">
        <v>218</v>
      </c>
      <c r="O216" s="60"/>
      <c r="P216" s="60"/>
      <c r="Q216" s="60"/>
      <c r="R216" s="60"/>
      <c r="S216" s="60"/>
      <c r="T216" s="60"/>
      <c r="U216" s="60"/>
      <c r="V216" s="60"/>
      <c r="W216" s="80"/>
    </row>
    <row r="217" customFormat="false" ht="12" hidden="false" customHeight="true" outlineLevel="0" collapsed="false">
      <c r="A217" s="104"/>
      <c r="B217" s="60"/>
      <c r="C217" s="61" t="s">
        <v>219</v>
      </c>
      <c r="D217" s="61"/>
      <c r="E217" s="61"/>
      <c r="F217" s="61"/>
      <c r="G217" s="61"/>
      <c r="H217" s="61"/>
      <c r="I217" s="61"/>
      <c r="J217" s="61"/>
      <c r="K217" s="61"/>
      <c r="L217" s="61"/>
      <c r="M217" s="60"/>
      <c r="N217" s="61" t="s">
        <v>113</v>
      </c>
      <c r="O217" s="60"/>
      <c r="P217" s="60"/>
      <c r="Q217" s="60"/>
      <c r="R217" s="60"/>
      <c r="S217" s="60"/>
      <c r="T217" s="60"/>
      <c r="U217" s="60"/>
      <c r="V217" s="60"/>
      <c r="W217" s="80"/>
    </row>
    <row r="218" customFormat="false" ht="6" hidden="false" customHeight="true" outlineLevel="0" collapsed="false">
      <c r="A218" s="104"/>
      <c r="B218" s="60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80"/>
    </row>
    <row r="219" customFormat="false" ht="15" hidden="false" customHeight="false" outlineLevel="0" collapsed="false">
      <c r="A219" s="77"/>
      <c r="B219" s="60"/>
      <c r="C219" s="95" t="s">
        <v>32</v>
      </c>
      <c r="D219" s="96" t="n">
        <f aca="false">O179+E197-D201+D210+P190</f>
        <v>0</v>
      </c>
      <c r="E219" s="96"/>
      <c r="F219" s="96"/>
      <c r="G219" s="97" t="s">
        <v>33</v>
      </c>
      <c r="H219" s="98" t="n">
        <v>0</v>
      </c>
      <c r="I219" s="98" t="n">
        <v>0</v>
      </c>
      <c r="J219" s="60"/>
      <c r="K219" s="60"/>
      <c r="L219" s="61"/>
      <c r="M219" s="60"/>
      <c r="N219" s="95" t="s">
        <v>32</v>
      </c>
      <c r="O219" s="96"/>
      <c r="P219" s="96"/>
      <c r="Q219" s="96"/>
      <c r="R219" s="97" t="s">
        <v>33</v>
      </c>
      <c r="S219" s="98" t="n">
        <v>0</v>
      </c>
      <c r="T219" s="98" t="n">
        <v>0</v>
      </c>
      <c r="U219" s="60"/>
      <c r="V219" s="60"/>
      <c r="W219" s="80"/>
    </row>
    <row r="220" customFormat="false" ht="12" hidden="false" customHeight="true" outlineLevel="0" collapsed="false">
      <c r="A220" s="77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80"/>
    </row>
    <row r="221" customFormat="false" ht="12" hidden="false" customHeight="false" outlineLevel="0" collapsed="false">
      <c r="A221" s="73" t="n">
        <v>77</v>
      </c>
      <c r="B221" s="60"/>
      <c r="C221" s="61" t="s">
        <v>220</v>
      </c>
      <c r="D221" s="61"/>
      <c r="E221" s="61"/>
      <c r="F221" s="61"/>
      <c r="G221" s="61"/>
      <c r="H221" s="61"/>
      <c r="I221" s="61"/>
      <c r="J221" s="61"/>
      <c r="K221" s="61"/>
      <c r="L221" s="73" t="n">
        <v>79</v>
      </c>
      <c r="M221" s="60"/>
      <c r="N221" s="61" t="s">
        <v>116</v>
      </c>
      <c r="O221" s="60"/>
      <c r="P221" s="60"/>
      <c r="Q221" s="60"/>
      <c r="R221" s="60"/>
      <c r="S221" s="60"/>
      <c r="T221" s="60"/>
      <c r="U221" s="60"/>
      <c r="V221" s="60"/>
      <c r="W221" s="80"/>
    </row>
    <row r="222" customFormat="false" ht="12" hidden="false" customHeight="false" outlineLevel="0" collapsed="false">
      <c r="A222" s="77"/>
      <c r="B222" s="60"/>
      <c r="C222" s="61" t="s">
        <v>108</v>
      </c>
      <c r="D222" s="112" t="str">
        <f aca="false">Admin!G2</f>
        <v>2026-27</v>
      </c>
      <c r="E222" s="112"/>
      <c r="F222" s="112"/>
      <c r="G222" s="60"/>
      <c r="H222" s="60"/>
      <c r="I222" s="60"/>
      <c r="J222" s="60"/>
      <c r="K222" s="60"/>
      <c r="L222" s="60"/>
      <c r="M222" s="60"/>
      <c r="N222" s="88" t="s">
        <v>118</v>
      </c>
      <c r="O222" s="60"/>
      <c r="P222" s="60"/>
      <c r="Q222" s="60"/>
      <c r="R222" s="60"/>
      <c r="S222" s="60"/>
      <c r="T222" s="60"/>
      <c r="U222" s="60"/>
      <c r="V222" s="60"/>
      <c r="W222" s="80"/>
    </row>
    <row r="223" customFormat="false" ht="6" hidden="false" customHeight="true" outlineLevel="0" collapsed="false">
      <c r="A223" s="104"/>
      <c r="B223" s="60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80"/>
    </row>
    <row r="224" customFormat="false" ht="15" hidden="false" customHeight="false" outlineLevel="0" collapsed="false">
      <c r="A224" s="77"/>
      <c r="B224" s="60"/>
      <c r="C224" s="95" t="s">
        <v>32</v>
      </c>
      <c r="D224" s="96"/>
      <c r="E224" s="96"/>
      <c r="F224" s="96"/>
      <c r="G224" s="97" t="s">
        <v>33</v>
      </c>
      <c r="H224" s="98" t="n">
        <v>0</v>
      </c>
      <c r="I224" s="98" t="n">
        <v>0</v>
      </c>
      <c r="J224" s="60"/>
      <c r="K224" s="60"/>
      <c r="L224" s="60"/>
      <c r="M224" s="60"/>
      <c r="N224" s="95" t="s">
        <v>32</v>
      </c>
      <c r="O224" s="96" t="n">
        <f aca="false">D219</f>
        <v>0</v>
      </c>
      <c r="P224" s="96"/>
      <c r="Q224" s="96"/>
      <c r="R224" s="97" t="s">
        <v>33</v>
      </c>
      <c r="S224" s="98" t="n">
        <v>0</v>
      </c>
      <c r="T224" s="98" t="n">
        <v>0</v>
      </c>
      <c r="U224" s="60"/>
      <c r="V224" s="60"/>
      <c r="W224" s="80"/>
    </row>
    <row r="225" customFormat="false" ht="7.5" hidden="false" customHeight="true" outlineLevel="0" collapsed="false">
      <c r="A225" s="91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3"/>
    </row>
    <row r="226" customFormat="false" ht="24.75" hidden="false" customHeight="true" outlineLevel="0" collapsed="false">
      <c r="A226" s="145" t="s">
        <v>221</v>
      </c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</row>
    <row r="227" customFormat="false" ht="7.5" hidden="false" customHeight="true" outlineLevel="0" collapsed="false">
      <c r="A227" s="70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139"/>
      <c r="M227" s="71"/>
      <c r="N227" s="140"/>
      <c r="O227" s="141"/>
      <c r="P227" s="141"/>
      <c r="Q227" s="141"/>
      <c r="R227" s="142"/>
      <c r="S227" s="143"/>
      <c r="T227" s="143"/>
      <c r="U227" s="71"/>
      <c r="V227" s="71"/>
      <c r="W227" s="72"/>
    </row>
    <row r="228" customFormat="false" ht="12" hidden="false" customHeight="false" outlineLevel="0" collapsed="false">
      <c r="A228" s="73" t="n">
        <v>80</v>
      </c>
      <c r="B228" s="60"/>
      <c r="C228" s="61" t="s">
        <v>117</v>
      </c>
      <c r="D228" s="61"/>
      <c r="E228" s="61"/>
      <c r="F228" s="61"/>
      <c r="G228" s="61"/>
      <c r="H228" s="61"/>
      <c r="I228" s="61"/>
      <c r="J228" s="61"/>
      <c r="K228" s="61"/>
      <c r="L228" s="73" t="n">
        <v>81</v>
      </c>
      <c r="M228" s="60"/>
      <c r="N228" s="61" t="s">
        <v>222</v>
      </c>
      <c r="O228" s="60"/>
      <c r="P228" s="60"/>
      <c r="Q228" s="60"/>
      <c r="R228" s="60"/>
      <c r="S228" s="60"/>
      <c r="T228" s="60"/>
      <c r="U228" s="60"/>
      <c r="V228" s="60"/>
      <c r="W228" s="80"/>
    </row>
    <row r="229" customFormat="false" ht="12" hidden="false" customHeight="true" outlineLevel="0" collapsed="false">
      <c r="A229" s="104"/>
      <c r="B229" s="60"/>
      <c r="C229" s="61" t="s">
        <v>223</v>
      </c>
      <c r="D229" s="61"/>
      <c r="E229" s="61"/>
      <c r="F229" s="61"/>
      <c r="G229" s="61"/>
      <c r="H229" s="61"/>
      <c r="I229" s="61"/>
      <c r="J229" s="61"/>
      <c r="K229" s="61"/>
      <c r="L229" s="61"/>
      <c r="M229" s="60"/>
      <c r="N229" s="61"/>
      <c r="O229" s="60"/>
      <c r="P229" s="60"/>
      <c r="Q229" s="60"/>
      <c r="R229" s="60"/>
      <c r="S229" s="60"/>
      <c r="T229" s="60"/>
      <c r="U229" s="60"/>
      <c r="V229" s="60"/>
      <c r="W229" s="80"/>
    </row>
    <row r="230" customFormat="false" ht="6" hidden="false" customHeight="true" outlineLevel="0" collapsed="false">
      <c r="A230" s="104"/>
      <c r="B230" s="60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80"/>
    </row>
    <row r="231" customFormat="false" ht="15" hidden="false" customHeight="false" outlineLevel="0" collapsed="false">
      <c r="A231" s="77"/>
      <c r="B231" s="60"/>
      <c r="C231" s="95" t="s">
        <v>32</v>
      </c>
      <c r="D231" s="96" t="n">
        <f aca="false">[2]Mar!$X$1</f>
        <v>0</v>
      </c>
      <c r="E231" s="96"/>
      <c r="F231" s="96"/>
      <c r="G231" s="97" t="s">
        <v>33</v>
      </c>
      <c r="H231" s="98" t="n">
        <v>0</v>
      </c>
      <c r="I231" s="98" t="n">
        <v>0</v>
      </c>
      <c r="J231" s="60"/>
      <c r="K231" s="60"/>
      <c r="L231" s="61"/>
      <c r="M231" s="60"/>
      <c r="N231" s="95" t="s">
        <v>32</v>
      </c>
      <c r="O231" s="96"/>
      <c r="P231" s="96"/>
      <c r="Q231" s="96"/>
      <c r="R231" s="97" t="s">
        <v>33</v>
      </c>
      <c r="S231" s="98" t="n">
        <v>0</v>
      </c>
      <c r="T231" s="98" t="n">
        <v>0</v>
      </c>
      <c r="U231" s="60"/>
      <c r="V231" s="60"/>
      <c r="W231" s="80"/>
    </row>
    <row r="232" customFormat="false" ht="7.5" hidden="false" customHeight="true" outlineLevel="0" collapsed="false">
      <c r="A232" s="91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3"/>
    </row>
    <row r="233" customFormat="false" ht="24.75" hidden="false" customHeight="true" outlineLevel="0" collapsed="false">
      <c r="A233" s="101" t="s">
        <v>224</v>
      </c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</row>
    <row r="234" customFormat="false" ht="15.75" hidden="false" customHeight="true" outlineLevel="0" collapsed="false">
      <c r="A234" s="102" t="s">
        <v>225</v>
      </c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</row>
    <row r="235" customFormat="false" ht="15.75" hidden="false" customHeight="true" outlineLevel="0" collapsed="false">
      <c r="A235" s="102" t="s">
        <v>226</v>
      </c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</row>
    <row r="236" customFormat="false" ht="12" hidden="false" customHeight="false" outlineLevel="0" collapsed="false">
      <c r="A236" s="70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2"/>
    </row>
    <row r="237" customFormat="false" ht="13.5" hidden="false" customHeight="false" outlineLevel="0" collapsed="false">
      <c r="A237" s="77"/>
      <c r="B237" s="60"/>
      <c r="C237" s="127" t="s">
        <v>227</v>
      </c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127" t="s">
        <v>228</v>
      </c>
      <c r="O237" s="60"/>
      <c r="P237" s="60"/>
      <c r="Q237" s="60"/>
      <c r="R237" s="60"/>
      <c r="S237" s="60"/>
      <c r="T237" s="60"/>
      <c r="U237" s="60"/>
      <c r="V237" s="60"/>
      <c r="W237" s="80"/>
    </row>
    <row r="238" customFormat="false" ht="9.75" hidden="false" customHeight="true" outlineLevel="0" collapsed="false">
      <c r="A238" s="77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80"/>
    </row>
    <row r="239" customFormat="false" ht="12" hidden="false" customHeight="false" outlineLevel="0" collapsed="false">
      <c r="A239" s="73" t="n">
        <v>82</v>
      </c>
      <c r="B239" s="60"/>
      <c r="C239" s="61" t="s">
        <v>229</v>
      </c>
      <c r="D239" s="61"/>
      <c r="E239" s="61"/>
      <c r="F239" s="61"/>
      <c r="G239" s="61"/>
      <c r="H239" s="61"/>
      <c r="I239" s="61"/>
      <c r="J239" s="61"/>
      <c r="K239" s="61"/>
      <c r="L239" s="73" t="n">
        <v>90</v>
      </c>
      <c r="M239" s="60"/>
      <c r="N239" s="61" t="s">
        <v>230</v>
      </c>
      <c r="O239" s="60"/>
      <c r="P239" s="60"/>
      <c r="Q239" s="60"/>
      <c r="R239" s="60"/>
      <c r="S239" s="60"/>
      <c r="T239" s="60"/>
      <c r="U239" s="60"/>
      <c r="V239" s="60"/>
      <c r="W239" s="80"/>
    </row>
    <row r="240" customFormat="false" ht="6" hidden="false" customHeight="true" outlineLevel="0" collapsed="false">
      <c r="A240" s="104"/>
      <c r="B240" s="60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80"/>
    </row>
    <row r="241" customFormat="false" ht="15" hidden="false" customHeight="false" outlineLevel="0" collapsed="false">
      <c r="A241" s="77"/>
      <c r="B241" s="60"/>
      <c r="C241" s="95" t="s">
        <v>32</v>
      </c>
      <c r="D241" s="96"/>
      <c r="E241" s="96"/>
      <c r="F241" s="96"/>
      <c r="G241" s="97" t="s">
        <v>33</v>
      </c>
      <c r="H241" s="98" t="n">
        <v>0</v>
      </c>
      <c r="I241" s="98" t="n">
        <v>0</v>
      </c>
      <c r="J241" s="60"/>
      <c r="K241" s="60"/>
      <c r="L241" s="60"/>
      <c r="M241" s="60"/>
      <c r="N241" s="95" t="s">
        <v>32</v>
      </c>
      <c r="O241" s="96"/>
      <c r="P241" s="96"/>
      <c r="Q241" s="96"/>
      <c r="R241" s="97" t="s">
        <v>33</v>
      </c>
      <c r="S241" s="98" t="n">
        <v>0</v>
      </c>
      <c r="T241" s="98" t="n">
        <v>0</v>
      </c>
      <c r="U241" s="60"/>
      <c r="V241" s="60"/>
      <c r="W241" s="80"/>
    </row>
    <row r="242" customFormat="false" ht="12" hidden="false" customHeight="false" outlineLevel="0" collapsed="false">
      <c r="A242" s="77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80"/>
    </row>
    <row r="243" customFormat="false" ht="12" hidden="false" customHeight="false" outlineLevel="0" collapsed="false">
      <c r="A243" s="73" t="n">
        <v>83</v>
      </c>
      <c r="B243" s="60"/>
      <c r="C243" s="61" t="s">
        <v>231</v>
      </c>
      <c r="D243" s="61"/>
      <c r="E243" s="61"/>
      <c r="F243" s="61"/>
      <c r="G243" s="61"/>
      <c r="H243" s="61"/>
      <c r="I243" s="61"/>
      <c r="J243" s="61"/>
      <c r="K243" s="61"/>
      <c r="L243" s="73" t="n">
        <v>91</v>
      </c>
      <c r="M243" s="60"/>
      <c r="N243" s="61" t="s">
        <v>232</v>
      </c>
      <c r="O243" s="60"/>
      <c r="P243" s="60"/>
      <c r="Q243" s="60"/>
      <c r="R243" s="60"/>
      <c r="S243" s="60"/>
      <c r="T243" s="60"/>
      <c r="U243" s="60"/>
      <c r="V243" s="60"/>
      <c r="W243" s="80"/>
    </row>
    <row r="244" customFormat="false" ht="6" hidden="false" customHeight="true" outlineLevel="0" collapsed="false">
      <c r="A244" s="104"/>
      <c r="B244" s="60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80"/>
    </row>
    <row r="245" customFormat="false" ht="15" hidden="false" customHeight="false" outlineLevel="0" collapsed="false">
      <c r="A245" s="77"/>
      <c r="B245" s="60"/>
      <c r="C245" s="95" t="s">
        <v>32</v>
      </c>
      <c r="D245" s="96"/>
      <c r="E245" s="96"/>
      <c r="F245" s="96"/>
      <c r="G245" s="97" t="s">
        <v>33</v>
      </c>
      <c r="H245" s="98" t="n">
        <v>0</v>
      </c>
      <c r="I245" s="98" t="n">
        <v>0</v>
      </c>
      <c r="J245" s="60"/>
      <c r="K245" s="60"/>
      <c r="L245" s="60"/>
      <c r="M245" s="60"/>
      <c r="N245" s="95" t="s">
        <v>32</v>
      </c>
      <c r="O245" s="96"/>
      <c r="P245" s="96"/>
      <c r="Q245" s="96"/>
      <c r="R245" s="97" t="s">
        <v>33</v>
      </c>
      <c r="S245" s="98" t="n">
        <v>0</v>
      </c>
      <c r="T245" s="98" t="n">
        <v>0</v>
      </c>
      <c r="U245" s="60"/>
      <c r="V245" s="60"/>
      <c r="W245" s="80"/>
    </row>
    <row r="246" customFormat="false" ht="12" hidden="false" customHeight="false" outlineLevel="0" collapsed="false">
      <c r="A246" s="77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80"/>
    </row>
    <row r="247" customFormat="false" ht="12" hidden="false" customHeight="false" outlineLevel="0" collapsed="false">
      <c r="A247" s="73" t="n">
        <v>84</v>
      </c>
      <c r="B247" s="60"/>
      <c r="C247" s="61" t="s">
        <v>233</v>
      </c>
      <c r="D247" s="61"/>
      <c r="E247" s="61"/>
      <c r="F247" s="61"/>
      <c r="G247" s="61"/>
      <c r="H247" s="61"/>
      <c r="I247" s="61"/>
      <c r="J247" s="61"/>
      <c r="K247" s="61"/>
      <c r="L247" s="73" t="n">
        <v>92</v>
      </c>
      <c r="M247" s="60"/>
      <c r="N247" s="61" t="s">
        <v>234</v>
      </c>
      <c r="O247" s="60"/>
      <c r="P247" s="60"/>
      <c r="Q247" s="60"/>
      <c r="R247" s="60"/>
      <c r="S247" s="60"/>
      <c r="T247" s="60"/>
      <c r="U247" s="60"/>
      <c r="V247" s="60"/>
      <c r="W247" s="80"/>
    </row>
    <row r="248" customFormat="false" ht="6" hidden="false" customHeight="true" outlineLevel="0" collapsed="false">
      <c r="A248" s="104"/>
      <c r="B248" s="60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80"/>
    </row>
    <row r="249" customFormat="false" ht="15" hidden="false" customHeight="false" outlineLevel="0" collapsed="false">
      <c r="A249" s="77"/>
      <c r="B249" s="60"/>
      <c r="C249" s="95" t="s">
        <v>32</v>
      </c>
      <c r="D249" s="96"/>
      <c r="E249" s="96"/>
      <c r="F249" s="96"/>
      <c r="G249" s="97" t="s">
        <v>33</v>
      </c>
      <c r="H249" s="98" t="n">
        <v>0</v>
      </c>
      <c r="I249" s="98" t="n">
        <v>0</v>
      </c>
      <c r="J249" s="60"/>
      <c r="K249" s="60"/>
      <c r="L249" s="60"/>
      <c r="M249" s="60"/>
      <c r="N249" s="95" t="s">
        <v>32</v>
      </c>
      <c r="O249" s="96"/>
      <c r="P249" s="96"/>
      <c r="Q249" s="96"/>
      <c r="R249" s="97" t="s">
        <v>33</v>
      </c>
      <c r="S249" s="98" t="n">
        <v>0</v>
      </c>
      <c r="T249" s="98" t="n">
        <v>0</v>
      </c>
      <c r="U249" s="60"/>
      <c r="V249" s="60"/>
      <c r="W249" s="80"/>
    </row>
    <row r="250" customFormat="false" ht="12" hidden="false" customHeight="true" outlineLevel="0" collapsed="false">
      <c r="A250" s="77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114"/>
      <c r="O250" s="110"/>
      <c r="P250" s="110"/>
      <c r="Q250" s="110"/>
      <c r="R250" s="97"/>
      <c r="S250" s="100"/>
      <c r="T250" s="100"/>
      <c r="U250" s="60"/>
      <c r="V250" s="60"/>
      <c r="W250" s="80"/>
    </row>
    <row r="251" customFormat="false" ht="15" hidden="false" customHeight="false" outlineLevel="0" collapsed="false">
      <c r="A251" s="73" t="n">
        <v>85</v>
      </c>
      <c r="B251" s="60"/>
      <c r="C251" s="61" t="s">
        <v>235</v>
      </c>
      <c r="D251" s="61"/>
      <c r="E251" s="61"/>
      <c r="F251" s="61"/>
      <c r="G251" s="61"/>
      <c r="H251" s="61"/>
      <c r="I251" s="61"/>
      <c r="J251" s="61"/>
      <c r="K251" s="61"/>
      <c r="L251" s="60"/>
      <c r="M251" s="60"/>
      <c r="N251" s="127" t="s">
        <v>236</v>
      </c>
      <c r="O251" s="110"/>
      <c r="P251" s="110"/>
      <c r="Q251" s="110"/>
      <c r="R251" s="97"/>
      <c r="S251" s="100"/>
      <c r="T251" s="100"/>
      <c r="U251" s="60"/>
      <c r="V251" s="60"/>
      <c r="W251" s="80"/>
    </row>
    <row r="252" customFormat="false" ht="6" hidden="false" customHeight="true" outlineLevel="0" collapsed="false">
      <c r="A252" s="104"/>
      <c r="B252" s="60"/>
      <c r="C252" s="61"/>
      <c r="D252" s="61"/>
      <c r="E252" s="61"/>
      <c r="F252" s="61"/>
      <c r="G252" s="61"/>
      <c r="H252" s="61"/>
      <c r="I252" s="61"/>
      <c r="J252" s="61"/>
      <c r="K252" s="61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80"/>
    </row>
    <row r="253" customFormat="false" ht="15" hidden="false" customHeight="false" outlineLevel="0" collapsed="false">
      <c r="A253" s="77"/>
      <c r="B253" s="60"/>
      <c r="C253" s="95" t="s">
        <v>32</v>
      </c>
      <c r="D253" s="96"/>
      <c r="E253" s="96"/>
      <c r="F253" s="96"/>
      <c r="G253" s="97" t="s">
        <v>33</v>
      </c>
      <c r="H253" s="98" t="n">
        <v>0</v>
      </c>
      <c r="I253" s="98" t="n">
        <v>0</v>
      </c>
      <c r="J253" s="60"/>
      <c r="K253" s="60"/>
      <c r="L253" s="73" t="n">
        <v>93</v>
      </c>
      <c r="M253" s="60"/>
      <c r="N253" s="61" t="s">
        <v>237</v>
      </c>
      <c r="O253" s="60"/>
      <c r="P253" s="60"/>
      <c r="Q253" s="60"/>
      <c r="R253" s="60"/>
      <c r="S253" s="60"/>
      <c r="T253" s="60"/>
      <c r="U253" s="60"/>
      <c r="V253" s="60"/>
      <c r="W253" s="80"/>
    </row>
    <row r="254" customFormat="false" ht="12" hidden="false" customHeight="false" outlineLevel="0" collapsed="false">
      <c r="A254" s="77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1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80"/>
    </row>
    <row r="255" customFormat="false" ht="15" hidden="false" customHeight="false" outlineLevel="0" collapsed="false">
      <c r="A255" s="73" t="n">
        <v>86</v>
      </c>
      <c r="B255" s="60"/>
      <c r="C255" s="61" t="s">
        <v>238</v>
      </c>
      <c r="D255" s="61"/>
      <c r="E255" s="61"/>
      <c r="F255" s="61"/>
      <c r="G255" s="61"/>
      <c r="H255" s="61"/>
      <c r="I255" s="61"/>
      <c r="J255" s="61"/>
      <c r="K255" s="61"/>
      <c r="L255" s="60"/>
      <c r="M255" s="60"/>
      <c r="N255" s="146" t="s">
        <v>32</v>
      </c>
      <c r="O255" s="147" t="s">
        <v>193</v>
      </c>
      <c r="P255" s="96"/>
      <c r="Q255" s="96"/>
      <c r="R255" s="96"/>
      <c r="S255" s="97" t="s">
        <v>33</v>
      </c>
      <c r="T255" s="98" t="n">
        <v>0</v>
      </c>
      <c r="U255" s="98" t="n">
        <v>0</v>
      </c>
      <c r="V255" s="60"/>
      <c r="W255" s="80"/>
    </row>
    <row r="256" customFormat="false" ht="6" hidden="false" customHeight="true" outlineLevel="0" collapsed="false">
      <c r="A256" s="104"/>
      <c r="B256" s="60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80"/>
    </row>
    <row r="257" customFormat="false" ht="15" hidden="false" customHeight="false" outlineLevel="0" collapsed="false">
      <c r="A257" s="77"/>
      <c r="B257" s="60"/>
      <c r="C257" s="95" t="s">
        <v>32</v>
      </c>
      <c r="D257" s="96"/>
      <c r="E257" s="96"/>
      <c r="F257" s="96"/>
      <c r="G257" s="97" t="s">
        <v>33</v>
      </c>
      <c r="H257" s="98" t="n">
        <v>0</v>
      </c>
      <c r="I257" s="98" t="n">
        <v>0</v>
      </c>
      <c r="J257" s="60"/>
      <c r="K257" s="60"/>
      <c r="L257" s="60"/>
      <c r="M257" s="60"/>
      <c r="N257" s="127" t="s">
        <v>239</v>
      </c>
      <c r="O257" s="60"/>
      <c r="P257" s="60"/>
      <c r="Q257" s="60"/>
      <c r="R257" s="60"/>
      <c r="S257" s="60"/>
      <c r="T257" s="60"/>
      <c r="U257" s="60"/>
      <c r="V257" s="60"/>
      <c r="W257" s="80"/>
    </row>
    <row r="258" customFormat="false" ht="12" hidden="false" customHeight="false" outlineLevel="0" collapsed="false">
      <c r="A258" s="77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80"/>
    </row>
    <row r="259" customFormat="false" ht="12" hidden="false" customHeight="false" outlineLevel="0" collapsed="false">
      <c r="A259" s="73" t="n">
        <v>87</v>
      </c>
      <c r="B259" s="60"/>
      <c r="C259" s="61" t="s">
        <v>240</v>
      </c>
      <c r="D259" s="61"/>
      <c r="E259" s="61"/>
      <c r="F259" s="61"/>
      <c r="G259" s="61"/>
      <c r="H259" s="61"/>
      <c r="I259" s="61"/>
      <c r="J259" s="61"/>
      <c r="K259" s="61"/>
      <c r="L259" s="73" t="n">
        <v>94</v>
      </c>
      <c r="M259" s="60"/>
      <c r="N259" s="61" t="s">
        <v>241</v>
      </c>
      <c r="O259" s="60"/>
      <c r="P259" s="60"/>
      <c r="Q259" s="60"/>
      <c r="R259" s="60"/>
      <c r="S259" s="60"/>
      <c r="T259" s="60"/>
      <c r="U259" s="60"/>
      <c r="V259" s="60"/>
      <c r="W259" s="80"/>
    </row>
    <row r="260" customFormat="false" ht="6" hidden="false" customHeight="true" outlineLevel="0" collapsed="false">
      <c r="A260" s="104"/>
      <c r="B260" s="60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80"/>
    </row>
    <row r="261" customFormat="false" ht="15" hidden="false" customHeight="false" outlineLevel="0" collapsed="false">
      <c r="A261" s="77"/>
      <c r="B261" s="60"/>
      <c r="C261" s="95" t="s">
        <v>32</v>
      </c>
      <c r="D261" s="96"/>
      <c r="E261" s="96"/>
      <c r="F261" s="96"/>
      <c r="G261" s="97" t="s">
        <v>33</v>
      </c>
      <c r="H261" s="98" t="n">
        <v>0</v>
      </c>
      <c r="I261" s="98" t="n">
        <v>0</v>
      </c>
      <c r="J261" s="60"/>
      <c r="K261" s="60"/>
      <c r="L261" s="60"/>
      <c r="M261" s="60"/>
      <c r="N261" s="146" t="s">
        <v>32</v>
      </c>
      <c r="O261" s="134" t="s">
        <v>193</v>
      </c>
      <c r="P261" s="96"/>
      <c r="Q261" s="96"/>
      <c r="R261" s="96"/>
      <c r="S261" s="97" t="s">
        <v>33</v>
      </c>
      <c r="T261" s="98" t="n">
        <v>0</v>
      </c>
      <c r="U261" s="98" t="n">
        <v>0</v>
      </c>
      <c r="V261" s="60"/>
      <c r="W261" s="80"/>
    </row>
    <row r="262" customFormat="false" ht="12" hidden="false" customHeight="false" outlineLevel="0" collapsed="false">
      <c r="A262" s="77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80"/>
    </row>
    <row r="263" customFormat="false" ht="12" hidden="false" customHeight="false" outlineLevel="0" collapsed="false">
      <c r="A263" s="73" t="n">
        <v>88</v>
      </c>
      <c r="B263" s="60"/>
      <c r="C263" s="61" t="s">
        <v>242</v>
      </c>
      <c r="D263" s="61"/>
      <c r="E263" s="61"/>
      <c r="F263" s="61"/>
      <c r="G263" s="61"/>
      <c r="H263" s="61"/>
      <c r="I263" s="61"/>
      <c r="J263" s="61"/>
      <c r="K263" s="61"/>
      <c r="L263" s="73" t="n">
        <v>95</v>
      </c>
      <c r="M263" s="60"/>
      <c r="N263" s="61" t="s">
        <v>243</v>
      </c>
      <c r="O263" s="60"/>
      <c r="P263" s="60"/>
      <c r="Q263" s="60"/>
      <c r="R263" s="60"/>
      <c r="S263" s="60"/>
      <c r="T263" s="60"/>
      <c r="U263" s="60"/>
      <c r="V263" s="60"/>
      <c r="W263" s="80"/>
    </row>
    <row r="264" customFormat="false" ht="6" hidden="false" customHeight="true" outlineLevel="0" collapsed="false">
      <c r="A264" s="104"/>
      <c r="B264" s="60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80"/>
    </row>
    <row r="265" customFormat="false" ht="15" hidden="false" customHeight="false" outlineLevel="0" collapsed="false">
      <c r="A265" s="77"/>
      <c r="B265" s="60"/>
      <c r="C265" s="95" t="s">
        <v>32</v>
      </c>
      <c r="D265" s="96"/>
      <c r="E265" s="96"/>
      <c r="F265" s="96"/>
      <c r="G265" s="97" t="s">
        <v>33</v>
      </c>
      <c r="H265" s="98" t="n">
        <v>0</v>
      </c>
      <c r="I265" s="98" t="n">
        <v>0</v>
      </c>
      <c r="J265" s="60"/>
      <c r="K265" s="60"/>
      <c r="L265" s="60"/>
      <c r="M265" s="60"/>
      <c r="N265" s="146" t="s">
        <v>32</v>
      </c>
      <c r="O265" s="134" t="s">
        <v>193</v>
      </c>
      <c r="P265" s="96"/>
      <c r="Q265" s="96"/>
      <c r="R265" s="96"/>
      <c r="S265" s="97" t="s">
        <v>33</v>
      </c>
      <c r="T265" s="98" t="n">
        <v>0</v>
      </c>
      <c r="U265" s="98" t="n">
        <v>0</v>
      </c>
      <c r="V265" s="60"/>
      <c r="W265" s="80"/>
    </row>
    <row r="266" customFormat="false" ht="12" hidden="false" customHeight="false" outlineLevel="0" collapsed="false">
      <c r="A266" s="77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80"/>
    </row>
    <row r="267" customFormat="false" ht="12" hidden="false" customHeight="false" outlineLevel="0" collapsed="false">
      <c r="A267" s="73" t="n">
        <v>89</v>
      </c>
      <c r="B267" s="60"/>
      <c r="C267" s="61" t="s">
        <v>244</v>
      </c>
      <c r="D267" s="61"/>
      <c r="E267" s="61"/>
      <c r="F267" s="61"/>
      <c r="G267" s="61"/>
      <c r="H267" s="61"/>
      <c r="I267" s="61"/>
      <c r="J267" s="61"/>
      <c r="K267" s="61"/>
      <c r="L267" s="73" t="n">
        <v>96</v>
      </c>
      <c r="M267" s="60"/>
      <c r="N267" s="61" t="s">
        <v>245</v>
      </c>
      <c r="O267" s="60"/>
      <c r="P267" s="60"/>
      <c r="Q267" s="60"/>
      <c r="R267" s="60"/>
      <c r="S267" s="60"/>
      <c r="T267" s="60"/>
      <c r="U267" s="60"/>
      <c r="V267" s="60"/>
      <c r="W267" s="80"/>
    </row>
    <row r="268" customFormat="false" ht="6" hidden="false" customHeight="true" outlineLevel="0" collapsed="false">
      <c r="A268" s="104"/>
      <c r="B268" s="60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80"/>
    </row>
    <row r="269" customFormat="false" ht="15" hidden="false" customHeight="false" outlineLevel="0" collapsed="false">
      <c r="A269" s="77"/>
      <c r="B269" s="60"/>
      <c r="C269" s="95" t="s">
        <v>32</v>
      </c>
      <c r="D269" s="96"/>
      <c r="E269" s="96"/>
      <c r="F269" s="96"/>
      <c r="G269" s="97" t="s">
        <v>33</v>
      </c>
      <c r="H269" s="98" t="n">
        <v>0</v>
      </c>
      <c r="I269" s="98" t="n">
        <v>0</v>
      </c>
      <c r="J269" s="60"/>
      <c r="K269" s="60"/>
      <c r="L269" s="60"/>
      <c r="M269" s="60"/>
      <c r="N269" s="95" t="s">
        <v>32</v>
      </c>
      <c r="O269" s="96"/>
      <c r="P269" s="96"/>
      <c r="Q269" s="96"/>
      <c r="R269" s="97" t="s">
        <v>33</v>
      </c>
      <c r="S269" s="98" t="n">
        <v>0</v>
      </c>
      <c r="T269" s="98" t="n">
        <v>0</v>
      </c>
      <c r="U269" s="60"/>
      <c r="V269" s="60"/>
      <c r="W269" s="80"/>
    </row>
    <row r="270" customFormat="false" ht="12" hidden="false" customHeight="false" outlineLevel="0" collapsed="false">
      <c r="A270" s="77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80"/>
    </row>
    <row r="271" customFormat="false" ht="12" hidden="false" customHeight="false" outlineLevel="0" collapsed="false">
      <c r="A271" s="104"/>
      <c r="B271" s="60"/>
      <c r="C271" s="61"/>
      <c r="D271" s="61"/>
      <c r="E271" s="61"/>
      <c r="F271" s="61"/>
      <c r="G271" s="61"/>
      <c r="H271" s="61"/>
      <c r="I271" s="61"/>
      <c r="J271" s="61"/>
      <c r="K271" s="61"/>
      <c r="L271" s="73" t="n">
        <v>97</v>
      </c>
      <c r="M271" s="60"/>
      <c r="N271" s="61" t="s">
        <v>246</v>
      </c>
      <c r="O271" s="60"/>
      <c r="P271" s="60"/>
      <c r="Q271" s="60"/>
      <c r="R271" s="60"/>
      <c r="S271" s="60"/>
      <c r="T271" s="60"/>
      <c r="U271" s="60"/>
      <c r="V271" s="60"/>
      <c r="W271" s="80"/>
    </row>
    <row r="272" customFormat="false" ht="6" hidden="false" customHeight="true" outlineLevel="0" collapsed="false">
      <c r="A272" s="104"/>
      <c r="B272" s="60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80"/>
    </row>
    <row r="273" customFormat="false" ht="15" hidden="false" customHeight="false" outlineLevel="0" collapsed="false">
      <c r="A273" s="104"/>
      <c r="B273" s="60"/>
      <c r="C273" s="61"/>
      <c r="D273" s="61"/>
      <c r="E273" s="61"/>
      <c r="F273" s="61"/>
      <c r="G273" s="61"/>
      <c r="H273" s="61"/>
      <c r="I273" s="61"/>
      <c r="J273" s="61"/>
      <c r="K273" s="61"/>
      <c r="L273" s="60"/>
      <c r="M273" s="60"/>
      <c r="N273" s="95" t="s">
        <v>32</v>
      </c>
      <c r="O273" s="96"/>
      <c r="P273" s="96"/>
      <c r="Q273" s="96"/>
      <c r="R273" s="97" t="s">
        <v>33</v>
      </c>
      <c r="S273" s="98" t="n">
        <v>0</v>
      </c>
      <c r="T273" s="98" t="n">
        <v>0</v>
      </c>
      <c r="U273" s="60"/>
      <c r="V273" s="60"/>
      <c r="W273" s="80"/>
    </row>
    <row r="274" customFormat="false" ht="7.5" hidden="false" customHeight="true" outlineLevel="0" collapsed="false">
      <c r="A274" s="104"/>
      <c r="B274" s="60"/>
      <c r="C274" s="61"/>
      <c r="D274" s="61"/>
      <c r="E274" s="61"/>
      <c r="F274" s="61"/>
      <c r="G274" s="61"/>
      <c r="H274" s="61"/>
      <c r="I274" s="61"/>
      <c r="J274" s="61"/>
      <c r="K274" s="61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80"/>
    </row>
    <row r="275" customFormat="false" ht="12" hidden="false" customHeight="true" outlineLevel="0" collapsed="false">
      <c r="A275" s="104"/>
      <c r="B275" s="60"/>
      <c r="C275" s="61"/>
      <c r="D275" s="61"/>
      <c r="E275" s="61"/>
      <c r="F275" s="61"/>
      <c r="G275" s="61"/>
      <c r="H275" s="61"/>
      <c r="I275" s="61"/>
      <c r="J275" s="61"/>
      <c r="K275" s="61"/>
      <c r="L275" s="73" t="n">
        <v>98</v>
      </c>
      <c r="M275" s="60"/>
      <c r="N275" s="61" t="s">
        <v>247</v>
      </c>
      <c r="O275" s="60"/>
      <c r="P275" s="60"/>
      <c r="Q275" s="60"/>
      <c r="R275" s="60"/>
      <c r="S275" s="60"/>
      <c r="T275" s="60"/>
      <c r="U275" s="60"/>
      <c r="V275" s="60"/>
      <c r="W275" s="80"/>
    </row>
    <row r="276" customFormat="false" ht="12" hidden="false" customHeight="false" outlineLevel="0" collapsed="false">
      <c r="A276" s="104"/>
      <c r="B276" s="60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80"/>
    </row>
    <row r="277" customFormat="false" ht="15" hidden="false" customHeight="false" outlineLevel="0" collapsed="false">
      <c r="A277" s="77"/>
      <c r="B277" s="60"/>
      <c r="C277" s="114"/>
      <c r="D277" s="110"/>
      <c r="E277" s="110"/>
      <c r="F277" s="110"/>
      <c r="G277" s="97"/>
      <c r="H277" s="100"/>
      <c r="I277" s="100"/>
      <c r="J277" s="60"/>
      <c r="K277" s="60"/>
      <c r="L277" s="60"/>
      <c r="M277" s="60"/>
      <c r="N277" s="95" t="s">
        <v>32</v>
      </c>
      <c r="O277" s="134" t="s">
        <v>193</v>
      </c>
      <c r="P277" s="96"/>
      <c r="Q277" s="96"/>
      <c r="R277" s="96"/>
      <c r="S277" s="97" t="s">
        <v>33</v>
      </c>
      <c r="T277" s="98" t="n">
        <v>0</v>
      </c>
      <c r="U277" s="98" t="n">
        <v>0</v>
      </c>
      <c r="V277" s="60"/>
      <c r="W277" s="80"/>
    </row>
    <row r="278" customFormat="false" ht="12" hidden="false" customHeight="false" outlineLevel="0" collapsed="false">
      <c r="A278" s="91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3"/>
    </row>
    <row r="279" customFormat="false" ht="24.75" hidden="false" customHeight="true" outlineLevel="0" collapsed="false">
      <c r="A279" s="109" t="s">
        <v>248</v>
      </c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</row>
    <row r="280" customFormat="false" ht="15.75" hidden="false" customHeight="true" outlineLevel="0" collapsed="false">
      <c r="A280" s="102" t="s">
        <v>249</v>
      </c>
      <c r="B280" s="102"/>
      <c r="C280" s="102"/>
      <c r="D280" s="102"/>
      <c r="E280" s="102"/>
      <c r="F280" s="102"/>
      <c r="G280" s="102"/>
      <c r="H280" s="102"/>
      <c r="I280" s="102"/>
      <c r="J280" s="148" t="n">
        <f aca="false">Admin!N4</f>
        <v>12570</v>
      </c>
      <c r="K280" s="102" t="s">
        <v>250</v>
      </c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</row>
    <row r="281" customFormat="false" ht="15.75" hidden="false" customHeight="true" outlineLevel="0" collapsed="false">
      <c r="A281" s="149" t="s">
        <v>251</v>
      </c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</row>
    <row r="282" customFormat="false" ht="7.5" hidden="false" customHeight="true" outlineLevel="0" collapsed="false">
      <c r="A282" s="70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2"/>
    </row>
    <row r="283" customFormat="false" ht="12" hidden="false" customHeight="false" outlineLevel="0" collapsed="false">
      <c r="A283" s="73" t="n">
        <v>99</v>
      </c>
      <c r="B283" s="60"/>
      <c r="C283" s="61" t="s">
        <v>252</v>
      </c>
      <c r="D283" s="60"/>
      <c r="E283" s="60"/>
      <c r="F283" s="60"/>
      <c r="G283" s="60"/>
      <c r="H283" s="60"/>
      <c r="I283" s="60"/>
      <c r="J283" s="60"/>
      <c r="K283" s="60"/>
      <c r="L283" s="73" t="n">
        <v>101</v>
      </c>
      <c r="M283" s="60"/>
      <c r="N283" s="61" t="s">
        <v>253</v>
      </c>
      <c r="O283" s="60"/>
      <c r="P283" s="60"/>
      <c r="Q283" s="60"/>
      <c r="R283" s="60"/>
      <c r="S283" s="60"/>
      <c r="T283" s="60"/>
      <c r="U283" s="60"/>
      <c r="V283" s="60"/>
      <c r="W283" s="80"/>
    </row>
    <row r="284" customFormat="false" ht="12" hidden="false" customHeight="false" outlineLevel="0" collapsed="false">
      <c r="A284" s="77"/>
      <c r="B284" s="60"/>
      <c r="C284" s="61" t="s">
        <v>254</v>
      </c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88" t="s">
        <v>255</v>
      </c>
      <c r="O284" s="60"/>
      <c r="P284" s="60"/>
      <c r="Q284" s="60"/>
      <c r="R284" s="60"/>
      <c r="S284" s="60"/>
      <c r="T284" s="60"/>
      <c r="U284" s="60"/>
      <c r="V284" s="60"/>
      <c r="W284" s="80"/>
    </row>
    <row r="285" customFormat="false" ht="7.5" hidden="false" customHeight="true" outlineLevel="0" collapsed="false">
      <c r="A285" s="77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80"/>
    </row>
    <row r="286" customFormat="false" ht="15.75" hidden="false" customHeight="true" outlineLevel="0" collapsed="false">
      <c r="A286" s="77"/>
      <c r="B286" s="60"/>
      <c r="C286" s="15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95" t="s">
        <v>32</v>
      </c>
      <c r="O286" s="96"/>
      <c r="P286" s="96"/>
      <c r="Q286" s="96"/>
      <c r="R286" s="97" t="s">
        <v>33</v>
      </c>
      <c r="S286" s="98" t="n">
        <v>0</v>
      </c>
      <c r="T286" s="98" t="n">
        <v>0</v>
      </c>
      <c r="U286" s="60"/>
      <c r="V286" s="60"/>
      <c r="W286" s="80"/>
    </row>
    <row r="287" customFormat="false" ht="12" hidden="false" customHeight="false" outlineLevel="0" collapsed="false">
      <c r="A287" s="77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80"/>
    </row>
    <row r="288" customFormat="false" ht="12" hidden="false" customHeight="false" outlineLevel="0" collapsed="false">
      <c r="A288" s="73" t="n">
        <v>100</v>
      </c>
      <c r="B288" s="60"/>
      <c r="C288" s="61" t="s">
        <v>111</v>
      </c>
      <c r="D288" s="60"/>
      <c r="E288" s="60"/>
      <c r="F288" s="60"/>
      <c r="G288" s="113" t="str">
        <f aca="false">Admin!G2</f>
        <v>2026-27</v>
      </c>
      <c r="H288" s="113"/>
      <c r="I288" s="113"/>
      <c r="J288" s="60" t="s">
        <v>256</v>
      </c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80"/>
    </row>
    <row r="289" customFormat="false" ht="12" hidden="false" customHeight="false" outlineLevel="0" collapsed="false">
      <c r="A289" s="77"/>
      <c r="B289" s="60"/>
      <c r="C289" s="61" t="s">
        <v>257</v>
      </c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80"/>
    </row>
    <row r="290" customFormat="false" ht="12" hidden="false" customHeight="false" outlineLevel="0" collapsed="false">
      <c r="A290" s="77"/>
      <c r="B290" s="60"/>
      <c r="C290" s="60" t="s">
        <v>258</v>
      </c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80"/>
    </row>
    <row r="291" customFormat="false" ht="7.5" hidden="false" customHeight="true" outlineLevel="0" collapsed="false">
      <c r="A291" s="77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80"/>
    </row>
    <row r="292" customFormat="false" ht="15.75" hidden="false" customHeight="true" outlineLevel="0" collapsed="false">
      <c r="A292" s="77"/>
      <c r="B292" s="60"/>
      <c r="C292" s="15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80"/>
    </row>
    <row r="293" customFormat="false" ht="7.5" hidden="false" customHeight="true" outlineLevel="0" collapsed="false">
      <c r="A293" s="91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3"/>
    </row>
    <row r="294" customFormat="false" ht="24.75" hidden="false" customHeight="true" outlineLevel="0" collapsed="false">
      <c r="A294" s="101" t="s">
        <v>259</v>
      </c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</row>
    <row r="295" customFormat="false" ht="7.5" hidden="false" customHeight="true" outlineLevel="0" collapsed="false">
      <c r="A295" s="70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2"/>
    </row>
    <row r="296" customFormat="false" ht="12" hidden="false" customHeight="false" outlineLevel="0" collapsed="false">
      <c r="A296" s="73" t="n">
        <v>102</v>
      </c>
      <c r="B296" s="60"/>
      <c r="C296" s="61" t="s">
        <v>260</v>
      </c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80"/>
    </row>
    <row r="297" customFormat="false" ht="7.5" hidden="false" customHeight="true" outlineLevel="0" collapsed="false">
      <c r="A297" s="77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80"/>
    </row>
    <row r="298" customFormat="false" ht="12" hidden="false" customHeight="false" outlineLevel="0" collapsed="false">
      <c r="A298" s="77"/>
      <c r="B298" s="6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80"/>
    </row>
    <row r="299" customFormat="false" ht="12" hidden="false" customHeight="false" outlineLevel="0" collapsed="false">
      <c r="A299" s="77"/>
      <c r="B299" s="6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80"/>
    </row>
    <row r="300" customFormat="false" ht="12" hidden="false" customHeight="false" outlineLevel="0" collapsed="false">
      <c r="A300" s="77"/>
      <c r="B300" s="6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80"/>
    </row>
    <row r="301" customFormat="false" ht="12" hidden="false" customHeight="false" outlineLevel="0" collapsed="false">
      <c r="A301" s="77"/>
      <c r="B301" s="6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80"/>
    </row>
    <row r="302" customFormat="false" ht="12" hidden="false" customHeight="false" outlineLevel="0" collapsed="false">
      <c r="A302" s="77"/>
      <c r="B302" s="6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80"/>
    </row>
    <row r="303" customFormat="false" ht="12" hidden="false" customHeight="false" outlineLevel="0" collapsed="false">
      <c r="A303" s="77"/>
      <c r="B303" s="6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80"/>
    </row>
    <row r="304" customFormat="false" ht="12" hidden="false" customHeight="false" outlineLevel="0" collapsed="false">
      <c r="A304" s="77"/>
      <c r="B304" s="6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80"/>
    </row>
    <row r="305" customFormat="false" ht="12" hidden="false" customHeight="false" outlineLevel="0" collapsed="false">
      <c r="A305" s="77"/>
      <c r="B305" s="6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80"/>
    </row>
    <row r="306" customFormat="false" ht="12" hidden="false" customHeight="false" outlineLevel="0" collapsed="false">
      <c r="A306" s="77"/>
      <c r="B306" s="6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80"/>
    </row>
    <row r="307" customFormat="false" ht="12" hidden="false" customHeight="false" outlineLevel="0" collapsed="false">
      <c r="A307" s="77"/>
      <c r="B307" s="6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80"/>
    </row>
    <row r="308" customFormat="false" ht="12" hidden="false" customHeight="false" outlineLevel="0" collapsed="false">
      <c r="A308" s="77"/>
      <c r="B308" s="6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80"/>
    </row>
    <row r="309" customFormat="false" ht="12" hidden="false" customHeight="false" outlineLevel="0" collapsed="false">
      <c r="A309" s="77"/>
      <c r="B309" s="6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80"/>
    </row>
    <row r="310" customFormat="false" ht="12" hidden="false" customHeight="false" outlineLevel="0" collapsed="false">
      <c r="A310" s="77"/>
      <c r="B310" s="6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80"/>
    </row>
    <row r="311" customFormat="false" ht="12" hidden="false" customHeight="false" outlineLevel="0" collapsed="false">
      <c r="A311" s="77"/>
      <c r="B311" s="6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80"/>
    </row>
    <row r="312" customFormat="false" ht="12" hidden="false" customHeight="false" outlineLevel="0" collapsed="false">
      <c r="A312" s="77"/>
      <c r="B312" s="6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80"/>
    </row>
    <row r="313" customFormat="false" ht="12" hidden="false" customHeight="false" outlineLevel="0" collapsed="false">
      <c r="A313" s="77"/>
      <c r="B313" s="6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80"/>
    </row>
    <row r="314" customFormat="false" ht="12" hidden="false" customHeight="false" outlineLevel="0" collapsed="false">
      <c r="A314" s="77"/>
      <c r="B314" s="6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80"/>
    </row>
    <row r="315" customFormat="false" ht="12" hidden="false" customHeight="false" outlineLevel="0" collapsed="false">
      <c r="A315" s="77"/>
      <c r="B315" s="6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80"/>
    </row>
    <row r="316" customFormat="false" ht="12" hidden="false" customHeight="false" outlineLevel="0" collapsed="false">
      <c r="A316" s="77"/>
      <c r="B316" s="6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80"/>
    </row>
    <row r="317" customFormat="false" ht="12" hidden="false" customHeight="false" outlineLevel="0" collapsed="false">
      <c r="A317" s="77"/>
      <c r="B317" s="6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80"/>
    </row>
    <row r="318" customFormat="false" ht="12" hidden="false" customHeight="false" outlineLevel="0" collapsed="false">
      <c r="A318" s="77"/>
      <c r="B318" s="6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80"/>
    </row>
    <row r="319" customFormat="false" ht="12" hidden="false" customHeight="false" outlineLevel="0" collapsed="false">
      <c r="A319" s="77"/>
      <c r="B319" s="6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80"/>
    </row>
    <row r="320" customFormat="false" ht="12" hidden="false" customHeight="false" outlineLevel="0" collapsed="false">
      <c r="A320" s="77"/>
      <c r="B320" s="6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80"/>
    </row>
    <row r="321" customFormat="false" ht="12" hidden="false" customHeight="false" outlineLevel="0" collapsed="false">
      <c r="A321" s="77"/>
      <c r="B321" s="6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80"/>
    </row>
    <row r="322" customFormat="false" ht="12" hidden="false" customHeight="false" outlineLevel="0" collapsed="false">
      <c r="A322" s="77"/>
      <c r="B322" s="6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80"/>
    </row>
    <row r="323" customFormat="false" ht="12" hidden="false" customHeight="false" outlineLevel="0" collapsed="false">
      <c r="A323" s="77"/>
      <c r="B323" s="6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80"/>
    </row>
    <row r="324" customFormat="false" ht="7.5" hidden="false" customHeight="true" outlineLevel="0" collapsed="false">
      <c r="A324" s="91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3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1" width="25.82"/>
    <col collapsed="false" customWidth="true" hidden="false" outlineLevel="0" max="2" min="2" style="151" width="9.66"/>
    <col collapsed="false" customWidth="true" hidden="false" outlineLevel="0" max="14" min="3" style="152" width="8.49"/>
    <col collapsed="false" customWidth="true" hidden="false" outlineLevel="0" max="15" min="15" style="152" width="0.82"/>
    <col collapsed="false" customWidth="false" hidden="false" outlineLevel="0" max="257" min="16" style="152" width="9.15"/>
  </cols>
  <sheetData>
    <row r="1" customFormat="false" ht="6" hidden="false" customHeight="true" outlineLevel="0" collapsed="false">
      <c r="A1" s="153"/>
      <c r="B1" s="154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/>
      <c r="O1" s="157"/>
    </row>
    <row r="2" customFormat="false" ht="12" hidden="false" customHeight="true" outlineLevel="0" collapsed="false">
      <c r="A2" s="158" t="s">
        <v>261</v>
      </c>
      <c r="B2" s="159" t="s">
        <v>262</v>
      </c>
      <c r="C2" s="160" t="n">
        <f aca="false">Admin!B5</f>
        <v>46142</v>
      </c>
      <c r="D2" s="161" t="n">
        <f aca="false">Admin!B6</f>
        <v>46173</v>
      </c>
      <c r="E2" s="161" t="n">
        <f aca="false">Admin!B7</f>
        <v>46203</v>
      </c>
      <c r="F2" s="160" t="n">
        <f aca="false">Admin!B8</f>
        <v>46234</v>
      </c>
      <c r="G2" s="161" t="n">
        <f aca="false">Admin!B9</f>
        <v>46265</v>
      </c>
      <c r="H2" s="161" t="n">
        <f aca="false">Admin!B10</f>
        <v>46295</v>
      </c>
      <c r="I2" s="160" t="n">
        <f aca="false">Admin!B11</f>
        <v>46326</v>
      </c>
      <c r="J2" s="161" t="n">
        <f aca="false">Admin!B12</f>
        <v>46356</v>
      </c>
      <c r="K2" s="161" t="n">
        <f aca="false">Admin!B13</f>
        <v>46387</v>
      </c>
      <c r="L2" s="160" t="n">
        <f aca="false">Admin!B14</f>
        <v>46418</v>
      </c>
      <c r="M2" s="161" t="n">
        <f aca="false">Admin!B15</f>
        <v>46446</v>
      </c>
      <c r="N2" s="161" t="n">
        <f aca="false">Admin!B16</f>
        <v>46477</v>
      </c>
      <c r="O2" s="162"/>
    </row>
    <row r="3" customFormat="false" ht="12" hidden="false" customHeight="true" outlineLevel="0" collapsed="false">
      <c r="A3" s="158"/>
      <c r="B3" s="163" t="n">
        <f aca="false">Admin!B$17</f>
        <v>46482</v>
      </c>
      <c r="C3" s="160"/>
      <c r="D3" s="161"/>
      <c r="E3" s="161"/>
      <c r="F3" s="160"/>
      <c r="G3" s="161"/>
      <c r="H3" s="161"/>
      <c r="I3" s="160"/>
      <c r="J3" s="161"/>
      <c r="K3" s="161"/>
      <c r="L3" s="160"/>
      <c r="M3" s="161"/>
      <c r="N3" s="161"/>
      <c r="O3" s="162"/>
    </row>
    <row r="4" customFormat="false" ht="12" hidden="false" customHeight="false" outlineLevel="0" collapsed="false">
      <c r="A4" s="158"/>
      <c r="B4" s="164" t="s">
        <v>32</v>
      </c>
      <c r="C4" s="164" t="s">
        <v>32</v>
      </c>
      <c r="D4" s="164" t="s">
        <v>32</v>
      </c>
      <c r="E4" s="164" t="s">
        <v>32</v>
      </c>
      <c r="F4" s="165" t="s">
        <v>32</v>
      </c>
      <c r="G4" s="164" t="s">
        <v>32</v>
      </c>
      <c r="H4" s="164" t="s">
        <v>32</v>
      </c>
      <c r="I4" s="165" t="s">
        <v>32</v>
      </c>
      <c r="J4" s="164" t="s">
        <v>32</v>
      </c>
      <c r="K4" s="164" t="s">
        <v>32</v>
      </c>
      <c r="L4" s="165" t="s">
        <v>32</v>
      </c>
      <c r="M4" s="166" t="s">
        <v>32</v>
      </c>
      <c r="N4" s="164" t="s">
        <v>32</v>
      </c>
      <c r="O4" s="162"/>
    </row>
    <row r="5" customFormat="false" ht="12" hidden="false" customHeight="false" outlineLevel="0" collapsed="false">
      <c r="A5" s="167" t="s">
        <v>263</v>
      </c>
      <c r="B5" s="168" t="n">
        <f aca="false">SUM(C5:N5)</f>
        <v>311600</v>
      </c>
      <c r="C5" s="169" t="n">
        <f aca="false">[2]Apr!$P$1</f>
        <v>25333.3333333333</v>
      </c>
      <c r="D5" s="169" t="n">
        <f aca="false">[2]May!$P$1</f>
        <v>25633.3333333333</v>
      </c>
      <c r="E5" s="170" t="n">
        <f aca="false">[2]Jun!$P$1</f>
        <v>26533.3333333333</v>
      </c>
      <c r="F5" s="169" t="n">
        <f aca="false">[2]Jul!$P$1</f>
        <v>25633.3333333333</v>
      </c>
      <c r="G5" s="169" t="n">
        <f aca="false">[2]Aug!$P$1</f>
        <v>27133.3333333333</v>
      </c>
      <c r="H5" s="170" t="n">
        <f aca="false">[2]Sep!$P$1</f>
        <v>25033.3333333333</v>
      </c>
      <c r="I5" s="169" t="n">
        <f aca="false">[2]Oct!$P$1</f>
        <v>27133.3333333333</v>
      </c>
      <c r="J5" s="169" t="n">
        <f aca="false">[2]Nov!$P$1</f>
        <v>25633.3333333333</v>
      </c>
      <c r="K5" s="170" t="n">
        <f aca="false">[2]Dec!$P$1</f>
        <v>26533.3333333333</v>
      </c>
      <c r="L5" s="169" t="n">
        <f aca="false">[2]Jan!$P$1</f>
        <v>25633.3333333333</v>
      </c>
      <c r="M5" s="169" t="n">
        <f aca="false">[2]Feb!$P$1</f>
        <v>26333.3333333333</v>
      </c>
      <c r="N5" s="169" t="n">
        <f aca="false">[2]Mar!$P$1</f>
        <v>25033.3333333333</v>
      </c>
      <c r="O5" s="162"/>
    </row>
    <row r="6" customFormat="false" ht="12" hidden="false" customHeight="false" outlineLevel="0" collapsed="false">
      <c r="A6" s="167" t="s">
        <v>264</v>
      </c>
      <c r="B6" s="168" t="n">
        <f aca="false">SUM(C6:N6)</f>
        <v>13600</v>
      </c>
      <c r="C6" s="169" t="n">
        <f aca="false">[2]Apr!$Q$1</f>
        <v>1800</v>
      </c>
      <c r="D6" s="169" t="n">
        <f aca="false">[2]May!$Q$1</f>
        <v>800</v>
      </c>
      <c r="E6" s="170" t="n">
        <f aca="false">[2]Jun!$Q$1</f>
        <v>800</v>
      </c>
      <c r="F6" s="169" t="n">
        <f aca="false">[2]Jul!$Q$1</f>
        <v>1800</v>
      </c>
      <c r="G6" s="169" t="n">
        <f aca="false">[2]Aug!$Q$1</f>
        <v>800</v>
      </c>
      <c r="H6" s="170" t="n">
        <f aca="false">[2]Sep!$Q$1</f>
        <v>800</v>
      </c>
      <c r="I6" s="169" t="n">
        <f aca="false">[2]Oct!$Q$1</f>
        <v>1800</v>
      </c>
      <c r="J6" s="169" t="n">
        <f aca="false">[2]Nov!$Q$1</f>
        <v>800</v>
      </c>
      <c r="K6" s="170" t="n">
        <f aca="false">[2]Dec!$Q$1</f>
        <v>800</v>
      </c>
      <c r="L6" s="169" t="n">
        <f aca="false">[2]Jan!$Q$1</f>
        <v>1800</v>
      </c>
      <c r="M6" s="169" t="n">
        <f aca="false">[2]Feb!$Q$1</f>
        <v>800</v>
      </c>
      <c r="N6" s="169" t="n">
        <f aca="false">[2]Mar!$Q$1</f>
        <v>800</v>
      </c>
      <c r="O6" s="162"/>
    </row>
    <row r="7" customFormat="false" ht="12" hidden="false" customHeight="false" outlineLevel="0" collapsed="false">
      <c r="A7" s="167" t="s">
        <v>265</v>
      </c>
      <c r="B7" s="168" t="n">
        <f aca="false">SUM(C7:N7)</f>
        <v>10300</v>
      </c>
      <c r="C7" s="169" t="n">
        <f aca="false">[2]Apr!$R$1</f>
        <v>0</v>
      </c>
      <c r="D7" s="169" t="n">
        <f aca="false">[2]May!$R$1</f>
        <v>1000</v>
      </c>
      <c r="E7" s="170" t="n">
        <f aca="false">[2]Jun!$R$1</f>
        <v>2000</v>
      </c>
      <c r="F7" s="169" t="n">
        <f aca="false">[2]Jul!$R$1</f>
        <v>0</v>
      </c>
      <c r="G7" s="169" t="n">
        <f aca="false">[2]Aug!$R$1</f>
        <v>0</v>
      </c>
      <c r="H7" s="170" t="n">
        <f aca="false">[2]Sep!$R$1</f>
        <v>1800</v>
      </c>
      <c r="I7" s="169" t="n">
        <f aca="false">[2]Oct!$R$1</f>
        <v>0</v>
      </c>
      <c r="J7" s="169" t="n">
        <f aca="false">[2]Nov!$R$1</f>
        <v>3000</v>
      </c>
      <c r="K7" s="170" t="n">
        <f aca="false">[2]Dec!$R$1</f>
        <v>0</v>
      </c>
      <c r="L7" s="169" t="n">
        <f aca="false">[2]Jan!$R$1</f>
        <v>1000</v>
      </c>
      <c r="M7" s="169" t="n">
        <f aca="false">[2]Feb!$R$1</f>
        <v>1500</v>
      </c>
      <c r="N7" s="169" t="n">
        <f aca="false">[2]Mar!$R$1</f>
        <v>0</v>
      </c>
      <c r="O7" s="162"/>
    </row>
    <row r="8" customFormat="false" ht="12" hidden="false" customHeight="false" outlineLevel="0" collapsed="false">
      <c r="A8" s="167" t="s">
        <v>266</v>
      </c>
      <c r="B8" s="168" t="n">
        <f aca="false">SUM(C8:N8)</f>
        <v>3700</v>
      </c>
      <c r="C8" s="169" t="n">
        <f aca="false">[2]Apr!$S$1</f>
        <v>700</v>
      </c>
      <c r="D8" s="169" t="n">
        <f aca="false">[2]May!$S$1</f>
        <v>0</v>
      </c>
      <c r="E8" s="170" t="n">
        <f aca="false">[2]Jun!$S$1</f>
        <v>0</v>
      </c>
      <c r="F8" s="169" t="n">
        <f aca="false">[2]Jul!$S$1</f>
        <v>700</v>
      </c>
      <c r="G8" s="169" t="n">
        <f aca="false">[2]Aug!$S$1</f>
        <v>0</v>
      </c>
      <c r="H8" s="170" t="n">
        <f aca="false">[2]Sep!$S$1</f>
        <v>500</v>
      </c>
      <c r="I8" s="169" t="n">
        <f aca="false">[2]Oct!$S$1</f>
        <v>700</v>
      </c>
      <c r="J8" s="169" t="n">
        <f aca="false">[2]Nov!$S$1</f>
        <v>0</v>
      </c>
      <c r="K8" s="170" t="n">
        <f aca="false">[2]Dec!$S$1</f>
        <v>0</v>
      </c>
      <c r="L8" s="169" t="n">
        <f aca="false">[2]Jan!$S$1</f>
        <v>1100</v>
      </c>
      <c r="M8" s="169" t="n">
        <f aca="false">[2]Feb!$S$1</f>
        <v>0</v>
      </c>
      <c r="N8" s="169" t="n">
        <f aca="false">[2]Mar!$S$1</f>
        <v>0</v>
      </c>
      <c r="O8" s="162"/>
    </row>
    <row r="9" s="174" customFormat="true" ht="12" hidden="false" customHeight="false" outlineLevel="0" collapsed="false">
      <c r="A9" s="171" t="s">
        <v>267</v>
      </c>
      <c r="B9" s="168" t="n">
        <f aca="false">SUM(B5:B8)</f>
        <v>339200</v>
      </c>
      <c r="C9" s="168" t="n">
        <f aca="false">SUM(C5:C8)</f>
        <v>27833.3333333333</v>
      </c>
      <c r="D9" s="168" t="n">
        <f aca="false">SUM(D5:D8)</f>
        <v>27433.3333333333</v>
      </c>
      <c r="E9" s="168" t="n">
        <f aca="false">SUM(E5:E8)</f>
        <v>29333.3333333333</v>
      </c>
      <c r="F9" s="172" t="n">
        <f aca="false">SUM(F5:F8)</f>
        <v>28133.3333333333</v>
      </c>
      <c r="G9" s="168" t="n">
        <f aca="false">SUM(G5:G8)</f>
        <v>27933.3333333333</v>
      </c>
      <c r="H9" s="168" t="n">
        <f aca="false">SUM(H5:H8)</f>
        <v>28133.3333333333</v>
      </c>
      <c r="I9" s="172" t="n">
        <f aca="false">SUM(I5:I8)</f>
        <v>29633.3333333333</v>
      </c>
      <c r="J9" s="168" t="n">
        <f aca="false">SUM(J5:J8)</f>
        <v>29433.3333333333</v>
      </c>
      <c r="K9" s="168" t="n">
        <f aca="false">SUM(K5:K8)</f>
        <v>27333.3333333333</v>
      </c>
      <c r="L9" s="172" t="n">
        <f aca="false">SUM(L5:L8)</f>
        <v>29533.3333333333</v>
      </c>
      <c r="M9" s="168" t="n">
        <f aca="false">SUM(M5:M8)</f>
        <v>28633.3333333333</v>
      </c>
      <c r="N9" s="168" t="n">
        <f aca="false">SUM(N5:N8)</f>
        <v>25833.3333333333</v>
      </c>
      <c r="O9" s="173"/>
    </row>
    <row r="10" s="176" customFormat="true" ht="6" hidden="false" customHeight="true" outlineLevel="0" collapsed="false">
      <c r="A10" s="171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3"/>
    </row>
    <row r="11" customFormat="false" ht="12" hidden="false" customHeight="false" outlineLevel="0" collapsed="false">
      <c r="A11" s="167" t="s">
        <v>268</v>
      </c>
      <c r="B11" s="168" t="n">
        <f aca="false">SUM(C11:N11)</f>
        <v>2083.33333333333</v>
      </c>
      <c r="C11" s="169" t="n">
        <f aca="false">[2]Apr!$T$1</f>
        <v>0</v>
      </c>
      <c r="D11" s="169" t="n">
        <f aca="false">[2]May!$T$1</f>
        <v>0</v>
      </c>
      <c r="E11" s="170" t="n">
        <f aca="false">[2]Jun!$T$1</f>
        <v>0</v>
      </c>
      <c r="F11" s="169" t="n">
        <f aca="false">[2]Jul!$T$1</f>
        <v>0</v>
      </c>
      <c r="G11" s="169" t="n">
        <f aca="false">[2]Aug!$T$1</f>
        <v>2083.33333333333</v>
      </c>
      <c r="H11" s="170" t="n">
        <f aca="false">[2]Sep!$T$1</f>
        <v>0</v>
      </c>
      <c r="I11" s="169" t="n">
        <f aca="false">[2]Oct!$T$1</f>
        <v>0</v>
      </c>
      <c r="J11" s="169" t="n">
        <f aca="false">[2]Nov!$T$1</f>
        <v>0</v>
      </c>
      <c r="K11" s="170" t="n">
        <f aca="false">[2]Dec!$T$1</f>
        <v>0</v>
      </c>
      <c r="L11" s="169" t="n">
        <f aca="false">[2]Jan!$T$1</f>
        <v>0</v>
      </c>
      <c r="M11" s="169" t="n">
        <f aca="false">[2]Feb!$T$1</f>
        <v>0</v>
      </c>
      <c r="N11" s="169" t="n">
        <f aca="false">[2]Mar!$T$1</f>
        <v>0</v>
      </c>
      <c r="O11" s="162"/>
    </row>
    <row r="12" s="156" customFormat="true" ht="6" hidden="false" customHeight="true" outlineLevel="0" collapsed="false">
      <c r="A12" s="167"/>
      <c r="B12" s="175"/>
      <c r="C12" s="175"/>
      <c r="D12" s="175"/>
      <c r="E12" s="177"/>
      <c r="F12" s="175"/>
      <c r="G12" s="175"/>
      <c r="H12" s="175"/>
      <c r="I12" s="175"/>
      <c r="J12" s="175"/>
      <c r="K12" s="175"/>
      <c r="L12" s="175"/>
      <c r="M12" s="175"/>
      <c r="N12" s="175"/>
      <c r="O12" s="162"/>
    </row>
    <row r="13" s="174" customFormat="true" ht="10.5" hidden="false" customHeight="true" outlineLevel="0" collapsed="false">
      <c r="A13" s="178" t="s">
        <v>269</v>
      </c>
      <c r="B13" s="175"/>
      <c r="C13" s="175"/>
      <c r="D13" s="175"/>
      <c r="E13" s="177"/>
      <c r="F13" s="175"/>
      <c r="G13" s="175"/>
      <c r="H13" s="175"/>
      <c r="I13" s="175"/>
      <c r="J13" s="175"/>
      <c r="K13" s="175"/>
      <c r="L13" s="175"/>
      <c r="M13" s="175"/>
      <c r="N13" s="175"/>
      <c r="O13" s="173"/>
    </row>
    <row r="14" customFormat="false" ht="12" hidden="false" customHeight="false" outlineLevel="0" collapsed="false">
      <c r="A14" s="167" t="s">
        <v>270</v>
      </c>
      <c r="B14" s="168" t="n">
        <f aca="false">SUM(C14:N14)</f>
        <v>6540</v>
      </c>
      <c r="C14" s="169" t="n">
        <f aca="false">[3]Apr!$P$1+StockControl!AB6-StockControl!AB8</f>
        <v>600</v>
      </c>
      <c r="D14" s="169" t="n">
        <f aca="false">[3]May!$P$1+StockControl!AB8-StockControl!AB10</f>
        <v>720</v>
      </c>
      <c r="E14" s="170" t="n">
        <f aca="false">[3]Jun!$P$1+StockControl!AB10-StockControl!AB12</f>
        <v>360</v>
      </c>
      <c r="F14" s="169" t="n">
        <f aca="false">[3]Jul!$P$1+StockControl!AB12-StockControl!AB14</f>
        <v>720</v>
      </c>
      <c r="G14" s="169" t="n">
        <f aca="false">[3]Aug!$P$1+StockControl!AB14-StockControl!AB16</f>
        <v>540</v>
      </c>
      <c r="H14" s="170" t="n">
        <f aca="false">[3]Sep!$P$1+StockControl!AB16-StockControl!AB18</f>
        <v>240</v>
      </c>
      <c r="I14" s="169" t="n">
        <f aca="false">[3]Oct!$P$1+StockControl!AB18-StockControl!AB20</f>
        <v>480</v>
      </c>
      <c r="J14" s="169" t="n">
        <f aca="false">[3]Nov!$P$1+StockControl!AB20-StockControl!AB22</f>
        <v>840</v>
      </c>
      <c r="K14" s="170" t="n">
        <f aca="false">[3]Dec!$P$1+StockControl!AB22-StockControl!AB24</f>
        <v>480</v>
      </c>
      <c r="L14" s="169" t="n">
        <f aca="false">[3]Jan!$P$1+StockControl!AB24-StockControl!AB26</f>
        <v>600</v>
      </c>
      <c r="M14" s="169" t="n">
        <f aca="false">[3]Feb!$P$1+StockControl!AB26-StockControl!AB28</f>
        <v>660</v>
      </c>
      <c r="N14" s="169" t="n">
        <f aca="false">[3]Mar!$P$1+StockControl!AB28-StockControl!AB30</f>
        <v>300</v>
      </c>
      <c r="O14" s="162"/>
    </row>
    <row r="15" customFormat="false" ht="12" hidden="false" customHeight="false" outlineLevel="0" collapsed="false">
      <c r="A15" s="167" t="s">
        <v>271</v>
      </c>
      <c r="B15" s="168" t="n">
        <f aca="false">SUM(C15:N15)</f>
        <v>8000</v>
      </c>
      <c r="C15" s="169" t="n">
        <f aca="false">[3]Apr!$Q$1</f>
        <v>0</v>
      </c>
      <c r="D15" s="169" t="n">
        <f aca="false">[3]May!$Q$1</f>
        <v>0</v>
      </c>
      <c r="E15" s="170" t="n">
        <f aca="false">[3]Jun!$Q$1</f>
        <v>5000</v>
      </c>
      <c r="F15" s="169" t="n">
        <f aca="false">[3]Jul!$Q$1</f>
        <v>0</v>
      </c>
      <c r="G15" s="169" t="n">
        <f aca="false">[3]Aug!$Q$1</f>
        <v>0</v>
      </c>
      <c r="H15" s="170" t="n">
        <f aca="false">[3]Sep!$Q$1</f>
        <v>0</v>
      </c>
      <c r="I15" s="169" t="n">
        <f aca="false">[3]Oct!$Q$1</f>
        <v>0</v>
      </c>
      <c r="J15" s="169" t="n">
        <f aca="false">[3]Nov!$Q$1</f>
        <v>3000</v>
      </c>
      <c r="K15" s="170" t="n">
        <f aca="false">[3]Dec!$Q$1</f>
        <v>0</v>
      </c>
      <c r="L15" s="169" t="n">
        <f aca="false">[3]Jan!$Q$1</f>
        <v>0</v>
      </c>
      <c r="M15" s="169" t="n">
        <f aca="false">[3]Feb!$Q$1</f>
        <v>0</v>
      </c>
      <c r="N15" s="169" t="n">
        <f aca="false">[3]Mar!$Q$1</f>
        <v>0</v>
      </c>
      <c r="O15" s="162"/>
    </row>
    <row r="16" customFormat="false" ht="12" hidden="false" customHeight="false" outlineLevel="0" collapsed="false">
      <c r="A16" s="167" t="s">
        <v>272</v>
      </c>
      <c r="B16" s="168" t="n">
        <f aca="false">SUM(C16:N16)</f>
        <v>3204</v>
      </c>
      <c r="C16" s="169" t="n">
        <f aca="false">[3]Apr!$R$1</f>
        <v>285</v>
      </c>
      <c r="D16" s="169" t="n">
        <f aca="false">[3]May!$R$1</f>
        <v>249</v>
      </c>
      <c r="E16" s="170" t="n">
        <f aca="false">[3]Jun!$R$1</f>
        <v>285</v>
      </c>
      <c r="F16" s="169" t="n">
        <f aca="false">[3]Jul!$R$1</f>
        <v>249</v>
      </c>
      <c r="G16" s="169" t="n">
        <f aca="false">[3]Aug!$R$1</f>
        <v>285</v>
      </c>
      <c r="H16" s="170" t="n">
        <f aca="false">[3]Sep!$R$1</f>
        <v>249</v>
      </c>
      <c r="I16" s="169" t="n">
        <f aca="false">[3]Oct!$R$1</f>
        <v>285</v>
      </c>
      <c r="J16" s="169" t="n">
        <f aca="false">[3]Nov!$R$1</f>
        <v>249</v>
      </c>
      <c r="K16" s="170" t="n">
        <f aca="false">[3]Dec!$R$1</f>
        <v>285</v>
      </c>
      <c r="L16" s="169" t="n">
        <f aca="false">[3]Jan!$R$1</f>
        <v>249</v>
      </c>
      <c r="M16" s="169" t="n">
        <f aca="false">[3]Feb!$R$1</f>
        <v>285</v>
      </c>
      <c r="N16" s="169" t="n">
        <f aca="false">[3]Mar!$R$1</f>
        <v>249</v>
      </c>
      <c r="O16" s="162"/>
    </row>
    <row r="17" s="174" customFormat="true" ht="12" hidden="false" customHeight="false" outlineLevel="0" collapsed="false">
      <c r="A17" s="171" t="s">
        <v>273</v>
      </c>
      <c r="B17" s="168" t="n">
        <f aca="false">SUM(B14:B16)</f>
        <v>17744</v>
      </c>
      <c r="C17" s="168" t="n">
        <f aca="false">SUM(C14:C16)</f>
        <v>885</v>
      </c>
      <c r="D17" s="168" t="n">
        <f aca="false">SUM(D14:D16)</f>
        <v>969</v>
      </c>
      <c r="E17" s="168" t="n">
        <f aca="false">SUM(E14:E16)</f>
        <v>5645</v>
      </c>
      <c r="F17" s="172" t="n">
        <f aca="false">SUM(F14:F16)</f>
        <v>969</v>
      </c>
      <c r="G17" s="168" t="n">
        <f aca="false">SUM(G14:G16)</f>
        <v>825</v>
      </c>
      <c r="H17" s="168" t="n">
        <f aca="false">SUM(H14:H16)</f>
        <v>489</v>
      </c>
      <c r="I17" s="172" t="n">
        <f aca="false">SUM(I14:I16)</f>
        <v>765</v>
      </c>
      <c r="J17" s="168" t="n">
        <f aca="false">SUM(J14:J16)</f>
        <v>4089</v>
      </c>
      <c r="K17" s="168" t="n">
        <f aca="false">SUM(K14:K16)</f>
        <v>765</v>
      </c>
      <c r="L17" s="172" t="n">
        <f aca="false">SUM(L14:L16)</f>
        <v>849</v>
      </c>
      <c r="M17" s="168" t="n">
        <f aca="false">SUM(M14:M16)</f>
        <v>945</v>
      </c>
      <c r="N17" s="168" t="n">
        <f aca="false">SUM(N14:N16)</f>
        <v>549</v>
      </c>
      <c r="O17" s="173"/>
    </row>
    <row r="18" s="174" customFormat="true" ht="7.5" hidden="false" customHeight="true" outlineLevel="0" collapsed="false">
      <c r="A18" s="171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3"/>
    </row>
    <row r="19" s="174" customFormat="true" ht="12" hidden="false" customHeight="false" outlineLevel="0" collapsed="false">
      <c r="A19" s="171" t="s">
        <v>274</v>
      </c>
      <c r="B19" s="168" t="n">
        <f aca="false">B9+B11-B17</f>
        <v>323539.333333333</v>
      </c>
      <c r="C19" s="168" t="n">
        <f aca="false">C9+C11-C17</f>
        <v>26948.3333333333</v>
      </c>
      <c r="D19" s="168" t="n">
        <f aca="false">D9+D11-D17</f>
        <v>26464.3333333333</v>
      </c>
      <c r="E19" s="168" t="n">
        <f aca="false">E9+E11-E17</f>
        <v>23688.3333333333</v>
      </c>
      <c r="F19" s="172" t="n">
        <f aca="false">F9+F11-F17</f>
        <v>27164.3333333333</v>
      </c>
      <c r="G19" s="168" t="n">
        <f aca="false">G9+G11-G17</f>
        <v>29191.6666666666</v>
      </c>
      <c r="H19" s="168" t="n">
        <f aca="false">H9+H11-H17</f>
        <v>27644.3333333333</v>
      </c>
      <c r="I19" s="172" t="n">
        <f aca="false">I9+I11-I17</f>
        <v>28868.3333333333</v>
      </c>
      <c r="J19" s="168" t="n">
        <f aca="false">J9+J11-J17</f>
        <v>25344.3333333333</v>
      </c>
      <c r="K19" s="168" t="n">
        <f aca="false">K9+K11-K17</f>
        <v>26568.3333333333</v>
      </c>
      <c r="L19" s="172" t="n">
        <f aca="false">L9+L11-L17</f>
        <v>28684.3333333333</v>
      </c>
      <c r="M19" s="168" t="n">
        <f aca="false">M9+M11-M17</f>
        <v>27688.3333333333</v>
      </c>
      <c r="N19" s="168" t="n">
        <f aca="false">N9+N11-N17</f>
        <v>25284.3333333333</v>
      </c>
      <c r="O19" s="173"/>
    </row>
    <row r="20" s="174" customFormat="true" ht="10.5" hidden="false" customHeight="true" outlineLevel="0" collapsed="false">
      <c r="A20" s="178" t="s">
        <v>275</v>
      </c>
      <c r="B20" s="175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3"/>
    </row>
    <row r="21" customFormat="false" ht="12" hidden="false" customHeight="false" outlineLevel="0" collapsed="false">
      <c r="A21" s="167" t="s">
        <v>276</v>
      </c>
      <c r="B21" s="168" t="n">
        <f aca="false">SUM(C21:N21)</f>
        <v>5800</v>
      </c>
      <c r="C21" s="169" t="n">
        <f aca="false">[3]Apr!$S$1+Wagesinterface!C4+Wagesinterface!H4-Wagesinterface!I4</f>
        <v>0</v>
      </c>
      <c r="D21" s="169" t="n">
        <f aca="false">[3]May!$S$1+Wagesinterface!C5+Wagesinterface!H5-Wagesinterface!I5</f>
        <v>0</v>
      </c>
      <c r="E21" s="170" t="n">
        <f aca="false">[3]Jun!$S$1+Wagesinterface!C6+Wagesinterface!H6-Wagesinterface!I6</f>
        <v>0</v>
      </c>
      <c r="F21" s="169" t="n">
        <f aca="false">[3]Jul!$S$1+Wagesinterface!C7+Wagesinterface!H7-Wagesinterface!I7</f>
        <v>0</v>
      </c>
      <c r="G21" s="169" t="n">
        <f aca="false">[3]Aug!$S$1+Wagesinterface!C8+Wagesinterface!H8-Wagesinterface!I8</f>
        <v>800</v>
      </c>
      <c r="H21" s="170" t="n">
        <f aca="false">[3]Sep!$S$1+Wagesinterface!C9+Wagesinterface!H9-Wagesinterface!I9</f>
        <v>0</v>
      </c>
      <c r="I21" s="169" t="n">
        <f aca="false">[3]Oct!$S$1+Wagesinterface!C10+Wagesinterface!H10-Wagesinterface!I10</f>
        <v>0</v>
      </c>
      <c r="J21" s="169" t="n">
        <f aca="false">[3]Nov!$S$1+Wagesinterface!C11+Wagesinterface!H11-Wagesinterface!I11</f>
        <v>0</v>
      </c>
      <c r="K21" s="170" t="n">
        <f aca="false">[3]Dec!$S$1+Wagesinterface!C12+Wagesinterface!H12-Wagesinterface!I12</f>
        <v>5000</v>
      </c>
      <c r="L21" s="169" t="n">
        <f aca="false">[3]Jan!$S$1+Wagesinterface!C13+Wagesinterface!H13-Wagesinterface!I13</f>
        <v>0</v>
      </c>
      <c r="M21" s="169" t="n">
        <f aca="false">[3]Feb!$S$1+Wagesinterface!C14+Wagesinterface!H14-Wagesinterface!I14</f>
        <v>0</v>
      </c>
      <c r="N21" s="169" t="n">
        <f aca="false">[3]Mar!$S$1+Wagesinterface!C15+Wagesinterface!H15-Wagesinterface!I15</f>
        <v>0</v>
      </c>
      <c r="O21" s="162"/>
    </row>
    <row r="22" customFormat="false" ht="12" hidden="false" customHeight="false" outlineLevel="0" collapsed="false">
      <c r="A22" s="180" t="s">
        <v>277</v>
      </c>
      <c r="B22" s="168" t="n">
        <f aca="false">SUM(C22:N22)</f>
        <v>1440</v>
      </c>
      <c r="C22" s="169" t="n">
        <f aca="false">[3]Apr!$T$1</f>
        <v>0</v>
      </c>
      <c r="D22" s="169" t="n">
        <f aca="false">[3]May!$T$1</f>
        <v>0</v>
      </c>
      <c r="E22" s="170" t="n">
        <f aca="false">[3]Jun!$T$1</f>
        <v>360</v>
      </c>
      <c r="F22" s="169" t="n">
        <f aca="false">[3]Jul!$T$1</f>
        <v>0</v>
      </c>
      <c r="G22" s="169" t="n">
        <f aca="false">[3]Aug!$T$1</f>
        <v>0</v>
      </c>
      <c r="H22" s="170" t="n">
        <f aca="false">[3]Sep!$T$1</f>
        <v>300</v>
      </c>
      <c r="I22" s="169" t="n">
        <f aca="false">[3]Oct!$T$1</f>
        <v>0</v>
      </c>
      <c r="J22" s="169" t="n">
        <f aca="false">[3]Nov!$T$1</f>
        <v>0</v>
      </c>
      <c r="K22" s="170" t="n">
        <f aca="false">[3]Dec!$T$1</f>
        <v>420</v>
      </c>
      <c r="L22" s="169" t="n">
        <f aca="false">[3]Jan!$T$1</f>
        <v>0</v>
      </c>
      <c r="M22" s="169" t="n">
        <f aca="false">[3]Feb!$T$1</f>
        <v>0</v>
      </c>
      <c r="N22" s="169" t="n">
        <f aca="false">[3]Mar!$T$1</f>
        <v>360</v>
      </c>
      <c r="O22" s="162"/>
    </row>
    <row r="23" customFormat="false" ht="12" hidden="false" customHeight="false" outlineLevel="0" collapsed="false">
      <c r="A23" s="180" t="s">
        <v>278</v>
      </c>
      <c r="B23" s="168" t="n">
        <f aca="false">SUM(C23:N23)</f>
        <v>1140</v>
      </c>
      <c r="C23" s="169" t="n">
        <f aca="false">[3]Apr!$U$1</f>
        <v>120</v>
      </c>
      <c r="D23" s="169" t="n">
        <f aca="false">[3]May!$U$1</f>
        <v>0</v>
      </c>
      <c r="E23" s="170" t="n">
        <f aca="false">[3]Jun!$U$1</f>
        <v>0</v>
      </c>
      <c r="F23" s="169" t="n">
        <f aca="false">[3]Jul!$U$1</f>
        <v>180</v>
      </c>
      <c r="G23" s="169" t="n">
        <f aca="false">[3]Aug!$U$1</f>
        <v>240</v>
      </c>
      <c r="H23" s="170" t="n">
        <f aca="false">[3]Sep!$U$1</f>
        <v>0</v>
      </c>
      <c r="I23" s="169" t="n">
        <f aca="false">[3]Oct!$U$1</f>
        <v>96</v>
      </c>
      <c r="J23" s="169" t="n">
        <f aca="false">[3]Nov!$U$1</f>
        <v>0</v>
      </c>
      <c r="K23" s="170" t="n">
        <f aca="false">[3]Dec!$U$1</f>
        <v>0</v>
      </c>
      <c r="L23" s="169" t="n">
        <f aca="false">[3]Jan!$U$1</f>
        <v>144</v>
      </c>
      <c r="M23" s="169" t="n">
        <f aca="false">[3]Feb!$U$1</f>
        <v>360</v>
      </c>
      <c r="N23" s="169" t="n">
        <f aca="false">[3]Mar!$U$1</f>
        <v>0</v>
      </c>
      <c r="O23" s="162"/>
    </row>
    <row r="24" customFormat="false" ht="12" hidden="false" customHeight="false" outlineLevel="0" collapsed="false">
      <c r="A24" s="180" t="s">
        <v>279</v>
      </c>
      <c r="B24" s="168" t="n">
        <f aca="false">SUM(C24:N24)</f>
        <v>1962</v>
      </c>
      <c r="C24" s="169" t="n">
        <f aca="false">[3]Apr!$V$1</f>
        <v>135</v>
      </c>
      <c r="D24" s="169" t="n">
        <f aca="false">[3]May!$V$1</f>
        <v>153</v>
      </c>
      <c r="E24" s="170" t="n">
        <f aca="false">[3]Jun!$V$1</f>
        <v>231</v>
      </c>
      <c r="F24" s="169" t="n">
        <f aca="false">[3]Jul!$V$1</f>
        <v>159</v>
      </c>
      <c r="G24" s="169" t="n">
        <f aca="false">[3]Aug!$V$1</f>
        <v>135</v>
      </c>
      <c r="H24" s="170" t="n">
        <f aca="false">[3]Sep!$V$1</f>
        <v>147</v>
      </c>
      <c r="I24" s="169" t="n">
        <f aca="false">[3]Oct!$V$1</f>
        <v>135</v>
      </c>
      <c r="J24" s="169" t="n">
        <f aca="false">[3]Nov!$V$1</f>
        <v>165</v>
      </c>
      <c r="K24" s="170" t="n">
        <f aca="false">[3]Dec!$V$1</f>
        <v>255</v>
      </c>
      <c r="L24" s="169" t="n">
        <f aca="false">[3]Jan!$V$1</f>
        <v>153</v>
      </c>
      <c r="M24" s="169" t="n">
        <f aca="false">[3]Feb!$V$1</f>
        <v>135</v>
      </c>
      <c r="N24" s="169" t="n">
        <f aca="false">[3]Mar!$V$1</f>
        <v>159</v>
      </c>
      <c r="O24" s="162"/>
    </row>
    <row r="25" customFormat="false" ht="12" hidden="false" customHeight="false" outlineLevel="0" collapsed="false">
      <c r="A25" s="180" t="s">
        <v>280</v>
      </c>
      <c r="B25" s="168" t="n">
        <f aca="false">SUM(C25:N25)</f>
        <v>7598.25</v>
      </c>
      <c r="C25" s="169" t="n">
        <f aca="false">[3]Apr!$W$1</f>
        <v>602.25</v>
      </c>
      <c r="D25" s="169" t="n">
        <f aca="false">[3]May!$W$1</f>
        <v>666</v>
      </c>
      <c r="E25" s="170" t="n">
        <f aca="false">[3]Jun!$W$1</f>
        <v>654</v>
      </c>
      <c r="F25" s="169" t="n">
        <f aca="false">[3]Jul!$W$1</f>
        <v>584.25</v>
      </c>
      <c r="G25" s="169" t="n">
        <f aca="false">[3]Aug!$W$1</f>
        <v>602.25</v>
      </c>
      <c r="H25" s="170" t="n">
        <f aca="false">[3]Sep!$W$1</f>
        <v>708</v>
      </c>
      <c r="I25" s="169" t="n">
        <f aca="false">[3]Oct!$W$1</f>
        <v>606.75</v>
      </c>
      <c r="J25" s="169" t="n">
        <f aca="false">[3]Nov!$W$1</f>
        <v>645</v>
      </c>
      <c r="K25" s="170" t="n">
        <f aca="false">[3]Dec!$W$1</f>
        <v>613.5</v>
      </c>
      <c r="L25" s="169" t="n">
        <f aca="false">[3]Jan!$W$1</f>
        <v>638.25</v>
      </c>
      <c r="M25" s="169" t="n">
        <f aca="false">[3]Feb!$W$1</f>
        <v>595.5</v>
      </c>
      <c r="N25" s="169" t="n">
        <f aca="false">[3]Mar!$W$1</f>
        <v>682.5</v>
      </c>
      <c r="O25" s="162"/>
    </row>
    <row r="26" customFormat="false" ht="12" hidden="false" customHeight="false" outlineLevel="0" collapsed="false">
      <c r="A26" s="180" t="s">
        <v>281</v>
      </c>
      <c r="B26" s="168" t="n">
        <f aca="false">SUM(C26:N26)</f>
        <v>1860</v>
      </c>
      <c r="C26" s="169" t="n">
        <f aca="false">[3]Apr!$X$1</f>
        <v>92</v>
      </c>
      <c r="D26" s="169" t="n">
        <f aca="false">[3]May!$X$1</f>
        <v>152</v>
      </c>
      <c r="E26" s="170" t="n">
        <f aca="false">[3]Jun!$X$1</f>
        <v>272</v>
      </c>
      <c r="F26" s="169" t="n">
        <f aca="false">[3]Jul!$X$1</f>
        <v>92</v>
      </c>
      <c r="G26" s="169" t="n">
        <f aca="false">[3]Aug!$X$1</f>
        <v>140</v>
      </c>
      <c r="H26" s="170" t="n">
        <f aca="false">[3]Sep!$X$1</f>
        <v>92</v>
      </c>
      <c r="I26" s="169" t="n">
        <f aca="false">[3]Oct!$X$1</f>
        <v>212</v>
      </c>
      <c r="J26" s="169" t="n">
        <f aca="false">[3]Nov!$X$1</f>
        <v>164</v>
      </c>
      <c r="K26" s="170" t="n">
        <f aca="false">[3]Dec!$X$1</f>
        <v>92</v>
      </c>
      <c r="L26" s="169" t="n">
        <f aca="false">[3]Jan!$X$1</f>
        <v>92</v>
      </c>
      <c r="M26" s="169" t="n">
        <f aca="false">[3]Feb!$X$1</f>
        <v>368</v>
      </c>
      <c r="N26" s="169" t="n">
        <f aca="false">[3]Mar!$X$1</f>
        <v>92</v>
      </c>
      <c r="O26" s="162"/>
    </row>
    <row r="27" customFormat="false" ht="12" hidden="false" customHeight="false" outlineLevel="0" collapsed="false">
      <c r="A27" s="180" t="s">
        <v>282</v>
      </c>
      <c r="B27" s="168" t="n">
        <f aca="false">SUM(C27:N27)</f>
        <v>4560</v>
      </c>
      <c r="C27" s="169" t="n">
        <f aca="false">[3]Apr!$Y$1</f>
        <v>0</v>
      </c>
      <c r="D27" s="169" t="n">
        <f aca="false">[3]May!$Y$1</f>
        <v>600</v>
      </c>
      <c r="E27" s="170" t="n">
        <f aca="false">[3]Jun!$Y$1</f>
        <v>0</v>
      </c>
      <c r="F27" s="169" t="n">
        <f aca="false">[3]Jul!$Y$1</f>
        <v>480</v>
      </c>
      <c r="G27" s="169" t="n">
        <f aca="false">[3]Aug!$Y$1</f>
        <v>0</v>
      </c>
      <c r="H27" s="170" t="n">
        <f aca="false">[3]Sep!$Y$1</f>
        <v>0</v>
      </c>
      <c r="I27" s="169" t="n">
        <f aca="false">[3]Oct!$Y$1</f>
        <v>3000</v>
      </c>
      <c r="J27" s="169" t="n">
        <f aca="false">[3]Nov!$Y$1</f>
        <v>0</v>
      </c>
      <c r="K27" s="170" t="n">
        <f aca="false">[3]Dec!$Y$1</f>
        <v>0</v>
      </c>
      <c r="L27" s="169" t="n">
        <f aca="false">[3]Jan!$Y$1</f>
        <v>480</v>
      </c>
      <c r="M27" s="169" t="n">
        <f aca="false">[3]Feb!$Y$1</f>
        <v>0</v>
      </c>
      <c r="N27" s="169" t="n">
        <f aca="false">[3]Mar!$Y$1</f>
        <v>0</v>
      </c>
      <c r="O27" s="162"/>
    </row>
    <row r="28" customFormat="false" ht="12" hidden="false" customHeight="false" outlineLevel="0" collapsed="false">
      <c r="A28" s="180" t="s">
        <v>283</v>
      </c>
      <c r="B28" s="168" t="n">
        <f aca="false">SUM(C28:N28)</f>
        <v>5310</v>
      </c>
      <c r="C28" s="169" t="n">
        <f aca="false">[3]Apr!$Z$1</f>
        <v>300</v>
      </c>
      <c r="D28" s="169" t="n">
        <f aca="false">[3]May!$Z$1</f>
        <v>300</v>
      </c>
      <c r="E28" s="170" t="n">
        <f aca="false">[3]Jun!$Z$1</f>
        <v>550</v>
      </c>
      <c r="F28" s="169" t="n">
        <f aca="false">[3]Jul!$Z$1</f>
        <v>300</v>
      </c>
      <c r="G28" s="169" t="n">
        <f aca="false">[3]Aug!$Z$1</f>
        <v>300</v>
      </c>
      <c r="H28" s="170" t="n">
        <f aca="false">[3]Sep!$Z$1</f>
        <v>1468</v>
      </c>
      <c r="I28" s="169" t="n">
        <f aca="false">[3]Oct!$Z$1</f>
        <v>300</v>
      </c>
      <c r="J28" s="169" t="n">
        <f aca="false">[3]Nov!$Z$1</f>
        <v>300</v>
      </c>
      <c r="K28" s="170" t="n">
        <f aca="false">[3]Dec!$Z$1</f>
        <v>467</v>
      </c>
      <c r="L28" s="169" t="n">
        <f aca="false">[3]Jan!$Z$1</f>
        <v>300</v>
      </c>
      <c r="M28" s="169" t="n">
        <f aca="false">[3]Feb!$Z$1</f>
        <v>300</v>
      </c>
      <c r="N28" s="169" t="n">
        <f aca="false">[3]Mar!$Z$1</f>
        <v>425</v>
      </c>
      <c r="O28" s="162"/>
    </row>
    <row r="29" customFormat="false" ht="12" hidden="false" customHeight="false" outlineLevel="0" collapsed="false">
      <c r="A29" s="180" t="s">
        <v>284</v>
      </c>
      <c r="B29" s="168" t="n">
        <f aca="false">SUM(C29:N29)</f>
        <v>-300</v>
      </c>
      <c r="C29" s="169" t="n">
        <f aca="false">-[2]Apr!$U$1</f>
        <v>-0</v>
      </c>
      <c r="D29" s="169" t="n">
        <f aca="false">-[2]May!$U$1</f>
        <v>-0</v>
      </c>
      <c r="E29" s="170" t="n">
        <f aca="false">-[2]Jun!$U$1</f>
        <v>-0</v>
      </c>
      <c r="F29" s="169" t="n">
        <f aca="false">-[2]Jul!$U$1</f>
        <v>-0</v>
      </c>
      <c r="G29" s="169" t="n">
        <f aca="false">-[2]Aug!$U$1</f>
        <v>-0</v>
      </c>
      <c r="H29" s="170" t="n">
        <f aca="false">-[2]Sep!$U$1</f>
        <v>-0</v>
      </c>
      <c r="I29" s="169" t="n">
        <f aca="false">-[2]Oct!$U$1</f>
        <v>-0</v>
      </c>
      <c r="J29" s="169" t="n">
        <f aca="false">-[2]Nov!$U$1</f>
        <v>-0</v>
      </c>
      <c r="K29" s="170" t="n">
        <f aca="false">-[2]Dec!$U$1</f>
        <v>-0</v>
      </c>
      <c r="L29" s="169" t="n">
        <f aca="false">-[2]Jan!$U$1</f>
        <v>-0</v>
      </c>
      <c r="M29" s="169" t="n">
        <f aca="false">-[2]Feb!$U$1</f>
        <v>-0</v>
      </c>
      <c r="N29" s="169" t="n">
        <f aca="false">-[2]Mar!$U$1</f>
        <v>-300</v>
      </c>
      <c r="O29" s="162"/>
    </row>
    <row r="30" customFormat="false" ht="12" hidden="false" customHeight="false" outlineLevel="0" collapsed="false">
      <c r="A30" s="180" t="s">
        <v>285</v>
      </c>
      <c r="B30" s="168" t="n">
        <f aca="false">SUM(C30:N30)</f>
        <v>0</v>
      </c>
      <c r="C30" s="169" t="n">
        <f aca="false">[4]Apr!$Z$1</f>
        <v>0</v>
      </c>
      <c r="D30" s="169" t="n">
        <f aca="false">[4]May!$Z$1</f>
        <v>0</v>
      </c>
      <c r="E30" s="170" t="n">
        <f aca="false">[4]Jun!$Z$1</f>
        <v>0</v>
      </c>
      <c r="F30" s="169" t="n">
        <f aca="false">[4]Jul!$Z$1</f>
        <v>0</v>
      </c>
      <c r="G30" s="169" t="n">
        <f aca="false">[4]Aug!$Z$1</f>
        <v>0</v>
      </c>
      <c r="H30" s="170" t="n">
        <f aca="false">[4]Sep!$Z$1</f>
        <v>0</v>
      </c>
      <c r="I30" s="169" t="n">
        <f aca="false">[4]Oct!$Z$1</f>
        <v>0</v>
      </c>
      <c r="J30" s="169" t="n">
        <f aca="false">[4]Nov!$Z$1</f>
        <v>0</v>
      </c>
      <c r="K30" s="170" t="n">
        <f aca="false">[4]Dec!$Z$1</f>
        <v>0</v>
      </c>
      <c r="L30" s="169" t="n">
        <f aca="false">[4]Jan!$Z$1</f>
        <v>0</v>
      </c>
      <c r="M30" s="169" t="n">
        <f aca="false">[4]Feb!$Z$1</f>
        <v>0</v>
      </c>
      <c r="N30" s="169" t="n">
        <f aca="false">[4]Mar!$Z$1</f>
        <v>0</v>
      </c>
      <c r="O30" s="162"/>
    </row>
    <row r="31" customFormat="false" ht="12" hidden="false" customHeight="false" outlineLevel="0" collapsed="false">
      <c r="A31" s="180" t="s">
        <v>286</v>
      </c>
      <c r="B31" s="168" t="n">
        <f aca="false">SUM(C31:N31)</f>
        <v>800</v>
      </c>
      <c r="C31" s="169" t="n">
        <f aca="false">[5]Apr!$V$1+[4]Apr!$Y$1</f>
        <v>0</v>
      </c>
      <c r="D31" s="169" t="n">
        <f aca="false">[5]May!$V$1+[4]May!$Y$1</f>
        <v>25</v>
      </c>
      <c r="E31" s="170" t="n">
        <f aca="false">[5]Jun!$V$1+[4]Jun!$Y$1</f>
        <v>250</v>
      </c>
      <c r="F31" s="169" t="n">
        <f aca="false">[5]Jul!$V$1+[4]Jul!$Y$1</f>
        <v>0</v>
      </c>
      <c r="G31" s="169" t="n">
        <f aca="false">[5]Aug!$V$1+[4]Aug!$Y$1</f>
        <v>0</v>
      </c>
      <c r="H31" s="170" t="n">
        <f aca="false">[5]Sep!$V$1+[4]Sep!$Y$1</f>
        <v>208</v>
      </c>
      <c r="I31" s="169" t="n">
        <f aca="false">[5]Oct!$V$1+[4]Oct!$Y$1</f>
        <v>0</v>
      </c>
      <c r="J31" s="169" t="n">
        <f aca="false">[5]Nov!$V$1+[4]Nov!$Y$1</f>
        <v>25</v>
      </c>
      <c r="K31" s="170" t="n">
        <f aca="false">[5]Dec!$V$1+[4]Dec!$Y$1</f>
        <v>167</v>
      </c>
      <c r="L31" s="169" t="n">
        <f aca="false">[5]Jan!$V$1+[4]Jan!$Y$1</f>
        <v>0</v>
      </c>
      <c r="M31" s="169" t="n">
        <f aca="false">[5]Feb!$V$1+[4]Feb!$Y$1</f>
        <v>0</v>
      </c>
      <c r="N31" s="169" t="n">
        <f aca="false">[5]Mar!$V$1+[4]Mar!$Y$1</f>
        <v>125</v>
      </c>
      <c r="O31" s="162"/>
    </row>
    <row r="32" customFormat="false" ht="12" hidden="false" customHeight="false" outlineLevel="0" collapsed="false">
      <c r="A32" s="180" t="s">
        <v>287</v>
      </c>
      <c r="B32" s="168" t="n">
        <f aca="false">SUM(C32:N32)</f>
        <v>500</v>
      </c>
      <c r="C32" s="169" t="n">
        <f aca="false">[3]Apr!$AA$1</f>
        <v>0</v>
      </c>
      <c r="D32" s="169" t="n">
        <f aca="false">[3]May!$AA$1</f>
        <v>0</v>
      </c>
      <c r="E32" s="170" t="n">
        <f aca="false">[3]Jun!$AA$1</f>
        <v>0</v>
      </c>
      <c r="F32" s="169" t="n">
        <f aca="false">[3]Jul!$AA$1</f>
        <v>0</v>
      </c>
      <c r="G32" s="169" t="n">
        <f aca="false">[3]Aug!$AA$1</f>
        <v>0</v>
      </c>
      <c r="H32" s="170" t="n">
        <f aca="false">[3]Sep!$AA$1</f>
        <v>0</v>
      </c>
      <c r="I32" s="169" t="n">
        <f aca="false">[3]Oct!$AA$1</f>
        <v>0</v>
      </c>
      <c r="J32" s="169" t="n">
        <f aca="false">[3]Nov!$AA$1</f>
        <v>0</v>
      </c>
      <c r="K32" s="170" t="n">
        <f aca="false">[3]Dec!$AA$1</f>
        <v>500</v>
      </c>
      <c r="L32" s="169" t="n">
        <f aca="false">[3]Jan!$AA$1</f>
        <v>0</v>
      </c>
      <c r="M32" s="169" t="n">
        <f aca="false">[3]Feb!$AA$1</f>
        <v>0</v>
      </c>
      <c r="N32" s="169" t="n">
        <f aca="false">[3]Mar!$AA$1</f>
        <v>0</v>
      </c>
      <c r="O32" s="162"/>
    </row>
    <row r="33" customFormat="false" ht="12" hidden="false" customHeight="false" outlineLevel="0" collapsed="false">
      <c r="A33" s="167" t="s">
        <v>288</v>
      </c>
      <c r="B33" s="168" t="n">
        <f aca="false">SUM(C33:N33)</f>
        <v>0</v>
      </c>
      <c r="C33" s="169" t="n">
        <f aca="false">-([1]Schedule!$V$1-[1]Schedule!$W$1+[1]Schedule!$X$1)/12</f>
        <v>-0</v>
      </c>
      <c r="D33" s="169" t="n">
        <f aca="false">-([1]Schedule!$V$1-[1]Schedule!$W$1+[1]Schedule!$X$1)/12</f>
        <v>-0</v>
      </c>
      <c r="E33" s="170" t="n">
        <f aca="false">-([1]Schedule!$V$1-[1]Schedule!$W$1+[1]Schedule!$X$1)/12</f>
        <v>-0</v>
      </c>
      <c r="F33" s="169" t="n">
        <f aca="false">-([1]Schedule!$V$1-[1]Schedule!$W$1+[1]Schedule!$X$1)/12</f>
        <v>-0</v>
      </c>
      <c r="G33" s="169" t="n">
        <f aca="false">-([1]Schedule!$V$1-[1]Schedule!$W$1+[1]Schedule!$X$1)/12</f>
        <v>-0</v>
      </c>
      <c r="H33" s="170" t="n">
        <f aca="false">-([1]Schedule!$V$1-[1]Schedule!$W$1+[1]Schedule!$X$1)/12</f>
        <v>-0</v>
      </c>
      <c r="I33" s="169" t="n">
        <f aca="false">-([1]Schedule!$V$1-[1]Schedule!$W$1+[1]Schedule!$X$1)/12</f>
        <v>-0</v>
      </c>
      <c r="J33" s="169" t="n">
        <f aca="false">-([1]Schedule!$V$1-[1]Schedule!$W$1+[1]Schedule!$X$1)/12</f>
        <v>-0</v>
      </c>
      <c r="K33" s="170" t="n">
        <f aca="false">-([1]Schedule!$V$1-[1]Schedule!$W$1+[1]Schedule!$X$1)/12</f>
        <v>-0</v>
      </c>
      <c r="L33" s="169" t="n">
        <f aca="false">-([1]Schedule!$V$1-[1]Schedule!$W$1+[1]Schedule!$X$1)/12</f>
        <v>-0</v>
      </c>
      <c r="M33" s="169" t="n">
        <f aca="false">-([1]Schedule!$V$1-[1]Schedule!$W$1+[1]Schedule!$X$1)/12</f>
        <v>-0</v>
      </c>
      <c r="N33" s="169" t="n">
        <f aca="false">-([1]Schedule!$V$1-[1]Schedule!$W$1+[1]Schedule!$X$1)/12</f>
        <v>-0</v>
      </c>
      <c r="O33" s="162"/>
    </row>
    <row r="34" customFormat="false" ht="12" hidden="false" customHeight="false" outlineLevel="0" collapsed="false">
      <c r="A34" s="167" t="s">
        <v>289</v>
      </c>
      <c r="B34" s="168" t="n">
        <f aca="false">SUM(C34:N34)</f>
        <v>0</v>
      </c>
      <c r="C34" s="169" t="n">
        <f aca="false">([1]Schedule!$I$1)/12</f>
        <v>0</v>
      </c>
      <c r="D34" s="169" t="n">
        <f aca="false">([1]Schedule!$I$1)/12</f>
        <v>0</v>
      </c>
      <c r="E34" s="170" t="n">
        <f aca="false">([1]Schedule!$I$1)/12</f>
        <v>0</v>
      </c>
      <c r="F34" s="169" t="n">
        <f aca="false">([1]Schedule!$I$1)/12</f>
        <v>0</v>
      </c>
      <c r="G34" s="169" t="n">
        <f aca="false">([1]Schedule!$I$1)/12</f>
        <v>0</v>
      </c>
      <c r="H34" s="170" t="n">
        <f aca="false">([1]Schedule!$I$1)/12</f>
        <v>0</v>
      </c>
      <c r="I34" s="169" t="n">
        <f aca="false">([1]Schedule!$I$1)/12</f>
        <v>0</v>
      </c>
      <c r="J34" s="169" t="n">
        <f aca="false">([1]Schedule!$I$1)/12</f>
        <v>0</v>
      </c>
      <c r="K34" s="170" t="n">
        <f aca="false">([1]Schedule!$I$1)/12</f>
        <v>0</v>
      </c>
      <c r="L34" s="169" t="n">
        <f aca="false">([1]Schedule!$I$1)/12</f>
        <v>0</v>
      </c>
      <c r="M34" s="169" t="n">
        <f aca="false">([1]Schedule!$I$1)/12</f>
        <v>0</v>
      </c>
      <c r="N34" s="169" t="n">
        <f aca="false">([1]Schedule!$I$1)/12</f>
        <v>0</v>
      </c>
      <c r="O34" s="162"/>
    </row>
    <row r="35" customFormat="false" ht="12" hidden="false" customHeight="false" outlineLevel="0" collapsed="false">
      <c r="A35" s="171" t="s">
        <v>275</v>
      </c>
      <c r="B35" s="168" t="n">
        <f aca="false">SUM(B21:B34)</f>
        <v>30670.25</v>
      </c>
      <c r="C35" s="168" t="n">
        <f aca="false">SUM(C21:C34)</f>
        <v>1249.25</v>
      </c>
      <c r="D35" s="168" t="n">
        <f aca="false">SUM(D21:D34)</f>
        <v>1896</v>
      </c>
      <c r="E35" s="168" t="n">
        <f aca="false">SUM(E21:E34)</f>
        <v>2317</v>
      </c>
      <c r="F35" s="172" t="n">
        <f aca="false">SUM(F21:F34)</f>
        <v>1795.25</v>
      </c>
      <c r="G35" s="168" t="n">
        <f aca="false">SUM(G21:G34)</f>
        <v>2217.25</v>
      </c>
      <c r="H35" s="168" t="n">
        <f aca="false">SUM(H21:H34)</f>
        <v>2923</v>
      </c>
      <c r="I35" s="172" t="n">
        <f aca="false">SUM(I21:I34)</f>
        <v>4349.75</v>
      </c>
      <c r="J35" s="168" t="n">
        <f aca="false">SUM(J21:J34)</f>
        <v>1299</v>
      </c>
      <c r="K35" s="168" t="n">
        <f aca="false">SUM(K21:K34)</f>
        <v>7514.5</v>
      </c>
      <c r="L35" s="172" t="n">
        <f aca="false">SUM(L21:L34)</f>
        <v>1807.25</v>
      </c>
      <c r="M35" s="168" t="n">
        <f aca="false">SUM(M21:M34)</f>
        <v>1758.5</v>
      </c>
      <c r="N35" s="168" t="n">
        <f aca="false">SUM(N21:N34)</f>
        <v>1543.5</v>
      </c>
      <c r="O35" s="162"/>
    </row>
    <row r="36" customFormat="false" ht="7.5" hidden="false" customHeight="true" outlineLevel="0" collapsed="false">
      <c r="A36" s="181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62"/>
    </row>
    <row r="37" customFormat="false" ht="12" hidden="false" customHeight="false" outlineLevel="0" collapsed="false">
      <c r="A37" s="171" t="s">
        <v>290</v>
      </c>
      <c r="B37" s="168" t="n">
        <f aca="false">B19-B35</f>
        <v>292869.083333333</v>
      </c>
      <c r="C37" s="168" t="n">
        <f aca="false">C19-C35</f>
        <v>25699.0833333333</v>
      </c>
      <c r="D37" s="168" t="n">
        <f aca="false">D19-D35</f>
        <v>24568.3333333333</v>
      </c>
      <c r="E37" s="168" t="n">
        <f aca="false">E19-E35</f>
        <v>21371.3333333333</v>
      </c>
      <c r="F37" s="172" t="n">
        <f aca="false">F19-F35</f>
        <v>25369.0833333333</v>
      </c>
      <c r="G37" s="168" t="n">
        <f aca="false">G19-G35</f>
        <v>26974.4166666666</v>
      </c>
      <c r="H37" s="168" t="n">
        <f aca="false">H19-H35</f>
        <v>24721.3333333333</v>
      </c>
      <c r="I37" s="172" t="n">
        <f aca="false">I19-I35</f>
        <v>24518.5833333333</v>
      </c>
      <c r="J37" s="168" t="n">
        <f aca="false">J19-J35</f>
        <v>24045.3333333333</v>
      </c>
      <c r="K37" s="168" t="n">
        <f aca="false">K19-K35</f>
        <v>19053.8333333333</v>
      </c>
      <c r="L37" s="172" t="n">
        <f aca="false">L19-L35</f>
        <v>26877.0833333333</v>
      </c>
      <c r="M37" s="168" t="n">
        <f aca="false">M19-M35</f>
        <v>25929.8333333333</v>
      </c>
      <c r="N37" s="168" t="n">
        <f aca="false">N19-N35</f>
        <v>23740.8333333333</v>
      </c>
      <c r="O37" s="162"/>
    </row>
    <row r="38" customFormat="false" ht="12" hidden="false" customHeight="false" outlineLevel="0" collapsed="false">
      <c r="A38" s="167" t="s">
        <v>291</v>
      </c>
      <c r="B38" s="168" t="n">
        <f aca="false">SUM(C38:N38)</f>
        <v>0</v>
      </c>
      <c r="C38" s="169" t="n">
        <f aca="false">[4]Apr!$J$1</f>
        <v>0</v>
      </c>
      <c r="D38" s="169" t="n">
        <f aca="false">[4]May!$J$1</f>
        <v>0</v>
      </c>
      <c r="E38" s="170" t="n">
        <f aca="false">[4]Jun!$J$1</f>
        <v>0</v>
      </c>
      <c r="F38" s="169" t="n">
        <f aca="false">[4]Jul!$J$1</f>
        <v>0</v>
      </c>
      <c r="G38" s="169" t="n">
        <f aca="false">[4]Aug!$J$1</f>
        <v>0</v>
      </c>
      <c r="H38" s="170" t="n">
        <f aca="false">[4]Sep!$J$1</f>
        <v>0</v>
      </c>
      <c r="I38" s="169" t="n">
        <f aca="false">[4]Oct!$J$1</f>
        <v>0</v>
      </c>
      <c r="J38" s="169" t="n">
        <f aca="false">[4]Nov!$J$1</f>
        <v>0</v>
      </c>
      <c r="K38" s="170" t="n">
        <f aca="false">[4]Dec!$J$1</f>
        <v>0</v>
      </c>
      <c r="L38" s="169" t="n">
        <f aca="false">[4]Jan!$J$1</f>
        <v>0</v>
      </c>
      <c r="M38" s="169" t="n">
        <f aca="false">[4]Feb!$J$1</f>
        <v>0</v>
      </c>
      <c r="N38" s="169" t="n">
        <f aca="false">[4]Mar!$J$1</f>
        <v>0</v>
      </c>
      <c r="O38" s="162"/>
    </row>
    <row r="39" customFormat="false" ht="12" hidden="false" customHeight="false" outlineLevel="0" collapsed="false">
      <c r="A39" s="171" t="s">
        <v>292</v>
      </c>
      <c r="B39" s="168" t="n">
        <f aca="false">B37+B38</f>
        <v>292869.083333333</v>
      </c>
      <c r="C39" s="168" t="n">
        <f aca="false">C37+C38</f>
        <v>25699.0833333333</v>
      </c>
      <c r="D39" s="168" t="n">
        <f aca="false">D37+D38</f>
        <v>24568.3333333333</v>
      </c>
      <c r="E39" s="168" t="n">
        <f aca="false">E37+E38</f>
        <v>21371.3333333333</v>
      </c>
      <c r="F39" s="172" t="n">
        <f aca="false">F37+F38</f>
        <v>25369.0833333333</v>
      </c>
      <c r="G39" s="168" t="n">
        <f aca="false">G37+G38</f>
        <v>26974.4166666666</v>
      </c>
      <c r="H39" s="168" t="n">
        <f aca="false">H37+H38</f>
        <v>24721.3333333333</v>
      </c>
      <c r="I39" s="172" t="n">
        <f aca="false">I37+I38</f>
        <v>24518.5833333333</v>
      </c>
      <c r="J39" s="168" t="n">
        <f aca="false">J37+J38</f>
        <v>24045.3333333333</v>
      </c>
      <c r="K39" s="168" t="n">
        <f aca="false">K37+K38</f>
        <v>19053.8333333333</v>
      </c>
      <c r="L39" s="172" t="n">
        <f aca="false">L37+L38</f>
        <v>26877.0833333333</v>
      </c>
      <c r="M39" s="168" t="n">
        <f aca="false">M37+M38</f>
        <v>25929.8333333333</v>
      </c>
      <c r="N39" s="168" t="n">
        <f aca="false">N37+N38</f>
        <v>23740.8333333333</v>
      </c>
      <c r="O39" s="162"/>
    </row>
    <row r="40" customFormat="false" ht="7.5" hidden="false" customHeight="true" outlineLevel="0" collapsed="false">
      <c r="A40" s="182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4"/>
    </row>
    <row r="41" customFormat="false" ht="12" hidden="false" customHeight="false" outlineLevel="0" collapsed="false">
      <c r="A41" s="185" t="s">
        <v>293</v>
      </c>
      <c r="B41" s="15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7"/>
    </row>
    <row r="42" customFormat="false" ht="12" hidden="false" customHeight="false" outlineLevel="0" collapsed="false">
      <c r="A42" s="180" t="s">
        <v>294</v>
      </c>
      <c r="B42" s="175" t="n">
        <f aca="false">SUM(C42:N42)</f>
        <v>0</v>
      </c>
      <c r="C42" s="175" t="n">
        <f aca="false">[5]Apr!$X$1+[4]Apr!$AB$1</f>
        <v>0</v>
      </c>
      <c r="D42" s="175" t="n">
        <f aca="false">[5]May!$X$1+[4]May!$AB$1</f>
        <v>0</v>
      </c>
      <c r="E42" s="175" t="n">
        <f aca="false">[5]Jun!$X$1+[4]Jun!$AB$1</f>
        <v>0</v>
      </c>
      <c r="F42" s="175" t="n">
        <f aca="false">[5]Jul!$X$1+[4]Jul!$AB$1</f>
        <v>0</v>
      </c>
      <c r="G42" s="175" t="n">
        <f aca="false">[5]Aug!$X$1+[4]Aug!$AB$1</f>
        <v>0</v>
      </c>
      <c r="H42" s="175" t="n">
        <f aca="false">[5]Sep!$X$1+[4]Sep!$AB$1</f>
        <v>0</v>
      </c>
      <c r="I42" s="175" t="n">
        <f aca="false">[5]Oct!$X$1+[4]Oct!$AB$1</f>
        <v>0</v>
      </c>
      <c r="J42" s="175" t="n">
        <f aca="false">[5]Nov!$X$1+[4]Nov!$AB$1</f>
        <v>0</v>
      </c>
      <c r="K42" s="175" t="n">
        <f aca="false">[5]Dec!$X$1+[4]Dec!$AB$1</f>
        <v>0</v>
      </c>
      <c r="L42" s="175" t="n">
        <f aca="false">[5]Jan!$X$1+[4]Jan!$AB$1</f>
        <v>0</v>
      </c>
      <c r="M42" s="175" t="n">
        <f aca="false">[5]Feb!$X$1+[4]Feb!$AB$1</f>
        <v>0</v>
      </c>
      <c r="N42" s="175" t="n">
        <f aca="false">[5]Mar!$X$1+[4]Mar!$AB$1</f>
        <v>0</v>
      </c>
      <c r="O42" s="162"/>
    </row>
    <row r="43" customFormat="false" ht="12" hidden="false" customHeight="false" outlineLevel="0" collapsed="false">
      <c r="A43" s="180" t="s">
        <v>295</v>
      </c>
      <c r="B43" s="175" t="n">
        <f aca="false">SUM(C43:N43)</f>
        <v>0</v>
      </c>
      <c r="C43" s="175" t="n">
        <f aca="false">-[2]Apr!$W$1</f>
        <v>-0</v>
      </c>
      <c r="D43" s="175" t="n">
        <f aca="false">-[2]May!$W$1</f>
        <v>-0</v>
      </c>
      <c r="E43" s="175" t="n">
        <f aca="false">-[2]Jun!$W$1</f>
        <v>-0</v>
      </c>
      <c r="F43" s="175" t="n">
        <f aca="false">-[2]Jul!$W$1</f>
        <v>-0</v>
      </c>
      <c r="G43" s="175" t="n">
        <f aca="false">-[2]Aug!$W$1</f>
        <v>-0</v>
      </c>
      <c r="H43" s="175" t="n">
        <f aca="false">-[2]Sep!$W$1</f>
        <v>-0</v>
      </c>
      <c r="I43" s="175" t="n">
        <f aca="false">-[2]Oct!$W$1</f>
        <v>-0</v>
      </c>
      <c r="J43" s="175" t="n">
        <f aca="false">-[2]Nov!$W$1</f>
        <v>-0</v>
      </c>
      <c r="K43" s="175" t="n">
        <f aca="false">-[2]Dec!$W$1</f>
        <v>-0</v>
      </c>
      <c r="L43" s="175" t="n">
        <f aca="false">-[2]Jan!$W$1</f>
        <v>-0</v>
      </c>
      <c r="M43" s="175" t="n">
        <f aca="false">-[2]Feb!$W$1</f>
        <v>-0</v>
      </c>
      <c r="N43" s="175" t="n">
        <f aca="false">-[2]Mar!$W$1</f>
        <v>-0</v>
      </c>
      <c r="O43" s="162"/>
    </row>
    <row r="44" customFormat="false" ht="12" hidden="false" customHeight="false" outlineLevel="0" collapsed="false">
      <c r="A44" s="180" t="s">
        <v>296</v>
      </c>
      <c r="B44" s="175" t="n">
        <f aca="false">SUM(C44:N44)</f>
        <v>111693.455</v>
      </c>
      <c r="C44" s="175" t="n">
        <f aca="false">IF(C9&gt;0,'Profit Forecast'!C$46/12,0)</f>
        <v>9307.78791666665</v>
      </c>
      <c r="D44" s="175" t="n">
        <f aca="false">IF(D9&gt;0,'Profit Forecast'!C$46/12,0)</f>
        <v>9307.78791666665</v>
      </c>
      <c r="E44" s="175" t="n">
        <f aca="false">IF(E9&gt;0,'Profit Forecast'!C$46/12,0)</f>
        <v>9307.78791666665</v>
      </c>
      <c r="F44" s="175" t="n">
        <f aca="false">IF(F9&gt;0,'Profit Forecast'!C$46/12,0)</f>
        <v>9307.78791666665</v>
      </c>
      <c r="G44" s="175" t="n">
        <f aca="false">IF(G9&gt;0,'Profit Forecast'!C$46/12,0)</f>
        <v>9307.78791666665</v>
      </c>
      <c r="H44" s="175" t="n">
        <f aca="false">IF(H9&gt;0,'Profit Forecast'!C$46/12,0)</f>
        <v>9307.78791666665</v>
      </c>
      <c r="I44" s="175" t="n">
        <f aca="false">IF(I9&gt;0,'Profit Forecast'!C$46/12,0)</f>
        <v>9307.78791666665</v>
      </c>
      <c r="J44" s="175" t="n">
        <f aca="false">IF(J9&gt;0,'Profit Forecast'!C$46/12,0)</f>
        <v>9307.78791666665</v>
      </c>
      <c r="K44" s="175" t="n">
        <f aca="false">IF(K9&gt;0,'Profit Forecast'!C$46/12,0)</f>
        <v>9307.78791666665</v>
      </c>
      <c r="L44" s="175" t="n">
        <f aca="false">IF(L9&gt;0,'Profit Forecast'!C$46/12,0)</f>
        <v>9307.78791666665</v>
      </c>
      <c r="M44" s="175" t="n">
        <f aca="false">IF(M9&gt;0,'Profit Forecast'!C$46/12,0)</f>
        <v>9307.78791666665</v>
      </c>
      <c r="N44" s="175" t="n">
        <f aca="false">IF(N9&gt;0,'Profit Forecast'!C$46/12,0)</f>
        <v>9307.78791666665</v>
      </c>
      <c r="O44" s="162"/>
    </row>
    <row r="45" customFormat="false" ht="12" hidden="false" customHeight="false" outlineLevel="0" collapsed="false">
      <c r="A45" s="186" t="s">
        <v>297</v>
      </c>
      <c r="B45" s="187" t="n">
        <f aca="false">SUM(C45:N45)</f>
        <v>181175.628333333</v>
      </c>
      <c r="C45" s="188" t="n">
        <f aca="false">C39-C42-C44</f>
        <v>16391.2954166666</v>
      </c>
      <c r="D45" s="189" t="n">
        <f aca="false">D39-D42-D44</f>
        <v>15260.5454166666</v>
      </c>
      <c r="E45" s="189" t="n">
        <f aca="false">E39-E42-E44</f>
        <v>12063.5454166666</v>
      </c>
      <c r="F45" s="189" t="n">
        <f aca="false">F39-F42-F44</f>
        <v>16061.2954166666</v>
      </c>
      <c r="G45" s="189" t="n">
        <f aca="false">G39-G42-G44</f>
        <v>17666.62875</v>
      </c>
      <c r="H45" s="189" t="n">
        <f aca="false">H39-H42-H44</f>
        <v>15413.5454166666</v>
      </c>
      <c r="I45" s="189" t="n">
        <f aca="false">I39-I42-I44</f>
        <v>15210.7954166666</v>
      </c>
      <c r="J45" s="189" t="n">
        <f aca="false">J39-J42-J44</f>
        <v>14737.5454166666</v>
      </c>
      <c r="K45" s="189" t="n">
        <f aca="false">K39-K42-K44</f>
        <v>9746.04541666665</v>
      </c>
      <c r="L45" s="189" t="n">
        <f aca="false">L39-L42-L44</f>
        <v>17569.2954166666</v>
      </c>
      <c r="M45" s="189" t="n">
        <f aca="false">M39-M42-M44</f>
        <v>16622.0454166666</v>
      </c>
      <c r="N45" s="189" t="n">
        <f aca="false">N39-N42-N44</f>
        <v>14433.0454166666</v>
      </c>
      <c r="O45" s="162"/>
    </row>
    <row r="46" customFormat="false" ht="12" hidden="false" customHeight="false" outlineLevel="0" collapsed="false">
      <c r="A46" s="180" t="s">
        <v>245</v>
      </c>
      <c r="B46" s="175" t="n">
        <f aca="false">SUM(C46:N46)</f>
        <v>17000</v>
      </c>
      <c r="C46" s="175" t="n">
        <f aca="false">[5]Apr!$J$1+[4]Apr!$L$1</f>
        <v>1000</v>
      </c>
      <c r="D46" s="175" t="n">
        <f aca="false">[5]May!$J$1+[4]May!$L$1</f>
        <v>1000</v>
      </c>
      <c r="E46" s="175" t="n">
        <f aca="false">[5]Jun!$J$1+[4]Jun!$L$1</f>
        <v>1000</v>
      </c>
      <c r="F46" s="175" t="n">
        <f aca="false">[5]Jul!$J$1+[4]Jul!$L$1</f>
        <v>1000</v>
      </c>
      <c r="G46" s="175" t="n">
        <f aca="false">[5]Aug!$J$1+[4]Aug!$L$1</f>
        <v>1000</v>
      </c>
      <c r="H46" s="175" t="n">
        <f aca="false">[5]Sep!$J$1+[4]Sep!$L$1</f>
        <v>1000</v>
      </c>
      <c r="I46" s="175" t="n">
        <f aca="false">[5]Oct!$J$1+[4]Oct!$L$1</f>
        <v>1000</v>
      </c>
      <c r="J46" s="175" t="n">
        <f aca="false">[5]Nov!$J$1+[4]Nov!$L$1</f>
        <v>1000</v>
      </c>
      <c r="K46" s="175" t="n">
        <f aca="false">[5]Dec!$J$1+[4]Dec!$L$1</f>
        <v>1000</v>
      </c>
      <c r="L46" s="175" t="n">
        <f aca="false">[5]Jan!$J$1+[4]Jan!$L$1</f>
        <v>6000</v>
      </c>
      <c r="M46" s="175" t="n">
        <f aca="false">[5]Feb!$J$1+[4]Feb!$L$1</f>
        <v>1000</v>
      </c>
      <c r="N46" s="175" t="n">
        <f aca="false">[5]Mar!$J$1+[4]Mar!$L$1</f>
        <v>1000</v>
      </c>
      <c r="O46" s="162"/>
    </row>
    <row r="47" customFormat="false" ht="6" hidden="false" customHeight="true" outlineLevel="0" collapsed="false">
      <c r="A47" s="182"/>
      <c r="B47" s="190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84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2" width="1.66"/>
    <col collapsed="false" customWidth="true" hidden="false" outlineLevel="0" max="2" min="2" style="192" width="22.32"/>
    <col collapsed="false" customWidth="false" hidden="false" outlineLevel="0" max="3" min="3" style="192" width="9.15"/>
    <col collapsed="false" customWidth="true" hidden="false" outlineLevel="0" max="4" min="4" style="192" width="10.15"/>
    <col collapsed="false" customWidth="false" hidden="false" outlineLevel="0" max="7" min="5" style="192" width="9.15"/>
    <col collapsed="false" customWidth="true" hidden="false" outlineLevel="0" max="8" min="8" style="192" width="23.66"/>
    <col collapsed="false" customWidth="true" hidden="false" outlineLevel="0" max="9" min="9" style="192" width="1.66"/>
    <col collapsed="false" customWidth="false" hidden="false" outlineLevel="0" max="257" min="10" style="192" width="9.15"/>
  </cols>
  <sheetData>
    <row r="1" customFormat="false" ht="6" hidden="false" customHeight="true" outlineLevel="0" collapsed="false">
      <c r="A1" s="193"/>
      <c r="B1" s="193"/>
      <c r="C1" s="193"/>
      <c r="D1" s="193"/>
      <c r="E1" s="193"/>
      <c r="F1" s="193"/>
      <c r="G1" s="193"/>
      <c r="H1" s="193"/>
      <c r="I1" s="193"/>
      <c r="J1" s="194"/>
    </row>
    <row r="2" s="194" customFormat="true" ht="12" hidden="false" customHeight="true" outlineLevel="0" collapsed="false">
      <c r="A2" s="193"/>
      <c r="B2" s="195" t="s">
        <v>298</v>
      </c>
      <c r="C2" s="195" t="s">
        <v>299</v>
      </c>
      <c r="D2" s="195" t="s">
        <v>300</v>
      </c>
      <c r="E2" s="195" t="s">
        <v>301</v>
      </c>
      <c r="F2" s="195" t="s">
        <v>302</v>
      </c>
      <c r="G2" s="195" t="s">
        <v>303</v>
      </c>
      <c r="H2" s="195" t="s">
        <v>304</v>
      </c>
      <c r="I2" s="193"/>
    </row>
    <row r="3" customFormat="false" ht="12" hidden="false" customHeight="true" outlineLevel="0" collapsed="false">
      <c r="A3" s="193"/>
      <c r="B3" s="195"/>
      <c r="C3" s="195"/>
      <c r="D3" s="195"/>
      <c r="E3" s="195"/>
      <c r="F3" s="195"/>
      <c r="G3" s="195"/>
      <c r="H3" s="195"/>
      <c r="I3" s="193"/>
    </row>
    <row r="4" s="196" customFormat="true" ht="6" hidden="false" customHeight="true" outlineLevel="0" collapsed="false">
      <c r="A4" s="193"/>
      <c r="B4" s="193"/>
      <c r="C4" s="193"/>
      <c r="D4" s="193"/>
      <c r="E4" s="193"/>
      <c r="F4" s="193"/>
      <c r="G4" s="193"/>
      <c r="H4" s="193"/>
      <c r="I4" s="193"/>
    </row>
    <row r="5" customFormat="false" ht="12.75" hidden="false" customHeight="false" outlineLevel="0" collapsed="false">
      <c r="A5" s="193"/>
      <c r="B5" s="193" t="s">
        <v>305</v>
      </c>
      <c r="C5" s="197" t="n">
        <f aca="false">SUM('Profit &amp; Loss Account'!C5:E7)</f>
        <v>83899.9999999999</v>
      </c>
      <c r="D5" s="197" t="n">
        <f aca="false">SUM('Profit &amp; Loss Account'!F5:H7)</f>
        <v>82999.9999999999</v>
      </c>
      <c r="E5" s="197" t="n">
        <f aca="false">SUM('Profit &amp; Loss Account'!I5:K7)</f>
        <v>85699.9999999999</v>
      </c>
      <c r="F5" s="197" t="n">
        <f aca="false">SUM('Profit &amp; Loss Account'!L5:N7)</f>
        <v>82899.9999999999</v>
      </c>
      <c r="G5" s="198" t="n">
        <f aca="false">SUM(C5:F5)</f>
        <v>335500</v>
      </c>
      <c r="H5" s="193"/>
      <c r="I5" s="193"/>
    </row>
    <row r="6" customFormat="false" ht="13.5" hidden="false" customHeight="true" outlineLevel="0" collapsed="false">
      <c r="A6" s="193"/>
      <c r="B6" s="193" t="s">
        <v>306</v>
      </c>
      <c r="C6" s="197" t="n">
        <f aca="false">SUM('Profit &amp; Loss Account'!C8:E8)+SUM('Profit &amp; Loss Account'!C11:E11)+SUM('Profit &amp; Loss Account'!C38:E38)</f>
        <v>700</v>
      </c>
      <c r="D6" s="197" t="n">
        <f aca="false">SUM('Profit &amp; Loss Account'!F8:H8)+SUM('Profit &amp; Loss Account'!F11:H11)+SUM('Profit &amp; Loss Account'!F38:H38)</f>
        <v>3283.33333333333</v>
      </c>
      <c r="E6" s="197" t="n">
        <f aca="false">SUM('Profit &amp; Loss Account'!I8:K8)+SUM('Profit &amp; Loss Account'!I11:K11)+SUM('Profit &amp; Loss Account'!I38:K38)</f>
        <v>700</v>
      </c>
      <c r="F6" s="197" t="n">
        <f aca="false">SUM('Profit &amp; Loss Account'!L8:N8)+SUM('Profit &amp; Loss Account'!L11:N11)+SUM('Profit &amp; Loss Account'!L38:N38)</f>
        <v>1100</v>
      </c>
      <c r="G6" s="198" t="n">
        <f aca="false">SUM(C6:F6)</f>
        <v>5783.33333333333</v>
      </c>
      <c r="H6" s="193"/>
      <c r="I6" s="193"/>
    </row>
    <row r="7" customFormat="false" ht="12.75" hidden="false" customHeight="false" outlineLevel="0" collapsed="false">
      <c r="A7" s="193"/>
      <c r="B7" s="193" t="s">
        <v>307</v>
      </c>
      <c r="C7" s="197" t="n">
        <f aca="false">SUM('Profit &amp; Loss Account'!C14:E14)+SUM('Profit &amp; Loss Account'!C16:E16)</f>
        <v>2499</v>
      </c>
      <c r="D7" s="197" t="n">
        <f aca="false">SUM('Profit &amp; Loss Account'!F14:H14)+SUM('Profit &amp; Loss Account'!F16:H16)</f>
        <v>2283</v>
      </c>
      <c r="E7" s="197" t="n">
        <f aca="false">SUM('Profit &amp; Loss Account'!I14:K14)+SUM('Profit &amp; Loss Account'!I16:K16)</f>
        <v>2619</v>
      </c>
      <c r="F7" s="197" t="n">
        <f aca="false">SUM('Profit &amp; Loss Account'!L14:N14)+SUM('Profit &amp; Loss Account'!L16:N16)</f>
        <v>2343</v>
      </c>
      <c r="G7" s="198" t="n">
        <f aca="false">SUM(C7:F7)</f>
        <v>9744</v>
      </c>
      <c r="H7" s="193"/>
      <c r="I7" s="193"/>
    </row>
    <row r="8" s="199" customFormat="true" ht="12.75" hidden="false" customHeight="false" outlineLevel="0" collapsed="false">
      <c r="A8" s="193"/>
      <c r="B8" s="193"/>
      <c r="C8" s="193"/>
      <c r="D8" s="193"/>
      <c r="E8" s="193"/>
      <c r="F8" s="193"/>
      <c r="G8" s="193"/>
      <c r="H8" s="193"/>
      <c r="I8" s="193"/>
    </row>
    <row r="9" customFormat="false" ht="6" hidden="false" customHeight="true" outlineLevel="0" collapsed="false">
      <c r="A9" s="193"/>
      <c r="B9" s="193"/>
      <c r="C9" s="193"/>
      <c r="D9" s="193"/>
      <c r="E9" s="193"/>
      <c r="F9" s="193"/>
      <c r="G9" s="193"/>
      <c r="H9" s="193"/>
      <c r="I9" s="193"/>
    </row>
    <row r="10" customFormat="false" ht="12.75" hidden="false" customHeight="false" outlineLevel="0" collapsed="false">
      <c r="A10" s="193"/>
      <c r="B10" s="200" t="s">
        <v>308</v>
      </c>
      <c r="C10" s="193"/>
      <c r="D10" s="193"/>
      <c r="E10" s="193"/>
      <c r="F10" s="193"/>
      <c r="G10" s="193"/>
      <c r="H10" s="193"/>
      <c r="I10" s="193"/>
    </row>
    <row r="11" customFormat="false" ht="6" hidden="false" customHeight="true" outlineLevel="0" collapsed="false">
      <c r="A11" s="193"/>
      <c r="B11" s="193"/>
      <c r="C11" s="193"/>
      <c r="D11" s="193"/>
      <c r="E11" s="193"/>
      <c r="F11" s="193"/>
      <c r="G11" s="193"/>
      <c r="H11" s="193"/>
      <c r="I11" s="193"/>
    </row>
    <row r="12" customFormat="false" ht="12.75" hidden="false" customHeight="false" outlineLevel="0" collapsed="false">
      <c r="A12" s="193"/>
      <c r="B12" s="193" t="s">
        <v>309</v>
      </c>
      <c r="C12" s="198" t="n">
        <f aca="false">SUM('Profit &amp; Loss Account'!C21:E21)</f>
        <v>0</v>
      </c>
      <c r="D12" s="198" t="n">
        <f aca="false">SUM('Profit &amp; Loss Account'!F21:H21)</f>
        <v>800</v>
      </c>
      <c r="E12" s="198" t="n">
        <f aca="false">SUM('Profit &amp; Loss Account'!I21:K21)</f>
        <v>5000</v>
      </c>
      <c r="F12" s="198" t="n">
        <f aca="false">SUM('Profit &amp; Loss Account'!L21:N21)</f>
        <v>0</v>
      </c>
      <c r="G12" s="198" t="n">
        <f aca="false">SUM(C12:F12)</f>
        <v>5800</v>
      </c>
      <c r="H12" s="193"/>
      <c r="I12" s="193"/>
    </row>
    <row r="13" customFormat="false" ht="12.75" hidden="false" customHeight="false" outlineLevel="0" collapsed="false">
      <c r="A13" s="193"/>
      <c r="B13" s="193" t="s">
        <v>310</v>
      </c>
      <c r="C13" s="198" t="n">
        <f aca="false">SUM('Profit &amp; Loss Account'!C22:E22)</f>
        <v>360</v>
      </c>
      <c r="D13" s="198" t="n">
        <f aca="false">SUM('Profit &amp; Loss Account'!F22:H22)</f>
        <v>300</v>
      </c>
      <c r="E13" s="198" t="n">
        <f aca="false">SUM('Profit &amp; Loss Account'!I22:K22)</f>
        <v>420</v>
      </c>
      <c r="F13" s="198" t="n">
        <f aca="false">SUM('Profit &amp; Loss Account'!L22:N22)</f>
        <v>360</v>
      </c>
      <c r="G13" s="198" t="n">
        <f aca="false">SUM(C13:F13)</f>
        <v>1440</v>
      </c>
      <c r="H13" s="193"/>
      <c r="I13" s="193"/>
    </row>
    <row r="14" customFormat="false" ht="12.75" hidden="false" customHeight="false" outlineLevel="0" collapsed="false">
      <c r="A14" s="193"/>
      <c r="B14" s="193" t="s">
        <v>311</v>
      </c>
      <c r="C14" s="198" t="n">
        <f aca="false">SUM('Profit &amp; Loss Account'!C23:E23)</f>
        <v>120</v>
      </c>
      <c r="D14" s="198" t="n">
        <f aca="false">SUM('Profit &amp; Loss Account'!F23:H23)</f>
        <v>420</v>
      </c>
      <c r="E14" s="198" t="n">
        <f aca="false">SUM('Profit &amp; Loss Account'!I23:K23)</f>
        <v>96</v>
      </c>
      <c r="F14" s="198" t="n">
        <f aca="false">SUM('Profit &amp; Loss Account'!L23:N23)</f>
        <v>504</v>
      </c>
      <c r="G14" s="198" t="n">
        <f aca="false">SUM(C14:F14)</f>
        <v>1140</v>
      </c>
      <c r="H14" s="193"/>
      <c r="I14" s="193"/>
    </row>
    <row r="15" customFormat="false" ht="12.75" hidden="false" customHeight="false" outlineLevel="0" collapsed="false">
      <c r="A15" s="193"/>
      <c r="B15" s="193" t="s">
        <v>312</v>
      </c>
      <c r="C15" s="198" t="n">
        <f aca="false">SUM('Profit &amp; Loss Account'!C24:E24)</f>
        <v>519</v>
      </c>
      <c r="D15" s="198" t="n">
        <f aca="false">SUM('Profit &amp; Loss Account'!F24:H24)</f>
        <v>441</v>
      </c>
      <c r="E15" s="198" t="n">
        <f aca="false">SUM('Profit &amp; Loss Account'!I24:K24)</f>
        <v>555</v>
      </c>
      <c r="F15" s="198" t="n">
        <f aca="false">SUM('Profit &amp; Loss Account'!L24:N24)</f>
        <v>447</v>
      </c>
      <c r="G15" s="198" t="n">
        <f aca="false">SUM(C15:F15)</f>
        <v>1962</v>
      </c>
      <c r="H15" s="193"/>
      <c r="I15" s="193"/>
    </row>
    <row r="16" customFormat="false" ht="12.75" hidden="false" customHeight="false" outlineLevel="0" collapsed="false">
      <c r="A16" s="193"/>
      <c r="B16" s="193" t="s">
        <v>313</v>
      </c>
      <c r="C16" s="198" t="n">
        <f aca="false">SUM('Profit &amp; Loss Account'!C31:E31)</f>
        <v>275</v>
      </c>
      <c r="D16" s="198" t="n">
        <f aca="false">SUM('Profit &amp; Loss Account'!F31:H31)</f>
        <v>208</v>
      </c>
      <c r="E16" s="198" t="n">
        <f aca="false">SUM('Profit &amp; Loss Account'!I31:K31)</f>
        <v>192</v>
      </c>
      <c r="F16" s="198" t="n">
        <f aca="false">SUM('Profit &amp; Loss Account'!L31:N31)</f>
        <v>125</v>
      </c>
      <c r="G16" s="198" t="n">
        <f aca="false">SUM(C16:F16)</f>
        <v>800</v>
      </c>
      <c r="H16" s="193"/>
      <c r="I16" s="193"/>
    </row>
    <row r="17" customFormat="false" ht="12.75" hidden="false" customHeight="false" outlineLevel="0" collapsed="false">
      <c r="A17" s="193"/>
      <c r="B17" s="193" t="s">
        <v>314</v>
      </c>
      <c r="C17" s="198" t="n">
        <f aca="false">SUM('Profit &amp; Loss Account'!C25:E26)</f>
        <v>2438.25</v>
      </c>
      <c r="D17" s="198" t="n">
        <f aca="false">SUM('Profit &amp; Loss Account'!F25:H26)</f>
        <v>2218.5</v>
      </c>
      <c r="E17" s="198" t="n">
        <f aca="false">SUM('Profit &amp; Loss Account'!I25:K26)</f>
        <v>2333.25</v>
      </c>
      <c r="F17" s="198" t="n">
        <f aca="false">SUM('Profit &amp; Loss Account'!L25:N26)</f>
        <v>2468.25</v>
      </c>
      <c r="G17" s="198" t="n">
        <f aca="false">SUM(C17:F17)</f>
        <v>9458.25</v>
      </c>
      <c r="H17" s="193"/>
      <c r="I17" s="193"/>
    </row>
    <row r="18" customFormat="false" ht="12.75" hidden="false" customHeight="false" outlineLevel="0" collapsed="false">
      <c r="A18" s="193"/>
      <c r="B18" s="193" t="s">
        <v>315</v>
      </c>
      <c r="C18" s="198" t="n">
        <f aca="false">SUM('Profit &amp; Loss Account'!C27:E27)</f>
        <v>600</v>
      </c>
      <c r="D18" s="198" t="n">
        <f aca="false">SUM('Profit &amp; Loss Account'!F27:H27)</f>
        <v>480</v>
      </c>
      <c r="E18" s="198" t="n">
        <f aca="false">SUM('Profit &amp; Loss Account'!I27:K27)</f>
        <v>3000</v>
      </c>
      <c r="F18" s="198" t="n">
        <f aca="false">SUM('Profit &amp; Loss Account'!L27:N27)</f>
        <v>480</v>
      </c>
      <c r="G18" s="198" t="n">
        <f aca="false">SUM(C18:F18)</f>
        <v>4560</v>
      </c>
      <c r="H18" s="193"/>
      <c r="I18" s="193"/>
    </row>
    <row r="19" customFormat="false" ht="12.75" hidden="false" customHeight="false" outlineLevel="0" collapsed="false">
      <c r="A19" s="193"/>
      <c r="B19" s="193" t="s">
        <v>316</v>
      </c>
      <c r="C19" s="198" t="n">
        <f aca="false">SUM('Profit &amp; Loss Account'!C28:E28)</f>
        <v>1150</v>
      </c>
      <c r="D19" s="198" t="n">
        <f aca="false">SUM('Profit &amp; Loss Account'!F28:H28)</f>
        <v>2068</v>
      </c>
      <c r="E19" s="198" t="n">
        <f aca="false">SUM('Profit &amp; Loss Account'!I28:K28)</f>
        <v>1067</v>
      </c>
      <c r="F19" s="198" t="n">
        <f aca="false">SUM('Profit &amp; Loss Account'!L28:N28)</f>
        <v>1025</v>
      </c>
      <c r="G19" s="198" t="n">
        <f aca="false">SUM(C19:F19)</f>
        <v>5310</v>
      </c>
      <c r="H19" s="193"/>
      <c r="I19" s="193"/>
    </row>
    <row r="20" customFormat="false" ht="12.75" hidden="false" customHeight="false" outlineLevel="0" collapsed="false">
      <c r="A20" s="193"/>
      <c r="B20" s="193" t="s">
        <v>317</v>
      </c>
      <c r="C20" s="198" t="n">
        <f aca="false">SUM('Profit &amp; Loss Account'!C29:E29)</f>
        <v>0</v>
      </c>
      <c r="D20" s="198" t="n">
        <f aca="false">SUM('Profit &amp; Loss Account'!F29:H29)</f>
        <v>0</v>
      </c>
      <c r="E20" s="198" t="n">
        <f aca="false">SUM('Profit &amp; Loss Account'!I29:K29)</f>
        <v>0</v>
      </c>
      <c r="F20" s="198" t="n">
        <f aca="false">SUM('Profit &amp; Loss Account'!L29:N29)</f>
        <v>-300</v>
      </c>
      <c r="G20" s="198" t="n">
        <f aca="false">SUM(C20:F20)</f>
        <v>-300</v>
      </c>
      <c r="H20" s="193"/>
      <c r="I20" s="193"/>
    </row>
    <row r="21" customFormat="false" ht="12.75" hidden="false" customHeight="false" outlineLevel="0" collapsed="false">
      <c r="A21" s="193"/>
      <c r="B21" s="193" t="s">
        <v>318</v>
      </c>
      <c r="C21" s="198" t="n">
        <f aca="false">SUM('Profit &amp; Loss Account'!C30:E30)</f>
        <v>0</v>
      </c>
      <c r="D21" s="198" t="n">
        <f aca="false">SUM('Profit &amp; Loss Account'!F30:H30)</f>
        <v>0</v>
      </c>
      <c r="E21" s="198" t="n">
        <f aca="false">SUM('Profit &amp; Loss Account'!I30:K30)</f>
        <v>0</v>
      </c>
      <c r="F21" s="198" t="n">
        <f aca="false">SUM('Profit &amp; Loss Account'!L30:N30)</f>
        <v>0</v>
      </c>
      <c r="G21" s="198" t="n">
        <f aca="false">SUM(C21:F21)</f>
        <v>0</v>
      </c>
      <c r="H21" s="193"/>
      <c r="I21" s="193"/>
    </row>
    <row r="22" customFormat="false" ht="12.75" hidden="false" customHeight="false" outlineLevel="0" collapsed="false">
      <c r="A22" s="193"/>
      <c r="B22" s="193" t="s">
        <v>319</v>
      </c>
      <c r="C22" s="198" t="n">
        <f aca="false">SUM('Profit &amp; Loss Account'!C32:E32)</f>
        <v>0</v>
      </c>
      <c r="D22" s="198" t="n">
        <f aca="false">SUM('Profit &amp; Loss Account'!F32:H32)</f>
        <v>0</v>
      </c>
      <c r="E22" s="198" t="n">
        <f aca="false">SUM('Profit &amp; Loss Account'!I32:K32)</f>
        <v>500</v>
      </c>
      <c r="F22" s="198" t="n">
        <f aca="false">SUM('Profit &amp; Loss Account'!L32:N32)</f>
        <v>0</v>
      </c>
      <c r="G22" s="198" t="n">
        <f aca="false">SUM(C22:F22)</f>
        <v>500</v>
      </c>
      <c r="H22" s="193"/>
      <c r="I22" s="193"/>
    </row>
    <row r="23" customFormat="false" ht="12.75" hidden="false" customHeight="false" outlineLevel="0" collapsed="false">
      <c r="A23" s="193"/>
      <c r="B23" s="193"/>
      <c r="C23" s="193"/>
      <c r="D23" s="193"/>
      <c r="E23" s="193"/>
      <c r="F23" s="193"/>
      <c r="G23" s="193"/>
      <c r="H23" s="193"/>
      <c r="I23" s="193"/>
    </row>
    <row r="24" customFormat="false" ht="13.5" hidden="false" customHeight="true" outlineLevel="0" collapsed="false">
      <c r="A24" s="193"/>
      <c r="B24" s="193" t="s">
        <v>320</v>
      </c>
      <c r="C24" s="198" t="n">
        <f aca="false">SUM('Profit &amp; Loss Account'!C15:E15)</f>
        <v>5000</v>
      </c>
      <c r="D24" s="198" t="n">
        <f aca="false">SUM('Profit &amp; Loss Account'!F15:H15)</f>
        <v>0</v>
      </c>
      <c r="E24" s="198" t="n">
        <f aca="false">SUM('Profit &amp; Loss Account'!I15:K15)</f>
        <v>3000</v>
      </c>
      <c r="F24" s="198" t="n">
        <f aca="false">SUM('Profit &amp; Loss Account'!L15:N15)</f>
        <v>0</v>
      </c>
      <c r="G24" s="198" t="n">
        <f aca="false">SUM(C24:F24)</f>
        <v>8000</v>
      </c>
      <c r="H24" s="193"/>
      <c r="I24" s="193"/>
    </row>
    <row r="25" customFormat="false" ht="12.75" hidden="false" customHeight="false" outlineLevel="0" collapsed="false">
      <c r="A25" s="193"/>
      <c r="B25" s="193" t="s">
        <v>321</v>
      </c>
      <c r="C25" s="198" t="n">
        <v>0</v>
      </c>
      <c r="D25" s="198" t="n">
        <v>0</v>
      </c>
      <c r="E25" s="198" t="n">
        <v>0</v>
      </c>
      <c r="F25" s="198" t="n">
        <v>0</v>
      </c>
      <c r="G25" s="198" t="n">
        <f aca="false">SUM(C25:F25)</f>
        <v>0</v>
      </c>
      <c r="H25" s="193" t="s">
        <v>322</v>
      </c>
      <c r="I25" s="193"/>
    </row>
    <row r="26" customFormat="false" ht="13.5" hidden="false" customHeight="true" outlineLevel="0" collapsed="false">
      <c r="A26" s="193"/>
      <c r="B26" s="193" t="s">
        <v>289</v>
      </c>
      <c r="C26" s="198" t="n">
        <f aca="false">SUM('Profit &amp; Loss Account'!C33:E34)</f>
        <v>0</v>
      </c>
      <c r="D26" s="198" t="n">
        <f aca="false">SUM('Profit &amp; Loss Account'!F33:H34)</f>
        <v>0</v>
      </c>
      <c r="E26" s="198" t="n">
        <f aca="false">SUM('Profit &amp; Loss Account'!I33:K34)</f>
        <v>0</v>
      </c>
      <c r="F26" s="198" t="n">
        <f aca="false">SUM('Profit &amp; Loss Account'!L33:N34)</f>
        <v>0</v>
      </c>
      <c r="G26" s="198" t="n">
        <f aca="false">SUM(C26:F26)</f>
        <v>0</v>
      </c>
      <c r="H26" s="193"/>
      <c r="I26" s="193"/>
    </row>
    <row r="27" customFormat="false" ht="12.75" hidden="false" customHeight="false" outlineLevel="0" collapsed="false">
      <c r="A27" s="193"/>
      <c r="B27" s="193"/>
      <c r="C27" s="193"/>
      <c r="D27" s="193"/>
      <c r="E27" s="193"/>
      <c r="F27" s="193"/>
      <c r="G27" s="193"/>
      <c r="H27" s="193"/>
      <c r="I27" s="193"/>
    </row>
    <row r="28" customFormat="false" ht="6" hidden="false" customHeight="true" outlineLevel="0" collapsed="false">
      <c r="A28" s="193"/>
      <c r="B28" s="193"/>
      <c r="C28" s="193"/>
      <c r="D28" s="193"/>
      <c r="E28" s="193"/>
      <c r="F28" s="193"/>
      <c r="G28" s="193"/>
      <c r="H28" s="193"/>
      <c r="I28" s="193"/>
    </row>
    <row r="29" customFormat="false" ht="12.75" hidden="false" customHeight="false" outlineLevel="0" collapsed="false">
      <c r="A29" s="193"/>
      <c r="B29" s="200" t="s">
        <v>323</v>
      </c>
      <c r="C29" s="201" t="n">
        <f aca="false">SUM(C7,C12,C13,C14,C15,C16,C17,C18,C19,C20,C21,C22,C24,C25,C26)</f>
        <v>12961.25</v>
      </c>
      <c r="D29" s="201" t="n">
        <f aca="false">SUM(D7,D12,D13,D14,D15,D16,D17,D18,D19,D20,D21,D22,D24,D25,D26)</f>
        <v>9218.5</v>
      </c>
      <c r="E29" s="201" t="n">
        <f aca="false">SUM(E7,E12,E13,E14,E15,E16,E17,E18,E19,E20,E21,E22,E24,E25,E26)</f>
        <v>18782.25</v>
      </c>
      <c r="F29" s="201" t="n">
        <f aca="false">SUM(F7,F12,F13,F14,F15,F16,F17,F18,F19,F20,F21,F22,F24,F25,F26)</f>
        <v>7452.25</v>
      </c>
      <c r="G29" s="201" t="n">
        <f aca="false">SUM(G7,G12,G13,G14,G15,G16,G17,G18,G19,G20,G21,G22,G24,G25,G26)</f>
        <v>48414.25</v>
      </c>
      <c r="H29" s="202"/>
      <c r="I29" s="193"/>
    </row>
    <row r="30" customFormat="false" ht="6" hidden="false" customHeight="true" outlineLevel="0" collapsed="false">
      <c r="A30" s="193"/>
      <c r="B30" s="193"/>
      <c r="C30" s="193"/>
      <c r="D30" s="193"/>
      <c r="E30" s="193"/>
      <c r="F30" s="193"/>
      <c r="G30" s="193"/>
      <c r="H30" s="193"/>
      <c r="I30" s="193"/>
    </row>
    <row r="31" customFormat="false" ht="12.75" hidden="false" customHeight="false" outlineLevel="0" collapsed="false">
      <c r="A31" s="193"/>
      <c r="B31" s="193"/>
      <c r="C31" s="193"/>
      <c r="D31" s="193"/>
      <c r="E31" s="193"/>
      <c r="F31" s="193"/>
      <c r="G31" s="193"/>
      <c r="H31" s="193"/>
      <c r="I31" s="193"/>
    </row>
    <row r="32" customFormat="false" ht="6" hidden="false" customHeight="true" outlineLevel="0" collapsed="false">
      <c r="A32" s="193"/>
      <c r="B32" s="193"/>
      <c r="C32" s="193"/>
      <c r="D32" s="193"/>
      <c r="E32" s="193"/>
      <c r="F32" s="193"/>
      <c r="G32" s="193"/>
      <c r="H32" s="193"/>
      <c r="I32" s="193"/>
    </row>
    <row r="33" customFormat="false" ht="12.75" hidden="false" customHeight="false" outlineLevel="0" collapsed="false">
      <c r="A33" s="193"/>
      <c r="B33" s="193"/>
      <c r="C33" s="193"/>
      <c r="D33" s="193"/>
      <c r="E33" s="193"/>
      <c r="F33" s="193"/>
      <c r="G33" s="193"/>
      <c r="H33" s="193"/>
      <c r="I33" s="193"/>
    </row>
    <row r="34" customFormat="false" ht="12.75" hidden="false" customHeight="false" outlineLevel="0" collapsed="false">
      <c r="A34" s="193"/>
      <c r="B34" s="200" t="s">
        <v>128</v>
      </c>
      <c r="C34" s="193"/>
      <c r="D34" s="193"/>
      <c r="E34" s="193"/>
      <c r="F34" s="193"/>
      <c r="G34" s="193"/>
      <c r="H34" s="193"/>
      <c r="I34" s="193"/>
    </row>
    <row r="35" customFormat="false" ht="6" hidden="false" customHeight="true" outlineLevel="0" collapsed="false">
      <c r="A35" s="193"/>
      <c r="B35" s="193"/>
      <c r="C35" s="193"/>
      <c r="D35" s="193"/>
      <c r="E35" s="193"/>
      <c r="F35" s="193"/>
      <c r="G35" s="193"/>
      <c r="H35" s="193"/>
      <c r="I35" s="193"/>
    </row>
    <row r="36" customFormat="false" ht="12.75" hidden="false" customHeight="false" outlineLevel="0" collapsed="false">
      <c r="A36" s="193"/>
      <c r="B36" s="193" t="s">
        <v>307</v>
      </c>
      <c r="C36" s="198" t="n">
        <v>0</v>
      </c>
      <c r="D36" s="198" t="n">
        <v>0</v>
      </c>
      <c r="E36" s="198" t="n">
        <v>0</v>
      </c>
      <c r="F36" s="198" t="n">
        <v>0</v>
      </c>
      <c r="G36" s="198" t="n">
        <f aca="false">SUM(C36:F36)</f>
        <v>0</v>
      </c>
      <c r="H36" s="193" t="s">
        <v>322</v>
      </c>
      <c r="I36" s="193"/>
    </row>
    <row r="37" customFormat="false" ht="13.5" hidden="false" customHeight="true" outlineLevel="0" collapsed="false">
      <c r="A37" s="193"/>
      <c r="B37" s="193" t="s">
        <v>320</v>
      </c>
      <c r="C37" s="198" t="n">
        <v>0</v>
      </c>
      <c r="D37" s="198" t="n">
        <v>0</v>
      </c>
      <c r="E37" s="198" t="n">
        <v>0</v>
      </c>
      <c r="F37" s="198" t="n">
        <v>0</v>
      </c>
      <c r="G37" s="198" t="n">
        <f aca="false">SUM(C37:F37)</f>
        <v>0</v>
      </c>
      <c r="H37" s="193" t="s">
        <v>322</v>
      </c>
      <c r="I37" s="193"/>
    </row>
    <row r="38" customFormat="false" ht="12.75" hidden="false" customHeight="false" outlineLevel="0" collapsed="false">
      <c r="A38" s="193"/>
      <c r="B38" s="193" t="s">
        <v>309</v>
      </c>
      <c r="C38" s="198" t="n">
        <v>0</v>
      </c>
      <c r="D38" s="198" t="n">
        <v>0</v>
      </c>
      <c r="E38" s="198" t="n">
        <v>0</v>
      </c>
      <c r="F38" s="198" t="n">
        <v>0</v>
      </c>
      <c r="G38" s="198" t="n">
        <f aca="false">SUM(C38:F38)</f>
        <v>0</v>
      </c>
      <c r="H38" s="193" t="s">
        <v>322</v>
      </c>
      <c r="I38" s="193"/>
    </row>
    <row r="39" customFormat="false" ht="13.5" hidden="false" customHeight="true" outlineLevel="0" collapsed="false">
      <c r="A39" s="193"/>
      <c r="B39" s="193" t="s">
        <v>324</v>
      </c>
      <c r="C39" s="198" t="n">
        <v>0</v>
      </c>
      <c r="D39" s="198" t="n">
        <v>0</v>
      </c>
      <c r="E39" s="198" t="n">
        <v>0</v>
      </c>
      <c r="F39" s="198" t="n">
        <v>0</v>
      </c>
      <c r="G39" s="198" t="n">
        <f aca="false">SUM(C39:F39)</f>
        <v>0</v>
      </c>
      <c r="H39" s="193" t="s">
        <v>322</v>
      </c>
      <c r="I39" s="193"/>
    </row>
    <row r="40" customFormat="false" ht="12.75" hidden="false" customHeight="false" outlineLevel="0" collapsed="false">
      <c r="A40" s="193"/>
      <c r="B40" s="193" t="s">
        <v>310</v>
      </c>
      <c r="C40" s="198" t="n">
        <v>0</v>
      </c>
      <c r="D40" s="198" t="n">
        <v>0</v>
      </c>
      <c r="E40" s="198" t="n">
        <v>0</v>
      </c>
      <c r="F40" s="198" t="n">
        <v>0</v>
      </c>
      <c r="G40" s="198" t="n">
        <f aca="false">SUM(C40:F40)</f>
        <v>0</v>
      </c>
      <c r="H40" s="193" t="s">
        <v>322</v>
      </c>
      <c r="I40" s="193"/>
    </row>
    <row r="41" customFormat="false" ht="12.75" hidden="false" customHeight="false" outlineLevel="0" collapsed="false">
      <c r="A41" s="193"/>
      <c r="B41" s="193" t="s">
        <v>311</v>
      </c>
      <c r="C41" s="198" t="n">
        <v>0</v>
      </c>
      <c r="D41" s="198" t="n">
        <v>0</v>
      </c>
      <c r="E41" s="198" t="n">
        <v>0</v>
      </c>
      <c r="F41" s="198" t="n">
        <v>0</v>
      </c>
      <c r="G41" s="198" t="n">
        <f aca="false">SUM(C41:F41)</f>
        <v>0</v>
      </c>
      <c r="H41" s="193" t="s">
        <v>322</v>
      </c>
      <c r="I41" s="193"/>
    </row>
    <row r="42" customFormat="false" ht="12.75" hidden="false" customHeight="false" outlineLevel="0" collapsed="false">
      <c r="A42" s="193"/>
      <c r="B42" s="193" t="s">
        <v>312</v>
      </c>
      <c r="C42" s="198" t="n">
        <v>0</v>
      </c>
      <c r="D42" s="198" t="n">
        <v>0</v>
      </c>
      <c r="E42" s="198" t="n">
        <v>0</v>
      </c>
      <c r="F42" s="198" t="n">
        <v>0</v>
      </c>
      <c r="G42" s="198" t="n">
        <f aca="false">SUM(C42:F42)</f>
        <v>0</v>
      </c>
      <c r="H42" s="193" t="s">
        <v>322</v>
      </c>
      <c r="I42" s="193"/>
    </row>
    <row r="43" customFormat="false" ht="12.75" hidden="false" customHeight="false" outlineLevel="0" collapsed="false">
      <c r="A43" s="193"/>
      <c r="B43" s="193" t="s">
        <v>315</v>
      </c>
      <c r="C43" s="198" t="n">
        <v>0</v>
      </c>
      <c r="D43" s="198" t="n">
        <v>0</v>
      </c>
      <c r="E43" s="198" t="n">
        <v>0</v>
      </c>
      <c r="F43" s="198" t="n">
        <v>0</v>
      </c>
      <c r="G43" s="198" t="n">
        <f aca="false">SUM(C43:F43)</f>
        <v>0</v>
      </c>
      <c r="H43" s="193" t="s">
        <v>322</v>
      </c>
      <c r="I43" s="193"/>
    </row>
    <row r="44" customFormat="false" ht="12.75" hidden="false" customHeight="false" outlineLevel="0" collapsed="false">
      <c r="A44" s="193"/>
      <c r="B44" s="193" t="s">
        <v>321</v>
      </c>
      <c r="C44" s="198" t="n">
        <v>0</v>
      </c>
      <c r="D44" s="198" t="n">
        <v>0</v>
      </c>
      <c r="E44" s="198" t="n">
        <v>0</v>
      </c>
      <c r="F44" s="198" t="n">
        <v>0</v>
      </c>
      <c r="G44" s="198" t="n">
        <f aca="false">SUM(C44:F44)</f>
        <v>0</v>
      </c>
      <c r="H44" s="193" t="s">
        <v>322</v>
      </c>
      <c r="I44" s="193"/>
    </row>
    <row r="45" customFormat="false" ht="12.75" hidden="false" customHeight="false" outlineLevel="0" collapsed="false">
      <c r="A45" s="193"/>
      <c r="B45" s="193" t="s">
        <v>318</v>
      </c>
      <c r="C45" s="198" t="n">
        <v>0</v>
      </c>
      <c r="D45" s="198" t="n">
        <v>0</v>
      </c>
      <c r="E45" s="198" t="n">
        <v>0</v>
      </c>
      <c r="F45" s="198" t="n">
        <v>0</v>
      </c>
      <c r="G45" s="198" t="n">
        <f aca="false">SUM(C45:F45)</f>
        <v>0</v>
      </c>
      <c r="H45" s="193" t="s">
        <v>322</v>
      </c>
      <c r="I45" s="193"/>
    </row>
    <row r="46" customFormat="false" ht="12.75" hidden="false" customHeight="false" outlineLevel="0" collapsed="false">
      <c r="A46" s="193"/>
      <c r="B46" s="193" t="s">
        <v>325</v>
      </c>
      <c r="C46" s="198" t="n">
        <v>0</v>
      </c>
      <c r="D46" s="198" t="n">
        <v>0</v>
      </c>
      <c r="E46" s="198" t="n">
        <v>0</v>
      </c>
      <c r="F46" s="198" t="n">
        <v>0</v>
      </c>
      <c r="G46" s="198" t="n">
        <f aca="false">SUM(C46:F46)</f>
        <v>0</v>
      </c>
      <c r="H46" s="193" t="s">
        <v>322</v>
      </c>
      <c r="I46" s="193"/>
    </row>
    <row r="47" customFormat="false" ht="12.75" hidden="false" customHeight="false" outlineLevel="0" collapsed="false">
      <c r="A47" s="193"/>
      <c r="B47" s="193" t="s">
        <v>326</v>
      </c>
      <c r="C47" s="198" t="n">
        <v>0</v>
      </c>
      <c r="D47" s="198" t="n">
        <v>0</v>
      </c>
      <c r="E47" s="198" t="n">
        <v>0</v>
      </c>
      <c r="F47" s="198" t="n">
        <v>0</v>
      </c>
      <c r="G47" s="198" t="n">
        <f aca="false">SUM(C47:F47)</f>
        <v>0</v>
      </c>
      <c r="H47" s="193" t="s">
        <v>322</v>
      </c>
      <c r="I47" s="193"/>
    </row>
    <row r="48" customFormat="false" ht="12.75" hidden="false" customHeight="false" outlineLevel="0" collapsed="false">
      <c r="A48" s="193"/>
      <c r="B48" s="193" t="s">
        <v>316</v>
      </c>
      <c r="C48" s="198" t="n">
        <v>0</v>
      </c>
      <c r="D48" s="198" t="n">
        <v>0</v>
      </c>
      <c r="E48" s="198" t="n">
        <v>0</v>
      </c>
      <c r="F48" s="198" t="n">
        <v>0</v>
      </c>
      <c r="G48" s="198" t="n">
        <f aca="false">SUM(C48:F48)</f>
        <v>0</v>
      </c>
      <c r="H48" s="193" t="s">
        <v>322</v>
      </c>
      <c r="I48" s="193"/>
    </row>
    <row r="49" customFormat="false" ht="12.75" hidden="false" customHeight="false" outlineLevel="0" collapsed="false">
      <c r="A49" s="193"/>
      <c r="B49" s="193" t="s">
        <v>289</v>
      </c>
      <c r="C49" s="198" t="n">
        <v>0</v>
      </c>
      <c r="D49" s="198" t="n">
        <v>0</v>
      </c>
      <c r="E49" s="198" t="n">
        <v>0</v>
      </c>
      <c r="F49" s="198" t="n">
        <v>0</v>
      </c>
      <c r="G49" s="198" t="n">
        <f aca="false">SUM(C49:F49)</f>
        <v>0</v>
      </c>
      <c r="H49" s="193" t="s">
        <v>322</v>
      </c>
      <c r="I49" s="193"/>
    </row>
    <row r="50" customFormat="false" ht="12.75" hidden="false" customHeight="false" outlineLevel="0" collapsed="false">
      <c r="A50" s="193"/>
      <c r="B50" s="193" t="s">
        <v>319</v>
      </c>
      <c r="C50" s="198" t="n">
        <v>0</v>
      </c>
      <c r="D50" s="198" t="n">
        <v>0</v>
      </c>
      <c r="E50" s="198" t="n">
        <v>0</v>
      </c>
      <c r="F50" s="198" t="n">
        <v>0</v>
      </c>
      <c r="G50" s="198" t="n">
        <f aca="false">SUM(C50:F50)</f>
        <v>0</v>
      </c>
      <c r="H50" s="193" t="s">
        <v>322</v>
      </c>
      <c r="I50" s="193"/>
    </row>
    <row r="51" customFormat="false" ht="12.75" hidden="false" customHeight="false" outlineLevel="0" collapsed="false">
      <c r="A51" s="193"/>
      <c r="B51" s="193"/>
      <c r="C51" s="193"/>
      <c r="D51" s="193"/>
      <c r="E51" s="193"/>
      <c r="F51" s="193"/>
      <c r="G51" s="193"/>
      <c r="H51" s="193"/>
      <c r="I51" s="193"/>
    </row>
    <row r="52" customFormat="false" ht="12.75" hidden="false" customHeight="false" outlineLevel="0" collapsed="false">
      <c r="A52" s="203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4" width="2.66"/>
    <col collapsed="false" customWidth="true" hidden="false" outlineLevel="0" max="2" min="2" style="204" width="25.99"/>
    <col collapsed="false" customWidth="true" hidden="false" outlineLevel="0" max="3" min="3" style="204" width="11.32"/>
    <col collapsed="false" customWidth="true" hidden="false" outlineLevel="0" max="4" min="4" style="205" width="13.49"/>
    <col collapsed="false" customWidth="true" hidden="false" outlineLevel="0" max="5" min="5" style="206" width="12.66"/>
    <col collapsed="false" customWidth="true" hidden="false" outlineLevel="0" max="6" min="6" style="207" width="4.15"/>
    <col collapsed="false" customWidth="true" hidden="false" outlineLevel="0" max="7" min="7" style="208" width="2.66"/>
    <col collapsed="false" customWidth="false" hidden="false" outlineLevel="0" max="12" min="8" style="204" width="9.15"/>
    <col collapsed="false" customWidth="true" hidden="false" outlineLevel="0" max="13" min="13" style="204" width="15.15"/>
    <col collapsed="false" customWidth="false" hidden="false" outlineLevel="0" max="257" min="14" style="204" width="9.15"/>
  </cols>
  <sheetData>
    <row r="1" customFormat="false" ht="12.75" hidden="false" customHeight="false" outlineLevel="0" collapsed="false">
      <c r="A1" s="209"/>
      <c r="B1" s="209"/>
      <c r="C1" s="209"/>
      <c r="D1" s="210"/>
      <c r="E1" s="211"/>
      <c r="F1" s="212"/>
      <c r="G1" s="209"/>
    </row>
    <row r="2" customFormat="false" ht="18" hidden="false" customHeight="true" outlineLevel="0" collapsed="false">
      <c r="A2" s="209"/>
      <c r="B2" s="213" t="s">
        <v>327</v>
      </c>
      <c r="C2" s="214" t="str">
        <f aca="false">Admin!L2</f>
        <v>2026-27</v>
      </c>
      <c r="D2" s="215" t="s">
        <v>328</v>
      </c>
      <c r="E2" s="215"/>
      <c r="F2" s="215"/>
      <c r="G2" s="216"/>
    </row>
    <row r="3" customFormat="false" ht="18.75" hidden="false" customHeight="true" outlineLevel="0" collapsed="false">
      <c r="A3" s="209"/>
      <c r="B3" s="217"/>
      <c r="C3" s="217"/>
      <c r="D3" s="215"/>
      <c r="E3" s="215"/>
      <c r="F3" s="215"/>
      <c r="G3" s="216"/>
    </row>
    <row r="4" customFormat="false" ht="12.75" hidden="false" customHeight="false" outlineLevel="0" collapsed="false">
      <c r="A4" s="209"/>
      <c r="B4" s="218"/>
      <c r="C4" s="218"/>
      <c r="D4" s="219"/>
      <c r="E4" s="211"/>
      <c r="F4" s="212"/>
      <c r="G4" s="216"/>
    </row>
    <row r="5" customFormat="false" ht="12.75" hidden="false" customHeight="false" outlineLevel="0" collapsed="false">
      <c r="A5" s="209"/>
      <c r="B5" s="220" t="s">
        <v>329</v>
      </c>
      <c r="C5" s="220"/>
      <c r="D5" s="220"/>
      <c r="E5" s="221" t="n">
        <f aca="false">'SE Full'!O210</f>
        <v>292869.083333333</v>
      </c>
      <c r="F5" s="212"/>
      <c r="G5" s="216"/>
      <c r="M5" s="222"/>
    </row>
    <row r="6" customFormat="false" ht="12.75" hidden="false" customHeight="false" outlineLevel="0" collapsed="false">
      <c r="A6" s="209"/>
      <c r="B6" s="218" t="s">
        <v>330</v>
      </c>
      <c r="C6" s="218" t="str">
        <f aca="false">C2</f>
        <v>2026-27</v>
      </c>
      <c r="D6" s="223"/>
      <c r="E6" s="216" t="n">
        <f aca="false">IF((E5&gt;0),Admin!N$4,0)</f>
        <v>12570</v>
      </c>
      <c r="F6" s="212"/>
      <c r="G6" s="216"/>
      <c r="M6" s="222"/>
    </row>
    <row r="7" customFormat="false" ht="12.75" hidden="false" customHeight="false" outlineLevel="0" collapsed="false">
      <c r="A7" s="209"/>
      <c r="B7" s="220" t="s">
        <v>331</v>
      </c>
      <c r="C7" s="220"/>
      <c r="D7" s="220"/>
      <c r="E7" s="221" t="n">
        <f aca="false">IF((E5&gt;E6),(E5-E6),0)</f>
        <v>280299.083333333</v>
      </c>
      <c r="F7" s="212"/>
      <c r="G7" s="216"/>
      <c r="M7" s="222"/>
    </row>
    <row r="8" customFormat="false" ht="12.75" hidden="false" customHeight="false" outlineLevel="0" collapsed="false">
      <c r="A8" s="209"/>
      <c r="B8" s="218" t="s">
        <v>332</v>
      </c>
      <c r="C8" s="218" t="n">
        <f aca="false">Admin!N$11</f>
        <v>0</v>
      </c>
      <c r="D8" s="224" t="n">
        <f aca="false">Admin!N$6</f>
        <v>0.2</v>
      </c>
      <c r="E8" s="211" t="n">
        <f aca="false">IF((E7&gt;0),(IF((E7&lt;C9),E7*D8,C9*D8)),0)</f>
        <v>7540.2</v>
      </c>
      <c r="F8" s="212"/>
      <c r="G8" s="216"/>
      <c r="H8" s="225"/>
      <c r="M8" s="222"/>
    </row>
    <row r="9" customFormat="false" ht="12.75" hidden="false" customHeight="false" outlineLevel="0" collapsed="false">
      <c r="A9" s="209"/>
      <c r="B9" s="218" t="s">
        <v>333</v>
      </c>
      <c r="C9" s="218" t="n">
        <f aca="false">Admin!N$12</f>
        <v>37701</v>
      </c>
      <c r="D9" s="224" t="n">
        <f aca="false">Admin!N$7</f>
        <v>0.4</v>
      </c>
      <c r="E9" s="211" t="n">
        <f aca="false">IF((E7&gt;C9),((E7-C9)*D9),0)</f>
        <v>97039.2333333332</v>
      </c>
      <c r="F9" s="212"/>
      <c r="G9" s="216"/>
      <c r="M9" s="222"/>
    </row>
    <row r="10" customFormat="false" ht="12.75" hidden="false" customHeight="false" outlineLevel="0" collapsed="false">
      <c r="A10" s="209"/>
      <c r="B10" s="226" t="s">
        <v>334</v>
      </c>
      <c r="C10" s="227"/>
      <c r="D10" s="228"/>
      <c r="E10" s="229" t="n">
        <f aca="false">SUM(E8:E9)</f>
        <v>104579.433333333</v>
      </c>
      <c r="F10" s="212"/>
      <c r="G10" s="216"/>
      <c r="M10" s="222"/>
    </row>
    <row r="11" customFormat="false" ht="12.75" hidden="false" customHeight="false" outlineLevel="0" collapsed="false">
      <c r="A11" s="209"/>
      <c r="B11" s="218" t="s">
        <v>335</v>
      </c>
      <c r="C11" s="218"/>
      <c r="D11" s="230"/>
      <c r="E11" s="211" t="n">
        <f aca="false">-[2]Mar!$X$1</f>
        <v>-0</v>
      </c>
      <c r="F11" s="231"/>
      <c r="G11" s="232"/>
      <c r="M11" s="222"/>
    </row>
    <row r="12" customFormat="false" ht="12.75" hidden="false" customHeight="false" outlineLevel="0" collapsed="false">
      <c r="A12" s="209"/>
      <c r="B12" s="218"/>
      <c r="C12" s="218"/>
      <c r="D12" s="230"/>
      <c r="E12" s="211"/>
      <c r="F12" s="231"/>
      <c r="G12" s="232"/>
      <c r="M12" s="222"/>
    </row>
    <row r="13" customFormat="false" ht="12.75" hidden="false" customHeight="false" outlineLevel="0" collapsed="false">
      <c r="A13" s="209"/>
      <c r="B13" s="233" t="s">
        <v>336</v>
      </c>
      <c r="C13" s="234" t="n">
        <f aca="false">Admin!B21</f>
        <v>46783</v>
      </c>
      <c r="D13" s="234"/>
      <c r="E13" s="211"/>
      <c r="F13" s="231"/>
      <c r="G13" s="232"/>
      <c r="M13" s="222"/>
    </row>
    <row r="14" customFormat="false" ht="12.75" hidden="false" customHeight="false" outlineLevel="0" collapsed="false">
      <c r="A14" s="209"/>
      <c r="B14" s="218"/>
      <c r="C14" s="218"/>
      <c r="D14" s="235"/>
      <c r="E14" s="236"/>
      <c r="F14" s="212"/>
      <c r="G14" s="232"/>
      <c r="M14" s="222"/>
    </row>
    <row r="15" customFormat="false" ht="12.75" hidden="false" customHeight="false" outlineLevel="0" collapsed="false">
      <c r="A15" s="209"/>
      <c r="B15" s="237" t="s">
        <v>337</v>
      </c>
      <c r="C15" s="237"/>
      <c r="D15" s="224" t="n">
        <f aca="false">Admin!L20</f>
        <v>0.06</v>
      </c>
      <c r="E15" s="238" t="n">
        <f aca="false">IF(E5&gt;Admin!N20,IF(E5&lt;Admin!N$23,(E5-Admin!N20)*D15,(Admin!N$23-Admin!N20)*D15),0)</f>
        <v>2262</v>
      </c>
      <c r="F15" s="212"/>
      <c r="G15" s="232"/>
      <c r="M15" s="222"/>
    </row>
    <row r="16" customFormat="false" ht="12.75" hidden="false" customHeight="false" outlineLevel="0" collapsed="false">
      <c r="A16" s="209"/>
      <c r="B16" s="237" t="s">
        <v>338</v>
      </c>
      <c r="C16" s="237"/>
      <c r="D16" s="224" t="n">
        <f aca="false">Admin!L23</f>
        <v>0.02</v>
      </c>
      <c r="E16" s="238" t="n">
        <f aca="false">IF((E5&gt;Admin!N$23),((E5-Admin!N$23)*D16),0)</f>
        <v>4851.98166666666</v>
      </c>
      <c r="F16" s="212"/>
      <c r="G16" s="232"/>
      <c r="M16" s="222"/>
    </row>
    <row r="17" customFormat="false" ht="12.75" hidden="false" customHeight="false" outlineLevel="0" collapsed="false">
      <c r="A17" s="209"/>
      <c r="B17" s="218"/>
      <c r="C17" s="218"/>
      <c r="D17" s="235"/>
      <c r="E17" s="236"/>
      <c r="F17" s="212"/>
      <c r="G17" s="232"/>
      <c r="M17" s="222"/>
    </row>
    <row r="18" customFormat="false" ht="12.75" hidden="false" customHeight="false" outlineLevel="0" collapsed="false">
      <c r="A18" s="209"/>
      <c r="B18" s="239" t="s">
        <v>339</v>
      </c>
      <c r="C18" s="239"/>
      <c r="D18" s="235"/>
      <c r="E18" s="229" t="n">
        <f aca="false">SUM(E10:E17)</f>
        <v>111693.415</v>
      </c>
      <c r="F18" s="212"/>
      <c r="G18" s="216"/>
      <c r="M18" s="222"/>
    </row>
    <row r="19" customFormat="false" ht="12.75" hidden="false" customHeight="false" outlineLevel="0" collapsed="false">
      <c r="A19" s="209"/>
      <c r="B19" s="240"/>
      <c r="C19" s="240"/>
      <c r="D19" s="235"/>
      <c r="E19" s="236"/>
      <c r="F19" s="212"/>
      <c r="G19" s="216"/>
    </row>
    <row r="20" customFormat="false" ht="12.75" hidden="false" customHeight="false" outlineLevel="0" collapsed="false">
      <c r="A20" s="209"/>
      <c r="B20" s="240"/>
      <c r="C20" s="240"/>
      <c r="D20" s="235"/>
      <c r="E20" s="236"/>
      <c r="F20" s="212"/>
      <c r="G20" s="216"/>
    </row>
    <row r="21" customFormat="false" ht="18" hidden="false" customHeight="true" outlineLevel="0" collapsed="false">
      <c r="A21" s="209"/>
      <c r="B21" s="226" t="s">
        <v>340</v>
      </c>
      <c r="C21" s="241"/>
      <c r="D21" s="242" t="s">
        <v>341</v>
      </c>
      <c r="E21" s="242"/>
      <c r="F21" s="242"/>
      <c r="G21" s="209"/>
    </row>
    <row r="22" customFormat="false" ht="12.75" hidden="false" customHeight="true" outlineLevel="0" collapsed="false">
      <c r="A22" s="209"/>
      <c r="B22" s="218"/>
      <c r="C22" s="218"/>
      <c r="D22" s="235"/>
      <c r="E22" s="236"/>
      <c r="F22" s="212"/>
      <c r="G22" s="232"/>
    </row>
    <row r="23" s="247" customFormat="true" ht="12.75" hidden="false" customHeight="true" outlineLevel="0" collapsed="false">
      <c r="A23" s="243"/>
      <c r="B23" s="218"/>
      <c r="C23" s="218"/>
      <c r="D23" s="244" t="s">
        <v>342</v>
      </c>
      <c r="E23" s="245" t="s">
        <v>343</v>
      </c>
      <c r="F23" s="246"/>
      <c r="G23" s="216"/>
    </row>
    <row r="24" s="247" customFormat="true" ht="12.75" hidden="false" customHeight="false" outlineLevel="0" collapsed="false">
      <c r="A24" s="243"/>
      <c r="B24" s="218"/>
      <c r="C24" s="218"/>
      <c r="D24" s="244"/>
      <c r="E24" s="244"/>
      <c r="F24" s="246"/>
      <c r="G24" s="216"/>
    </row>
    <row r="25" customFormat="false" ht="12.75" hidden="false" customHeight="false" outlineLevel="0" collapsed="false">
      <c r="A25" s="209"/>
      <c r="B25" s="218" t="s">
        <v>344</v>
      </c>
      <c r="C25" s="248" t="str">
        <f aca="false">Admin!B24</f>
        <v>2027-28</v>
      </c>
      <c r="D25" s="249" t="s">
        <v>345</v>
      </c>
      <c r="E25" s="238" t="n">
        <f aca="false">E18</f>
        <v>111693.415</v>
      </c>
      <c r="F25" s="212"/>
      <c r="G25" s="216"/>
    </row>
    <row r="26" customFormat="false" ht="12.75" hidden="false" customHeight="false" outlineLevel="0" collapsed="false">
      <c r="A26" s="209"/>
      <c r="B26" s="218" t="s">
        <v>346</v>
      </c>
      <c r="C26" s="218"/>
      <c r="D26" s="250" t="n">
        <f aca="false">Admin!B21</f>
        <v>46783</v>
      </c>
      <c r="E26" s="221" t="n">
        <f aca="false">E25/2</f>
        <v>55846.7074999999</v>
      </c>
      <c r="F26" s="212"/>
      <c r="G26" s="216"/>
    </row>
    <row r="27" customFormat="false" ht="12.75" hidden="false" customHeight="false" outlineLevel="0" collapsed="false">
      <c r="A27" s="209"/>
      <c r="B27" s="218" t="s">
        <v>346</v>
      </c>
      <c r="C27" s="218"/>
      <c r="D27" s="250" t="n">
        <f aca="false">Admin!B22</f>
        <v>46965</v>
      </c>
      <c r="E27" s="221" t="n">
        <f aca="false">E25/2</f>
        <v>55846.7074999999</v>
      </c>
      <c r="F27" s="212"/>
      <c r="G27" s="216"/>
    </row>
    <row r="28" customFormat="false" ht="12.75" hidden="false" customHeight="false" outlineLevel="0" collapsed="false">
      <c r="A28" s="209"/>
      <c r="B28" s="209"/>
      <c r="C28" s="209"/>
      <c r="D28" s="235"/>
      <c r="E28" s="211"/>
      <c r="F28" s="212"/>
      <c r="G28" s="216"/>
    </row>
    <row r="29" customFormat="false" ht="12.75" hidden="false" customHeight="false" outlineLevel="0" collapsed="false">
      <c r="A29" s="209"/>
      <c r="B29" s="251" t="s">
        <v>347</v>
      </c>
      <c r="C29" s="252"/>
      <c r="D29" s="235"/>
      <c r="E29" s="211"/>
      <c r="F29" s="212"/>
      <c r="G29" s="216"/>
    </row>
    <row r="30" customFormat="false" ht="12.75" hidden="false" customHeight="false" outlineLevel="0" collapsed="false">
      <c r="A30" s="209"/>
      <c r="B30" s="253" t="s">
        <v>348</v>
      </c>
      <c r="C30" s="253"/>
      <c r="D30" s="209"/>
      <c r="E30" s="254"/>
      <c r="F30" s="212"/>
      <c r="G30" s="255"/>
    </row>
    <row r="31" customFormat="false" ht="12.75" hidden="false" customHeight="false" outlineLevel="0" collapsed="false">
      <c r="A31" s="209"/>
      <c r="B31" s="256" t="s">
        <v>349</v>
      </c>
      <c r="C31" s="256"/>
      <c r="D31" s="257"/>
      <c r="E31" s="254"/>
      <c r="F31" s="212"/>
      <c r="G31" s="255"/>
    </row>
    <row r="32" customFormat="false" ht="12.75" hidden="false" customHeight="false" outlineLevel="0" collapsed="false">
      <c r="A32" s="209"/>
      <c r="B32" s="258" t="s">
        <v>350</v>
      </c>
      <c r="C32" s="256"/>
      <c r="D32" s="257"/>
      <c r="E32" s="254"/>
      <c r="F32" s="212"/>
      <c r="G32" s="255"/>
    </row>
    <row r="33" customFormat="false" ht="12.75" hidden="false" customHeight="false" outlineLevel="0" collapsed="false">
      <c r="A33" s="209"/>
      <c r="B33" s="252" t="s">
        <v>351</v>
      </c>
      <c r="C33" s="252"/>
      <c r="D33" s="257"/>
      <c r="E33" s="259"/>
      <c r="F33" s="212"/>
      <c r="G33" s="255"/>
    </row>
    <row r="34" customFormat="false" ht="12.75" hidden="false" customHeight="false" outlineLevel="0" collapsed="false">
      <c r="A34" s="209"/>
      <c r="B34" s="252" t="s">
        <v>352</v>
      </c>
      <c r="C34" s="252"/>
      <c r="D34" s="257"/>
      <c r="E34" s="259"/>
      <c r="F34" s="212"/>
      <c r="G34" s="255"/>
    </row>
    <row r="35" customFormat="false" ht="12.75" hidden="false" customHeight="false" outlineLevel="0" collapsed="false">
      <c r="A35" s="209"/>
      <c r="B35" s="252" t="s">
        <v>353</v>
      </c>
      <c r="C35" s="252"/>
      <c r="D35" s="257"/>
      <c r="E35" s="259"/>
      <c r="F35" s="212"/>
      <c r="G35" s="255"/>
    </row>
    <row r="36" customFormat="false" ht="12.75" hidden="false" customHeight="false" outlineLevel="0" collapsed="false">
      <c r="A36" s="209"/>
      <c r="B36" s="209"/>
      <c r="C36" s="209"/>
      <c r="D36" s="257"/>
      <c r="E36" s="259"/>
      <c r="F36" s="212"/>
      <c r="G36" s="255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2" width="1.66"/>
    <col collapsed="false" customWidth="false" hidden="false" outlineLevel="0" max="2" min="2" style="260" width="9.15"/>
    <col collapsed="false" customWidth="true" hidden="false" outlineLevel="0" max="9" min="3" style="261" width="10.66"/>
    <col collapsed="false" customWidth="true" hidden="false" outlineLevel="0" max="10" min="10" style="152" width="1.66"/>
    <col collapsed="false" customWidth="true" hidden="false" outlineLevel="0" max="11" min="11" style="152" width="36.82"/>
    <col collapsed="false" customWidth="true" hidden="false" outlineLevel="0" max="12" min="12" style="152" width="1.66"/>
    <col collapsed="false" customWidth="false" hidden="false" outlineLevel="0" max="257" min="13" style="152" width="9.15"/>
  </cols>
  <sheetData>
    <row r="1" customFormat="false" ht="7.5" hidden="false" customHeight="true" outlineLevel="0" collapsed="false">
      <c r="A1" s="262"/>
      <c r="B1" s="263"/>
      <c r="C1" s="264"/>
      <c r="D1" s="264"/>
      <c r="E1" s="264"/>
      <c r="F1" s="264"/>
      <c r="G1" s="264"/>
      <c r="H1" s="264"/>
      <c r="I1" s="264"/>
      <c r="J1" s="155"/>
      <c r="K1" s="155"/>
      <c r="L1" s="157"/>
    </row>
    <row r="2" s="270" customFormat="true" ht="43.25" hidden="false" customHeight="false" outlineLevel="0" collapsed="false">
      <c r="A2" s="265"/>
      <c r="B2" s="266" t="s">
        <v>354</v>
      </c>
      <c r="C2" s="267" t="s">
        <v>355</v>
      </c>
      <c r="D2" s="267" t="s">
        <v>356</v>
      </c>
      <c r="E2" s="267" t="s">
        <v>357</v>
      </c>
      <c r="F2" s="267" t="s">
        <v>358</v>
      </c>
      <c r="G2" s="267" t="s">
        <v>359</v>
      </c>
      <c r="H2" s="267" t="s">
        <v>360</v>
      </c>
      <c r="I2" s="267" t="s">
        <v>361</v>
      </c>
      <c r="J2" s="268"/>
      <c r="K2" s="266" t="s">
        <v>362</v>
      </c>
      <c r="L2" s="269"/>
    </row>
    <row r="3" s="270" customFormat="true" ht="15" hidden="false" customHeight="true" outlineLevel="0" collapsed="false">
      <c r="A3" s="265"/>
      <c r="B3" s="271" t="s">
        <v>363</v>
      </c>
      <c r="C3" s="271"/>
      <c r="D3" s="272"/>
      <c r="E3" s="272"/>
      <c r="F3" s="272"/>
      <c r="G3" s="272"/>
      <c r="H3" s="272"/>
      <c r="I3" s="272"/>
      <c r="J3" s="268"/>
      <c r="K3" s="273"/>
      <c r="L3" s="269"/>
    </row>
    <row r="4" customFormat="false" ht="12" hidden="false" customHeight="true" outlineLevel="0" collapsed="false">
      <c r="A4" s="274"/>
      <c r="B4" s="275" t="n">
        <f aca="false">Admin!B5</f>
        <v>46142</v>
      </c>
      <c r="C4" s="261" t="n">
        <f aca="false">[6]Apr!$M$1</f>
        <v>0</v>
      </c>
      <c r="D4" s="261" t="n">
        <f aca="false">[6]Apr!$N$1</f>
        <v>0</v>
      </c>
      <c r="E4" s="261" t="n">
        <f aca="false">[6]Apr!$O$1</f>
        <v>0</v>
      </c>
      <c r="F4" s="261" t="n">
        <f aca="false">[6]Apr!$P$1+[6]Apr!$Q$1</f>
        <v>0</v>
      </c>
      <c r="G4" s="261" t="n">
        <f aca="false">C4-SUM(D4:F4)</f>
        <v>0</v>
      </c>
      <c r="H4" s="261" t="n">
        <f aca="false">[6]Apr!$T$1</f>
        <v>0</v>
      </c>
      <c r="I4" s="261" t="n">
        <f aca="false">[6]Apr!$G$1</f>
        <v>0</v>
      </c>
      <c r="J4" s="156"/>
      <c r="K4" s="276" t="s">
        <v>364</v>
      </c>
      <c r="L4" s="162"/>
    </row>
    <row r="5" customFormat="false" ht="12" hidden="false" customHeight="true" outlineLevel="0" collapsed="false">
      <c r="A5" s="274"/>
      <c r="B5" s="275" t="n">
        <f aca="false">Admin!B6</f>
        <v>46173</v>
      </c>
      <c r="C5" s="261" t="n">
        <f aca="false">[6]May!$M$1</f>
        <v>0</v>
      </c>
      <c r="D5" s="261" t="n">
        <f aca="false">[6]May!$N$1</f>
        <v>0</v>
      </c>
      <c r="E5" s="261" t="n">
        <f aca="false">[6]May!$O$1</f>
        <v>0</v>
      </c>
      <c r="F5" s="261" t="n">
        <f aca="false">[6]May!$P$1+[6]May!$Q$1</f>
        <v>0</v>
      </c>
      <c r="G5" s="261" t="n">
        <f aca="false">C5-SUM(D5:F5)</f>
        <v>0</v>
      </c>
      <c r="H5" s="261" t="n">
        <f aca="false">[6]May!$T$1</f>
        <v>0</v>
      </c>
      <c r="I5" s="261" t="n">
        <f aca="false">[6]May!$G$1</f>
        <v>0</v>
      </c>
      <c r="J5" s="156"/>
      <c r="K5" s="276"/>
      <c r="L5" s="162"/>
    </row>
    <row r="6" customFormat="false" ht="12" hidden="false" customHeight="false" outlineLevel="0" collapsed="false">
      <c r="A6" s="274"/>
      <c r="B6" s="275" t="n">
        <f aca="false">Admin!B7</f>
        <v>46203</v>
      </c>
      <c r="C6" s="261" t="n">
        <f aca="false">[6]Jun!$M$1</f>
        <v>0</v>
      </c>
      <c r="D6" s="261" t="n">
        <f aca="false">[6]Jun!$N$1</f>
        <v>0</v>
      </c>
      <c r="E6" s="261" t="n">
        <f aca="false">[6]Jun!$O$1</f>
        <v>0</v>
      </c>
      <c r="F6" s="261" t="n">
        <f aca="false">[6]Jun!$P$1+[6]Jun!$Q$1</f>
        <v>0</v>
      </c>
      <c r="G6" s="261" t="n">
        <f aca="false">C6-SUM(D6:F6)</f>
        <v>0</v>
      </c>
      <c r="H6" s="261" t="n">
        <f aca="false">[6]Jun!$T$1</f>
        <v>0</v>
      </c>
      <c r="I6" s="261" t="n">
        <f aca="false">[6]Jun!$G$1</f>
        <v>0</v>
      </c>
      <c r="J6" s="156"/>
      <c r="K6" s="276"/>
      <c r="L6" s="162"/>
    </row>
    <row r="7" customFormat="false" ht="12" hidden="false" customHeight="false" outlineLevel="0" collapsed="false">
      <c r="A7" s="274"/>
      <c r="B7" s="275" t="n">
        <f aca="false">Admin!B8</f>
        <v>46234</v>
      </c>
      <c r="C7" s="261" t="n">
        <f aca="false">[6]Jul!$M$1</f>
        <v>0</v>
      </c>
      <c r="D7" s="261" t="n">
        <f aca="false">[6]Jul!$N$1</f>
        <v>0</v>
      </c>
      <c r="E7" s="261" t="n">
        <f aca="false">[6]Jul!$O$1</f>
        <v>0</v>
      </c>
      <c r="F7" s="261" t="n">
        <f aca="false">[6]Jul!$P$1+[6]Jul!$Q$1</f>
        <v>0</v>
      </c>
      <c r="G7" s="261" t="n">
        <f aca="false">C7-SUM(D7:F7)</f>
        <v>0</v>
      </c>
      <c r="H7" s="261" t="n">
        <f aca="false">[6]Jul!$T$1</f>
        <v>0</v>
      </c>
      <c r="I7" s="261" t="n">
        <f aca="false">[6]Jul!$G$1</f>
        <v>0</v>
      </c>
      <c r="J7" s="156"/>
      <c r="K7" s="276"/>
      <c r="L7" s="162"/>
    </row>
    <row r="8" customFormat="false" ht="12" hidden="false" customHeight="true" outlineLevel="0" collapsed="false">
      <c r="A8" s="274"/>
      <c r="B8" s="275" t="n">
        <f aca="false">Admin!B9</f>
        <v>46265</v>
      </c>
      <c r="C8" s="261" t="n">
        <f aca="false">[6]Aug!$M$1</f>
        <v>0</v>
      </c>
      <c r="D8" s="261" t="n">
        <f aca="false">[6]Aug!$N$1</f>
        <v>0</v>
      </c>
      <c r="E8" s="261" t="n">
        <f aca="false">[6]Aug!$O$1</f>
        <v>0</v>
      </c>
      <c r="F8" s="261" t="n">
        <f aca="false">[6]Aug!$P$1+[6]Aug!$Q$1</f>
        <v>0</v>
      </c>
      <c r="G8" s="261" t="n">
        <f aca="false">C8-SUM(D8:F8)</f>
        <v>0</v>
      </c>
      <c r="H8" s="261" t="n">
        <f aca="false">[6]Aug!$T$1</f>
        <v>0</v>
      </c>
      <c r="I8" s="261" t="n">
        <f aca="false">[6]Aug!$G$1</f>
        <v>0</v>
      </c>
      <c r="J8" s="156"/>
      <c r="K8" s="276" t="s">
        <v>365</v>
      </c>
      <c r="L8" s="162"/>
    </row>
    <row r="9" customFormat="false" ht="12" hidden="false" customHeight="true" outlineLevel="0" collapsed="false">
      <c r="A9" s="274"/>
      <c r="B9" s="275" t="n">
        <f aca="false">Admin!B10</f>
        <v>46295</v>
      </c>
      <c r="C9" s="261" t="n">
        <f aca="false">[6]Sep!$M$1</f>
        <v>0</v>
      </c>
      <c r="D9" s="261" t="n">
        <f aca="false">[6]Sep!$N$1</f>
        <v>0</v>
      </c>
      <c r="E9" s="261" t="n">
        <f aca="false">[6]Sep!$O$1</f>
        <v>0</v>
      </c>
      <c r="F9" s="261" t="n">
        <f aca="false">[6]Sep!$P$1+[6]Sep!$Q$1</f>
        <v>0</v>
      </c>
      <c r="G9" s="261" t="n">
        <f aca="false">C9-SUM(D9:F9)</f>
        <v>0</v>
      </c>
      <c r="H9" s="261" t="n">
        <f aca="false">[6]Sep!$T$1</f>
        <v>0</v>
      </c>
      <c r="I9" s="261" t="n">
        <f aca="false">[6]Sep!$G$1</f>
        <v>0</v>
      </c>
      <c r="J9" s="156"/>
      <c r="K9" s="276"/>
      <c r="L9" s="162"/>
    </row>
    <row r="10" customFormat="false" ht="12" hidden="false" customHeight="true" outlineLevel="0" collapsed="false">
      <c r="A10" s="274"/>
      <c r="B10" s="275" t="n">
        <f aca="false">Admin!B11</f>
        <v>46326</v>
      </c>
      <c r="C10" s="261" t="n">
        <f aca="false">[6]Oct!$M$1</f>
        <v>0</v>
      </c>
      <c r="D10" s="261" t="n">
        <f aca="false">[6]Oct!$N$1</f>
        <v>0</v>
      </c>
      <c r="E10" s="261" t="n">
        <f aca="false">[6]Oct!$O$1</f>
        <v>0</v>
      </c>
      <c r="F10" s="261" t="n">
        <f aca="false">[6]Oct!$P$1+[6]Oct!$Q$1</f>
        <v>0</v>
      </c>
      <c r="G10" s="261" t="n">
        <f aca="false">C10-SUM(D10:F10)</f>
        <v>0</v>
      </c>
      <c r="H10" s="261" t="n">
        <f aca="false">[6]Oct!$T$1</f>
        <v>0</v>
      </c>
      <c r="I10" s="261" t="n">
        <f aca="false">[6]Oct!$G$1</f>
        <v>0</v>
      </c>
      <c r="J10" s="156"/>
      <c r="K10" s="276"/>
      <c r="L10" s="162"/>
    </row>
    <row r="11" customFormat="false" ht="12" hidden="false" customHeight="true" outlineLevel="0" collapsed="false">
      <c r="A11" s="274"/>
      <c r="B11" s="275" t="n">
        <f aca="false">Admin!B12</f>
        <v>46356</v>
      </c>
      <c r="C11" s="261" t="n">
        <f aca="false">[6]Nov!$M$1</f>
        <v>0</v>
      </c>
      <c r="D11" s="261" t="n">
        <f aca="false">[6]Nov!$N$1</f>
        <v>0</v>
      </c>
      <c r="E11" s="261" t="n">
        <f aca="false">[6]Nov!$O$1</f>
        <v>0</v>
      </c>
      <c r="F11" s="261" t="n">
        <f aca="false">[6]Nov!$P$1+[6]Nov!$Q$1</f>
        <v>0</v>
      </c>
      <c r="G11" s="261" t="n">
        <f aca="false">C11-SUM(D11:F11)</f>
        <v>0</v>
      </c>
      <c r="H11" s="261" t="n">
        <f aca="false">[6]Nov!$T$1</f>
        <v>0</v>
      </c>
      <c r="I11" s="261" t="n">
        <f aca="false">[6]Nov!$G$1</f>
        <v>0</v>
      </c>
      <c r="J11" s="156"/>
      <c r="K11" s="276"/>
      <c r="L11" s="162"/>
    </row>
    <row r="12" customFormat="false" ht="12" hidden="false" customHeight="true" outlineLevel="0" collapsed="false">
      <c r="A12" s="274"/>
      <c r="B12" s="275" t="n">
        <f aca="false">Admin!B13</f>
        <v>46387</v>
      </c>
      <c r="C12" s="261" t="n">
        <f aca="false">[6]Dec!$M$1</f>
        <v>0</v>
      </c>
      <c r="D12" s="261" t="n">
        <f aca="false">[6]Dec!$N$1</f>
        <v>0</v>
      </c>
      <c r="E12" s="261" t="n">
        <f aca="false">[6]Dec!$O$1</f>
        <v>0</v>
      </c>
      <c r="F12" s="261" t="n">
        <f aca="false">[6]Dec!$P$1+[6]Dec!$Q$1</f>
        <v>0</v>
      </c>
      <c r="G12" s="261" t="n">
        <f aca="false">C12-SUM(D12:F12)</f>
        <v>0</v>
      </c>
      <c r="H12" s="261" t="n">
        <f aca="false">[6]Dec!$T$1</f>
        <v>0</v>
      </c>
      <c r="I12" s="261" t="n">
        <f aca="false">[6]Dec!$G$1</f>
        <v>0</v>
      </c>
      <c r="J12" s="156"/>
      <c r="K12" s="276"/>
      <c r="L12" s="162"/>
    </row>
    <row r="13" customFormat="false" ht="12" hidden="false" customHeight="false" outlineLevel="0" collapsed="false">
      <c r="A13" s="274"/>
      <c r="B13" s="275" t="n">
        <f aca="false">Admin!B14</f>
        <v>46418</v>
      </c>
      <c r="C13" s="261" t="n">
        <f aca="false">[6]Jan!$M$1</f>
        <v>0</v>
      </c>
      <c r="D13" s="261" t="n">
        <f aca="false">[6]Jan!$N$1</f>
        <v>0</v>
      </c>
      <c r="E13" s="261" t="n">
        <f aca="false">[6]Jan!$O$1</f>
        <v>0</v>
      </c>
      <c r="F13" s="261" t="n">
        <f aca="false">[6]Jan!$P$1+[6]Jan!$Q$1</f>
        <v>0</v>
      </c>
      <c r="G13" s="261" t="n">
        <f aca="false">C13-SUM(D13:F13)</f>
        <v>0</v>
      </c>
      <c r="H13" s="261" t="n">
        <f aca="false">[6]Jan!$T$1</f>
        <v>0</v>
      </c>
      <c r="I13" s="261" t="n">
        <f aca="false">[6]Jan!$G$1</f>
        <v>0</v>
      </c>
      <c r="J13" s="156"/>
      <c r="K13" s="276"/>
      <c r="L13" s="162"/>
    </row>
    <row r="14" customFormat="false" ht="12" hidden="false" customHeight="false" outlineLevel="0" collapsed="false">
      <c r="A14" s="274"/>
      <c r="B14" s="275" t="n">
        <f aca="false">Admin!B15</f>
        <v>46446</v>
      </c>
      <c r="C14" s="261" t="n">
        <f aca="false">[6]Feb!$M$1</f>
        <v>0</v>
      </c>
      <c r="D14" s="261" t="n">
        <f aca="false">[6]Feb!$N$1</f>
        <v>0</v>
      </c>
      <c r="E14" s="261" t="n">
        <f aca="false">[6]Feb!$O$1</f>
        <v>0</v>
      </c>
      <c r="F14" s="261" t="n">
        <f aca="false">[6]Feb!$P$1+[6]Feb!$Q$1</f>
        <v>0</v>
      </c>
      <c r="G14" s="261" t="n">
        <f aca="false">C14-SUM(D14:F14)</f>
        <v>0</v>
      </c>
      <c r="H14" s="261" t="n">
        <f aca="false">[6]Feb!$T$1</f>
        <v>0</v>
      </c>
      <c r="I14" s="261" t="n">
        <f aca="false">[6]Feb!$G$1</f>
        <v>0</v>
      </c>
      <c r="J14" s="156"/>
      <c r="K14" s="276"/>
      <c r="L14" s="162"/>
    </row>
    <row r="15" customFormat="false" ht="12" hidden="false" customHeight="false" outlineLevel="0" collapsed="false">
      <c r="A15" s="274"/>
      <c r="B15" s="275" t="n">
        <f aca="false">Admin!B16</f>
        <v>46477</v>
      </c>
      <c r="C15" s="261" t="n">
        <f aca="false">[6]Mar!$M$1</f>
        <v>0</v>
      </c>
      <c r="D15" s="261" t="n">
        <f aca="false">[6]Mar!$N$1</f>
        <v>0</v>
      </c>
      <c r="E15" s="261" t="n">
        <f aca="false">[6]Mar!$O$1</f>
        <v>0</v>
      </c>
      <c r="F15" s="261" t="n">
        <f aca="false">[6]Mar!$P$1+[6]Mar!$Q$1</f>
        <v>0</v>
      </c>
      <c r="G15" s="261" t="n">
        <f aca="false">C15-SUM(D15:F15)</f>
        <v>0</v>
      </c>
      <c r="H15" s="261" t="n">
        <f aca="false">[6]Mar!$T$1</f>
        <v>0</v>
      </c>
      <c r="I15" s="261" t="n">
        <f aca="false">[6]Mar!$G$1</f>
        <v>0</v>
      </c>
      <c r="J15" s="156"/>
      <c r="K15" s="156"/>
      <c r="L15" s="162"/>
    </row>
    <row r="16" customFormat="false" ht="12" hidden="false" customHeight="false" outlineLevel="0" collapsed="false">
      <c r="A16" s="277"/>
      <c r="B16" s="278"/>
      <c r="C16" s="279"/>
      <c r="D16" s="279"/>
      <c r="E16" s="279"/>
      <c r="F16" s="279"/>
      <c r="G16" s="279"/>
      <c r="H16" s="279"/>
      <c r="I16" s="279"/>
      <c r="J16" s="191"/>
      <c r="K16" s="191"/>
      <c r="L16" s="184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2" width="1.5"/>
    <col collapsed="false" customWidth="true" hidden="false" outlineLevel="0" max="2" min="2" style="280" width="10.66"/>
    <col collapsed="false" customWidth="true" hidden="false" outlineLevel="0" max="3" min="3" style="280" width="0.82"/>
    <col collapsed="false" customWidth="true" hidden="false" outlineLevel="0" max="4" min="4" style="169" width="8.66"/>
    <col collapsed="false" customWidth="true" hidden="false" outlineLevel="0" max="5" min="5" style="169" width="0.82"/>
    <col collapsed="false" customWidth="true" hidden="false" outlineLevel="0" max="6" min="6" style="169" width="8.66"/>
    <col collapsed="false" customWidth="true" hidden="false" outlineLevel="0" max="7" min="7" style="169" width="0.82"/>
    <col collapsed="false" customWidth="true" hidden="false" outlineLevel="0" max="8" min="8" style="281" width="7.66"/>
    <col collapsed="false" customWidth="true" hidden="false" outlineLevel="0" max="9" min="9" style="169" width="0.82"/>
    <col collapsed="false" customWidth="true" hidden="false" outlineLevel="0" max="10" min="10" style="169" width="7.99"/>
    <col collapsed="false" customWidth="true" hidden="false" outlineLevel="0" max="11" min="11" style="169" width="0.82"/>
    <col collapsed="false" customWidth="true" hidden="false" outlineLevel="0" max="12" min="12" style="169" width="7.66"/>
    <col collapsed="false" customWidth="true" hidden="false" outlineLevel="0" max="13" min="13" style="169" width="0.82"/>
    <col collapsed="false" customWidth="true" hidden="false" outlineLevel="0" max="14" min="14" style="282" width="7.66"/>
    <col collapsed="false" customWidth="true" hidden="false" outlineLevel="0" max="15" min="15" style="169" width="0.82"/>
    <col collapsed="false" customWidth="true" hidden="false" outlineLevel="0" max="16" min="16" style="169" width="7.99"/>
    <col collapsed="false" customWidth="true" hidden="false" outlineLevel="0" max="17" min="17" style="169" width="0.82"/>
    <col collapsed="false" customWidth="true" hidden="false" outlineLevel="0" max="18" min="18" style="170" width="7.66"/>
    <col collapsed="false" customWidth="true" hidden="false" outlineLevel="0" max="19" min="19" style="169" width="0.82"/>
    <col collapsed="false" customWidth="true" hidden="false" outlineLevel="0" max="20" min="20" style="282" width="7.66"/>
    <col collapsed="false" customWidth="true" hidden="false" outlineLevel="0" max="21" min="21" style="169" width="0.82"/>
    <col collapsed="false" customWidth="true" hidden="false" outlineLevel="0" max="22" min="22" style="169" width="7.99"/>
    <col collapsed="false" customWidth="true" hidden="false" outlineLevel="0" max="23" min="23" style="169" width="0.82"/>
    <col collapsed="false" customWidth="true" hidden="false" outlineLevel="0" max="24" min="24" style="170" width="7.66"/>
    <col collapsed="false" customWidth="true" hidden="false" outlineLevel="0" max="25" min="25" style="169" width="0.82"/>
    <col collapsed="false" customWidth="true" hidden="false" outlineLevel="0" max="26" min="26" style="169" width="8.99"/>
    <col collapsed="false" customWidth="true" hidden="false" outlineLevel="0" max="27" min="27" style="169" width="0.82"/>
    <col collapsed="false" customWidth="true" hidden="false" outlineLevel="0" max="28" min="28" style="169" width="10.66"/>
    <col collapsed="false" customWidth="true" hidden="false" outlineLevel="0" max="29" min="29" style="152" width="1.66"/>
    <col collapsed="false" customWidth="true" hidden="false" outlineLevel="0" max="33" min="30" style="283" width="9.66"/>
    <col collapsed="false" customWidth="true" hidden="false" outlineLevel="0" max="34" min="34" style="152" width="2.66"/>
    <col collapsed="false" customWidth="false" hidden="false" outlineLevel="0" max="257" min="35" style="152" width="9.15"/>
  </cols>
  <sheetData>
    <row r="1" customFormat="false" ht="12" hidden="false" customHeight="true" outlineLevel="0" collapsed="false">
      <c r="A1" s="262"/>
      <c r="B1" s="284"/>
      <c r="C1" s="284"/>
      <c r="D1" s="285"/>
      <c r="E1" s="285"/>
      <c r="F1" s="285"/>
      <c r="G1" s="285"/>
      <c r="H1" s="286" t="s">
        <v>366</v>
      </c>
      <c r="I1" s="286"/>
      <c r="J1" s="286"/>
      <c r="K1" s="286"/>
      <c r="L1" s="286"/>
      <c r="M1" s="285"/>
      <c r="N1" s="286" t="s">
        <v>366</v>
      </c>
      <c r="O1" s="286"/>
      <c r="P1" s="286"/>
      <c r="Q1" s="286"/>
      <c r="R1" s="286"/>
      <c r="S1" s="285"/>
      <c r="T1" s="286" t="s">
        <v>366</v>
      </c>
      <c r="U1" s="286"/>
      <c r="V1" s="286"/>
      <c r="W1" s="286"/>
      <c r="X1" s="286"/>
      <c r="Y1" s="287"/>
      <c r="Z1" s="285"/>
      <c r="AA1" s="285"/>
      <c r="AB1" s="285"/>
      <c r="AC1" s="157"/>
      <c r="AD1" s="288"/>
      <c r="AE1" s="289"/>
      <c r="AF1" s="289"/>
      <c r="AG1" s="289"/>
      <c r="AH1" s="157"/>
    </row>
    <row r="2" s="300" customFormat="true" ht="32.8" hidden="false" customHeight="true" outlineLevel="0" collapsed="false">
      <c r="A2" s="290"/>
      <c r="B2" s="291" t="s">
        <v>367</v>
      </c>
      <c r="C2" s="292"/>
      <c r="D2" s="293" t="s">
        <v>368</v>
      </c>
      <c r="E2" s="294"/>
      <c r="F2" s="293" t="s">
        <v>369</v>
      </c>
      <c r="G2" s="294"/>
      <c r="H2" s="295" t="s">
        <v>370</v>
      </c>
      <c r="I2" s="294"/>
      <c r="J2" s="293" t="s">
        <v>371</v>
      </c>
      <c r="K2" s="294"/>
      <c r="L2" s="293" t="s">
        <v>372</v>
      </c>
      <c r="M2" s="294"/>
      <c r="N2" s="295" t="s">
        <v>373</v>
      </c>
      <c r="O2" s="294"/>
      <c r="P2" s="293" t="s">
        <v>374</v>
      </c>
      <c r="Q2" s="294"/>
      <c r="R2" s="293" t="s">
        <v>372</v>
      </c>
      <c r="S2" s="294"/>
      <c r="T2" s="295" t="s">
        <v>375</v>
      </c>
      <c r="U2" s="294"/>
      <c r="V2" s="293" t="s">
        <v>376</v>
      </c>
      <c r="W2" s="294"/>
      <c r="X2" s="296" t="s">
        <v>372</v>
      </c>
      <c r="Y2" s="297"/>
      <c r="Z2" s="293" t="s">
        <v>377</v>
      </c>
      <c r="AA2" s="294"/>
      <c r="AB2" s="293" t="s">
        <v>378</v>
      </c>
      <c r="AC2" s="298"/>
      <c r="AD2" s="299" t="s">
        <v>379</v>
      </c>
      <c r="AE2" s="299"/>
      <c r="AF2" s="299"/>
      <c r="AG2" s="299"/>
      <c r="AH2" s="298"/>
    </row>
    <row r="3" customFormat="false" ht="12" hidden="false" customHeight="true" outlineLevel="0" collapsed="false">
      <c r="A3" s="274"/>
      <c r="B3" s="301"/>
      <c r="C3" s="301"/>
      <c r="D3" s="302"/>
      <c r="E3" s="302"/>
      <c r="F3" s="303"/>
      <c r="G3" s="303"/>
      <c r="H3" s="304"/>
      <c r="I3" s="303"/>
      <c r="J3" s="303"/>
      <c r="K3" s="303"/>
      <c r="L3" s="305"/>
      <c r="M3" s="303"/>
      <c r="N3" s="304"/>
      <c r="O3" s="303"/>
      <c r="P3" s="303"/>
      <c r="Q3" s="303"/>
      <c r="R3" s="305"/>
      <c r="S3" s="303"/>
      <c r="T3" s="304"/>
      <c r="U3" s="303"/>
      <c r="V3" s="303"/>
      <c r="W3" s="303"/>
      <c r="X3" s="303"/>
      <c r="Y3" s="306"/>
      <c r="Z3" s="303"/>
      <c r="AA3" s="303"/>
      <c r="AB3" s="303"/>
      <c r="AC3" s="162"/>
      <c r="AD3" s="307" t="s">
        <v>380</v>
      </c>
      <c r="AE3" s="307"/>
      <c r="AF3" s="307"/>
      <c r="AG3" s="307"/>
      <c r="AH3" s="162"/>
    </row>
    <row r="4" customFormat="false" ht="12" hidden="false" customHeight="true" outlineLevel="0" collapsed="false">
      <c r="A4" s="274"/>
      <c r="B4" s="308" t="s">
        <v>381</v>
      </c>
      <c r="C4" s="308"/>
      <c r="D4" s="308"/>
      <c r="E4" s="308"/>
      <c r="F4" s="308"/>
      <c r="G4" s="303"/>
      <c r="H4" s="309" t="n">
        <v>0</v>
      </c>
      <c r="I4" s="303"/>
      <c r="J4" s="303"/>
      <c r="K4" s="303"/>
      <c r="L4" s="305"/>
      <c r="M4" s="303"/>
      <c r="N4" s="309" t="n">
        <v>0</v>
      </c>
      <c r="O4" s="303"/>
      <c r="P4" s="303"/>
      <c r="Q4" s="303"/>
      <c r="R4" s="305"/>
      <c r="S4" s="303"/>
      <c r="T4" s="309" t="n">
        <v>0</v>
      </c>
      <c r="U4" s="303"/>
      <c r="V4" s="303"/>
      <c r="W4" s="303"/>
      <c r="X4" s="303"/>
      <c r="Y4" s="306"/>
      <c r="Z4" s="303"/>
      <c r="AA4" s="303"/>
      <c r="AB4" s="303"/>
      <c r="AC4" s="162"/>
      <c r="AD4" s="307"/>
      <c r="AE4" s="307"/>
      <c r="AF4" s="307"/>
      <c r="AG4" s="307"/>
      <c r="AH4" s="162"/>
    </row>
    <row r="5" customFormat="false" ht="12" hidden="false" customHeight="false" outlineLevel="0" collapsed="false">
      <c r="A5" s="274"/>
      <c r="B5" s="310"/>
      <c r="C5" s="310"/>
      <c r="D5" s="175"/>
      <c r="E5" s="175"/>
      <c r="F5" s="175"/>
      <c r="G5" s="175"/>
      <c r="H5" s="311"/>
      <c r="I5" s="175"/>
      <c r="J5" s="175"/>
      <c r="K5" s="175"/>
      <c r="L5" s="177"/>
      <c r="M5" s="175"/>
      <c r="N5" s="311"/>
      <c r="O5" s="175"/>
      <c r="P5" s="175"/>
      <c r="Q5" s="175"/>
      <c r="R5" s="177"/>
      <c r="S5" s="175"/>
      <c r="T5" s="311"/>
      <c r="U5" s="175"/>
      <c r="V5" s="175"/>
      <c r="W5" s="175"/>
      <c r="X5" s="175"/>
      <c r="Y5" s="312"/>
      <c r="Z5" s="175"/>
      <c r="AA5" s="175"/>
      <c r="AB5" s="175"/>
      <c r="AC5" s="162"/>
      <c r="AD5" s="307"/>
      <c r="AE5" s="307"/>
      <c r="AF5" s="307"/>
      <c r="AG5" s="307"/>
      <c r="AH5" s="162"/>
    </row>
    <row r="6" customFormat="false" ht="12" hidden="false" customHeight="false" outlineLevel="0" collapsed="false">
      <c r="A6" s="274"/>
      <c r="B6" s="313" t="n">
        <f aca="false">Admin!B4</f>
        <v>46118</v>
      </c>
      <c r="C6" s="314"/>
      <c r="D6" s="189" t="n">
        <f aca="false">AB6</f>
        <v>0</v>
      </c>
      <c r="E6" s="175"/>
      <c r="F6" s="175"/>
      <c r="G6" s="175"/>
      <c r="H6" s="311"/>
      <c r="I6" s="175"/>
      <c r="J6" s="175"/>
      <c r="K6" s="175"/>
      <c r="L6" s="177"/>
      <c r="M6" s="175"/>
      <c r="N6" s="311"/>
      <c r="O6" s="175"/>
      <c r="P6" s="175"/>
      <c r="Q6" s="175"/>
      <c r="R6" s="177"/>
      <c r="S6" s="175"/>
      <c r="T6" s="311"/>
      <c r="U6" s="175"/>
      <c r="V6" s="175"/>
      <c r="W6" s="175"/>
      <c r="X6" s="175"/>
      <c r="Y6" s="312"/>
      <c r="Z6" s="175"/>
      <c r="AA6" s="175"/>
      <c r="AB6" s="168"/>
      <c r="AC6" s="162"/>
      <c r="AD6" s="307"/>
      <c r="AE6" s="307"/>
      <c r="AF6" s="307"/>
      <c r="AG6" s="307"/>
      <c r="AH6" s="162"/>
    </row>
    <row r="7" customFormat="false" ht="12" hidden="false" customHeight="false" outlineLevel="0" collapsed="false">
      <c r="A7" s="274"/>
      <c r="B7" s="314"/>
      <c r="C7" s="314"/>
      <c r="D7" s="175"/>
      <c r="E7" s="175"/>
      <c r="F7" s="175"/>
      <c r="G7" s="175"/>
      <c r="H7" s="311"/>
      <c r="I7" s="175"/>
      <c r="J7" s="175"/>
      <c r="K7" s="175"/>
      <c r="L7" s="177"/>
      <c r="M7" s="175"/>
      <c r="N7" s="311"/>
      <c r="O7" s="175"/>
      <c r="P7" s="175"/>
      <c r="Q7" s="175"/>
      <c r="R7" s="177"/>
      <c r="S7" s="175"/>
      <c r="T7" s="311"/>
      <c r="U7" s="175"/>
      <c r="V7" s="175"/>
      <c r="W7" s="175"/>
      <c r="X7" s="175"/>
      <c r="Y7" s="312"/>
      <c r="Z7" s="175"/>
      <c r="AA7" s="175"/>
      <c r="AB7" s="175"/>
      <c r="AC7" s="162"/>
      <c r="AD7" s="307"/>
      <c r="AE7" s="307"/>
      <c r="AF7" s="307"/>
      <c r="AG7" s="307"/>
      <c r="AH7" s="162"/>
    </row>
    <row r="8" customFormat="false" ht="12" hidden="false" customHeight="false" outlineLevel="0" collapsed="false">
      <c r="A8" s="274"/>
      <c r="B8" s="313" t="n">
        <f aca="false">Admin!B5</f>
        <v>46142</v>
      </c>
      <c r="C8" s="314"/>
      <c r="D8" s="189" t="n">
        <f aca="false">D6+F8-L8-R8-X8+Z6</f>
        <v>0</v>
      </c>
      <c r="E8" s="175"/>
      <c r="F8" s="175" t="n">
        <f aca="false">IF((H$4+N$4+T$4)=0,0,[3]Apr!$P$1)</f>
        <v>0</v>
      </c>
      <c r="G8" s="175"/>
      <c r="H8" s="315" t="n">
        <f aca="false">H4</f>
        <v>0</v>
      </c>
      <c r="I8" s="175"/>
      <c r="J8" s="175" t="n">
        <f aca="false">[2]Apr!$P$1</f>
        <v>25333.3333333333</v>
      </c>
      <c r="K8" s="175"/>
      <c r="L8" s="177" t="n">
        <f aca="false">J8*H8</f>
        <v>0</v>
      </c>
      <c r="M8" s="175"/>
      <c r="N8" s="315" t="n">
        <f aca="false">N4</f>
        <v>0</v>
      </c>
      <c r="O8" s="175"/>
      <c r="P8" s="175" t="n">
        <f aca="false">[2]Apr!$Q$1</f>
        <v>1800</v>
      </c>
      <c r="Q8" s="175"/>
      <c r="R8" s="177" t="n">
        <f aca="false">P8*N8</f>
        <v>0</v>
      </c>
      <c r="S8" s="175"/>
      <c r="T8" s="315" t="n">
        <f aca="false">T4</f>
        <v>0</v>
      </c>
      <c r="U8" s="175"/>
      <c r="V8" s="175" t="n">
        <f aca="false">[2]Apr!$R$1</f>
        <v>0</v>
      </c>
      <c r="W8" s="175"/>
      <c r="X8" s="175" t="n">
        <f aca="false">V8*T8</f>
        <v>0</v>
      </c>
      <c r="Y8" s="312"/>
      <c r="Z8" s="175" t="n">
        <f aca="false">IF(AB8&lt;&gt;D8,AB8-D8,0)</f>
        <v>0</v>
      </c>
      <c r="AA8" s="175"/>
      <c r="AB8" s="168" t="n">
        <f aca="false">AB6+F8-L8-R8-X8</f>
        <v>0</v>
      </c>
      <c r="AC8" s="162"/>
      <c r="AD8" s="307"/>
      <c r="AE8" s="307"/>
      <c r="AF8" s="307"/>
      <c r="AG8" s="307"/>
      <c r="AH8" s="162"/>
    </row>
    <row r="9" customFormat="false" ht="12" hidden="false" customHeight="false" outlineLevel="0" collapsed="false">
      <c r="A9" s="274"/>
      <c r="B9" s="314"/>
      <c r="C9" s="314"/>
      <c r="D9" s="175"/>
      <c r="E9" s="175"/>
      <c r="F9" s="175"/>
      <c r="G9" s="175"/>
      <c r="H9" s="311"/>
      <c r="I9" s="175"/>
      <c r="J9" s="175"/>
      <c r="K9" s="175"/>
      <c r="L9" s="177"/>
      <c r="M9" s="175"/>
      <c r="N9" s="311"/>
      <c r="O9" s="175"/>
      <c r="P9" s="175"/>
      <c r="Q9" s="175"/>
      <c r="R9" s="177"/>
      <c r="S9" s="175"/>
      <c r="T9" s="311"/>
      <c r="U9" s="175"/>
      <c r="V9" s="175"/>
      <c r="W9" s="175"/>
      <c r="X9" s="175"/>
      <c r="Y9" s="312"/>
      <c r="Z9" s="175"/>
      <c r="AA9" s="175"/>
      <c r="AB9" s="175"/>
      <c r="AC9" s="162"/>
      <c r="AD9" s="307"/>
      <c r="AE9" s="307"/>
      <c r="AF9" s="307"/>
      <c r="AG9" s="307"/>
      <c r="AH9" s="162"/>
    </row>
    <row r="10" customFormat="false" ht="12.65" hidden="false" customHeight="false" outlineLevel="0" collapsed="false">
      <c r="A10" s="274"/>
      <c r="B10" s="313" t="n">
        <f aca="false">Admin!B6</f>
        <v>46173</v>
      </c>
      <c r="C10" s="314"/>
      <c r="D10" s="189" t="n">
        <f aca="false">D8+F10-L10-R10-X10+Z8</f>
        <v>0</v>
      </c>
      <c r="E10" s="175"/>
      <c r="F10" s="175" t="n">
        <f aca="false">IF((H$4+N$4+T$4)=0,0,[3]May!$P$1)</f>
        <v>0</v>
      </c>
      <c r="G10" s="175"/>
      <c r="H10" s="315" t="n">
        <f aca="false">H8</f>
        <v>0</v>
      </c>
      <c r="I10" s="175"/>
      <c r="J10" s="175" t="n">
        <f aca="false">[2]May!$P$1</f>
        <v>25633.3333333333</v>
      </c>
      <c r="K10" s="175"/>
      <c r="L10" s="177" t="n">
        <f aca="false">J10*H10</f>
        <v>0</v>
      </c>
      <c r="M10" s="175"/>
      <c r="N10" s="315" t="n">
        <f aca="false">N8</f>
        <v>0</v>
      </c>
      <c r="O10" s="175"/>
      <c r="P10" s="175" t="n">
        <f aca="false">[2]May!$Q$1</f>
        <v>800</v>
      </c>
      <c r="Q10" s="175"/>
      <c r="R10" s="177" t="n">
        <f aca="false">P10*N10</f>
        <v>0</v>
      </c>
      <c r="S10" s="175"/>
      <c r="T10" s="315" t="n">
        <f aca="false">T8</f>
        <v>0</v>
      </c>
      <c r="U10" s="175"/>
      <c r="V10" s="175" t="n">
        <f aca="false">[2]May!$R$1</f>
        <v>1000</v>
      </c>
      <c r="W10" s="175"/>
      <c r="X10" s="175" t="n">
        <f aca="false">V10*T10</f>
        <v>0</v>
      </c>
      <c r="Y10" s="312"/>
      <c r="Z10" s="175" t="n">
        <f aca="false">IF(AB10&lt;&gt;D10,AB10-D10,0)</f>
        <v>0</v>
      </c>
      <c r="AA10" s="175"/>
      <c r="AB10" s="168" t="n">
        <f aca="false">AB8+F10-L10-R10-X10</f>
        <v>0</v>
      </c>
      <c r="AC10" s="162"/>
      <c r="AD10" s="316"/>
      <c r="AE10" s="317"/>
      <c r="AF10" s="317"/>
      <c r="AG10" s="317"/>
      <c r="AH10" s="162"/>
    </row>
    <row r="11" customFormat="false" ht="12" hidden="false" customHeight="true" outlineLevel="0" collapsed="false">
      <c r="A11" s="274"/>
      <c r="B11" s="314"/>
      <c r="C11" s="314"/>
      <c r="D11" s="175"/>
      <c r="E11" s="175"/>
      <c r="F11" s="175"/>
      <c r="G11" s="175"/>
      <c r="H11" s="311"/>
      <c r="I11" s="175"/>
      <c r="J11" s="175"/>
      <c r="K11" s="175"/>
      <c r="L11" s="177"/>
      <c r="M11" s="175"/>
      <c r="N11" s="311"/>
      <c r="O11" s="175"/>
      <c r="P11" s="175"/>
      <c r="Q11" s="175"/>
      <c r="R11" s="177"/>
      <c r="S11" s="175"/>
      <c r="T11" s="311"/>
      <c r="U11" s="175"/>
      <c r="V11" s="175"/>
      <c r="W11" s="175"/>
      <c r="X11" s="175"/>
      <c r="Y11" s="312"/>
      <c r="Z11" s="175"/>
      <c r="AA11" s="175"/>
      <c r="AB11" s="175"/>
      <c r="AC11" s="162"/>
      <c r="AD11" s="307" t="s">
        <v>382</v>
      </c>
      <c r="AE11" s="307"/>
      <c r="AF11" s="307"/>
      <c r="AG11" s="307"/>
      <c r="AH11" s="162"/>
    </row>
    <row r="12" customFormat="false" ht="12" hidden="false" customHeight="false" outlineLevel="0" collapsed="false">
      <c r="A12" s="274"/>
      <c r="B12" s="313" t="n">
        <f aca="false">Admin!B7</f>
        <v>46203</v>
      </c>
      <c r="C12" s="314"/>
      <c r="D12" s="189" t="n">
        <f aca="false">D10+F12-L12-R12-X12+Z10</f>
        <v>0</v>
      </c>
      <c r="E12" s="175"/>
      <c r="F12" s="175" t="n">
        <f aca="false">IF((H$4+N$4+T$4)=0,0,[3]Jun!$P$1)</f>
        <v>0</v>
      </c>
      <c r="G12" s="175"/>
      <c r="H12" s="315" t="n">
        <f aca="false">H10</f>
        <v>0</v>
      </c>
      <c r="I12" s="175"/>
      <c r="J12" s="175" t="n">
        <f aca="false">[2]Jun!$P$1</f>
        <v>26533.3333333333</v>
      </c>
      <c r="K12" s="175"/>
      <c r="L12" s="177" t="n">
        <f aca="false">J12*H12</f>
        <v>0</v>
      </c>
      <c r="M12" s="175"/>
      <c r="N12" s="315" t="n">
        <f aca="false">N10</f>
        <v>0</v>
      </c>
      <c r="O12" s="175"/>
      <c r="P12" s="175" t="n">
        <f aca="false">[2]Jun!$Q$1</f>
        <v>800</v>
      </c>
      <c r="Q12" s="175"/>
      <c r="R12" s="177" t="n">
        <f aca="false">P12*N12</f>
        <v>0</v>
      </c>
      <c r="S12" s="175"/>
      <c r="T12" s="315" t="n">
        <f aca="false">T10</f>
        <v>0</v>
      </c>
      <c r="U12" s="175"/>
      <c r="V12" s="175" t="n">
        <f aca="false">[2]Jun!$R$1</f>
        <v>2000</v>
      </c>
      <c r="W12" s="175"/>
      <c r="X12" s="175" t="n">
        <f aca="false">V12*T12</f>
        <v>0</v>
      </c>
      <c r="Y12" s="312"/>
      <c r="Z12" s="175" t="n">
        <f aca="false">IF(AB12&lt;&gt;D12,AB12-D12,0)</f>
        <v>0</v>
      </c>
      <c r="AA12" s="175"/>
      <c r="AB12" s="168" t="n">
        <f aca="false">AB10+F12-L12-R12-X12</f>
        <v>0</v>
      </c>
      <c r="AC12" s="162"/>
      <c r="AD12" s="307"/>
      <c r="AE12" s="307"/>
      <c r="AF12" s="307"/>
      <c r="AG12" s="307"/>
      <c r="AH12" s="162"/>
    </row>
    <row r="13" customFormat="false" ht="12" hidden="false" customHeight="false" outlineLevel="0" collapsed="false">
      <c r="A13" s="274"/>
      <c r="B13" s="314"/>
      <c r="C13" s="314"/>
      <c r="D13" s="175"/>
      <c r="E13" s="175"/>
      <c r="F13" s="175"/>
      <c r="G13" s="175"/>
      <c r="H13" s="311"/>
      <c r="I13" s="175"/>
      <c r="J13" s="175"/>
      <c r="K13" s="175"/>
      <c r="L13" s="177"/>
      <c r="M13" s="175"/>
      <c r="N13" s="311"/>
      <c r="O13" s="175"/>
      <c r="P13" s="175"/>
      <c r="Q13" s="175"/>
      <c r="R13" s="177"/>
      <c r="S13" s="175"/>
      <c r="T13" s="311"/>
      <c r="U13" s="175"/>
      <c r="V13" s="175"/>
      <c r="W13" s="175"/>
      <c r="X13" s="175"/>
      <c r="Y13" s="312"/>
      <c r="Z13" s="175"/>
      <c r="AA13" s="175"/>
      <c r="AB13" s="175"/>
      <c r="AC13" s="162"/>
      <c r="AD13" s="307"/>
      <c r="AE13" s="307"/>
      <c r="AF13" s="307"/>
      <c r="AG13" s="307"/>
      <c r="AH13" s="162"/>
    </row>
    <row r="14" customFormat="false" ht="12" hidden="false" customHeight="true" outlineLevel="0" collapsed="false">
      <c r="A14" s="274"/>
      <c r="B14" s="313" t="n">
        <f aca="false">Admin!B8</f>
        <v>46234</v>
      </c>
      <c r="C14" s="314"/>
      <c r="D14" s="189" t="n">
        <f aca="false">D12+F14-L14-R14-X14+Z12</f>
        <v>0</v>
      </c>
      <c r="E14" s="175"/>
      <c r="F14" s="175" t="n">
        <f aca="false">IF((H$4+N$4+T$4)=0,0,[3]Jul!$P$1)</f>
        <v>0</v>
      </c>
      <c r="G14" s="175"/>
      <c r="H14" s="315" t="n">
        <f aca="false">H12</f>
        <v>0</v>
      </c>
      <c r="I14" s="175"/>
      <c r="J14" s="175" t="n">
        <f aca="false">[2]Jul!$P$1</f>
        <v>25633.3333333333</v>
      </c>
      <c r="K14" s="175"/>
      <c r="L14" s="177" t="n">
        <f aca="false">J14*H14</f>
        <v>0</v>
      </c>
      <c r="M14" s="175"/>
      <c r="N14" s="315" t="n">
        <f aca="false">N12</f>
        <v>0</v>
      </c>
      <c r="O14" s="175"/>
      <c r="P14" s="175" t="n">
        <f aca="false">[2]Jul!$Q$1</f>
        <v>1800</v>
      </c>
      <c r="Q14" s="175"/>
      <c r="R14" s="177" t="n">
        <f aca="false">P14*N14</f>
        <v>0</v>
      </c>
      <c r="S14" s="175"/>
      <c r="T14" s="315" t="n">
        <f aca="false">T12</f>
        <v>0</v>
      </c>
      <c r="U14" s="175"/>
      <c r="V14" s="175" t="n">
        <f aca="false">[2]Jul!$R$1</f>
        <v>0</v>
      </c>
      <c r="W14" s="175"/>
      <c r="X14" s="175" t="n">
        <f aca="false">V14*T14</f>
        <v>0</v>
      </c>
      <c r="Y14" s="312"/>
      <c r="Z14" s="175" t="n">
        <f aca="false">IF(AB14&lt;&gt;D14,AB14-D14,0)</f>
        <v>0</v>
      </c>
      <c r="AA14" s="175"/>
      <c r="AB14" s="168" t="n">
        <f aca="false">AB12+F14-L14-R14-X14</f>
        <v>0</v>
      </c>
      <c r="AC14" s="162"/>
      <c r="AD14" s="318"/>
      <c r="AE14" s="319"/>
      <c r="AF14" s="319"/>
      <c r="AG14" s="319"/>
      <c r="AH14" s="162"/>
    </row>
    <row r="15" customFormat="false" ht="12" hidden="false" customHeight="true" outlineLevel="0" collapsed="false">
      <c r="A15" s="274"/>
      <c r="B15" s="314"/>
      <c r="C15" s="314"/>
      <c r="D15" s="175"/>
      <c r="E15" s="175"/>
      <c r="F15" s="175"/>
      <c r="G15" s="175"/>
      <c r="H15" s="311"/>
      <c r="I15" s="175"/>
      <c r="J15" s="175"/>
      <c r="K15" s="175"/>
      <c r="L15" s="177"/>
      <c r="M15" s="175"/>
      <c r="N15" s="311"/>
      <c r="O15" s="175"/>
      <c r="P15" s="175"/>
      <c r="Q15" s="175"/>
      <c r="R15" s="177"/>
      <c r="S15" s="175"/>
      <c r="T15" s="311"/>
      <c r="U15" s="175"/>
      <c r="V15" s="175"/>
      <c r="W15" s="175"/>
      <c r="X15" s="175"/>
      <c r="Y15" s="312"/>
      <c r="Z15" s="175"/>
      <c r="AA15" s="175"/>
      <c r="AB15" s="175"/>
      <c r="AC15" s="162"/>
      <c r="AD15" s="307" t="s">
        <v>383</v>
      </c>
      <c r="AE15" s="307"/>
      <c r="AF15" s="307"/>
      <c r="AG15" s="307"/>
      <c r="AH15" s="162"/>
    </row>
    <row r="16" customFormat="false" ht="12" hidden="false" customHeight="true" outlineLevel="0" collapsed="false">
      <c r="A16" s="274"/>
      <c r="B16" s="313" t="n">
        <f aca="false">Admin!B9</f>
        <v>46265</v>
      </c>
      <c r="C16" s="314"/>
      <c r="D16" s="189" t="n">
        <f aca="false">D14+F16-L16-R16-X16+Z14</f>
        <v>0</v>
      </c>
      <c r="E16" s="175"/>
      <c r="F16" s="175" t="n">
        <f aca="false">IF((H$4+N$4+T$4)=0,0,[3]Aug!$P$1)</f>
        <v>0</v>
      </c>
      <c r="G16" s="175"/>
      <c r="H16" s="315" t="n">
        <f aca="false">H14</f>
        <v>0</v>
      </c>
      <c r="I16" s="175"/>
      <c r="J16" s="175" t="n">
        <f aca="false">[2]Aug!$P$1</f>
        <v>27133.3333333333</v>
      </c>
      <c r="K16" s="175"/>
      <c r="L16" s="177" t="n">
        <f aca="false">J16*H16</f>
        <v>0</v>
      </c>
      <c r="M16" s="175"/>
      <c r="N16" s="315" t="n">
        <f aca="false">N14</f>
        <v>0</v>
      </c>
      <c r="O16" s="175"/>
      <c r="P16" s="175" t="n">
        <f aca="false">[2]Aug!$Q$1</f>
        <v>800</v>
      </c>
      <c r="Q16" s="175"/>
      <c r="R16" s="177" t="n">
        <f aca="false">P16*N16</f>
        <v>0</v>
      </c>
      <c r="S16" s="175"/>
      <c r="T16" s="315" t="n">
        <f aca="false">T14</f>
        <v>0</v>
      </c>
      <c r="U16" s="175"/>
      <c r="V16" s="175" t="n">
        <f aca="false">[2]Aug!$R$1</f>
        <v>0</v>
      </c>
      <c r="W16" s="175"/>
      <c r="X16" s="175" t="n">
        <f aca="false">V16*T16</f>
        <v>0</v>
      </c>
      <c r="Y16" s="312"/>
      <c r="Z16" s="175" t="n">
        <f aca="false">IF(AB16&lt;&gt;D16,AB16-D16,0)</f>
        <v>0</v>
      </c>
      <c r="AA16" s="175"/>
      <c r="AB16" s="168" t="n">
        <f aca="false">AB14+F16-L16-R16-X16</f>
        <v>0</v>
      </c>
      <c r="AC16" s="162"/>
      <c r="AD16" s="307"/>
      <c r="AE16" s="307"/>
      <c r="AF16" s="307"/>
      <c r="AG16" s="307"/>
      <c r="AH16" s="162"/>
    </row>
    <row r="17" customFormat="false" ht="12" hidden="false" customHeight="true" outlineLevel="0" collapsed="false">
      <c r="A17" s="274"/>
      <c r="B17" s="314"/>
      <c r="C17" s="314"/>
      <c r="D17" s="175"/>
      <c r="E17" s="175"/>
      <c r="F17" s="175"/>
      <c r="G17" s="175"/>
      <c r="H17" s="311"/>
      <c r="I17" s="175"/>
      <c r="J17" s="175"/>
      <c r="K17" s="175"/>
      <c r="L17" s="177"/>
      <c r="M17" s="175"/>
      <c r="N17" s="311"/>
      <c r="O17" s="175"/>
      <c r="P17" s="175"/>
      <c r="Q17" s="175"/>
      <c r="R17" s="177"/>
      <c r="S17" s="175"/>
      <c r="T17" s="311"/>
      <c r="U17" s="175"/>
      <c r="V17" s="175"/>
      <c r="W17" s="175"/>
      <c r="X17" s="175"/>
      <c r="Y17" s="312"/>
      <c r="Z17" s="175"/>
      <c r="AA17" s="175"/>
      <c r="AB17" s="175"/>
      <c r="AC17" s="162"/>
      <c r="AD17" s="307"/>
      <c r="AE17" s="307"/>
      <c r="AF17" s="307"/>
      <c r="AG17" s="307"/>
      <c r="AH17" s="162"/>
    </row>
    <row r="18" customFormat="false" ht="12" hidden="false" customHeight="true" outlineLevel="0" collapsed="false">
      <c r="A18" s="274"/>
      <c r="B18" s="313" t="n">
        <f aca="false">Admin!B10</f>
        <v>46295</v>
      </c>
      <c r="C18" s="314"/>
      <c r="D18" s="189" t="n">
        <f aca="false">D16+F18-L18-R18-X18+Z16</f>
        <v>0</v>
      </c>
      <c r="E18" s="175"/>
      <c r="F18" s="175" t="n">
        <f aca="false">IF((H$4+N$4+T$4)=0,0,[3]Sep!$P$1)</f>
        <v>0</v>
      </c>
      <c r="G18" s="175"/>
      <c r="H18" s="315" t="n">
        <f aca="false">H16</f>
        <v>0</v>
      </c>
      <c r="I18" s="175"/>
      <c r="J18" s="175" t="n">
        <f aca="false">[2]Sep!$P$1</f>
        <v>25033.3333333333</v>
      </c>
      <c r="K18" s="175"/>
      <c r="L18" s="177" t="n">
        <f aca="false">J18*H18</f>
        <v>0</v>
      </c>
      <c r="M18" s="175"/>
      <c r="N18" s="315" t="n">
        <f aca="false">N16</f>
        <v>0</v>
      </c>
      <c r="O18" s="175"/>
      <c r="P18" s="175" t="n">
        <f aca="false">[2]Sep!$Q$1</f>
        <v>800</v>
      </c>
      <c r="Q18" s="175"/>
      <c r="R18" s="177" t="n">
        <f aca="false">P18*N18</f>
        <v>0</v>
      </c>
      <c r="S18" s="175"/>
      <c r="T18" s="315" t="n">
        <f aca="false">T16</f>
        <v>0</v>
      </c>
      <c r="U18" s="175"/>
      <c r="V18" s="175" t="n">
        <f aca="false">[2]Sep!$R$1</f>
        <v>1800</v>
      </c>
      <c r="W18" s="175"/>
      <c r="X18" s="175" t="n">
        <f aca="false">V18*T18</f>
        <v>0</v>
      </c>
      <c r="Y18" s="312"/>
      <c r="Z18" s="175" t="n">
        <f aca="false">IF(AB18&lt;&gt;D18,AB18-D18,0)</f>
        <v>0</v>
      </c>
      <c r="AA18" s="175"/>
      <c r="AB18" s="168" t="n">
        <f aca="false">AB16+F18-L18-R18-X18</f>
        <v>0</v>
      </c>
      <c r="AC18" s="162"/>
      <c r="AD18" s="318"/>
      <c r="AE18" s="319"/>
      <c r="AF18" s="319"/>
      <c r="AG18" s="319"/>
      <c r="AH18" s="162"/>
    </row>
    <row r="19" customFormat="false" ht="12" hidden="false" customHeight="true" outlineLevel="0" collapsed="false">
      <c r="A19" s="274"/>
      <c r="B19" s="314"/>
      <c r="C19" s="314"/>
      <c r="D19" s="175"/>
      <c r="E19" s="175"/>
      <c r="F19" s="175"/>
      <c r="G19" s="175"/>
      <c r="H19" s="311"/>
      <c r="I19" s="175"/>
      <c r="J19" s="175"/>
      <c r="K19" s="175"/>
      <c r="L19" s="177"/>
      <c r="M19" s="175"/>
      <c r="N19" s="311"/>
      <c r="O19" s="175"/>
      <c r="P19" s="175"/>
      <c r="Q19" s="175"/>
      <c r="R19" s="177"/>
      <c r="S19" s="175"/>
      <c r="T19" s="311"/>
      <c r="U19" s="175"/>
      <c r="V19" s="175"/>
      <c r="W19" s="175"/>
      <c r="X19" s="175"/>
      <c r="Y19" s="312"/>
      <c r="Z19" s="175"/>
      <c r="AA19" s="175"/>
      <c r="AB19" s="175"/>
      <c r="AC19" s="162"/>
      <c r="AD19" s="307" t="s">
        <v>384</v>
      </c>
      <c r="AE19" s="307"/>
      <c r="AF19" s="307"/>
      <c r="AG19" s="307"/>
      <c r="AH19" s="162"/>
    </row>
    <row r="20" customFormat="false" ht="12" hidden="false" customHeight="true" outlineLevel="0" collapsed="false">
      <c r="A20" s="274"/>
      <c r="B20" s="313" t="n">
        <f aca="false">Admin!B11</f>
        <v>46326</v>
      </c>
      <c r="C20" s="314"/>
      <c r="D20" s="189" t="n">
        <f aca="false">D18+F20-L20-R20-X20+Z18</f>
        <v>0</v>
      </c>
      <c r="E20" s="175"/>
      <c r="F20" s="175" t="n">
        <f aca="false">IF((H$4+N$4+T$4)=0,0,[3]Oct!$P$1)</f>
        <v>0</v>
      </c>
      <c r="G20" s="175"/>
      <c r="H20" s="315" t="n">
        <f aca="false">H18</f>
        <v>0</v>
      </c>
      <c r="I20" s="175"/>
      <c r="J20" s="175" t="n">
        <f aca="false">[2]Oct!$P$1</f>
        <v>27133.3333333333</v>
      </c>
      <c r="K20" s="175"/>
      <c r="L20" s="177" t="n">
        <f aca="false">J20*H20</f>
        <v>0</v>
      </c>
      <c r="M20" s="175"/>
      <c r="N20" s="315" t="n">
        <f aca="false">N18</f>
        <v>0</v>
      </c>
      <c r="O20" s="175"/>
      <c r="P20" s="175" t="n">
        <f aca="false">[2]Oct!$Q$1</f>
        <v>1800</v>
      </c>
      <c r="Q20" s="175"/>
      <c r="R20" s="177" t="n">
        <f aca="false">P20*N20</f>
        <v>0</v>
      </c>
      <c r="S20" s="175"/>
      <c r="T20" s="315" t="n">
        <f aca="false">T18</f>
        <v>0</v>
      </c>
      <c r="U20" s="175"/>
      <c r="V20" s="175" t="n">
        <f aca="false">[2]Oct!$R$1</f>
        <v>0</v>
      </c>
      <c r="W20" s="175"/>
      <c r="X20" s="175" t="n">
        <f aca="false">V20*T20</f>
        <v>0</v>
      </c>
      <c r="Y20" s="312"/>
      <c r="Z20" s="175" t="n">
        <f aca="false">IF(AB20&lt;&gt;D20,AB20-D20,0)</f>
        <v>0</v>
      </c>
      <c r="AA20" s="175"/>
      <c r="AB20" s="168" t="n">
        <f aca="false">AB18+F20-L20-R20-X20</f>
        <v>0</v>
      </c>
      <c r="AC20" s="162"/>
      <c r="AD20" s="307"/>
      <c r="AE20" s="307"/>
      <c r="AF20" s="307"/>
      <c r="AG20" s="307"/>
      <c r="AH20" s="162"/>
    </row>
    <row r="21" customFormat="false" ht="12" hidden="false" customHeight="true" outlineLevel="0" collapsed="false">
      <c r="A21" s="274"/>
      <c r="B21" s="314"/>
      <c r="C21" s="314"/>
      <c r="D21" s="175"/>
      <c r="E21" s="175"/>
      <c r="F21" s="175"/>
      <c r="G21" s="175"/>
      <c r="H21" s="311"/>
      <c r="I21" s="175"/>
      <c r="J21" s="175"/>
      <c r="K21" s="175"/>
      <c r="L21" s="177"/>
      <c r="M21" s="175"/>
      <c r="N21" s="311"/>
      <c r="O21" s="175"/>
      <c r="P21" s="175"/>
      <c r="Q21" s="175"/>
      <c r="R21" s="177"/>
      <c r="S21" s="175"/>
      <c r="T21" s="311"/>
      <c r="U21" s="175"/>
      <c r="V21" s="175"/>
      <c r="W21" s="175"/>
      <c r="X21" s="175"/>
      <c r="Y21" s="312"/>
      <c r="Z21" s="175"/>
      <c r="AA21" s="175"/>
      <c r="AB21" s="175"/>
      <c r="AC21" s="162"/>
      <c r="AD21" s="307"/>
      <c r="AE21" s="307"/>
      <c r="AF21" s="307"/>
      <c r="AG21" s="307"/>
      <c r="AH21" s="162"/>
    </row>
    <row r="22" customFormat="false" ht="12" hidden="false" customHeight="true" outlineLevel="0" collapsed="false">
      <c r="A22" s="274"/>
      <c r="B22" s="313" t="n">
        <f aca="false">Admin!B12</f>
        <v>46356</v>
      </c>
      <c r="C22" s="314"/>
      <c r="D22" s="189" t="n">
        <f aca="false">D20+F22-L22-R22-X22+Z20</f>
        <v>0</v>
      </c>
      <c r="E22" s="175"/>
      <c r="F22" s="175" t="n">
        <f aca="false">IF((H$4+N$4+T$4)=0,0,[3]Nov!$P$1)</f>
        <v>0</v>
      </c>
      <c r="G22" s="175"/>
      <c r="H22" s="315" t="n">
        <f aca="false">H20</f>
        <v>0</v>
      </c>
      <c r="I22" s="175"/>
      <c r="J22" s="175" t="n">
        <f aca="false">[2]Nov!$P$1</f>
        <v>25633.3333333333</v>
      </c>
      <c r="K22" s="175"/>
      <c r="L22" s="177" t="n">
        <f aca="false">J22*H22</f>
        <v>0</v>
      </c>
      <c r="M22" s="175"/>
      <c r="N22" s="315" t="n">
        <f aca="false">N20</f>
        <v>0</v>
      </c>
      <c r="O22" s="175"/>
      <c r="P22" s="175" t="n">
        <f aca="false">[2]Nov!$Q$1</f>
        <v>800</v>
      </c>
      <c r="Q22" s="175"/>
      <c r="R22" s="177" t="n">
        <f aca="false">P22*N22</f>
        <v>0</v>
      </c>
      <c r="S22" s="175"/>
      <c r="T22" s="315" t="n">
        <f aca="false">T20</f>
        <v>0</v>
      </c>
      <c r="U22" s="175"/>
      <c r="V22" s="175" t="n">
        <f aca="false">[2]Nov!$R$1</f>
        <v>3000</v>
      </c>
      <c r="W22" s="175"/>
      <c r="X22" s="175" t="n">
        <f aca="false">V22*T22</f>
        <v>0</v>
      </c>
      <c r="Y22" s="312"/>
      <c r="Z22" s="175" t="n">
        <f aca="false">IF(AB22&lt;&gt;D22,AB22-D22,0)</f>
        <v>0</v>
      </c>
      <c r="AA22" s="175"/>
      <c r="AB22" s="168" t="n">
        <f aca="false">AB20+F22-L22-R22-X22</f>
        <v>0</v>
      </c>
      <c r="AC22" s="162"/>
      <c r="AD22" s="318"/>
      <c r="AE22" s="319"/>
      <c r="AF22" s="319"/>
      <c r="AG22" s="319"/>
      <c r="AH22" s="162"/>
    </row>
    <row r="23" customFormat="false" ht="12" hidden="false" customHeight="true" outlineLevel="0" collapsed="false">
      <c r="A23" s="274"/>
      <c r="B23" s="314"/>
      <c r="C23" s="314"/>
      <c r="D23" s="175"/>
      <c r="E23" s="175"/>
      <c r="F23" s="175"/>
      <c r="G23" s="175"/>
      <c r="H23" s="311"/>
      <c r="I23" s="175"/>
      <c r="J23" s="175"/>
      <c r="K23" s="175"/>
      <c r="L23" s="177"/>
      <c r="M23" s="175"/>
      <c r="N23" s="311"/>
      <c r="O23" s="175"/>
      <c r="P23" s="175"/>
      <c r="Q23" s="175"/>
      <c r="R23" s="177"/>
      <c r="S23" s="175"/>
      <c r="T23" s="311"/>
      <c r="U23" s="175"/>
      <c r="V23" s="175"/>
      <c r="W23" s="175"/>
      <c r="X23" s="175"/>
      <c r="Y23" s="312"/>
      <c r="Z23" s="175"/>
      <c r="AA23" s="175"/>
      <c r="AB23" s="175"/>
      <c r="AC23" s="162"/>
      <c r="AD23" s="307" t="s">
        <v>385</v>
      </c>
      <c r="AE23" s="307"/>
      <c r="AF23" s="307"/>
      <c r="AG23" s="307"/>
      <c r="AH23" s="162"/>
    </row>
    <row r="24" customFormat="false" ht="12" hidden="false" customHeight="false" outlineLevel="0" collapsed="false">
      <c r="A24" s="274"/>
      <c r="B24" s="313" t="n">
        <f aca="false">Admin!B13</f>
        <v>46387</v>
      </c>
      <c r="C24" s="314"/>
      <c r="D24" s="189" t="n">
        <f aca="false">D22+F24-L24-R24-X24+Z22</f>
        <v>0</v>
      </c>
      <c r="E24" s="175"/>
      <c r="F24" s="175" t="n">
        <f aca="false">IF((H$4+N$4+T$4)=0,0,[3]Dec!$P$1)</f>
        <v>0</v>
      </c>
      <c r="G24" s="175"/>
      <c r="H24" s="315" t="n">
        <f aca="false">H22</f>
        <v>0</v>
      </c>
      <c r="I24" s="175"/>
      <c r="J24" s="175" t="n">
        <f aca="false">[2]Dec!$P$1</f>
        <v>26533.3333333333</v>
      </c>
      <c r="K24" s="175"/>
      <c r="L24" s="177" t="n">
        <f aca="false">J24*H24</f>
        <v>0</v>
      </c>
      <c r="M24" s="175"/>
      <c r="N24" s="315" t="n">
        <f aca="false">N22</f>
        <v>0</v>
      </c>
      <c r="O24" s="175"/>
      <c r="P24" s="175" t="n">
        <f aca="false">[2]Dec!$Q$1</f>
        <v>800</v>
      </c>
      <c r="Q24" s="175"/>
      <c r="R24" s="177" t="n">
        <f aca="false">P24*N24</f>
        <v>0</v>
      </c>
      <c r="S24" s="175"/>
      <c r="T24" s="315" t="n">
        <f aca="false">T22</f>
        <v>0</v>
      </c>
      <c r="U24" s="175"/>
      <c r="V24" s="175" t="n">
        <f aca="false">[2]Dec!$R$1</f>
        <v>0</v>
      </c>
      <c r="W24" s="175"/>
      <c r="X24" s="175" t="n">
        <f aca="false">V24*T24</f>
        <v>0</v>
      </c>
      <c r="Y24" s="312"/>
      <c r="Z24" s="175" t="n">
        <f aca="false">IF(AB24&lt;&gt;D24,AB24-D24,0)</f>
        <v>0</v>
      </c>
      <c r="AA24" s="175"/>
      <c r="AB24" s="168" t="n">
        <f aca="false">AB22+F24-L24-R24-X24</f>
        <v>0</v>
      </c>
      <c r="AC24" s="162"/>
      <c r="AD24" s="307"/>
      <c r="AE24" s="307"/>
      <c r="AF24" s="307"/>
      <c r="AG24" s="307"/>
      <c r="AH24" s="162"/>
    </row>
    <row r="25" customFormat="false" ht="12" hidden="false" customHeight="false" outlineLevel="0" collapsed="false">
      <c r="A25" s="274"/>
      <c r="B25" s="314"/>
      <c r="C25" s="314"/>
      <c r="D25" s="175"/>
      <c r="E25" s="175"/>
      <c r="F25" s="175"/>
      <c r="G25" s="175"/>
      <c r="H25" s="311"/>
      <c r="I25" s="175"/>
      <c r="J25" s="175"/>
      <c r="K25" s="175"/>
      <c r="L25" s="177"/>
      <c r="M25" s="175"/>
      <c r="N25" s="311"/>
      <c r="O25" s="175"/>
      <c r="P25" s="175"/>
      <c r="Q25" s="175"/>
      <c r="R25" s="177"/>
      <c r="S25" s="175"/>
      <c r="T25" s="311"/>
      <c r="U25" s="175"/>
      <c r="V25" s="175"/>
      <c r="W25" s="175"/>
      <c r="X25" s="175"/>
      <c r="Y25" s="312"/>
      <c r="Z25" s="175"/>
      <c r="AA25" s="175"/>
      <c r="AB25" s="175"/>
      <c r="AC25" s="162"/>
      <c r="AD25" s="307"/>
      <c r="AE25" s="307"/>
      <c r="AF25" s="307"/>
      <c r="AG25" s="307"/>
      <c r="AH25" s="162"/>
    </row>
    <row r="26" customFormat="false" ht="12" hidden="false" customHeight="false" outlineLevel="0" collapsed="false">
      <c r="A26" s="274"/>
      <c r="B26" s="313" t="n">
        <f aca="false">Admin!B14</f>
        <v>46418</v>
      </c>
      <c r="C26" s="314"/>
      <c r="D26" s="189" t="n">
        <f aca="false">D24+F26-L26-R26-X26+Z24</f>
        <v>0</v>
      </c>
      <c r="E26" s="175"/>
      <c r="F26" s="175" t="n">
        <f aca="false">IF((H$4+N$4+T$4)=0,0,[3]Jan!$P$1)</f>
        <v>0</v>
      </c>
      <c r="G26" s="175"/>
      <c r="H26" s="315" t="n">
        <f aca="false">H24</f>
        <v>0</v>
      </c>
      <c r="I26" s="175"/>
      <c r="J26" s="175" t="n">
        <f aca="false">[2]Jan!$P$1</f>
        <v>25633.3333333333</v>
      </c>
      <c r="K26" s="175"/>
      <c r="L26" s="177" t="n">
        <f aca="false">J26*H26</f>
        <v>0</v>
      </c>
      <c r="M26" s="175"/>
      <c r="N26" s="315" t="n">
        <f aca="false">N24</f>
        <v>0</v>
      </c>
      <c r="O26" s="175"/>
      <c r="P26" s="175" t="n">
        <f aca="false">[2]Jan!$Q$1</f>
        <v>1800</v>
      </c>
      <c r="Q26" s="175"/>
      <c r="R26" s="177" t="n">
        <f aca="false">P26*N26</f>
        <v>0</v>
      </c>
      <c r="S26" s="175"/>
      <c r="T26" s="315" t="n">
        <f aca="false">T24</f>
        <v>0</v>
      </c>
      <c r="U26" s="175"/>
      <c r="V26" s="175" t="n">
        <f aca="false">[2]Jan!$R$1</f>
        <v>1000</v>
      </c>
      <c r="W26" s="175"/>
      <c r="X26" s="175" t="n">
        <f aca="false">V26*T26</f>
        <v>0</v>
      </c>
      <c r="Y26" s="312"/>
      <c r="Z26" s="175" t="n">
        <f aca="false">IF(AB26&lt;&gt;D26,AB26-D26,0)</f>
        <v>0</v>
      </c>
      <c r="AA26" s="175"/>
      <c r="AB26" s="168" t="n">
        <f aca="false">AB24+F26-L26-R26-X26</f>
        <v>0</v>
      </c>
      <c r="AC26" s="162"/>
      <c r="AD26" s="307"/>
      <c r="AE26" s="307"/>
      <c r="AF26" s="307"/>
      <c r="AG26" s="307"/>
      <c r="AH26" s="162"/>
    </row>
    <row r="27" customFormat="false" ht="12" hidden="false" customHeight="false" outlineLevel="0" collapsed="false">
      <c r="A27" s="274"/>
      <c r="B27" s="314"/>
      <c r="C27" s="314"/>
      <c r="D27" s="175"/>
      <c r="E27" s="175"/>
      <c r="F27" s="175"/>
      <c r="G27" s="175"/>
      <c r="H27" s="311"/>
      <c r="I27" s="175"/>
      <c r="J27" s="175"/>
      <c r="K27" s="175"/>
      <c r="L27" s="177"/>
      <c r="M27" s="175"/>
      <c r="N27" s="311"/>
      <c r="O27" s="175"/>
      <c r="P27" s="175"/>
      <c r="Q27" s="175"/>
      <c r="R27" s="177"/>
      <c r="S27" s="175"/>
      <c r="T27" s="311"/>
      <c r="U27" s="175"/>
      <c r="V27" s="175"/>
      <c r="W27" s="175"/>
      <c r="X27" s="175"/>
      <c r="Y27" s="312"/>
      <c r="Z27" s="175"/>
      <c r="AA27" s="175"/>
      <c r="AB27" s="175"/>
      <c r="AC27" s="162"/>
      <c r="AD27" s="318"/>
      <c r="AE27" s="319"/>
      <c r="AF27" s="319"/>
      <c r="AG27" s="319"/>
      <c r="AH27" s="162"/>
    </row>
    <row r="28" customFormat="false" ht="12" hidden="false" customHeight="true" outlineLevel="0" collapsed="false">
      <c r="A28" s="274"/>
      <c r="B28" s="313" t="n">
        <f aca="false">Admin!B15</f>
        <v>46446</v>
      </c>
      <c r="C28" s="314"/>
      <c r="D28" s="189" t="n">
        <f aca="false">D26+F28-L28-R28-X28+Z26</f>
        <v>0</v>
      </c>
      <c r="E28" s="175"/>
      <c r="F28" s="175" t="n">
        <f aca="false">IF((H$4+N$4+T$4)=0,0,[3]OpeningCreditors!$P$1)</f>
        <v>0</v>
      </c>
      <c r="G28" s="175"/>
      <c r="H28" s="315" t="n">
        <f aca="false">H26</f>
        <v>0</v>
      </c>
      <c r="I28" s="175"/>
      <c r="J28" s="175" t="n">
        <f aca="false">[2]Feb!$P$1</f>
        <v>26333.3333333333</v>
      </c>
      <c r="K28" s="175"/>
      <c r="L28" s="177" t="n">
        <f aca="false">J28*H28</f>
        <v>0</v>
      </c>
      <c r="M28" s="175"/>
      <c r="N28" s="315" t="n">
        <f aca="false">N26</f>
        <v>0</v>
      </c>
      <c r="O28" s="175"/>
      <c r="P28" s="175" t="n">
        <f aca="false">[2]Feb!$Q$1</f>
        <v>800</v>
      </c>
      <c r="Q28" s="175"/>
      <c r="R28" s="177" t="n">
        <f aca="false">P28*N28</f>
        <v>0</v>
      </c>
      <c r="S28" s="175"/>
      <c r="T28" s="315" t="n">
        <f aca="false">T26</f>
        <v>0</v>
      </c>
      <c r="U28" s="175"/>
      <c r="V28" s="175" t="n">
        <f aca="false">[2]Feb!$R$1</f>
        <v>1500</v>
      </c>
      <c r="W28" s="175"/>
      <c r="X28" s="175" t="n">
        <f aca="false">V28*T28</f>
        <v>0</v>
      </c>
      <c r="Y28" s="312"/>
      <c r="Z28" s="175" t="n">
        <f aca="false">IF(AB28&lt;&gt;D28,AB28-D28,0)</f>
        <v>0</v>
      </c>
      <c r="AA28" s="175"/>
      <c r="AB28" s="168" t="n">
        <f aca="false">AB26+F28-L28-R28-X28</f>
        <v>0</v>
      </c>
      <c r="AC28" s="162"/>
      <c r="AD28" s="307" t="s">
        <v>386</v>
      </c>
      <c r="AE28" s="307"/>
      <c r="AF28" s="307"/>
      <c r="AG28" s="307"/>
      <c r="AH28" s="162"/>
    </row>
    <row r="29" customFormat="false" ht="12" hidden="false" customHeight="false" outlineLevel="0" collapsed="false">
      <c r="A29" s="274"/>
      <c r="B29" s="314"/>
      <c r="C29" s="314"/>
      <c r="D29" s="175"/>
      <c r="E29" s="175"/>
      <c r="F29" s="175"/>
      <c r="G29" s="175"/>
      <c r="H29" s="311"/>
      <c r="I29" s="175"/>
      <c r="J29" s="175"/>
      <c r="K29" s="175"/>
      <c r="L29" s="177"/>
      <c r="M29" s="175"/>
      <c r="N29" s="311"/>
      <c r="O29" s="175"/>
      <c r="P29" s="175"/>
      <c r="Q29" s="175"/>
      <c r="R29" s="177"/>
      <c r="S29" s="175"/>
      <c r="T29" s="311"/>
      <c r="U29" s="175"/>
      <c r="V29" s="175"/>
      <c r="W29" s="175"/>
      <c r="X29" s="175"/>
      <c r="Y29" s="312"/>
      <c r="Z29" s="175"/>
      <c r="AA29" s="175"/>
      <c r="AB29" s="175"/>
      <c r="AC29" s="162"/>
      <c r="AD29" s="307"/>
      <c r="AE29" s="307"/>
      <c r="AF29" s="307"/>
      <c r="AG29" s="307"/>
      <c r="AH29" s="162"/>
    </row>
    <row r="30" customFormat="false" ht="12" hidden="false" customHeight="false" outlineLevel="0" collapsed="false">
      <c r="A30" s="274"/>
      <c r="B30" s="313" t="n">
        <f aca="false">Admin!B17</f>
        <v>46482</v>
      </c>
      <c r="C30" s="314"/>
      <c r="D30" s="189" t="n">
        <f aca="false">D28+F30-L30-R30-X30+Z28</f>
        <v>0</v>
      </c>
      <c r="E30" s="175"/>
      <c r="F30" s="175" t="n">
        <f aca="false">IF((H$4+N$4+T$4)=0,0,[3]Mar!$P$1)</f>
        <v>0</v>
      </c>
      <c r="G30" s="175"/>
      <c r="H30" s="315" t="n">
        <f aca="false">H28</f>
        <v>0</v>
      </c>
      <c r="I30" s="175"/>
      <c r="J30" s="175" t="n">
        <f aca="false">[2]Mar!$P$1</f>
        <v>25033.3333333333</v>
      </c>
      <c r="K30" s="175"/>
      <c r="L30" s="177" t="n">
        <f aca="false">J30*H30</f>
        <v>0</v>
      </c>
      <c r="M30" s="175"/>
      <c r="N30" s="315" t="n">
        <f aca="false">N28</f>
        <v>0</v>
      </c>
      <c r="O30" s="175"/>
      <c r="P30" s="175" t="n">
        <f aca="false">[2]Mar!$Q$1</f>
        <v>800</v>
      </c>
      <c r="Q30" s="175"/>
      <c r="R30" s="177" t="n">
        <f aca="false">P30*N30</f>
        <v>0</v>
      </c>
      <c r="S30" s="175"/>
      <c r="T30" s="315" t="n">
        <f aca="false">T28</f>
        <v>0</v>
      </c>
      <c r="U30" s="175"/>
      <c r="V30" s="175" t="n">
        <f aca="false">[2]Mar!$R$1</f>
        <v>0</v>
      </c>
      <c r="W30" s="175"/>
      <c r="X30" s="175" t="n">
        <f aca="false">V30*T30</f>
        <v>0</v>
      </c>
      <c r="Y30" s="312"/>
      <c r="Z30" s="175" t="n">
        <f aca="false">IF(AB30&lt;&gt;D30,AB30-D30,0)</f>
        <v>0</v>
      </c>
      <c r="AA30" s="175"/>
      <c r="AB30" s="168" t="n">
        <f aca="false">AB28+F30-L30-R30-X30</f>
        <v>0</v>
      </c>
      <c r="AC30" s="162"/>
      <c r="AD30" s="307"/>
      <c r="AE30" s="307"/>
      <c r="AF30" s="307"/>
      <c r="AG30" s="307"/>
      <c r="AH30" s="162"/>
    </row>
    <row r="31" customFormat="false" ht="12" hidden="false" customHeight="false" outlineLevel="0" collapsed="false">
      <c r="A31" s="277"/>
      <c r="B31" s="320"/>
      <c r="C31" s="320"/>
      <c r="D31" s="183"/>
      <c r="E31" s="183"/>
      <c r="F31" s="183"/>
      <c r="G31" s="183"/>
      <c r="H31" s="321"/>
      <c r="I31" s="183"/>
      <c r="J31" s="183"/>
      <c r="K31" s="183"/>
      <c r="L31" s="322"/>
      <c r="M31" s="183"/>
      <c r="N31" s="321"/>
      <c r="O31" s="183"/>
      <c r="P31" s="183"/>
      <c r="Q31" s="183"/>
      <c r="R31" s="322"/>
      <c r="S31" s="183"/>
      <c r="T31" s="321"/>
      <c r="U31" s="183"/>
      <c r="V31" s="183"/>
      <c r="W31" s="183"/>
      <c r="X31" s="183"/>
      <c r="Y31" s="323"/>
      <c r="Z31" s="183"/>
      <c r="AA31" s="183"/>
      <c r="AB31" s="183"/>
      <c r="AC31" s="184"/>
      <c r="AD31" s="324"/>
      <c r="AE31" s="325"/>
      <c r="AF31" s="325"/>
      <c r="AG31" s="325"/>
      <c r="AH31" s="184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2" width="1.66"/>
    <col collapsed="false" customWidth="true" hidden="false" outlineLevel="0" max="2" min="2" style="152" width="19.66"/>
    <col collapsed="false" customWidth="false" hidden="false" outlineLevel="0" max="3" min="3" style="152" width="9.15"/>
    <col collapsed="false" customWidth="true" hidden="false" outlineLevel="0" max="14" min="4" style="152" width="8.99"/>
    <col collapsed="false" customWidth="true" hidden="false" outlineLevel="0" max="15" min="15" style="152" width="9.82"/>
    <col collapsed="false" customWidth="true" hidden="false" outlineLevel="0" max="16" min="16" style="152" width="1.66"/>
    <col collapsed="false" customWidth="false" hidden="false" outlineLevel="0" max="257" min="17" style="152" width="9.15"/>
  </cols>
  <sheetData>
    <row r="1" customFormat="false" ht="6" hidden="false" customHeight="true" outlineLevel="0" collapsed="false">
      <c r="A1" s="156"/>
      <c r="B1" s="326"/>
      <c r="C1" s="327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customFormat="false" ht="12" hidden="false" customHeight="true" outlineLevel="0" collapsed="false">
      <c r="A2" s="156"/>
      <c r="B2" s="328" t="s">
        <v>387</v>
      </c>
      <c r="C2" s="159" t="s">
        <v>262</v>
      </c>
      <c r="D2" s="160" t="n">
        <f aca="false">Admin!B5</f>
        <v>46142</v>
      </c>
      <c r="E2" s="161" t="n">
        <f aca="false">Admin!B6</f>
        <v>46173</v>
      </c>
      <c r="F2" s="161" t="n">
        <f aca="false">Admin!B7</f>
        <v>46203</v>
      </c>
      <c r="G2" s="161" t="n">
        <f aca="false">Admin!B8</f>
        <v>46234</v>
      </c>
      <c r="H2" s="161" t="n">
        <f aca="false">Admin!B9</f>
        <v>46265</v>
      </c>
      <c r="I2" s="161" t="n">
        <f aca="false">Admin!B10</f>
        <v>46295</v>
      </c>
      <c r="J2" s="161" t="n">
        <f aca="false">Admin!B11</f>
        <v>46326</v>
      </c>
      <c r="K2" s="161" t="n">
        <f aca="false">Admin!B12</f>
        <v>46356</v>
      </c>
      <c r="L2" s="161" t="n">
        <f aca="false">Admin!B13</f>
        <v>46387</v>
      </c>
      <c r="M2" s="161" t="n">
        <f aca="false">Admin!B14</f>
        <v>46418</v>
      </c>
      <c r="N2" s="161" t="n">
        <f aca="false">Admin!B15</f>
        <v>46446</v>
      </c>
      <c r="O2" s="161" t="n">
        <f aca="false">Admin!B16</f>
        <v>46477</v>
      </c>
      <c r="P2" s="156"/>
    </row>
    <row r="3" customFormat="false" ht="12" hidden="false" customHeight="true" outlineLevel="0" collapsed="false">
      <c r="A3" s="156"/>
      <c r="B3" s="328"/>
      <c r="C3" s="163" t="n">
        <f aca="false">Admin!B$17</f>
        <v>46482</v>
      </c>
      <c r="D3" s="160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6"/>
    </row>
    <row r="4" customFormat="false" ht="12" hidden="false" customHeight="false" outlineLevel="0" collapsed="false">
      <c r="A4" s="156"/>
      <c r="B4" s="328"/>
      <c r="C4" s="329" t="s">
        <v>32</v>
      </c>
      <c r="D4" s="164" t="s">
        <v>32</v>
      </c>
      <c r="E4" s="164" t="s">
        <v>32</v>
      </c>
      <c r="F4" s="164" t="s">
        <v>32</v>
      </c>
      <c r="G4" s="164" t="s">
        <v>32</v>
      </c>
      <c r="H4" s="164" t="s">
        <v>32</v>
      </c>
      <c r="I4" s="164" t="s">
        <v>32</v>
      </c>
      <c r="J4" s="164" t="s">
        <v>32</v>
      </c>
      <c r="K4" s="164" t="s">
        <v>32</v>
      </c>
      <c r="L4" s="164" t="s">
        <v>32</v>
      </c>
      <c r="M4" s="164" t="s">
        <v>32</v>
      </c>
      <c r="N4" s="166" t="s">
        <v>32</v>
      </c>
      <c r="O4" s="164" t="s">
        <v>32</v>
      </c>
      <c r="P4" s="156"/>
    </row>
    <row r="5" s="174" customFormat="true" ht="12" hidden="false" customHeight="false" outlineLevel="0" collapsed="false">
      <c r="A5" s="176"/>
      <c r="B5" s="330" t="s">
        <v>267</v>
      </c>
      <c r="C5" s="168" t="n">
        <f aca="false">SUM(D5:O5)</f>
        <v>339200</v>
      </c>
      <c r="D5" s="168" t="n">
        <f aca="false">'Profit &amp; Loss Account'!C9</f>
        <v>27833.3333333333</v>
      </c>
      <c r="E5" s="168" t="n">
        <f aca="false">'Profit &amp; Loss Account'!D9</f>
        <v>27433.3333333333</v>
      </c>
      <c r="F5" s="168" t="n">
        <f aca="false">'Profit &amp; Loss Account'!E9</f>
        <v>29333.3333333333</v>
      </c>
      <c r="G5" s="168" t="n">
        <f aca="false">'Profit &amp; Loss Account'!F9</f>
        <v>28133.3333333333</v>
      </c>
      <c r="H5" s="168" t="n">
        <f aca="false">'Profit &amp; Loss Account'!G9</f>
        <v>27933.3333333333</v>
      </c>
      <c r="I5" s="168" t="n">
        <f aca="false">'Profit &amp; Loss Account'!H9</f>
        <v>28133.3333333333</v>
      </c>
      <c r="J5" s="168" t="n">
        <f aca="false">'Profit &amp; Loss Account'!I9</f>
        <v>29633.3333333333</v>
      </c>
      <c r="K5" s="168" t="n">
        <f aca="false">'Profit &amp; Loss Account'!J9</f>
        <v>29433.3333333333</v>
      </c>
      <c r="L5" s="168" t="n">
        <f aca="false">'Profit &amp; Loss Account'!K9</f>
        <v>27333.3333333333</v>
      </c>
      <c r="M5" s="168" t="n">
        <f aca="false">'Profit &amp; Loss Account'!L9</f>
        <v>29533.3333333333</v>
      </c>
      <c r="N5" s="168" t="n">
        <f aca="false">'Profit &amp; Loss Account'!M9</f>
        <v>28633.3333333333</v>
      </c>
      <c r="O5" s="168" t="n">
        <f aca="false">'Profit &amp; Loss Account'!N9</f>
        <v>25833.3333333333</v>
      </c>
      <c r="P5" s="176"/>
    </row>
    <row r="6" s="174" customFormat="true" ht="6" hidden="false" customHeight="true" outlineLevel="0" collapsed="false">
      <c r="A6" s="176"/>
      <c r="B6" s="331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6"/>
    </row>
    <row r="7" customFormat="false" ht="12" hidden="false" customHeight="false" outlineLevel="0" collapsed="false">
      <c r="A7" s="156"/>
      <c r="B7" s="332" t="s">
        <v>388</v>
      </c>
      <c r="C7" s="168" t="n">
        <f aca="false">SUM(D7:O7)</f>
        <v>2083.33333333333</v>
      </c>
      <c r="D7" s="169" t="n">
        <f aca="false">'Profit &amp; Loss Account'!C11</f>
        <v>0</v>
      </c>
      <c r="E7" s="169" t="n">
        <f aca="false">'Profit &amp; Loss Account'!D11</f>
        <v>0</v>
      </c>
      <c r="F7" s="169" t="n">
        <f aca="false">'Profit &amp; Loss Account'!E11</f>
        <v>0</v>
      </c>
      <c r="G7" s="169" t="n">
        <f aca="false">'Profit &amp; Loss Account'!F11</f>
        <v>0</v>
      </c>
      <c r="H7" s="169" t="n">
        <f aca="false">'Profit &amp; Loss Account'!G11</f>
        <v>2083.33333333333</v>
      </c>
      <c r="I7" s="169" t="n">
        <f aca="false">'Profit &amp; Loss Account'!H11</f>
        <v>0</v>
      </c>
      <c r="J7" s="169" t="n">
        <f aca="false">'Profit &amp; Loss Account'!I11</f>
        <v>0</v>
      </c>
      <c r="K7" s="169" t="n">
        <f aca="false">'Profit &amp; Loss Account'!J11</f>
        <v>0</v>
      </c>
      <c r="L7" s="169" t="n">
        <f aca="false">'Profit &amp; Loss Account'!K11</f>
        <v>0</v>
      </c>
      <c r="M7" s="169" t="n">
        <f aca="false">'Profit &amp; Loss Account'!L11</f>
        <v>0</v>
      </c>
      <c r="N7" s="169" t="n">
        <f aca="false">'Profit &amp; Loss Account'!M11</f>
        <v>0</v>
      </c>
      <c r="O7" s="169" t="n">
        <f aca="false">'Profit &amp; Loss Account'!N11</f>
        <v>0</v>
      </c>
      <c r="P7" s="156"/>
    </row>
    <row r="8" customFormat="false" ht="6" hidden="false" customHeight="true" outlineLevel="0" collapsed="false">
      <c r="A8" s="156"/>
      <c r="B8" s="332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56"/>
    </row>
    <row r="9" s="174" customFormat="true" ht="12" hidden="false" customHeight="false" outlineLevel="0" collapsed="false">
      <c r="A9" s="176"/>
      <c r="B9" s="331" t="s">
        <v>273</v>
      </c>
      <c r="C9" s="168" t="n">
        <f aca="false">SUM(D9:O9)</f>
        <v>17744</v>
      </c>
      <c r="D9" s="168" t="n">
        <f aca="false">'Profit &amp; Loss Account'!C17</f>
        <v>885</v>
      </c>
      <c r="E9" s="168" t="n">
        <f aca="false">'Profit &amp; Loss Account'!D17</f>
        <v>969</v>
      </c>
      <c r="F9" s="168" t="n">
        <f aca="false">'Profit &amp; Loss Account'!E17</f>
        <v>5645</v>
      </c>
      <c r="G9" s="168" t="n">
        <f aca="false">'Profit &amp; Loss Account'!F17</f>
        <v>969</v>
      </c>
      <c r="H9" s="168" t="n">
        <f aca="false">'Profit &amp; Loss Account'!G17</f>
        <v>825</v>
      </c>
      <c r="I9" s="168" t="n">
        <f aca="false">'Profit &amp; Loss Account'!H17</f>
        <v>489</v>
      </c>
      <c r="J9" s="168" t="n">
        <f aca="false">'Profit &amp; Loss Account'!I17</f>
        <v>765</v>
      </c>
      <c r="K9" s="168" t="n">
        <f aca="false">'Profit &amp; Loss Account'!J17</f>
        <v>4089</v>
      </c>
      <c r="L9" s="168" t="n">
        <f aca="false">'Profit &amp; Loss Account'!K17</f>
        <v>765</v>
      </c>
      <c r="M9" s="168" t="n">
        <f aca="false">'Profit &amp; Loss Account'!L17</f>
        <v>849</v>
      </c>
      <c r="N9" s="168" t="n">
        <f aca="false">'Profit &amp; Loss Account'!M17</f>
        <v>945</v>
      </c>
      <c r="O9" s="168" t="n">
        <f aca="false">'Profit &amp; Loss Account'!N17</f>
        <v>549</v>
      </c>
      <c r="P9" s="176"/>
    </row>
    <row r="10" s="174" customFormat="true" ht="6" hidden="false" customHeight="true" outlineLevel="0" collapsed="false">
      <c r="A10" s="176"/>
      <c r="B10" s="331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6"/>
    </row>
    <row r="11" s="174" customFormat="true" ht="12" hidden="false" customHeight="false" outlineLevel="0" collapsed="false">
      <c r="A11" s="176"/>
      <c r="B11" s="330" t="s">
        <v>274</v>
      </c>
      <c r="C11" s="168" t="n">
        <f aca="false">SUM(D11:O11)</f>
        <v>323539.333333333</v>
      </c>
      <c r="D11" s="168" t="n">
        <f aca="false">D5+D7-D9</f>
        <v>26948.3333333333</v>
      </c>
      <c r="E11" s="168" t="n">
        <f aca="false">E5+E7-E9</f>
        <v>26464.3333333333</v>
      </c>
      <c r="F11" s="168" t="n">
        <f aca="false">F5+F7-F9</f>
        <v>23688.3333333333</v>
      </c>
      <c r="G11" s="168" t="n">
        <f aca="false">G5+G7-G9</f>
        <v>27164.3333333333</v>
      </c>
      <c r="H11" s="168" t="n">
        <f aca="false">H5+H7-H9</f>
        <v>29191.6666666666</v>
      </c>
      <c r="I11" s="168" t="n">
        <f aca="false">I5+I7-I9</f>
        <v>27644.3333333333</v>
      </c>
      <c r="J11" s="168" t="n">
        <f aca="false">J5+J7-J9</f>
        <v>28868.3333333333</v>
      </c>
      <c r="K11" s="168" t="n">
        <f aca="false">K5+K7-K9</f>
        <v>25344.3333333333</v>
      </c>
      <c r="L11" s="168" t="n">
        <f aca="false">L5+L7-L9</f>
        <v>26568.3333333333</v>
      </c>
      <c r="M11" s="168" t="n">
        <f aca="false">M5+M7-M9</f>
        <v>28684.3333333333</v>
      </c>
      <c r="N11" s="168" t="n">
        <f aca="false">N5+N7-N9</f>
        <v>27688.3333333333</v>
      </c>
      <c r="O11" s="168" t="n">
        <f aca="false">O5+O7-O9</f>
        <v>25284.3333333333</v>
      </c>
      <c r="P11" s="176"/>
    </row>
    <row r="12" s="174" customFormat="true" ht="6" hidden="false" customHeight="true" outlineLevel="0" collapsed="false">
      <c r="A12" s="176"/>
      <c r="B12" s="332"/>
      <c r="C12" s="175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6"/>
    </row>
    <row r="13" customFormat="false" ht="12" hidden="false" customHeight="false" outlineLevel="0" collapsed="false">
      <c r="A13" s="156"/>
      <c r="B13" s="331" t="s">
        <v>389</v>
      </c>
      <c r="C13" s="168" t="n">
        <f aca="false">SUM(D13:O13)</f>
        <v>30670.25</v>
      </c>
      <c r="D13" s="168" t="n">
        <f aca="false">'Profit &amp; Loss Account'!C35</f>
        <v>1249.25</v>
      </c>
      <c r="E13" s="168" t="n">
        <f aca="false">'Profit &amp; Loss Account'!D35</f>
        <v>1896</v>
      </c>
      <c r="F13" s="168" t="n">
        <f aca="false">'Profit &amp; Loss Account'!E35</f>
        <v>2317</v>
      </c>
      <c r="G13" s="168" t="n">
        <f aca="false">'Profit &amp; Loss Account'!F35</f>
        <v>1795.25</v>
      </c>
      <c r="H13" s="168" t="n">
        <f aca="false">'Profit &amp; Loss Account'!G35</f>
        <v>2217.25</v>
      </c>
      <c r="I13" s="168" t="n">
        <f aca="false">'Profit &amp; Loss Account'!H35</f>
        <v>2923</v>
      </c>
      <c r="J13" s="168" t="n">
        <f aca="false">'Profit &amp; Loss Account'!I35</f>
        <v>4349.75</v>
      </c>
      <c r="K13" s="168" t="n">
        <f aca="false">'Profit &amp; Loss Account'!J35</f>
        <v>1299</v>
      </c>
      <c r="L13" s="168" t="n">
        <f aca="false">'Profit &amp; Loss Account'!K35</f>
        <v>7514.5</v>
      </c>
      <c r="M13" s="168" t="n">
        <f aca="false">'Profit &amp; Loss Account'!L35</f>
        <v>1807.25</v>
      </c>
      <c r="N13" s="168" t="n">
        <f aca="false">'Profit &amp; Loss Account'!M35</f>
        <v>1758.5</v>
      </c>
      <c r="O13" s="168" t="n">
        <f aca="false">'Profit &amp; Loss Account'!N35</f>
        <v>1543.5</v>
      </c>
      <c r="P13" s="156"/>
    </row>
    <row r="14" customFormat="false" ht="6" hidden="false" customHeight="true" outlineLevel="0" collapsed="false">
      <c r="A14" s="156"/>
      <c r="B14" s="331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56"/>
    </row>
    <row r="15" customFormat="false" ht="12" hidden="false" customHeight="false" outlineLevel="0" collapsed="false">
      <c r="A15" s="156"/>
      <c r="B15" s="330" t="s">
        <v>290</v>
      </c>
      <c r="C15" s="168" t="n">
        <f aca="false">SUM(D15:O15)</f>
        <v>292869.083333333</v>
      </c>
      <c r="D15" s="168" t="n">
        <f aca="false">D11-D13</f>
        <v>25699.0833333333</v>
      </c>
      <c r="E15" s="168" t="n">
        <f aca="false">E11-E13</f>
        <v>24568.3333333333</v>
      </c>
      <c r="F15" s="168" t="n">
        <f aca="false">F11-F13</f>
        <v>21371.3333333333</v>
      </c>
      <c r="G15" s="168" t="n">
        <f aca="false">G11-G13</f>
        <v>25369.0833333333</v>
      </c>
      <c r="H15" s="168" t="n">
        <f aca="false">H11-H13</f>
        <v>26974.4166666666</v>
      </c>
      <c r="I15" s="168" t="n">
        <f aca="false">I11-I13</f>
        <v>24721.3333333333</v>
      </c>
      <c r="J15" s="168" t="n">
        <f aca="false">J11-J13</f>
        <v>24518.5833333333</v>
      </c>
      <c r="K15" s="168" t="n">
        <f aca="false">K11-K13</f>
        <v>24045.3333333333</v>
      </c>
      <c r="L15" s="168" t="n">
        <f aca="false">L11-L13</f>
        <v>19053.8333333333</v>
      </c>
      <c r="M15" s="168" t="n">
        <f aca="false">M11-M13</f>
        <v>26877.0833333333</v>
      </c>
      <c r="N15" s="168" t="n">
        <f aca="false">N11-N13</f>
        <v>25929.8333333333</v>
      </c>
      <c r="O15" s="168" t="n">
        <f aca="false">O11-O13</f>
        <v>23740.8333333333</v>
      </c>
      <c r="P15" s="156"/>
    </row>
    <row r="16" customFormat="false" ht="12" hidden="false" customHeight="false" outlineLevel="0" collapsed="false">
      <c r="A16" s="156"/>
      <c r="B16" s="332" t="s">
        <v>291</v>
      </c>
      <c r="C16" s="168" t="n">
        <f aca="false">SUM(D16:O16)</f>
        <v>0</v>
      </c>
      <c r="D16" s="169" t="n">
        <f aca="false">'Profit &amp; Loss Account'!C38</f>
        <v>0</v>
      </c>
      <c r="E16" s="169" t="n">
        <f aca="false">'Profit &amp; Loss Account'!D38</f>
        <v>0</v>
      </c>
      <c r="F16" s="169" t="n">
        <f aca="false">'Profit &amp; Loss Account'!E38</f>
        <v>0</v>
      </c>
      <c r="G16" s="169" t="n">
        <f aca="false">'Profit &amp; Loss Account'!F38</f>
        <v>0</v>
      </c>
      <c r="H16" s="169" t="n">
        <f aca="false">'Profit &amp; Loss Account'!G38</f>
        <v>0</v>
      </c>
      <c r="I16" s="169" t="n">
        <f aca="false">'Profit &amp; Loss Account'!H38</f>
        <v>0</v>
      </c>
      <c r="J16" s="169" t="n">
        <f aca="false">'Profit &amp; Loss Account'!I38</f>
        <v>0</v>
      </c>
      <c r="K16" s="169" t="n">
        <f aca="false">'Profit &amp; Loss Account'!J38</f>
        <v>0</v>
      </c>
      <c r="L16" s="169" t="n">
        <f aca="false">'Profit &amp; Loss Account'!K38</f>
        <v>0</v>
      </c>
      <c r="M16" s="169" t="n">
        <f aca="false">'Profit &amp; Loss Account'!L38</f>
        <v>0</v>
      </c>
      <c r="N16" s="169" t="n">
        <f aca="false">'Profit &amp; Loss Account'!M38</f>
        <v>0</v>
      </c>
      <c r="O16" s="169" t="n">
        <f aca="false">'Profit &amp; Loss Account'!N38</f>
        <v>0</v>
      </c>
      <c r="P16" s="156"/>
    </row>
    <row r="17" customFormat="false" ht="12" hidden="false" customHeight="false" outlineLevel="0" collapsed="false">
      <c r="A17" s="156"/>
      <c r="B17" s="333" t="s">
        <v>292</v>
      </c>
      <c r="C17" s="168" t="n">
        <f aca="false">SUM(D17:O17)</f>
        <v>292869.083333333</v>
      </c>
      <c r="D17" s="168" t="n">
        <f aca="false">D15+D16</f>
        <v>25699.0833333333</v>
      </c>
      <c r="E17" s="168" t="n">
        <f aca="false">E15+E16</f>
        <v>24568.3333333333</v>
      </c>
      <c r="F17" s="168" t="n">
        <f aca="false">F15+F16</f>
        <v>21371.3333333333</v>
      </c>
      <c r="G17" s="168" t="n">
        <f aca="false">G15+G16</f>
        <v>25369.0833333333</v>
      </c>
      <c r="H17" s="168" t="n">
        <f aca="false">H15+H16</f>
        <v>26974.4166666666</v>
      </c>
      <c r="I17" s="168" t="n">
        <f aca="false">I15+I16</f>
        <v>24721.3333333333</v>
      </c>
      <c r="J17" s="168" t="n">
        <f aca="false">J15+J16</f>
        <v>24518.5833333333</v>
      </c>
      <c r="K17" s="168" t="n">
        <f aca="false">K15+K16</f>
        <v>24045.3333333333</v>
      </c>
      <c r="L17" s="168" t="n">
        <f aca="false">L15+L16</f>
        <v>19053.8333333333</v>
      </c>
      <c r="M17" s="168" t="n">
        <f aca="false">M15+M16</f>
        <v>26877.0833333333</v>
      </c>
      <c r="N17" s="168" t="n">
        <f aca="false">N15+N16</f>
        <v>25929.8333333333</v>
      </c>
      <c r="O17" s="168" t="n">
        <f aca="false">O15+O16</f>
        <v>23740.8333333333</v>
      </c>
      <c r="P17" s="156"/>
    </row>
    <row r="18" customFormat="false" ht="12" hidden="false" customHeight="false" outlineLevel="0" collapsed="false">
      <c r="A18" s="156"/>
      <c r="B18" s="156"/>
      <c r="C18" s="334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customFormat="false" ht="12" hidden="false" customHeight="true" outlineLevel="0" collapsed="false">
      <c r="A19" s="156"/>
      <c r="B19" s="335" t="s">
        <v>390</v>
      </c>
      <c r="C19" s="159" t="s">
        <v>262</v>
      </c>
      <c r="D19" s="160" t="n">
        <f aca="false">D2</f>
        <v>46142</v>
      </c>
      <c r="E19" s="160" t="n">
        <f aca="false">E2</f>
        <v>46173</v>
      </c>
      <c r="F19" s="160" t="n">
        <f aca="false">F2</f>
        <v>46203</v>
      </c>
      <c r="G19" s="160" t="n">
        <f aca="false">G2</f>
        <v>46234</v>
      </c>
      <c r="H19" s="160" t="n">
        <f aca="false">H2</f>
        <v>46265</v>
      </c>
      <c r="I19" s="160" t="n">
        <f aca="false">I2</f>
        <v>46295</v>
      </c>
      <c r="J19" s="160" t="n">
        <f aca="false">J2</f>
        <v>46326</v>
      </c>
      <c r="K19" s="160" t="n">
        <f aca="false">K2</f>
        <v>46356</v>
      </c>
      <c r="L19" s="160" t="n">
        <f aca="false">L2</f>
        <v>46387</v>
      </c>
      <c r="M19" s="160" t="n">
        <f aca="false">M2</f>
        <v>46418</v>
      </c>
      <c r="N19" s="160" t="n">
        <f aca="false">N2</f>
        <v>46446</v>
      </c>
      <c r="O19" s="160" t="n">
        <f aca="false">O2</f>
        <v>46477</v>
      </c>
      <c r="P19" s="156"/>
    </row>
    <row r="20" customFormat="false" ht="12" hidden="false" customHeight="true" outlineLevel="0" collapsed="false">
      <c r="A20" s="156"/>
      <c r="B20" s="335"/>
      <c r="C20" s="163" t="n">
        <f aca="false">Admin!B$17</f>
        <v>46482</v>
      </c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56"/>
    </row>
    <row r="21" customFormat="false" ht="12" hidden="false" customHeight="false" outlineLevel="0" collapsed="false">
      <c r="A21" s="156"/>
      <c r="B21" s="335"/>
      <c r="C21" s="165" t="n">
        <f aca="false">SUM(D21:O21)</f>
        <v>12</v>
      </c>
      <c r="D21" s="164" t="n">
        <f aca="false">IF(D5&gt;0,1," ")</f>
        <v>1</v>
      </c>
      <c r="E21" s="164" t="n">
        <f aca="false">IF(E5&gt;0,1," ")</f>
        <v>1</v>
      </c>
      <c r="F21" s="164" t="n">
        <f aca="false">IF(F5&gt;0,1," ")</f>
        <v>1</v>
      </c>
      <c r="G21" s="164" t="n">
        <f aca="false">IF(G5&gt;0,1," ")</f>
        <v>1</v>
      </c>
      <c r="H21" s="164" t="n">
        <f aca="false">IF(H5&gt;0,1," ")</f>
        <v>1</v>
      </c>
      <c r="I21" s="164" t="n">
        <f aca="false">IF(I5&gt;0,1," ")</f>
        <v>1</v>
      </c>
      <c r="J21" s="164" t="n">
        <f aca="false">IF(J5&gt;0,1," ")</f>
        <v>1</v>
      </c>
      <c r="K21" s="164" t="n">
        <f aca="false">IF(K5&gt;0,1," ")</f>
        <v>1</v>
      </c>
      <c r="L21" s="164" t="n">
        <f aca="false">IF(L5&gt;0,1," ")</f>
        <v>1</v>
      </c>
      <c r="M21" s="164" t="n">
        <f aca="false">IF(M5&gt;0,1," ")</f>
        <v>1</v>
      </c>
      <c r="N21" s="164" t="n">
        <f aca="false">IF(N5&gt;0,1," ")</f>
        <v>1</v>
      </c>
      <c r="O21" s="164" t="n">
        <f aca="false">IF(O5&gt;0,1," ")</f>
        <v>1</v>
      </c>
      <c r="P21" s="156"/>
    </row>
    <row r="22" s="174" customFormat="true" ht="12" hidden="false" customHeight="false" outlineLevel="0" collapsed="false">
      <c r="A22" s="176"/>
      <c r="B22" s="330" t="s">
        <v>267</v>
      </c>
      <c r="C22" s="168" t="n">
        <f aca="false">SUM(D22:O22)</f>
        <v>339200</v>
      </c>
      <c r="D22" s="168" t="n">
        <f aca="false">IF(C5&gt;0,IF(D5&gt;0,D5,C5/C21),0)</f>
        <v>27833.3333333333</v>
      </c>
      <c r="E22" s="168" t="n">
        <f aca="false">IF(C5&gt;0,IF(E5&gt;0,E5,C5/C21),0)</f>
        <v>27433.3333333333</v>
      </c>
      <c r="F22" s="168" t="n">
        <f aca="false">IF(C5&gt;0,IF(F5&gt;0,F5,C5/C21),0)</f>
        <v>29333.3333333333</v>
      </c>
      <c r="G22" s="168" t="n">
        <f aca="false">IF(C5&gt;0,IF(G5&gt;0,G5,C5/C21),0)</f>
        <v>28133.3333333333</v>
      </c>
      <c r="H22" s="168" t="n">
        <f aca="false">IF(C5&gt;0,IF(H5&gt;0,H5,C5/C21),0)</f>
        <v>27933.3333333333</v>
      </c>
      <c r="I22" s="168" t="n">
        <f aca="false">IF(C5&gt;0,IF(I5&gt;0,I5,C5/C21),0)</f>
        <v>28133.3333333333</v>
      </c>
      <c r="J22" s="168" t="n">
        <f aca="false">IF(C5&gt;0,IF(J5&gt;0,J5,C5/C21),0)</f>
        <v>29633.3333333333</v>
      </c>
      <c r="K22" s="168" t="n">
        <f aca="false">IF(C5&gt;0,IF(K5&gt;0,K5,C5/C21),0)</f>
        <v>29433.3333333333</v>
      </c>
      <c r="L22" s="168" t="n">
        <f aca="false">IF(C5&gt;0,IF(L5&gt;0,L5,C5/C21),0)</f>
        <v>27333.3333333333</v>
      </c>
      <c r="M22" s="168" t="n">
        <f aca="false">IF(C5&gt;0,IF(M5&gt;0,M5,C5/C21),0)</f>
        <v>29533.3333333333</v>
      </c>
      <c r="N22" s="168" t="n">
        <f aca="false">IF(C5&gt;0,IF(N5&gt;0,N5,C5/C21),0)</f>
        <v>28633.3333333333</v>
      </c>
      <c r="O22" s="168" t="n">
        <f aca="false">IF(C5&gt;0,IF(O5&gt;0,O5,C5/C21),0)</f>
        <v>25833.3333333333</v>
      </c>
      <c r="P22" s="176"/>
    </row>
    <row r="23" s="174" customFormat="true" ht="6" hidden="false" customHeight="true" outlineLevel="0" collapsed="false">
      <c r="A23" s="176"/>
      <c r="B23" s="331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6"/>
    </row>
    <row r="24" customFormat="false" ht="12" hidden="false" customHeight="false" outlineLevel="0" collapsed="false">
      <c r="A24" s="156"/>
      <c r="B24" s="332" t="s">
        <v>388</v>
      </c>
      <c r="C24" s="168" t="n">
        <f aca="false">SUM(D24:O24)</f>
        <v>2083.33333333333</v>
      </c>
      <c r="D24" s="169" t="n">
        <f aca="false">D7</f>
        <v>0</v>
      </c>
      <c r="E24" s="169" t="n">
        <f aca="false">E7</f>
        <v>0</v>
      </c>
      <c r="F24" s="169" t="n">
        <f aca="false">F7</f>
        <v>0</v>
      </c>
      <c r="G24" s="169" t="n">
        <f aca="false">G7</f>
        <v>0</v>
      </c>
      <c r="H24" s="169" t="n">
        <f aca="false">H7</f>
        <v>2083.33333333333</v>
      </c>
      <c r="I24" s="169" t="n">
        <f aca="false">I7</f>
        <v>0</v>
      </c>
      <c r="J24" s="169" t="n">
        <f aca="false">J7</f>
        <v>0</v>
      </c>
      <c r="K24" s="169" t="n">
        <f aca="false">K7</f>
        <v>0</v>
      </c>
      <c r="L24" s="169" t="n">
        <f aca="false">L7</f>
        <v>0</v>
      </c>
      <c r="M24" s="169" t="n">
        <f aca="false">M7</f>
        <v>0</v>
      </c>
      <c r="N24" s="169" t="n">
        <f aca="false">N7</f>
        <v>0</v>
      </c>
      <c r="O24" s="169" t="n">
        <f aca="false">O7</f>
        <v>0</v>
      </c>
      <c r="P24" s="156"/>
    </row>
    <row r="25" customFormat="false" ht="6" hidden="false" customHeight="true" outlineLevel="0" collapsed="false">
      <c r="A25" s="156"/>
      <c r="B25" s="332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56"/>
    </row>
    <row r="26" s="174" customFormat="true" ht="12" hidden="false" customHeight="false" outlineLevel="0" collapsed="false">
      <c r="A26" s="176"/>
      <c r="B26" s="331" t="s">
        <v>273</v>
      </c>
      <c r="C26" s="168" t="n">
        <f aca="false">SUM(D26:O26)</f>
        <v>17744</v>
      </c>
      <c r="D26" s="168" t="n">
        <f aca="false">IF(C5&gt;0,IF(D5&gt;0,D9,C9/C21),0)</f>
        <v>885</v>
      </c>
      <c r="E26" s="168" t="n">
        <f aca="false">IF(C5&gt;0,IF(E5&gt;0,E9,C9/C21),0)</f>
        <v>969</v>
      </c>
      <c r="F26" s="168" t="n">
        <f aca="false">IF(C5&gt;0,IF(F5&gt;0,F9,C9/C21),0)</f>
        <v>5645</v>
      </c>
      <c r="G26" s="168" t="n">
        <f aca="false">IF(C5&gt;0,IF(G5&gt;0,G9,C9/C21),0)</f>
        <v>969</v>
      </c>
      <c r="H26" s="168" t="n">
        <f aca="false">IF(C5&gt;0,IF(H5&gt;0,H9,C9/C21),0)</f>
        <v>825</v>
      </c>
      <c r="I26" s="168" t="n">
        <f aca="false">IF(C5&gt;0,IF(I5&gt;0,I9,C9/C21),0)</f>
        <v>489</v>
      </c>
      <c r="J26" s="168" t="n">
        <f aca="false">IF(C5&gt;0,IF(J5&gt;0,J9,C9/C21),0)</f>
        <v>765</v>
      </c>
      <c r="K26" s="168" t="n">
        <f aca="false">IF(C5&gt;0,IF(K5&gt;0,K9,C9/C21),0)</f>
        <v>4089</v>
      </c>
      <c r="L26" s="168" t="n">
        <f aca="false">IF(C5&gt;0,IF(L5&gt;0,L9,C9/C21),0)</f>
        <v>765</v>
      </c>
      <c r="M26" s="168" t="n">
        <f aca="false">IF(C5&gt;0,IF(M5&gt;0,M9,C9/C21),0)</f>
        <v>849</v>
      </c>
      <c r="N26" s="168" t="n">
        <f aca="false">IF(C5&gt;0,IF(N5&gt;0,N9,C9/C21),0)</f>
        <v>945</v>
      </c>
      <c r="O26" s="168" t="n">
        <f aca="false">IF(C5&gt;0,IF(O5&gt;0,O9,C9/C21),0)</f>
        <v>549</v>
      </c>
      <c r="P26" s="176"/>
    </row>
    <row r="27" s="174" customFormat="true" ht="7.5" hidden="false" customHeight="true" outlineLevel="0" collapsed="false">
      <c r="A27" s="176"/>
      <c r="B27" s="331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6"/>
    </row>
    <row r="28" s="174" customFormat="true" ht="12" hidden="false" customHeight="false" outlineLevel="0" collapsed="false">
      <c r="A28" s="176"/>
      <c r="B28" s="330" t="s">
        <v>274</v>
      </c>
      <c r="C28" s="168" t="n">
        <f aca="false">SUM(D28:O28)</f>
        <v>323539.333333333</v>
      </c>
      <c r="D28" s="168" t="n">
        <f aca="false">D22+D24-D26</f>
        <v>26948.3333333333</v>
      </c>
      <c r="E28" s="168" t="n">
        <f aca="false">E22+E24-E26</f>
        <v>26464.3333333333</v>
      </c>
      <c r="F28" s="168" t="n">
        <f aca="false">F22+F24-F26</f>
        <v>23688.3333333333</v>
      </c>
      <c r="G28" s="168" t="n">
        <f aca="false">G22+G24-G26</f>
        <v>27164.3333333333</v>
      </c>
      <c r="H28" s="168" t="n">
        <f aca="false">H22+H24-H26</f>
        <v>29191.6666666666</v>
      </c>
      <c r="I28" s="168" t="n">
        <f aca="false">I22+I24-I26</f>
        <v>27644.3333333333</v>
      </c>
      <c r="J28" s="168" t="n">
        <f aca="false">J22+J24-J26</f>
        <v>28868.3333333333</v>
      </c>
      <c r="K28" s="168" t="n">
        <f aca="false">K22+K24-K26</f>
        <v>25344.3333333333</v>
      </c>
      <c r="L28" s="168" t="n">
        <f aca="false">L22+L24-L26</f>
        <v>26568.3333333333</v>
      </c>
      <c r="M28" s="168" t="n">
        <f aca="false">M22+M24-M26</f>
        <v>28684.3333333333</v>
      </c>
      <c r="N28" s="168" t="n">
        <f aca="false">N22+N24-N26</f>
        <v>27688.3333333333</v>
      </c>
      <c r="O28" s="168" t="n">
        <f aca="false">O22+O24-O26</f>
        <v>25284.3333333333</v>
      </c>
      <c r="P28" s="176"/>
    </row>
    <row r="29" s="174" customFormat="true" ht="6" hidden="false" customHeight="true" outlineLevel="0" collapsed="false">
      <c r="A29" s="176"/>
      <c r="B29" s="332"/>
      <c r="C29" s="175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6"/>
    </row>
    <row r="30" customFormat="false" ht="12" hidden="false" customHeight="false" outlineLevel="0" collapsed="false">
      <c r="A30" s="156"/>
      <c r="B30" s="331" t="s">
        <v>389</v>
      </c>
      <c r="C30" s="168" t="n">
        <f aca="false">SUM(D30:O30)</f>
        <v>30670.25</v>
      </c>
      <c r="D30" s="168" t="n">
        <f aca="false">IF(C5&gt;0,IF(D5&gt;0,D13,C13/C21),0)</f>
        <v>1249.25</v>
      </c>
      <c r="E30" s="168" t="n">
        <f aca="false">IF(C5&gt;0,IF(E5&gt;0,E13,C13/C21),0)</f>
        <v>1896</v>
      </c>
      <c r="F30" s="168" t="n">
        <f aca="false">IF(C5&gt;0,IF(F5&gt;0,F13,C13/C21),0)</f>
        <v>2317</v>
      </c>
      <c r="G30" s="168" t="n">
        <f aca="false">IF(C5&gt;0,IF(G5&gt;0,G13,C13/C21),0)</f>
        <v>1795.25</v>
      </c>
      <c r="H30" s="168" t="n">
        <f aca="false">IF(C5&gt;0,IF(H5&gt;0,H13,C13/C21),0)</f>
        <v>2217.25</v>
      </c>
      <c r="I30" s="168" t="n">
        <f aca="false">IF(C5&gt;0,IF(I5&gt;0,I13,C13/C21),0)</f>
        <v>2923</v>
      </c>
      <c r="J30" s="168" t="n">
        <f aca="false">IF(C5&gt;0,IF(J5&gt;0,J13,C13/C21),0)</f>
        <v>4349.75</v>
      </c>
      <c r="K30" s="168" t="n">
        <f aca="false">IF(C5&gt;0,IF(K5&gt;0,K13,C13/C21),0)</f>
        <v>1299</v>
      </c>
      <c r="L30" s="168" t="n">
        <f aca="false">IF(C5&gt;0,IF(L5&gt;0,L13,C13/C21),0)</f>
        <v>7514.5</v>
      </c>
      <c r="M30" s="168" t="n">
        <f aca="false">IF(C5&gt;0,IF(M5&gt;0,M13,C13/C21),0)</f>
        <v>1807.25</v>
      </c>
      <c r="N30" s="168" t="n">
        <f aca="false">IF(C5&gt;0,IF(N5&gt;0,N13,C13/C21),0)</f>
        <v>1758.5</v>
      </c>
      <c r="O30" s="168" t="n">
        <f aca="false">IF(C5&gt;0,IF(O5&gt;0,O13,C13/C21),0)</f>
        <v>1543.5</v>
      </c>
      <c r="P30" s="156"/>
    </row>
    <row r="31" customFormat="false" ht="6" hidden="false" customHeight="true" outlineLevel="0" collapsed="false">
      <c r="A31" s="156"/>
      <c r="B31" s="331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56"/>
    </row>
    <row r="32" customFormat="false" ht="12" hidden="false" customHeight="false" outlineLevel="0" collapsed="false">
      <c r="A32" s="156"/>
      <c r="B32" s="330" t="s">
        <v>290</v>
      </c>
      <c r="C32" s="168" t="n">
        <f aca="false">SUM(D32:O32)</f>
        <v>292869.083333333</v>
      </c>
      <c r="D32" s="168" t="n">
        <f aca="false">D28-D30</f>
        <v>25699.0833333333</v>
      </c>
      <c r="E32" s="168" t="n">
        <f aca="false">E28-E30</f>
        <v>24568.3333333333</v>
      </c>
      <c r="F32" s="168" t="n">
        <f aca="false">F28-F30</f>
        <v>21371.3333333333</v>
      </c>
      <c r="G32" s="168" t="n">
        <f aca="false">G28-G30</f>
        <v>25369.0833333333</v>
      </c>
      <c r="H32" s="168" t="n">
        <f aca="false">H28-H30</f>
        <v>26974.4166666666</v>
      </c>
      <c r="I32" s="168" t="n">
        <f aca="false">I28-I30</f>
        <v>24721.3333333333</v>
      </c>
      <c r="J32" s="168" t="n">
        <f aca="false">J28-J30</f>
        <v>24518.5833333333</v>
      </c>
      <c r="K32" s="168" t="n">
        <f aca="false">K28-K30</f>
        <v>24045.3333333333</v>
      </c>
      <c r="L32" s="168" t="n">
        <f aca="false">L28-L30</f>
        <v>19053.8333333333</v>
      </c>
      <c r="M32" s="168" t="n">
        <f aca="false">M28-M30</f>
        <v>26877.0833333333</v>
      </c>
      <c r="N32" s="168" t="n">
        <f aca="false">N28-N30</f>
        <v>25929.8333333333</v>
      </c>
      <c r="O32" s="168" t="n">
        <f aca="false">O28-O30</f>
        <v>23740.8333333333</v>
      </c>
      <c r="P32" s="156"/>
    </row>
    <row r="33" customFormat="false" ht="12" hidden="false" customHeight="false" outlineLevel="0" collapsed="false">
      <c r="A33" s="156"/>
      <c r="B33" s="332" t="s">
        <v>291</v>
      </c>
      <c r="C33" s="168" t="n">
        <f aca="false">SUM(D33:O33)</f>
        <v>0</v>
      </c>
      <c r="D33" s="169" t="n">
        <f aca="false">D16</f>
        <v>0</v>
      </c>
      <c r="E33" s="169" t="n">
        <f aca="false">E16</f>
        <v>0</v>
      </c>
      <c r="F33" s="169" t="n">
        <f aca="false">F16</f>
        <v>0</v>
      </c>
      <c r="G33" s="169" t="n">
        <f aca="false">G16</f>
        <v>0</v>
      </c>
      <c r="H33" s="169" t="n">
        <f aca="false">H16</f>
        <v>0</v>
      </c>
      <c r="I33" s="169" t="n">
        <f aca="false">I16</f>
        <v>0</v>
      </c>
      <c r="J33" s="169" t="n">
        <f aca="false">J16</f>
        <v>0</v>
      </c>
      <c r="K33" s="169" t="n">
        <f aca="false">K16</f>
        <v>0</v>
      </c>
      <c r="L33" s="169" t="n">
        <f aca="false">L16</f>
        <v>0</v>
      </c>
      <c r="M33" s="169" t="n">
        <f aca="false">M16</f>
        <v>0</v>
      </c>
      <c r="N33" s="169" t="n">
        <f aca="false">N16</f>
        <v>0</v>
      </c>
      <c r="O33" s="169" t="n">
        <f aca="false">O16</f>
        <v>0</v>
      </c>
      <c r="P33" s="156"/>
    </row>
    <row r="34" customFormat="false" ht="12" hidden="false" customHeight="false" outlineLevel="0" collapsed="false">
      <c r="A34" s="156"/>
      <c r="B34" s="333" t="s">
        <v>292</v>
      </c>
      <c r="C34" s="168" t="n">
        <f aca="false">SUM(D34:O34)</f>
        <v>292869.083333333</v>
      </c>
      <c r="D34" s="168" t="n">
        <f aca="false">D32+D33</f>
        <v>25699.0833333333</v>
      </c>
      <c r="E34" s="168" t="n">
        <f aca="false">E32+E33</f>
        <v>24568.3333333333</v>
      </c>
      <c r="F34" s="168" t="n">
        <f aca="false">F32+F33</f>
        <v>21371.3333333333</v>
      </c>
      <c r="G34" s="168" t="n">
        <f aca="false">G32+G33</f>
        <v>25369.0833333333</v>
      </c>
      <c r="H34" s="168" t="n">
        <f aca="false">H32+H33</f>
        <v>26974.4166666666</v>
      </c>
      <c r="I34" s="168" t="n">
        <f aca="false">I32+I33</f>
        <v>24721.3333333333</v>
      </c>
      <c r="J34" s="168" t="n">
        <f aca="false">J32+J33</f>
        <v>24518.5833333333</v>
      </c>
      <c r="K34" s="168" t="n">
        <f aca="false">K32+K33</f>
        <v>24045.3333333333</v>
      </c>
      <c r="L34" s="168" t="n">
        <f aca="false">L32+L33</f>
        <v>19053.8333333333</v>
      </c>
      <c r="M34" s="168" t="n">
        <f aca="false">M32+M33</f>
        <v>26877.0833333333</v>
      </c>
      <c r="N34" s="168" t="n">
        <f aca="false">N32+N33</f>
        <v>25929.8333333333</v>
      </c>
      <c r="O34" s="168" t="n">
        <f aca="false">O32+O33</f>
        <v>23740.8333333333</v>
      </c>
      <c r="P34" s="156"/>
    </row>
    <row r="35" customFormat="false" ht="6" hidden="false" customHeight="true" outlineLevel="0" collapsed="false">
      <c r="A35" s="156"/>
      <c r="B35" s="330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56"/>
    </row>
    <row r="36" customFormat="false" ht="12" hidden="false" customHeight="true" outlineLevel="0" collapsed="false">
      <c r="A36" s="156"/>
      <c r="B36" s="336" t="s">
        <v>391</v>
      </c>
      <c r="C36" s="33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</row>
    <row r="37" customFormat="false" ht="12" hidden="false" customHeight="false" outlineLevel="0" collapsed="false">
      <c r="A37" s="156"/>
      <c r="B37" s="167" t="s">
        <v>392</v>
      </c>
      <c r="C37" s="337" t="n">
        <f aca="false">'Profit &amp; Loss Account'!B33+'Profit &amp; Loss Account'!B34</f>
        <v>0</v>
      </c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</row>
    <row r="38" customFormat="false" ht="12" hidden="false" customHeight="false" outlineLevel="0" collapsed="false">
      <c r="A38" s="156"/>
      <c r="B38" s="167" t="s">
        <v>393</v>
      </c>
      <c r="C38" s="337" t="n">
        <f aca="false">[1]Schedule!$Q$1+[1]Schedule!$R$1+[1]Schedule!$Y$1-[1]Schedule!$Z$1</f>
        <v>0</v>
      </c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</row>
    <row r="39" customFormat="false" ht="12" hidden="false" customHeight="false" outlineLevel="0" collapsed="false">
      <c r="A39" s="156"/>
      <c r="B39" s="167" t="s">
        <v>394</v>
      </c>
      <c r="C39" s="337" t="n">
        <f aca="false">C34+C37-C38</f>
        <v>292869.083333333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</row>
    <row r="40" customFormat="false" ht="12" hidden="false" customHeight="false" outlineLevel="0" collapsed="false">
      <c r="A40" s="156"/>
      <c r="B40" s="180" t="s">
        <v>395</v>
      </c>
      <c r="C40" s="337" t="n">
        <f aca="false">Admin!N$4</f>
        <v>12570</v>
      </c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</row>
    <row r="41" customFormat="false" ht="12" hidden="false" customHeight="false" outlineLevel="0" collapsed="false">
      <c r="A41" s="156"/>
      <c r="B41" s="180" t="s">
        <v>396</v>
      </c>
      <c r="C41" s="337" t="n">
        <f aca="false">IF((C39&gt;C40),(C39-C40),0)</f>
        <v>280299.083333333</v>
      </c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</row>
    <row r="42" customFormat="false" ht="12" hidden="false" customHeight="false" outlineLevel="0" collapsed="false">
      <c r="A42" s="156"/>
      <c r="B42" s="180" t="s">
        <v>397</v>
      </c>
      <c r="C42" s="337" t="n">
        <f aca="false">IF((C41&gt;0),(IF((C41&lt;Admin!N$12),C41*Admin!N$6,Admin!N$12*Admin!N$6)),0)</f>
        <v>7540.2</v>
      </c>
      <c r="D42" s="338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</row>
    <row r="43" customFormat="false" ht="12" hidden="false" customHeight="false" outlineLevel="0" collapsed="false">
      <c r="A43" s="156"/>
      <c r="B43" s="180" t="s">
        <v>398</v>
      </c>
      <c r="C43" s="337" t="n">
        <f aca="false">IF((C41&gt;Admin!N$12),((C41-Admin!N$12)*Admin!N$7),0)</f>
        <v>97039.2333333332</v>
      </c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</row>
    <row r="44" customFormat="false" ht="12" hidden="false" customHeight="false" outlineLevel="0" collapsed="false">
      <c r="A44" s="156"/>
      <c r="B44" s="180" t="s">
        <v>399</v>
      </c>
      <c r="C44" s="337" t="n">
        <f aca="false">IF((C41&gt;0),IF(C41&gt;Admin!N12,Admin!N12*Admin!L20+(C41-Admin!N12)*Admin!L23,C41*Admin!L$20),0)</f>
        <v>7114.02166666666</v>
      </c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</row>
    <row r="45" customFormat="false" ht="6" hidden="false" customHeight="true" outlineLevel="0" collapsed="false">
      <c r="A45" s="156"/>
      <c r="B45" s="180"/>
      <c r="C45" s="337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</row>
    <row r="46" customFormat="false" ht="12" hidden="false" customHeight="false" outlineLevel="0" collapsed="false">
      <c r="A46" s="156"/>
      <c r="B46" s="180" t="s">
        <v>400</v>
      </c>
      <c r="C46" s="339" t="n">
        <f aca="false">C42+C43+C44</f>
        <v>111693.455</v>
      </c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</row>
    <row r="47" customFormat="false" ht="12" hidden="false" customHeight="false" outlineLevel="0" collapsed="false">
      <c r="A47" s="156"/>
      <c r="B47" s="277"/>
      <c r="C47" s="184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47" width="1.5"/>
    <col collapsed="false" customWidth="true" hidden="false" outlineLevel="0" max="2" min="2" style="340" width="10.15"/>
    <col collapsed="false" customWidth="true" hidden="false" outlineLevel="0" max="3" min="3" style="47" width="4.66"/>
    <col collapsed="false" customWidth="true" hidden="false" outlineLevel="0" max="5" min="4" style="47" width="11.15"/>
    <col collapsed="false" customWidth="true" hidden="false" outlineLevel="0" max="6" min="6" style="47" width="10.99"/>
    <col collapsed="false" customWidth="false" hidden="false" outlineLevel="0" max="7" min="7" style="341" width="9.15"/>
    <col collapsed="false" customWidth="true" hidden="false" outlineLevel="0" max="8" min="8" style="47" width="4.66"/>
    <col collapsed="false" customWidth="false" hidden="false" outlineLevel="0" max="12" min="9" style="47" width="9.15"/>
    <col collapsed="false" customWidth="true" hidden="false" outlineLevel="0" max="13" min="13" style="47" width="13.49"/>
    <col collapsed="false" customWidth="false" hidden="false" outlineLevel="0" max="14" min="14" style="47" width="9.15"/>
    <col collapsed="false" customWidth="true" hidden="false" outlineLevel="0" max="15" min="15" style="47" width="4.33"/>
    <col collapsed="false" customWidth="false" hidden="false" outlineLevel="0" max="257" min="16" style="47" width="9.15"/>
  </cols>
  <sheetData>
    <row r="1" customFormat="false" ht="12" hidden="false" customHeight="true" outlineLevel="0" collapsed="false">
      <c r="A1" s="60"/>
      <c r="B1" s="342" t="s">
        <v>401</v>
      </c>
      <c r="C1" s="60"/>
      <c r="D1" s="343"/>
      <c r="E1" s="343"/>
      <c r="F1" s="343"/>
      <c r="G1" s="344"/>
      <c r="H1" s="60"/>
      <c r="I1" s="60"/>
      <c r="J1" s="60"/>
      <c r="K1" s="60"/>
      <c r="L1" s="60"/>
      <c r="M1" s="60"/>
      <c r="N1" s="60"/>
      <c r="O1" s="60"/>
    </row>
    <row r="2" customFormat="false" ht="12" hidden="false" customHeight="true" outlineLevel="0" collapsed="false">
      <c r="A2" s="60"/>
      <c r="B2" s="345" t="n">
        <v>46081</v>
      </c>
      <c r="C2" s="60"/>
      <c r="D2" s="346" t="s">
        <v>402</v>
      </c>
      <c r="E2" s="346"/>
      <c r="F2" s="346"/>
      <c r="G2" s="347" t="str">
        <f aca="false">B23</f>
        <v>2026-27</v>
      </c>
      <c r="H2" s="60"/>
      <c r="I2" s="60"/>
      <c r="J2" s="348" t="s">
        <v>403</v>
      </c>
      <c r="K2" s="348"/>
      <c r="L2" s="349" t="str">
        <f aca="false">G2</f>
        <v>2026-27</v>
      </c>
      <c r="M2" s="60"/>
      <c r="N2" s="60"/>
      <c r="O2" s="60"/>
    </row>
    <row r="3" customFormat="false" ht="12" hidden="false" customHeight="true" outlineLevel="0" collapsed="false">
      <c r="A3" s="60"/>
      <c r="B3" s="345" t="n">
        <v>46112</v>
      </c>
      <c r="C3" s="60"/>
      <c r="D3" s="60"/>
      <c r="E3" s="60"/>
      <c r="F3" s="60"/>
      <c r="G3" s="350"/>
      <c r="H3" s="60"/>
      <c r="I3" s="60"/>
      <c r="J3" s="351"/>
      <c r="K3" s="351"/>
      <c r="L3" s="344"/>
      <c r="M3" s="60"/>
      <c r="N3" s="60"/>
      <c r="O3" s="60"/>
    </row>
    <row r="4" customFormat="false" ht="12" hidden="false" customHeight="true" outlineLevel="0" collapsed="false">
      <c r="A4" s="60"/>
      <c r="B4" s="352" t="n">
        <v>46118</v>
      </c>
      <c r="C4" s="60"/>
      <c r="D4" s="353" t="s">
        <v>82</v>
      </c>
      <c r="E4" s="353"/>
      <c r="F4" s="353"/>
      <c r="G4" s="354" t="n">
        <v>1</v>
      </c>
      <c r="H4" s="60"/>
      <c r="I4" s="353" t="s">
        <v>404</v>
      </c>
      <c r="J4" s="353"/>
      <c r="K4" s="353"/>
      <c r="L4" s="353"/>
      <c r="M4" s="353"/>
      <c r="N4" s="355" t="n">
        <v>12570</v>
      </c>
      <c r="O4" s="350" t="s">
        <v>32</v>
      </c>
    </row>
    <row r="5" customFormat="false" ht="12" hidden="false" customHeight="true" outlineLevel="0" collapsed="false">
      <c r="A5" s="60"/>
      <c r="B5" s="345" t="n">
        <v>46142</v>
      </c>
      <c r="C5" s="60"/>
      <c r="D5" s="353" t="s">
        <v>405</v>
      </c>
      <c r="E5" s="353"/>
      <c r="F5" s="353"/>
      <c r="G5" s="354" t="n">
        <v>0.14</v>
      </c>
      <c r="H5" s="60"/>
      <c r="I5" s="60"/>
      <c r="J5" s="60"/>
      <c r="K5" s="60"/>
      <c r="L5" s="60"/>
      <c r="M5" s="60"/>
      <c r="N5" s="350"/>
      <c r="O5" s="350"/>
    </row>
    <row r="6" customFormat="false" ht="12" hidden="false" customHeight="true" outlineLevel="0" collapsed="false">
      <c r="A6" s="60"/>
      <c r="B6" s="345" t="n">
        <v>46173</v>
      </c>
      <c r="C6" s="60"/>
      <c r="D6" s="60"/>
      <c r="E6" s="60"/>
      <c r="F6" s="60"/>
      <c r="G6" s="350"/>
      <c r="H6" s="60"/>
      <c r="I6" s="353" t="s">
        <v>406</v>
      </c>
      <c r="J6" s="353"/>
      <c r="K6" s="353"/>
      <c r="L6" s="353"/>
      <c r="M6" s="353"/>
      <c r="N6" s="354" t="n">
        <v>0.2</v>
      </c>
      <c r="O6" s="350" t="s">
        <v>407</v>
      </c>
    </row>
    <row r="7" customFormat="false" ht="12" hidden="false" customHeight="true" outlineLevel="0" collapsed="false">
      <c r="A7" s="60"/>
      <c r="B7" s="345" t="n">
        <v>46203</v>
      </c>
      <c r="C7" s="60"/>
      <c r="D7" s="353" t="s">
        <v>408</v>
      </c>
      <c r="E7" s="353"/>
      <c r="F7" s="353"/>
      <c r="G7" s="350"/>
      <c r="H7" s="60"/>
      <c r="I7" s="353" t="s">
        <v>409</v>
      </c>
      <c r="J7" s="353"/>
      <c r="K7" s="353"/>
      <c r="L7" s="353"/>
      <c r="M7" s="353"/>
      <c r="N7" s="354" t="n">
        <v>0.4</v>
      </c>
      <c r="O7" s="350" t="s">
        <v>407</v>
      </c>
    </row>
    <row r="8" customFormat="false" ht="12" hidden="false" customHeight="true" outlineLevel="0" collapsed="false">
      <c r="A8" s="60"/>
      <c r="B8" s="345" t="n">
        <v>46234</v>
      </c>
      <c r="C8" s="60"/>
      <c r="D8" s="60" t="s">
        <v>410</v>
      </c>
      <c r="E8" s="356" t="n">
        <v>12000</v>
      </c>
      <c r="F8" s="60" t="s">
        <v>411</v>
      </c>
      <c r="G8" s="356" t="n">
        <v>3000</v>
      </c>
      <c r="H8" s="60"/>
      <c r="I8" s="60"/>
      <c r="J8" s="60"/>
      <c r="K8" s="60"/>
      <c r="L8" s="60"/>
      <c r="M8" s="60"/>
      <c r="N8" s="350"/>
      <c r="O8" s="350"/>
    </row>
    <row r="9" customFormat="false" ht="12" hidden="false" customHeight="true" outlineLevel="0" collapsed="false">
      <c r="A9" s="60"/>
      <c r="B9" s="345" t="n">
        <v>46265</v>
      </c>
      <c r="C9" s="60"/>
      <c r="D9" s="60"/>
      <c r="E9" s="350"/>
      <c r="F9" s="60"/>
      <c r="G9" s="350"/>
      <c r="H9" s="60"/>
      <c r="I9" s="353" t="s">
        <v>412</v>
      </c>
      <c r="J9" s="353"/>
      <c r="K9" s="353"/>
      <c r="L9" s="357" t="s">
        <v>413</v>
      </c>
      <c r="M9" s="357" t="s">
        <v>414</v>
      </c>
      <c r="N9" s="358" t="s">
        <v>415</v>
      </c>
      <c r="O9" s="350"/>
    </row>
    <row r="10" customFormat="false" ht="12" hidden="false" customHeight="true" outlineLevel="0" collapsed="false">
      <c r="A10" s="60"/>
      <c r="B10" s="345" t="n">
        <v>46295</v>
      </c>
      <c r="C10" s="60"/>
      <c r="D10" s="60"/>
      <c r="E10" s="350"/>
      <c r="F10" s="60"/>
      <c r="G10" s="350"/>
      <c r="H10" s="60"/>
      <c r="I10" s="60"/>
      <c r="J10" s="60"/>
      <c r="K10" s="60"/>
      <c r="L10" s="60"/>
      <c r="M10" s="60"/>
      <c r="N10" s="350"/>
      <c r="O10" s="350"/>
    </row>
    <row r="11" customFormat="false" ht="12" hidden="false" customHeight="true" outlineLevel="0" collapsed="false">
      <c r="A11" s="60"/>
      <c r="B11" s="345" t="n">
        <v>46326</v>
      </c>
      <c r="C11" s="60"/>
      <c r="D11" s="346" t="s">
        <v>416</v>
      </c>
      <c r="E11" s="346"/>
      <c r="F11" s="346"/>
      <c r="G11" s="350" t="s">
        <v>407</v>
      </c>
      <c r="H11" s="60"/>
      <c r="I11" s="60" t="s">
        <v>417</v>
      </c>
      <c r="J11" s="60"/>
      <c r="K11" s="359" t="n">
        <v>0.2</v>
      </c>
      <c r="L11" s="350" t="n">
        <f aca="false">N11</f>
        <v>0</v>
      </c>
      <c r="M11" s="350" t="n">
        <v>37700</v>
      </c>
      <c r="N11" s="356" t="n">
        <v>0</v>
      </c>
      <c r="O11" s="350"/>
    </row>
    <row r="12" customFormat="false" ht="12" hidden="false" customHeight="true" outlineLevel="0" collapsed="false">
      <c r="A12" s="60"/>
      <c r="B12" s="345" t="n">
        <v>46356</v>
      </c>
      <c r="C12" s="60"/>
      <c r="D12" s="60"/>
      <c r="E12" s="60"/>
      <c r="F12" s="60"/>
      <c r="G12" s="350"/>
      <c r="H12" s="60"/>
      <c r="I12" s="60" t="s">
        <v>418</v>
      </c>
      <c r="J12" s="60"/>
      <c r="K12" s="359" t="n">
        <v>0</v>
      </c>
      <c r="L12" s="350" t="n">
        <v>37701</v>
      </c>
      <c r="M12" s="60"/>
      <c r="N12" s="356" t="n">
        <v>37701</v>
      </c>
      <c r="O12" s="350"/>
    </row>
    <row r="13" customFormat="false" ht="12" hidden="false" customHeight="true" outlineLevel="0" collapsed="false">
      <c r="A13" s="60"/>
      <c r="B13" s="345" t="n">
        <v>46387</v>
      </c>
      <c r="C13" s="60"/>
      <c r="D13" s="353" t="s">
        <v>419</v>
      </c>
      <c r="E13" s="353"/>
      <c r="F13" s="353"/>
      <c r="G13" s="354" t="n">
        <v>0</v>
      </c>
      <c r="H13" s="60"/>
      <c r="I13" s="60"/>
      <c r="J13" s="60"/>
      <c r="K13" s="60"/>
      <c r="L13" s="60"/>
      <c r="M13" s="60"/>
      <c r="N13" s="60"/>
      <c r="O13" s="60"/>
    </row>
    <row r="14" customFormat="false" ht="12" hidden="false" customHeight="true" outlineLevel="0" collapsed="false">
      <c r="A14" s="60"/>
      <c r="B14" s="345" t="n">
        <v>46418</v>
      </c>
      <c r="C14" s="60"/>
      <c r="D14" s="353" t="s">
        <v>420</v>
      </c>
      <c r="E14" s="353"/>
      <c r="F14" s="353"/>
      <c r="G14" s="354" t="n">
        <v>0.1</v>
      </c>
      <c r="H14" s="60"/>
      <c r="I14" s="346" t="s">
        <v>421</v>
      </c>
      <c r="J14" s="346"/>
      <c r="K14" s="346"/>
      <c r="L14" s="349" t="str">
        <f aca="false">G2</f>
        <v>2026-27</v>
      </c>
      <c r="M14" s="60"/>
      <c r="N14" s="60"/>
      <c r="O14" s="60"/>
    </row>
    <row r="15" customFormat="false" ht="12" hidden="false" customHeight="true" outlineLevel="0" collapsed="false">
      <c r="A15" s="60"/>
      <c r="B15" s="345" t="n">
        <v>46446</v>
      </c>
      <c r="C15" s="60"/>
      <c r="D15" s="353" t="s">
        <v>422</v>
      </c>
      <c r="E15" s="353"/>
      <c r="F15" s="353"/>
      <c r="G15" s="354" t="n">
        <v>0.2</v>
      </c>
      <c r="H15" s="60"/>
      <c r="I15" s="60"/>
      <c r="J15" s="60"/>
      <c r="K15" s="60"/>
      <c r="L15" s="60"/>
      <c r="M15" s="60"/>
      <c r="N15" s="60"/>
      <c r="O15" s="60"/>
    </row>
    <row r="16" customFormat="false" ht="12" hidden="false" customHeight="true" outlineLevel="0" collapsed="false">
      <c r="A16" s="60"/>
      <c r="B16" s="345" t="n">
        <v>46477</v>
      </c>
      <c r="C16" s="60"/>
      <c r="D16" s="353" t="s">
        <v>423</v>
      </c>
      <c r="E16" s="353"/>
      <c r="F16" s="353"/>
      <c r="G16" s="354" t="n">
        <v>0.33</v>
      </c>
      <c r="H16" s="60"/>
      <c r="I16" s="353" t="s">
        <v>424</v>
      </c>
      <c r="J16" s="353"/>
      <c r="K16" s="353"/>
      <c r="L16" s="360" t="n">
        <v>0</v>
      </c>
      <c r="M16" s="60" t="s">
        <v>425</v>
      </c>
      <c r="N16" s="60"/>
      <c r="O16" s="60"/>
    </row>
    <row r="17" customFormat="false" ht="12" hidden="false" customHeight="true" outlineLevel="0" collapsed="false">
      <c r="A17" s="60"/>
      <c r="B17" s="352" t="n">
        <v>46482</v>
      </c>
      <c r="C17" s="60"/>
      <c r="D17" s="353" t="s">
        <v>426</v>
      </c>
      <c r="E17" s="353"/>
      <c r="F17" s="353"/>
      <c r="G17" s="354" t="n">
        <v>0.25</v>
      </c>
      <c r="H17" s="60"/>
      <c r="I17" s="60"/>
      <c r="J17" s="60"/>
      <c r="K17" s="60"/>
      <c r="L17" s="361"/>
      <c r="M17" s="60"/>
      <c r="N17" s="60"/>
      <c r="O17" s="60"/>
    </row>
    <row r="18" customFormat="false" ht="12" hidden="false" customHeight="true" outlineLevel="0" collapsed="false">
      <c r="A18" s="60"/>
      <c r="B18" s="345" t="n">
        <v>46507</v>
      </c>
      <c r="C18" s="60"/>
      <c r="D18" s="60"/>
      <c r="E18" s="60"/>
      <c r="F18" s="60"/>
      <c r="G18" s="350"/>
      <c r="H18" s="60"/>
      <c r="I18" s="60"/>
      <c r="J18" s="60"/>
      <c r="K18" s="60"/>
      <c r="L18" s="60"/>
      <c r="M18" s="60"/>
      <c r="N18" s="60"/>
      <c r="O18" s="60"/>
    </row>
    <row r="19" customFormat="false" ht="12" hidden="false" customHeight="true" outlineLevel="0" collapsed="false">
      <c r="A19" s="60"/>
      <c r="B19" s="345" t="n">
        <v>46538</v>
      </c>
      <c r="C19" s="60"/>
      <c r="D19" s="346" t="s">
        <v>427</v>
      </c>
      <c r="E19" s="346"/>
      <c r="F19" s="350" t="s">
        <v>428</v>
      </c>
      <c r="G19" s="350" t="s">
        <v>429</v>
      </c>
      <c r="H19" s="60"/>
      <c r="I19" s="362" t="s">
        <v>430</v>
      </c>
      <c r="J19" s="362"/>
      <c r="K19" s="362"/>
      <c r="L19" s="60"/>
      <c r="M19" s="363" t="s">
        <v>431</v>
      </c>
      <c r="N19" s="60"/>
      <c r="O19" s="60"/>
    </row>
    <row r="20" customFormat="false" ht="12" hidden="false" customHeight="true" outlineLevel="0" collapsed="false">
      <c r="A20" s="60"/>
      <c r="B20" s="345" t="n">
        <v>46568</v>
      </c>
      <c r="C20" s="60"/>
      <c r="D20" s="344"/>
      <c r="E20" s="344"/>
      <c r="F20" s="350"/>
      <c r="G20" s="350"/>
      <c r="H20" s="60"/>
      <c r="I20" s="362"/>
      <c r="J20" s="362"/>
      <c r="K20" s="362"/>
      <c r="L20" s="364" t="n">
        <v>0.06</v>
      </c>
      <c r="M20" s="363"/>
      <c r="N20" s="356" t="n">
        <v>12570</v>
      </c>
      <c r="O20" s="350" t="s">
        <v>32</v>
      </c>
    </row>
    <row r="21" customFormat="false" ht="12" hidden="false" customHeight="true" outlineLevel="0" collapsed="false">
      <c r="A21" s="60"/>
      <c r="B21" s="345" t="n">
        <v>46783</v>
      </c>
      <c r="C21" s="60"/>
      <c r="D21" s="353" t="s">
        <v>432</v>
      </c>
      <c r="E21" s="353"/>
      <c r="F21" s="356" t="n">
        <v>10000</v>
      </c>
      <c r="G21" s="360" t="n">
        <v>0.45</v>
      </c>
      <c r="H21" s="60"/>
      <c r="I21" s="365"/>
      <c r="J21" s="365"/>
      <c r="K21" s="365"/>
      <c r="L21" s="359"/>
      <c r="M21" s="60"/>
      <c r="N21" s="60"/>
      <c r="O21" s="60"/>
    </row>
    <row r="22" customFormat="false" ht="12" hidden="false" customHeight="true" outlineLevel="0" collapsed="false">
      <c r="A22" s="60"/>
      <c r="B22" s="345" t="n">
        <v>46965</v>
      </c>
      <c r="C22" s="60"/>
      <c r="D22" s="60" t="s">
        <v>433</v>
      </c>
      <c r="E22" s="60"/>
      <c r="F22" s="356" t="n">
        <v>10001</v>
      </c>
      <c r="G22" s="360" t="n">
        <v>0.25</v>
      </c>
      <c r="H22" s="60"/>
      <c r="I22" s="362" t="s">
        <v>434</v>
      </c>
      <c r="J22" s="362"/>
      <c r="K22" s="362"/>
      <c r="L22" s="60"/>
      <c r="M22" s="363" t="s">
        <v>435</v>
      </c>
      <c r="N22" s="60"/>
      <c r="O22" s="60"/>
    </row>
    <row r="23" customFormat="false" ht="12" hidden="false" customHeight="true" outlineLevel="0" collapsed="false">
      <c r="A23" s="60"/>
      <c r="B23" s="352" t="s">
        <v>436</v>
      </c>
      <c r="C23" s="60"/>
      <c r="D23" s="60"/>
      <c r="E23" s="60"/>
      <c r="F23" s="350"/>
      <c r="G23" s="361"/>
      <c r="H23" s="60"/>
      <c r="I23" s="362"/>
      <c r="J23" s="362"/>
      <c r="K23" s="362"/>
      <c r="L23" s="364" t="n">
        <v>0.02</v>
      </c>
      <c r="M23" s="363"/>
      <c r="N23" s="356" t="n">
        <v>50270</v>
      </c>
      <c r="O23" s="350" t="s">
        <v>32</v>
      </c>
    </row>
    <row r="24" customFormat="false" ht="12" hidden="false" customHeight="true" outlineLevel="0" collapsed="false">
      <c r="A24" s="60"/>
      <c r="B24" s="352" t="s">
        <v>437</v>
      </c>
      <c r="C24" s="60"/>
      <c r="D24" s="346" t="s">
        <v>427</v>
      </c>
      <c r="E24" s="346"/>
      <c r="F24" s="60"/>
      <c r="G24" s="60"/>
      <c r="H24" s="60"/>
      <c r="I24" s="60"/>
      <c r="J24" s="60"/>
      <c r="K24" s="60"/>
      <c r="L24" s="60"/>
      <c r="M24" s="60"/>
      <c r="N24" s="60"/>
      <c r="O24" s="60"/>
    </row>
    <row r="25" customFormat="false" ht="12" hidden="false" customHeight="true" outlineLevel="0" collapsed="false">
      <c r="A25" s="60"/>
      <c r="B25" s="366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customFormat="false" ht="12" hidden="false" customHeight="false" outlineLevel="0" collapsed="false">
      <c r="A26" s="60"/>
      <c r="B26" s="366"/>
      <c r="C26" s="60"/>
      <c r="D26" s="353" t="s">
        <v>438</v>
      </c>
      <c r="E26" s="353"/>
      <c r="F26" s="356" t="n">
        <v>90000</v>
      </c>
      <c r="G26" s="350"/>
      <c r="H26" s="60"/>
      <c r="I26" s="60"/>
      <c r="J26" s="60"/>
      <c r="K26" s="60"/>
      <c r="L26" s="60"/>
      <c r="M26" s="60"/>
      <c r="N26" s="60"/>
      <c r="O26" s="60"/>
    </row>
    <row r="27" customFormat="false" ht="12" hidden="false" customHeight="false" outlineLevel="0" collapsed="false">
      <c r="A27" s="60"/>
      <c r="B27" s="366"/>
      <c r="C27" s="60"/>
      <c r="D27" s="60" t="s">
        <v>439</v>
      </c>
      <c r="E27" s="60"/>
      <c r="F27" s="354" t="n">
        <v>0.2</v>
      </c>
      <c r="G27" s="350"/>
      <c r="H27" s="60"/>
      <c r="I27" s="60"/>
      <c r="J27" s="60"/>
      <c r="K27" s="60"/>
      <c r="L27" s="60"/>
      <c r="M27" s="60"/>
      <c r="N27" s="60"/>
      <c r="O27" s="60"/>
    </row>
    <row r="28" customFormat="false" ht="12" hidden="false" customHeight="false" outlineLevel="0" collapsed="false">
      <c r="A28" s="60"/>
      <c r="B28" s="366"/>
      <c r="C28" s="60"/>
      <c r="D28" s="60"/>
      <c r="E28" s="60"/>
      <c r="F28" s="60"/>
      <c r="G28" s="350"/>
      <c r="H28" s="60"/>
      <c r="I28" s="60"/>
      <c r="J28" s="60"/>
      <c r="K28" s="60"/>
      <c r="L28" s="60"/>
      <c r="M28" s="60"/>
      <c r="N28" s="60"/>
      <c r="O28" s="60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