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Debtors" sheetId="14" state="visible" r:id="rId16"/>
  </sheets>
  <definedNames>
    <definedName function="false" hidden="false" localSheetId="1" name="_xlnm.Print_Area" vbProcedure="false">Apr!$A$1:$X$75</definedName>
    <definedName function="false" hidden="false" localSheetId="1" name="_xlnm.Print_Titles" vbProcedure="false">Apr!$A:$E,Apr!$1:$4</definedName>
    <definedName function="false" hidden="false" localSheetId="5" name="_xlnm.Print_Area" vbProcedure="false">Aug!$A$1:$X$75</definedName>
    <definedName function="false" hidden="false" localSheetId="5" name="_xlnm.Print_Titles" vbProcedure="false">Aug!$A:$E,Aug!$1:$4</definedName>
    <definedName function="false" hidden="false" localSheetId="13" name="_xlnm.Print_Area" vbProcedure="false">ClosingDebtors!$A$1:$Q$75</definedName>
    <definedName function="false" hidden="false" localSheetId="13" name="_xlnm.Print_Titles" vbProcedure="false">ClosingDebtors!$A:$E,ClosingDebtors!$1:$4</definedName>
    <definedName function="false" hidden="false" localSheetId="9" name="_xlnm.Print_Area" vbProcedure="false">Dec!$A$1:$X$75</definedName>
    <definedName function="false" hidden="false" localSheetId="9" name="_xlnm.Print_Titles" vbProcedure="false">Dec!$A:$E,Dec!$1:$4</definedName>
    <definedName function="false" hidden="false" localSheetId="11" name="_xlnm.Print_Area" vbProcedure="false">Feb!$A$1:$X$75</definedName>
    <definedName function="false" hidden="false" localSheetId="11" name="_xlnm.Print_Titles" vbProcedure="false">Feb!$A:$E,Feb!$1:$4</definedName>
    <definedName function="false" hidden="false" localSheetId="10" name="_xlnm.Print_Area" vbProcedure="false">Jan!$A$1:$X$75</definedName>
    <definedName function="false" hidden="false" localSheetId="10" name="_xlnm.Print_Titles" vbProcedure="false">Jan!$A:$E,Jan!$1:$4</definedName>
    <definedName function="false" hidden="false" localSheetId="4" name="_xlnm.Print_Area" vbProcedure="false">Jul!$A$1:$X$75</definedName>
    <definedName function="false" hidden="false" localSheetId="4" name="_xlnm.Print_Titles" vbProcedure="false">Jul!$A:$E,Jul!$1:$4</definedName>
    <definedName function="false" hidden="false" localSheetId="3" name="_xlnm.Print_Area" vbProcedure="false">Jun!$A$1:$X$75</definedName>
    <definedName function="false" hidden="false" localSheetId="3" name="_xlnm.Print_Titles" vbProcedure="false">Jun!$A:$E,Jun!$1:$4</definedName>
    <definedName function="false" hidden="false" localSheetId="12" name="_xlnm.Print_Area" vbProcedure="false">Mar!$A$1:$X$75</definedName>
    <definedName function="false" hidden="false" localSheetId="12" name="_xlnm.Print_Titles" vbProcedure="false">Mar!$A:$E,Mar!$1:$4</definedName>
    <definedName function="false" hidden="false" localSheetId="2" name="_xlnm.Print_Area" vbProcedure="false">May!$A$1:$X$75</definedName>
    <definedName function="false" hidden="false" localSheetId="2" name="_xlnm.Print_Titles" vbProcedure="false">May!$A:$E,May!$1:$4</definedName>
    <definedName function="false" hidden="false" localSheetId="8" name="_xlnm.Print_Area" vbProcedure="false">Nov!$A$1:$X$75</definedName>
    <definedName function="false" hidden="false" localSheetId="8" name="_xlnm.Print_Titles" vbProcedure="false">Nov!$A:$E,Nov!$1:$4</definedName>
    <definedName function="false" hidden="false" localSheetId="7" name="_xlnm.Print_Area" vbProcedure="false">Oct!$A$1:$X$75</definedName>
    <definedName function="false" hidden="false" localSheetId="7" name="_xlnm.Print_Titles" vbProcedure="false">Oct!$A:$E,Oct!$1:$4</definedName>
    <definedName function="false" hidden="false" localSheetId="0" name="_xlnm.Print_Area" vbProcedure="false">OpeningDebtors!$A$1:$Q$75</definedName>
    <definedName function="false" hidden="false" localSheetId="0" name="_xlnm.Print_Titles" vbProcedure="false">OpeningDebtors!$A:$E,OpeningDebtors!$1:$4</definedName>
    <definedName function="false" hidden="false" localSheetId="6" name="_xlnm.Print_Area" vbProcedure="false">Sep!$A$1:$X$75</definedName>
    <definedName function="false" hidden="false" localSheetId="6" name="_xlnm.Print_Titles" vbProcedure="false">Sep!$A:$E,Sep!$1:$4</definedName>
    <definedName function="false" hidden="false" localSheetId="0" name="Excel_BuiltIn_Print_Titles" vbProcedure="false">(OpeningDebtors!$A:$E,OpeningDebtors!$1:$4)</definedName>
    <definedName function="false" hidden="false" localSheetId="0" name="_xlnm_Print_Area" vbProcedure="false">OpeningDebtors!$A$1:$Q$75</definedName>
    <definedName function="false" hidden="false" localSheetId="0" name="_xlnm_Print_Titles" vbProcedure="false">(OpeningDebtors!$A:$E,OpeningDebtors!$1:$4)</definedName>
    <definedName function="false" hidden="false" localSheetId="1" name="Excel_BuiltIn_Print_Titles" vbProcedure="false">(Apr!$A:$E,Apr!$1:$4)</definedName>
    <definedName function="false" hidden="false" localSheetId="1" name="_xlnm_Print_Area" vbProcedure="false">Apr!$A$1:$X$75</definedName>
    <definedName function="false" hidden="false" localSheetId="1" name="_xlnm_Print_Titles" vbProcedure="false">(Apr!$A:$E,Apr!$1:$4)</definedName>
    <definedName function="false" hidden="false" localSheetId="2" name="Excel_BuiltIn_Print_Titles" vbProcedure="false">(May!$A:$E,May!$1:$4)</definedName>
    <definedName function="false" hidden="false" localSheetId="2" name="_xlnm_Print_Area" vbProcedure="false">May!$A$1:$X$75</definedName>
    <definedName function="false" hidden="false" localSheetId="2" name="_xlnm_Print_Titles" vbProcedure="false">(May!$A:$E,May!$1:$4)</definedName>
    <definedName function="false" hidden="false" localSheetId="3" name="Excel_BuiltIn_Print_Titles" vbProcedure="false">(Jun!$A:$E,Jun!$1:$4)</definedName>
    <definedName function="false" hidden="false" localSheetId="3" name="_xlnm_Print_Area" vbProcedure="false">Jun!$A$1:$X$75</definedName>
    <definedName function="false" hidden="false" localSheetId="3" name="_xlnm_Print_Titles" vbProcedure="false">(Jun!$A:$E,Jun!$1:$4)</definedName>
    <definedName function="false" hidden="false" localSheetId="4" name="Excel_BuiltIn_Print_Titles" vbProcedure="false">(Jul!$A:$E,Jul!$1:$4)</definedName>
    <definedName function="false" hidden="false" localSheetId="4" name="_xlnm_Print_Area" vbProcedure="false">Jul!$A$1:$X$75</definedName>
    <definedName function="false" hidden="false" localSheetId="4" name="_xlnm_Print_Titles" vbProcedure="false">(Jul!$A:$E,Jul!$1:$4)</definedName>
    <definedName function="false" hidden="false" localSheetId="5" name="Excel_BuiltIn_Print_Titles" vbProcedure="false">(Aug!$A:$E,Aug!$1:$4)</definedName>
    <definedName function="false" hidden="false" localSheetId="5" name="_xlnm_Print_Area" vbProcedure="false">Aug!$A$1:$X$75</definedName>
    <definedName function="false" hidden="false" localSheetId="5" name="_xlnm_Print_Titles" vbProcedure="false">(Aug!$A:$E,Aug!$1:$4)</definedName>
    <definedName function="false" hidden="false" localSheetId="6" name="Excel_BuiltIn_Print_Titles" vbProcedure="false">(Sep!$A:$E,Sep!$1:$4)</definedName>
    <definedName function="false" hidden="false" localSheetId="6" name="_xlnm_Print_Area" vbProcedure="false">Sep!$A$1:$X$75</definedName>
    <definedName function="false" hidden="false" localSheetId="6" name="_xlnm_Print_Titles" vbProcedure="false">(Sep!$A:$E,Sep!$1:$4)</definedName>
    <definedName function="false" hidden="false" localSheetId="7" name="Excel_BuiltIn_Print_Titles" vbProcedure="false">(Oct!$A:$E,Oct!$1:$4)</definedName>
    <definedName function="false" hidden="false" localSheetId="7" name="_xlnm_Print_Area" vbProcedure="false">Oct!$A$1:$X$75</definedName>
    <definedName function="false" hidden="false" localSheetId="7" name="_xlnm_Print_Titles" vbProcedure="false">(Oct!$A:$E,Oct!$1:$4)</definedName>
    <definedName function="false" hidden="false" localSheetId="8" name="Excel_BuiltIn_Print_Titles" vbProcedure="false">(Nov!$A:$E,Nov!$1:$4)</definedName>
    <definedName function="false" hidden="false" localSheetId="8" name="_xlnm_Print_Area" vbProcedure="false">Nov!$A$1:$X$75</definedName>
    <definedName function="false" hidden="false" localSheetId="8" name="_xlnm_Print_Titles" vbProcedure="false">(Nov!$A:$E,Nov!$1:$4)</definedName>
    <definedName function="false" hidden="false" localSheetId="9" name="Excel_BuiltIn_Print_Titles" vbProcedure="false">(Dec!$A:$E,Dec!$1:$4)</definedName>
    <definedName function="false" hidden="false" localSheetId="9" name="_xlnm_Print_Area" vbProcedure="false">Dec!$A$1:$X$75</definedName>
    <definedName function="false" hidden="false" localSheetId="9" name="_xlnm_Print_Titles" vbProcedure="false">(Dec!$A:$E,Dec!$1:$4)</definedName>
    <definedName function="false" hidden="false" localSheetId="10" name="Excel_BuiltIn_Print_Titles" vbProcedure="false">(Jan!$A:$E,Jan!$1:$4)</definedName>
    <definedName function="false" hidden="false" localSheetId="10" name="_xlnm_Print_Area" vbProcedure="false">Jan!$A$1:$X$75</definedName>
    <definedName function="false" hidden="false" localSheetId="10" name="_xlnm_Print_Titles" vbProcedure="false">(Jan!$A:$E,Jan!$1:$4)</definedName>
    <definedName function="false" hidden="false" localSheetId="11" name="Excel_BuiltIn_Print_Titles" vbProcedure="false">(Feb!$A:$E,Feb!$1:$4)</definedName>
    <definedName function="false" hidden="false" localSheetId="11" name="_xlnm_Print_Area" vbProcedure="false">Feb!$A$1:$X$75</definedName>
    <definedName function="false" hidden="false" localSheetId="11" name="_xlnm_Print_Titles" vbProcedure="false">(Feb!$A:$E,Feb!$1:$4)</definedName>
    <definedName function="false" hidden="false" localSheetId="12" name="Excel_BuiltIn_Print_Titles" vbProcedure="false">(Mar!$A:$E,Mar!$1:$4)</definedName>
    <definedName function="false" hidden="false" localSheetId="12" name="_xlnm_Print_Area" vbProcedure="false">Mar!$A$1:$X$75</definedName>
    <definedName function="false" hidden="false" localSheetId="12" name="_xlnm_Print_Titles" vbProcedure="false">(Mar!$A:$E,Mar!$1:$4)</definedName>
    <definedName function="false" hidden="false" localSheetId="13" name="Excel_BuiltIn_Print_Titles" vbProcedure="false">(ClosingDebtors!$A:$E,ClosingDebtors!$1:$4)</definedName>
    <definedName function="false" hidden="false" localSheetId="13" name="_xlnm_Print_Area" vbProcedure="false">ClosingDebtors!$A$1:$Q$75</definedName>
    <definedName function="false" hidden="false" localSheetId="13" name="_xlnm_Print_Titles" vbProcedure="false">(ClosingDebtors!$A:$E,ClosingDebtors!$1:$4)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<sst xmlns="http://schemas.openxmlformats.org/spreadsheetml/2006/main" count="672" uniqueCount="69">
  <si>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</si>
  <si>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</si>
  <si>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</si>
  <si>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</si>
  <si>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For your information only. Enter How Paid e.g. Cash, Cheque etc.,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</si>
  <si>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</si>
  <si>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</si>
  <si>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</si>
  <si>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</si>
  <si>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</si>
  <si>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</si>
  <si>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</si>
  <si>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</si>
  <si>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</si>
  <si>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</si>
  <si>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Acme Corp</t>
  </si>
  <si>
    <t xml:space="preserve">INV-0901</t>
  </si>
  <si>
    <t xml:space="preserve">Beta Systems</t>
  </si>
  <si>
    <t xml:space="preserve">INV-0902</t>
  </si>
  <si>
    <t xml:space="preserve">Gamma Ltd</t>
  </si>
  <si>
    <t xml:space="preserve">INV-0903</t>
  </si>
  <si>
    <t xml:space="preserve">Check Total</t>
  </si>
  <si>
    <t xml:space="preserve">Sales Mileage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</si>
  <si>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</si>
  <si>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</si>
  <si>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</si>
  <si>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</si>
  <si>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</si>
  <si>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</si>
  <si>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Product          A</t>
  </si>
  <si>
    <t xml:space="preserve">Product      B</t>
  </si>
  <si>
    <t xml:space="preserve">Product        C</t>
  </si>
  <si>
    <t xml:space="preserve">Sale of          Fixed Assets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</si>
  <si>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</si>
  <si>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</si>
  <si>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</si>
  <si>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</si>
  <si>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</si>
  <si>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</si>
  <si>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</si>
  <si>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b</t>
  </si>
  <si>
    <t xml:space="preserve">FreshField Ltd</t>
  </si>
  <si>
    <t xml:space="preserve">CloudNine Ltd</t>
  </si>
  <si>
    <t xml:space="preserve">Cedar Systems</t>
  </si>
  <si>
    <t xml:space="preserve">a</t>
  </si>
  <si>
    <t xml:space="preserve">Pinnacle Group</t>
  </si>
  <si>
    <t xml:space="preserve">TechStart Ltd</t>
  </si>
  <si>
    <t xml:space="preserve">DataFlow Inc</t>
  </si>
  <si>
    <t xml:space="preserve">Horizon Analytics</t>
  </si>
  <si>
    <t xml:space="preserve">d</t>
  </si>
  <si>
    <t xml:space="preserve">QuickFix IT</t>
  </si>
  <si>
    <t xml:space="preserve">Summit Training</t>
  </si>
  <si>
    <t xml:space="preserve">c</t>
  </si>
  <si>
    <t xml:space="preserve">Oakridge Partners</t>
  </si>
  <si>
    <t xml:space="preserve">WidgetWorks</t>
  </si>
  <si>
    <t xml:space="preserve">NorthStar Digital</t>
  </si>
  <si>
    <t xml:space="preserve">Innovate UK</t>
  </si>
  <si>
    <t xml:space="preserve">g</t>
  </si>
  <si>
    <t xml:space="preserve">StartupHub</t>
  </si>
  <si>
    <t xml:space="preserve">Epsilon Partners</t>
  </si>
  <si>
    <t xml:space="preserve">Private buyer</t>
  </si>
  <si>
    <t xml:space="preserve">fs</t>
  </si>
  <si>
    <t xml:space="preserve">Delta PLC</t>
  </si>
  <si>
    <t xml:space="preserve">Lambda Corp</t>
  </si>
  <si>
    <t xml:space="preserve">MegaCorp</t>
  </si>
  <si>
    <t xml:space="preserve">Zeta Corp</t>
  </si>
  <si>
    <t xml:space="preserve">o</t>
  </si>
  <si>
    <t xml:space="preserve">INV-1012</t>
  </si>
  <si>
    <t xml:space="preserve">INV-1112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</si>
</sst>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  <numFmt numFmtId="171" formatCode="General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46139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Apr!H2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/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B5" s="2" t="s">
        <v>15</v>
      </c>
      <c r="C5" s="3" t="s">
        <v>16</v>
      </c>
      <c r="D5" s="4" t="n">
        <v>7200</v>
      </c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B6" s="2" t="s">
        <v>17</v>
      </c>
      <c r="C6" s="3" t="s">
        <v>18</v>
      </c>
      <c r="D6" s="4" t="n">
        <v>1200</v>
      </c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B7" s="2" t="s">
        <v>19</v>
      </c>
      <c r="C7" s="3" t="s">
        <v>20</v>
      </c>
      <c r="D7" s="4" t="n">
        <v>2400</v>
      </c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33400</v>
      </c>
      <c r="H1" s="14" t="n">
        <f aca="false">SUM(H5:H300)</f>
        <v>5566.66666666667</v>
      </c>
      <c r="I1" s="14" t="n">
        <f aca="false">SUM(I5:I300)</f>
        <v>27833.3333333333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33400</v>
      </c>
      <c r="N1" s="18" t="n">
        <f aca="true">TODAY()</f>
        <v>46139</v>
      </c>
      <c r="O1" s="19"/>
      <c r="P1" s="14" t="n">
        <f aca="false">SUM(P5:P300)</f>
        <v>25333.3333333333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/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45748</v>
      </c>
      <c r="B5" s="2" t="s">
        <v>17</v>
      </c>
      <c r="F5" s="4" t="s">
        <v>40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391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45750</v>
      </c>
      <c r="B6" s="2" t="s">
        <v>41</v>
      </c>
      <c r="F6" s="4" t="s">
        <v>40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389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45752</v>
      </c>
      <c r="B7" s="2" t="s">
        <v>42</v>
      </c>
      <c r="F7" s="4" t="s">
        <v>40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387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45755</v>
      </c>
      <c r="B8" s="2" t="s">
        <v>43</v>
      </c>
      <c r="F8" s="4" t="s">
        <v>44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384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45757</v>
      </c>
      <c r="B9" s="2" t="s">
        <v>45</v>
      </c>
      <c r="F9" s="4" t="s">
        <v>44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382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45762</v>
      </c>
      <c r="B10" s="2" t="s">
        <v>15</v>
      </c>
      <c r="F10" s="4" t="s">
        <v>44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377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45765</v>
      </c>
      <c r="B11" s="2" t="s">
        <v>46</v>
      </c>
      <c r="F11" s="4" t="s">
        <v>44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374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45767</v>
      </c>
      <c r="B12" s="2" t="s">
        <v>47</v>
      </c>
      <c r="F12" s="4" t="s">
        <v>44</v>
      </c>
      <c r="G12" s="2" t="n">
        <v>1800</v>
      </c>
      <c r="H12" s="2" t="n">
        <f aca="false">IF(H$4&gt;0,(IF(G12&lt;&gt;0,G12*H$4/100," ")),IF(G12&lt;&gt;0,G12*H$2/(100+H$2)," "))</f>
        <v>300</v>
      </c>
      <c r="I12" s="2" t="n">
        <f aca="false">IF((G12&lt;&gt;0),G12-H12," ")</f>
        <v>1500</v>
      </c>
      <c r="M12" s="7" t="n">
        <f aca="false">IF(G12&lt;&gt;0,G12-L12," ")</f>
        <v>1800</v>
      </c>
      <c r="N12" s="8" t="n">
        <f aca="false">IF((G12-L12)&lt;&gt;0,N$1-A12," ")</f>
        <v>372</v>
      </c>
      <c r="P12" s="2" t="n">
        <f aca="false">IF((F12="a"),I12," ")</f>
        <v>1500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45775</v>
      </c>
      <c r="B13" s="2" t="s">
        <v>48</v>
      </c>
      <c r="F13" s="4" t="s">
        <v>49</v>
      </c>
      <c r="G13" s="2" t="n">
        <v>840</v>
      </c>
      <c r="H13" s="2" t="n">
        <f aca="false">IF(H$4&gt;0,(IF(G13&lt;&gt;0,G13*H$4/100," ")),IF(G13&lt;&gt;0,G13*H$2/(100+H$2)," "))</f>
        <v>140</v>
      </c>
      <c r="I13" s="2" t="n">
        <f aca="false">IF((G13&lt;&gt;0),G13-H13," ")</f>
        <v>700</v>
      </c>
      <c r="M13" s="7" t="n">
        <f aca="false">IF(G13&lt;&gt;0,G13-L13," ")</f>
        <v>840</v>
      </c>
      <c r="N13" s="8" t="n">
        <f aca="false">IF((G13-L13)&lt;&gt;0,N$1-A13," ")</f>
        <v>364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n">
        <f aca="false">IF((F13="d"),I13," ")</f>
        <v>700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6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32920</v>
      </c>
      <c r="H1" s="14" t="n">
        <f aca="false">SUM(H5:H300)</f>
        <v>5486.66666666667</v>
      </c>
      <c r="I1" s="14" t="n">
        <f aca="false">SUM(I5:I300)</f>
        <v>27433.3333333333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32920</v>
      </c>
      <c r="N1" s="18" t="n">
        <f aca="true">TODAY()</f>
        <v>46139</v>
      </c>
      <c r="O1" s="19"/>
      <c r="P1" s="14" t="n">
        <f aca="false">SUM(P5:P300)</f>
        <v>25633.3333333333</v>
      </c>
      <c r="Q1" s="14" t="n">
        <f aca="false">SUM(Q5:Q300)</f>
        <v>800</v>
      </c>
      <c r="R1" s="14" t="n">
        <f aca="false">SUM(R5:R300)</f>
        <v>1000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W1+Apr!X1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Apr!H2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V1+Apr!V2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Apr!H4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45780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359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45782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357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45785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354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45787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352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45789</v>
      </c>
      <c r="B9" s="2" t="s">
        <v>50</v>
      </c>
      <c r="F9" s="4" t="s">
        <v>44</v>
      </c>
      <c r="G9" s="2" t="n">
        <v>960</v>
      </c>
      <c r="H9" s="2" t="n">
        <f aca="false">IF(H$4&gt;0,(IF(G9&lt;&gt;0,G9*H$4/100," ")),IF(G9&lt;&gt;0,G9*H$2/(100+H$2)," "))</f>
        <v>160</v>
      </c>
      <c r="I9" s="2" t="n">
        <f aca="false">IF((G9&lt;&gt;0),G9-H9," ")</f>
        <v>800</v>
      </c>
      <c r="M9" s="7" t="n">
        <f aca="false">IF(G9&lt;&gt;0,G9-L9," ")</f>
        <v>960</v>
      </c>
      <c r="N9" s="8" t="n">
        <f aca="false">IF((G9-L9)&lt;&gt;0,N$1-A9," ")</f>
        <v>350</v>
      </c>
      <c r="P9" s="2" t="n">
        <f aca="false">IF((F9="a"),I9," ")</f>
        <v>800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45792</v>
      </c>
      <c r="B10" s="2" t="s">
        <v>15</v>
      </c>
      <c r="F10" s="4" t="s">
        <v>44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347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45793</v>
      </c>
      <c r="B11" s="2" t="s">
        <v>51</v>
      </c>
      <c r="F11" s="4" t="s">
        <v>52</v>
      </c>
      <c r="G11" s="2" t="n">
        <v>1200</v>
      </c>
      <c r="H11" s="2" t="n">
        <f aca="false">IF(H$4&gt;0,(IF(G11&lt;&gt;0,G11*H$4/100," ")),IF(G11&lt;&gt;0,G11*H$2/(100+H$2)," "))</f>
        <v>200</v>
      </c>
      <c r="I11" s="2" t="n">
        <f aca="false">IF((G11&lt;&gt;0),G11-H11," ")</f>
        <v>1000</v>
      </c>
      <c r="M11" s="7" t="n">
        <f aca="false">IF(G11&lt;&gt;0,G11-L11," ")</f>
        <v>1200</v>
      </c>
      <c r="N11" s="8" t="n">
        <f aca="false">IF((G11-L11)&lt;&gt;0,N$1-A11," ")</f>
        <v>346</v>
      </c>
      <c r="P11" s="2" t="str">
        <f aca="false">IF((F11="a"),I11," ")</f>
        <v> </v>
      </c>
      <c r="Q11" s="2" t="str">
        <f aca="false">IF((F11="b"),I11," ")</f>
        <v> </v>
      </c>
      <c r="R11" s="2" t="n">
        <f aca="false">IF((F11="c"),I11," ")</f>
        <v>1000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45795</v>
      </c>
      <c r="B12" s="2" t="s">
        <v>46</v>
      </c>
      <c r="F12" s="4" t="s">
        <v>44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344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45802</v>
      </c>
      <c r="B13" s="2" t="s">
        <v>53</v>
      </c>
      <c r="F13" s="4" t="s">
        <v>44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337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2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1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35200</v>
      </c>
      <c r="H1" s="14" t="n">
        <f aca="false">SUM(H5:H300)</f>
        <v>5866.66666666667</v>
      </c>
      <c r="I1" s="14" t="n">
        <f aca="false">SUM(I5:I300)</f>
        <v>29333.3333333333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35200</v>
      </c>
      <c r="N1" s="18" t="n">
        <f aca="true">TODAY()</f>
        <v>46139</v>
      </c>
      <c r="O1" s="19"/>
      <c r="P1" s="14" t="n">
        <f aca="false">SUM(P5:P300)</f>
        <v>26533.3333333333</v>
      </c>
      <c r="Q1" s="14" t="n">
        <f aca="false">SUM(Q5:Q300)</f>
        <v>800</v>
      </c>
      <c r="R1" s="14" t="n">
        <f aca="false">SUM(R5:R300)</f>
        <v>2000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W1+May!X1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May!H2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V1+May!V2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May!H4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45811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328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45813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326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45816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323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45818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321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45823</v>
      </c>
      <c r="B9" s="2" t="s">
        <v>15</v>
      </c>
      <c r="F9" s="4" t="s">
        <v>44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316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45826</v>
      </c>
      <c r="B10" s="2" t="s">
        <v>46</v>
      </c>
      <c r="F10" s="4" t="s">
        <v>44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313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45828</v>
      </c>
      <c r="B11" s="2" t="s">
        <v>47</v>
      </c>
      <c r="F11" s="4" t="s">
        <v>44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311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45828</v>
      </c>
      <c r="B12" s="2" t="s">
        <v>19</v>
      </c>
      <c r="F12" s="4" t="s">
        <v>52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311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2000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45830</v>
      </c>
      <c r="B13" s="2" t="s">
        <v>54</v>
      </c>
      <c r="F13" s="4" t="s">
        <v>44</v>
      </c>
      <c r="G13" s="2" t="n">
        <v>1440</v>
      </c>
      <c r="H13" s="2" t="n">
        <f aca="false">IF(H$4&gt;0,(IF(G13&lt;&gt;0,G13*H$4/100," ")),IF(G13&lt;&gt;0,G13*H$2/(100+H$2)," "))</f>
        <v>240</v>
      </c>
      <c r="I13" s="2" t="n">
        <f aca="false">IF((G13&lt;&gt;0),G13-H13," ")</f>
        <v>1200</v>
      </c>
      <c r="M13" s="7" t="n">
        <f aca="false">IF(G13&lt;&gt;0,G13-L13," ")</f>
        <v>1440</v>
      </c>
      <c r="N13" s="8" t="n">
        <f aca="false">IF((G13-L13)&lt;&gt;0,N$1-A13," ")</f>
        <v>309</v>
      </c>
      <c r="P13" s="2" t="n">
        <f aca="false">IF((F13="a"),I13," ")</f>
        <v>1200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33760</v>
      </c>
      <c r="H1" s="14" t="n">
        <f aca="false">SUM(H5:H300)</f>
        <v>5626.66666666667</v>
      </c>
      <c r="I1" s="14" t="n">
        <f aca="false">SUM(I5:I300)</f>
        <v>28133.3333333333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33760</v>
      </c>
      <c r="N1" s="18" t="n">
        <f aca="true">TODAY()</f>
        <v>46139</v>
      </c>
      <c r="O1" s="19"/>
      <c r="P1" s="14" t="n">
        <f aca="false">SUM(P5:P300)</f>
        <v>25633.3333333333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Jun!H2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V1+Jun!V2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Jun!H4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45839</v>
      </c>
      <c r="B5" s="2" t="s">
        <v>17</v>
      </c>
      <c r="F5" s="4" t="s">
        <v>40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300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45841</v>
      </c>
      <c r="B6" s="2" t="s">
        <v>41</v>
      </c>
      <c r="F6" s="4" t="s">
        <v>40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298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45843</v>
      </c>
      <c r="B7" s="2" t="s">
        <v>42</v>
      </c>
      <c r="F7" s="4" t="s">
        <v>40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296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45846</v>
      </c>
      <c r="B8" s="2" t="s">
        <v>43</v>
      </c>
      <c r="F8" s="4" t="s">
        <v>44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293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45848</v>
      </c>
      <c r="B9" s="2" t="s">
        <v>45</v>
      </c>
      <c r="F9" s="4" t="s">
        <v>44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291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45852</v>
      </c>
      <c r="B10" s="2" t="s">
        <v>55</v>
      </c>
      <c r="F10" s="4" t="s">
        <v>44</v>
      </c>
      <c r="G10" s="2" t="n">
        <v>2160</v>
      </c>
      <c r="H10" s="2" t="n">
        <f aca="false">IF(H$4&gt;0,(IF(G10&lt;&gt;0,G10*H$4/100," ")),IF(G10&lt;&gt;0,G10*H$2/(100+H$2)," "))</f>
        <v>360</v>
      </c>
      <c r="I10" s="2" t="n">
        <f aca="false">IF((G10&lt;&gt;0),G10-H10," ")</f>
        <v>1800</v>
      </c>
      <c r="M10" s="7" t="n">
        <f aca="false">IF(G10&lt;&gt;0,G10-L10," ")</f>
        <v>2160</v>
      </c>
      <c r="N10" s="8" t="n">
        <f aca="false">IF((G10-L10)&lt;&gt;0,N$1-A10," ")</f>
        <v>287</v>
      </c>
      <c r="P10" s="2" t="n">
        <f aca="false">IF((F10="a"),I10," ")</f>
        <v>1800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45853</v>
      </c>
      <c r="B11" s="2" t="s">
        <v>15</v>
      </c>
      <c r="F11" s="4" t="s">
        <v>44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286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45856</v>
      </c>
      <c r="B12" s="2" t="s">
        <v>46</v>
      </c>
      <c r="F12" s="4" t="s">
        <v>44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283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45866</v>
      </c>
      <c r="B13" s="2" t="s">
        <v>48</v>
      </c>
      <c r="F13" s="4" t="s">
        <v>49</v>
      </c>
      <c r="G13" s="2" t="n">
        <v>840</v>
      </c>
      <c r="H13" s="2" t="n">
        <f aca="false">IF(H$4&gt;0,(IF(G13&lt;&gt;0,G13*H$4/100," ")),IF(G13&lt;&gt;0,G13*H$2/(100+H$2)," "))</f>
        <v>140</v>
      </c>
      <c r="I13" s="2" t="n">
        <f aca="false">IF((G13&lt;&gt;0),G13-H13," ")</f>
        <v>700</v>
      </c>
      <c r="M13" s="7" t="n">
        <f aca="false">IF(G13&lt;&gt;0,G13-L13," ")</f>
        <v>840</v>
      </c>
      <c r="N13" s="8" t="n">
        <f aca="false">IF((G13-L13)&lt;&gt;0,N$1-A13," ")</f>
        <v>273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n">
        <f aca="false">IF((F13="d"),I13," ")</f>
        <v>700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36020</v>
      </c>
      <c r="H1" s="14" t="n">
        <f aca="false">SUM(H5:H300)</f>
        <v>6003.33333333333</v>
      </c>
      <c r="I1" s="14" t="n">
        <f aca="false">SUM(I5:I300)</f>
        <v>30016.6666666667</v>
      </c>
      <c r="J1" s="15"/>
      <c r="K1" s="16" t="s">
        <v>4</v>
      </c>
      <c r="L1" s="17" t="n">
        <f aca="false">SUM(L5:L300)</f>
        <v>0</v>
      </c>
      <c r="M1" s="41" t="n">
        <f aca="false">SUM(M5:M300)</f>
        <v>36020</v>
      </c>
      <c r="N1" s="18" t="n">
        <f aca="true">TODAY()</f>
        <v>46139</v>
      </c>
      <c r="O1" s="19"/>
      <c r="P1" s="14" t="n">
        <f aca="false">SUM(P5:P300)</f>
        <v>27133.3333333333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2083.33333333333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W1+Jul!X1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Jul!H2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V1+Jul!V2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Jul!H4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45870</v>
      </c>
      <c r="B5" s="2" t="s">
        <v>56</v>
      </c>
      <c r="F5" s="4" t="s">
        <v>57</v>
      </c>
      <c r="G5" s="2" t="n">
        <v>2500</v>
      </c>
      <c r="H5" s="2" t="n">
        <f aca="false">IF(H$4&gt;0,(IF(G5&lt;&gt;0,G5*H$4/100," ")),IF(G5&lt;&gt;0,G5*H$2/(100+H$2)," "))</f>
        <v>416.666666666667</v>
      </c>
      <c r="I5" s="2" t="n">
        <f aca="false">IF((G5&lt;&gt;0),G5-H5," ")</f>
        <v>2083.33333333333</v>
      </c>
      <c r="M5" s="7" t="n">
        <f aca="false">IF(G5&lt;&gt;0,G5-L5," ")</f>
        <v>2500</v>
      </c>
      <c r="N5" s="8" t="n">
        <f aca="false">IF((G5-L5)&lt;&gt;0,N$1-A5," ")</f>
        <v>269</v>
      </c>
      <c r="P5" s="2" t="str">
        <f aca="false">IF((F5="a"),I5," ")</f>
        <v> 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n">
        <f aca="false">IF((F5="g"),I5," ")</f>
        <v>2083.33333333333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45872</v>
      </c>
      <c r="B6" s="2" t="s">
        <v>41</v>
      </c>
      <c r="F6" s="4" t="s">
        <v>40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267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45874</v>
      </c>
      <c r="B7" s="2" t="s">
        <v>42</v>
      </c>
      <c r="F7" s="4" t="s">
        <v>40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265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45877</v>
      </c>
      <c r="B8" s="2" t="s">
        <v>43</v>
      </c>
      <c r="F8" s="4" t="s">
        <v>44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262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45879</v>
      </c>
      <c r="B9" s="2" t="s">
        <v>45</v>
      </c>
      <c r="F9" s="4" t="s">
        <v>44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260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45881</v>
      </c>
      <c r="B10" s="2" t="s">
        <v>50</v>
      </c>
      <c r="F10" s="4" t="s">
        <v>44</v>
      </c>
      <c r="G10" s="2" t="n">
        <v>960</v>
      </c>
      <c r="H10" s="2" t="n">
        <f aca="false">IF(H$4&gt;0,(IF(G10&lt;&gt;0,G10*H$4/100," ")),IF(G10&lt;&gt;0,G10*H$2/(100+H$2)," "))</f>
        <v>160</v>
      </c>
      <c r="I10" s="2" t="n">
        <f aca="false">IF((G10&lt;&gt;0),G10-H10," ")</f>
        <v>800</v>
      </c>
      <c r="M10" s="7" t="n">
        <f aca="false">IF(G10&lt;&gt;0,G10-L10," ")</f>
        <v>960</v>
      </c>
      <c r="N10" s="8" t="n">
        <f aca="false">IF((G10-L10)&lt;&gt;0,N$1-A10," ")</f>
        <v>258</v>
      </c>
      <c r="P10" s="2" t="n">
        <f aca="false">IF((F10="a"),I10," ")</f>
        <v>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45884</v>
      </c>
      <c r="B11" s="2" t="s">
        <v>15</v>
      </c>
      <c r="F11" s="4" t="s">
        <v>44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255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45887</v>
      </c>
      <c r="B12" s="2" t="s">
        <v>46</v>
      </c>
      <c r="F12" s="4" t="s">
        <v>44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252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45889</v>
      </c>
      <c r="B13" s="2" t="s">
        <v>47</v>
      </c>
      <c r="F13" s="4" t="s">
        <v>44</v>
      </c>
      <c r="G13" s="2" t="n">
        <v>1800</v>
      </c>
      <c r="H13" s="2" t="n">
        <f aca="false">IF(H$4&gt;0,(IF(G13&lt;&gt;0,G13*H$4/100," ")),IF(G13&lt;&gt;0,G13*H$2/(100+H$2)," "))</f>
        <v>300</v>
      </c>
      <c r="I13" s="2" t="n">
        <f aca="false">IF((G13&lt;&gt;0),G13-H13," ")</f>
        <v>1500</v>
      </c>
      <c r="M13" s="7" t="n">
        <f aca="false">IF(G13&lt;&gt;0,G13-L13," ")</f>
        <v>1800</v>
      </c>
      <c r="N13" s="8" t="n">
        <f aca="false">IF((G13-L13)&lt;&gt;0,N$1-A13," ")</f>
        <v>250</v>
      </c>
      <c r="P13" s="2" t="n">
        <f aca="false">IF((F13="a"),I13," ")</f>
        <v>1500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A14" s="1" t="n">
        <v>45894</v>
      </c>
      <c r="B14" s="2" t="s">
        <v>53</v>
      </c>
      <c r="F14" s="4" t="s">
        <v>44</v>
      </c>
      <c r="G14" s="2" t="n">
        <v>1200</v>
      </c>
      <c r="H14" s="2" t="n">
        <f aca="false">IF(H$4&gt;0,(IF(G14&lt;&gt;0,G14*H$4/100," ")),IF(G14&lt;&gt;0,G14*H$2/(100+H$2)," "))</f>
        <v>200</v>
      </c>
      <c r="I14" s="2" t="n">
        <f aca="false">IF((G14&lt;&gt;0),G14-H14," ")</f>
        <v>1000</v>
      </c>
      <c r="M14" s="7" t="n">
        <f aca="false">IF(G14&lt;&gt;0,G14-L14," ")</f>
        <v>1200</v>
      </c>
      <c r="N14" s="8" t="n">
        <f aca="false">IF((G14-L14)&lt;&gt;0,N$1-A14," ")</f>
        <v>245</v>
      </c>
      <c r="P14" s="2" t="n">
        <f aca="false">IF((F14="a"),I14," ")</f>
        <v>1000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33760</v>
      </c>
      <c r="H1" s="14" t="n">
        <f aca="false">SUM(H5:H300)</f>
        <v>5626.66666666667</v>
      </c>
      <c r="I1" s="14" t="n">
        <f aca="false">SUM(I5:I300)</f>
        <v>28133.3333333333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33760</v>
      </c>
      <c r="N1" s="18" t="n">
        <f aca="true">TODAY()</f>
        <v>46139</v>
      </c>
      <c r="O1" s="19"/>
      <c r="P1" s="14" t="n">
        <f aca="false">SUM(P5:P300)</f>
        <v>25033.3333333333</v>
      </c>
      <c r="Q1" s="14" t="n">
        <f aca="false">SUM(Q5:Q300)</f>
        <v>800</v>
      </c>
      <c r="R1" s="14" t="n">
        <f aca="false">SUM(R5:R300)</f>
        <v>1800</v>
      </c>
      <c r="S1" s="14" t="n">
        <f aca="false">SUM(S5:S300)</f>
        <v>500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W1+Aug!X1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Aug!H2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V1+Aug!V2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Aug!H4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45903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236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45905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234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45908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231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45910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229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45915</v>
      </c>
      <c r="B9" s="2" t="s">
        <v>15</v>
      </c>
      <c r="F9" s="4" t="s">
        <v>44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224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45916</v>
      </c>
      <c r="B10" s="2" t="s">
        <v>51</v>
      </c>
      <c r="F10" s="4" t="s">
        <v>52</v>
      </c>
      <c r="G10" s="2" t="n">
        <v>1200</v>
      </c>
      <c r="H10" s="2" t="n">
        <f aca="false">IF(H$4&gt;0,(IF(G10&lt;&gt;0,G10*H$4/100," ")),IF(G10&lt;&gt;0,G10*H$2/(100+H$2)," "))</f>
        <v>200</v>
      </c>
      <c r="I10" s="2" t="n">
        <f aca="false">IF((G10&lt;&gt;0),G10-H10," ")</f>
        <v>1000</v>
      </c>
      <c r="M10" s="7" t="n">
        <f aca="false">IF(G10&lt;&gt;0,G10-L10," ")</f>
        <v>1200</v>
      </c>
      <c r="N10" s="8" t="n">
        <f aca="false">IF((G10-L10)&lt;&gt;0,N$1-A10," ")</f>
        <v>223</v>
      </c>
      <c r="P10" s="2" t="str">
        <f aca="false">IF((F10="a"),I10," ")</f>
        <v> </v>
      </c>
      <c r="Q10" s="2" t="str">
        <f aca="false">IF((F10="b"),I10," ")</f>
        <v> </v>
      </c>
      <c r="R10" s="2" t="n">
        <f aca="false">IF((F10="c"),I10," ")</f>
        <v>1000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45918</v>
      </c>
      <c r="B11" s="2" t="s">
        <v>46</v>
      </c>
      <c r="F11" s="4" t="s">
        <v>44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221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45920</v>
      </c>
      <c r="B12" s="2" t="s">
        <v>58</v>
      </c>
      <c r="F12" s="4" t="s">
        <v>52</v>
      </c>
      <c r="G12" s="2" t="n">
        <v>960</v>
      </c>
      <c r="H12" s="2" t="n">
        <f aca="false">IF(H$4&gt;0,(IF(G12&lt;&gt;0,G12*H$4/100," ")),IF(G12&lt;&gt;0,G12*H$2/(100+H$2)," "))</f>
        <v>160</v>
      </c>
      <c r="I12" s="2" t="n">
        <f aca="false">IF((G12&lt;&gt;0),G12-H12," ")</f>
        <v>800</v>
      </c>
      <c r="M12" s="7" t="n">
        <f aca="false">IF(G12&lt;&gt;0,G12-L12," ")</f>
        <v>960</v>
      </c>
      <c r="N12" s="8" t="n">
        <f aca="false">IF((G12-L12)&lt;&gt;0,N$1-A12," ")</f>
        <v>219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800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45922</v>
      </c>
      <c r="B13" s="2" t="s">
        <v>54</v>
      </c>
      <c r="F13" s="4" t="s">
        <v>44</v>
      </c>
      <c r="G13" s="2" t="n">
        <v>1440</v>
      </c>
      <c r="H13" s="2" t="n">
        <f aca="false">IF(H$4&gt;0,(IF(G13&lt;&gt;0,G13*H$4/100," ")),IF(G13&lt;&gt;0,G13*H$2/(100+H$2)," "))</f>
        <v>240</v>
      </c>
      <c r="I13" s="2" t="n">
        <f aca="false">IF((G13&lt;&gt;0),G13-H13," ")</f>
        <v>1200</v>
      </c>
      <c r="M13" s="7" t="n">
        <f aca="false">IF(G13&lt;&gt;0,G13-L13," ")</f>
        <v>1440</v>
      </c>
      <c r="N13" s="8" t="n">
        <f aca="false">IF((G13-L13)&lt;&gt;0,N$1-A13," ")</f>
        <v>217</v>
      </c>
      <c r="P13" s="2" t="n">
        <f aca="false">IF((F13="a"),I13," ")</f>
        <v>1200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A14" s="1" t="n">
        <v>45925</v>
      </c>
      <c r="B14" s="2" t="s">
        <v>59</v>
      </c>
      <c r="F14" s="4" t="s">
        <v>49</v>
      </c>
      <c r="G14" s="2" t="n">
        <v>600</v>
      </c>
      <c r="H14" s="2" t="n">
        <f aca="false">IF(H$4&gt;0,(IF(G14&lt;&gt;0,G14*H$4/100," ")),IF(G14&lt;&gt;0,G14*H$2/(100+H$2)," "))</f>
        <v>100</v>
      </c>
      <c r="I14" s="2" t="n">
        <f aca="false">IF((G14&lt;&gt;0),G14-H14," ")</f>
        <v>500</v>
      </c>
      <c r="M14" s="7" t="n">
        <f aca="false">IF(G14&lt;&gt;0,G14-L14," ")</f>
        <v>600</v>
      </c>
      <c r="N14" s="8" t="n">
        <f aca="false">IF((G14-L14)&lt;&gt;0,N$1-A14," ")</f>
        <v>214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n">
        <f aca="false">IF((F14="d"),I14," ")</f>
        <v>500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50560</v>
      </c>
      <c r="H1" s="14" t="n">
        <f aca="false">SUM(H5:H300)</f>
        <v>8426.66666666667</v>
      </c>
      <c r="I1" s="14" t="n">
        <f aca="false">SUM(I5:I300)</f>
        <v>42133.3333333333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50560</v>
      </c>
      <c r="N1" s="18" t="n">
        <f aca="true">TODAY()</f>
        <v>46139</v>
      </c>
      <c r="O1" s="19"/>
      <c r="P1" s="14" t="n">
        <f aca="false">SUM(P5:P300)</f>
        <v>27133.3333333333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12500</v>
      </c>
      <c r="W1" s="14" t="n">
        <f aca="false">SUM(W5:W300)</f>
        <v>0</v>
      </c>
      <c r="X1" s="14" t="n">
        <f aca="false">W1+Sep!X1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Sep!H2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V1+Sep!V2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Sep!H4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45931</v>
      </c>
      <c r="B5" s="2" t="s">
        <v>17</v>
      </c>
      <c r="F5" s="4" t="s">
        <v>40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208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45933</v>
      </c>
      <c r="B6" s="2" t="s">
        <v>41</v>
      </c>
      <c r="F6" s="4" t="s">
        <v>40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206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45935</v>
      </c>
      <c r="B7" s="2" t="s">
        <v>42</v>
      </c>
      <c r="F7" s="4" t="s">
        <v>40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204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45938</v>
      </c>
      <c r="B8" s="2" t="s">
        <v>43</v>
      </c>
      <c r="F8" s="4" t="s">
        <v>44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201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45940</v>
      </c>
      <c r="B9" s="2" t="s">
        <v>60</v>
      </c>
      <c r="F9" s="4" t="s">
        <v>61</v>
      </c>
      <c r="G9" s="2" t="n">
        <v>15000</v>
      </c>
      <c r="H9" s="2" t="n">
        <f aca="false">IF(H$4&gt;0,(IF(G9&lt;&gt;0,G9*H$4/100," ")),IF(G9&lt;&gt;0,G9*H$2/(100+H$2)," "))</f>
        <v>2500</v>
      </c>
      <c r="I9" s="2" t="n">
        <f aca="false">IF((G9&lt;&gt;0),G9-H9," ")</f>
        <v>12500</v>
      </c>
      <c r="M9" s="7" t="n">
        <f aca="false">IF(G9&lt;&gt;0,G9-L9," ")</f>
        <v>15000</v>
      </c>
      <c r="N9" s="8" t="n">
        <f aca="false">IF((G9-L9)&lt;&gt;0,N$1-A9," ")</f>
        <v>199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n">
        <f aca="false">IF((F9="FS"),I9," ")</f>
        <v>12500</v>
      </c>
    </row>
    <row r="10" customFormat="false" ht="12" hidden="false" customHeight="false" outlineLevel="0" collapsed="false">
      <c r="A10" s="1" t="n">
        <v>45940</v>
      </c>
      <c r="B10" s="2" t="s">
        <v>45</v>
      </c>
      <c r="F10" s="4" t="s">
        <v>44</v>
      </c>
      <c r="G10" s="2" t="n">
        <v>720</v>
      </c>
      <c r="H10" s="2" t="n">
        <f aca="false">IF(H$4&gt;0,(IF(G10&lt;&gt;0,G10*H$4/100," ")),IF(G10&lt;&gt;0,G10*H$2/(100+H$2)," "))</f>
        <v>120</v>
      </c>
      <c r="I10" s="2" t="n">
        <f aca="false">IF((G10&lt;&gt;0),G10-H10," ")</f>
        <v>600</v>
      </c>
      <c r="M10" s="7" t="n">
        <f aca="false">IF(G10&lt;&gt;0,G10-L10," ")</f>
        <v>720</v>
      </c>
      <c r="N10" s="8" t="n">
        <f aca="false">IF((G10-L10)&lt;&gt;0,N$1-A10," ")</f>
        <v>199</v>
      </c>
      <c r="P10" s="2" t="n">
        <f aca="false">IF((F10="a"),I10," ")</f>
        <v>600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45944</v>
      </c>
      <c r="B11" s="2" t="s">
        <v>55</v>
      </c>
      <c r="F11" s="4" t="s">
        <v>44</v>
      </c>
      <c r="G11" s="2" t="n">
        <v>2160</v>
      </c>
      <c r="H11" s="2" t="n">
        <f aca="false">IF(H$4&gt;0,(IF(G11&lt;&gt;0,G11*H$4/100," ")),IF(G11&lt;&gt;0,G11*H$2/(100+H$2)," "))</f>
        <v>360</v>
      </c>
      <c r="I11" s="2" t="n">
        <f aca="false">IF((G11&lt;&gt;0),G11-H11," ")</f>
        <v>1800</v>
      </c>
      <c r="M11" s="7" t="n">
        <f aca="false">IF(G11&lt;&gt;0,G11-L11," ")</f>
        <v>2160</v>
      </c>
      <c r="N11" s="8" t="n">
        <f aca="false">IF((G11-L11)&lt;&gt;0,N$1-A11," ")</f>
        <v>195</v>
      </c>
      <c r="P11" s="2" t="n">
        <f aca="false">IF((F11="a"),I11," ")</f>
        <v>1800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45945</v>
      </c>
      <c r="B12" s="2" t="s">
        <v>15</v>
      </c>
      <c r="F12" s="4" t="s">
        <v>44</v>
      </c>
      <c r="G12" s="2" t="n">
        <v>25000</v>
      </c>
      <c r="H12" s="2" t="n">
        <f aca="false">IF(H$4&gt;0,(IF(G12&lt;&gt;0,G12*H$4/100," ")),IF(G12&lt;&gt;0,G12*H$2/(100+H$2)," "))</f>
        <v>4166.66666666667</v>
      </c>
      <c r="I12" s="2" t="n">
        <f aca="false">IF((G12&lt;&gt;0),G12-H12," ")</f>
        <v>20833.3333333333</v>
      </c>
      <c r="M12" s="7" t="n">
        <f aca="false">IF(G12&lt;&gt;0,G12-L12," ")</f>
        <v>25000</v>
      </c>
      <c r="N12" s="8" t="n">
        <f aca="false">IF((G12-L12)&lt;&gt;0,N$1-A12," ")</f>
        <v>194</v>
      </c>
      <c r="P12" s="2" t="n">
        <f aca="false">IF((F12="a"),I12," ")</f>
        <v>20833.3333333333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45948</v>
      </c>
      <c r="B13" s="2" t="s">
        <v>46</v>
      </c>
      <c r="F13" s="4" t="s">
        <v>44</v>
      </c>
      <c r="G13" s="2" t="n">
        <v>2400</v>
      </c>
      <c r="H13" s="2" t="n">
        <f aca="false">IF(H$4&gt;0,(IF(G13&lt;&gt;0,G13*H$4/100," ")),IF(G13&lt;&gt;0,G13*H$2/(100+H$2)," "))</f>
        <v>400</v>
      </c>
      <c r="I13" s="2" t="n">
        <f aca="false">IF((G13&lt;&gt;0),G13-H13," ")</f>
        <v>2000</v>
      </c>
      <c r="M13" s="7" t="n">
        <f aca="false">IF(G13&lt;&gt;0,G13-L13," ")</f>
        <v>2400</v>
      </c>
      <c r="N13" s="8" t="n">
        <f aca="false">IF((G13-L13)&lt;&gt;0,N$1-A13," ")</f>
        <v>191</v>
      </c>
      <c r="P13" s="2" t="n">
        <f aca="false">IF((F13="a"),I13," ")</f>
        <v>2000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A14" s="1" t="n">
        <v>45950</v>
      </c>
      <c r="B14" s="2" t="s">
        <v>47</v>
      </c>
      <c r="F14" s="4" t="s">
        <v>44</v>
      </c>
      <c r="G14" s="2" t="n">
        <v>1800</v>
      </c>
      <c r="H14" s="2" t="n">
        <f aca="false">IF(H$4&gt;0,(IF(G14&lt;&gt;0,G14*H$4/100," ")),IF(G14&lt;&gt;0,G14*H$2/(100+H$2)," "))</f>
        <v>300</v>
      </c>
      <c r="I14" s="2" t="n">
        <f aca="false">IF((G14&lt;&gt;0),G14-H14," ")</f>
        <v>1500</v>
      </c>
      <c r="M14" s="7" t="n">
        <f aca="false">IF(G14&lt;&gt;0,G14-L14," ")</f>
        <v>1800</v>
      </c>
      <c r="N14" s="8" t="n">
        <f aca="false">IF((G14-L14)&lt;&gt;0,N$1-A14," ")</f>
        <v>189</v>
      </c>
      <c r="P14" s="2" t="n">
        <f aca="false">IF((F14="a"),I14," ")</f>
        <v>1500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A15" s="1" t="n">
        <v>45958</v>
      </c>
      <c r="B15" s="2" t="s">
        <v>48</v>
      </c>
      <c r="F15" s="4" t="s">
        <v>49</v>
      </c>
      <c r="G15" s="2" t="n">
        <v>840</v>
      </c>
      <c r="H15" s="2" t="n">
        <f aca="false">IF(H$4&gt;0,(IF(G15&lt;&gt;0,G15*H$4/100," ")),IF(G15&lt;&gt;0,G15*H$2/(100+H$2)," "))</f>
        <v>140</v>
      </c>
      <c r="I15" s="2" t="n">
        <f aca="false">IF((G15&lt;&gt;0),G15-H15," ")</f>
        <v>700</v>
      </c>
      <c r="M15" s="7" t="n">
        <f aca="false">IF(G15&lt;&gt;0,G15-L15," ")</f>
        <v>840</v>
      </c>
      <c r="N15" s="8" t="n">
        <f aca="false">IF((G15-L15)&lt;&gt;0,N$1-A15," ")</f>
        <v>181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n">
        <f aca="false">IF((F15="d"),I15," ")</f>
        <v>700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35320</v>
      </c>
      <c r="H1" s="14" t="n">
        <f aca="false">SUM(H5:H300)</f>
        <v>5886.66666666667</v>
      </c>
      <c r="I1" s="14" t="n">
        <f aca="false">SUM(I5:I300)</f>
        <v>29433.3333333333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35320</v>
      </c>
      <c r="N1" s="18" t="n">
        <f aca="true">TODAY()</f>
        <v>46139</v>
      </c>
      <c r="O1" s="19"/>
      <c r="P1" s="14" t="n">
        <f aca="false">SUM(P5:P300)</f>
        <v>25633.3333333333</v>
      </c>
      <c r="Q1" s="14" t="n">
        <f aca="false">SUM(Q5:Q300)</f>
        <v>800</v>
      </c>
      <c r="R1" s="14" t="n">
        <f aca="false">SUM(R5:R300)</f>
        <v>3000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W1+Oct!X1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Oct!H2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V1+Oct!V2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Oct!H4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45964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175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45966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173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45969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170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45971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168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45973</v>
      </c>
      <c r="B9" s="2" t="s">
        <v>50</v>
      </c>
      <c r="F9" s="4" t="s">
        <v>44</v>
      </c>
      <c r="G9" s="2" t="n">
        <v>960</v>
      </c>
      <c r="H9" s="2" t="n">
        <f aca="false">IF(H$4&gt;0,(IF(G9&lt;&gt;0,G9*H$4/100," ")),IF(G9&lt;&gt;0,G9*H$2/(100+H$2)," "))</f>
        <v>160</v>
      </c>
      <c r="I9" s="2" t="n">
        <f aca="false">IF((G9&lt;&gt;0),G9-H9," ")</f>
        <v>800</v>
      </c>
      <c r="M9" s="7" t="n">
        <f aca="false">IF(G9&lt;&gt;0,G9-L9," ")</f>
        <v>960</v>
      </c>
      <c r="N9" s="8" t="n">
        <f aca="false">IF((G9-L9)&lt;&gt;0,N$1-A9," ")</f>
        <v>166</v>
      </c>
      <c r="P9" s="2" t="n">
        <f aca="false">IF((F9="a"),I9," ")</f>
        <v>800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45976</v>
      </c>
      <c r="B10" s="2" t="s">
        <v>15</v>
      </c>
      <c r="F10" s="4" t="s">
        <v>44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163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45979</v>
      </c>
      <c r="B11" s="2" t="s">
        <v>46</v>
      </c>
      <c r="F11" s="4" t="s">
        <v>44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160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45981</v>
      </c>
      <c r="B12" s="2" t="s">
        <v>62</v>
      </c>
      <c r="F12" s="4" t="s">
        <v>52</v>
      </c>
      <c r="G12" s="2" t="n">
        <v>3600</v>
      </c>
      <c r="H12" s="2" t="n">
        <f aca="false">IF(H$4&gt;0,(IF(G12&lt;&gt;0,G12*H$4/100," ")),IF(G12&lt;&gt;0,G12*H$2/(100+H$2)," "))</f>
        <v>600</v>
      </c>
      <c r="I12" s="2" t="n">
        <f aca="false">IF((G12&lt;&gt;0),G12-H12," ")</f>
        <v>3000</v>
      </c>
      <c r="M12" s="7" t="n">
        <f aca="false">IF(G12&lt;&gt;0,G12-L12," ")</f>
        <v>3600</v>
      </c>
      <c r="N12" s="8" t="n">
        <f aca="false">IF((G12-L12)&lt;&gt;0,N$1-A12," ")</f>
        <v>158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3000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45986</v>
      </c>
      <c r="B13" s="2" t="s">
        <v>53</v>
      </c>
      <c r="F13" s="4" t="s">
        <v>44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153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32800</v>
      </c>
      <c r="H1" s="14" t="n">
        <f aca="false">SUM(H5:H300)</f>
        <v>5466.66666666667</v>
      </c>
      <c r="I1" s="14" t="n">
        <f aca="false">SUM(I5:I300)</f>
        <v>27333.3333333333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32800</v>
      </c>
      <c r="N1" s="18" t="n">
        <f aca="true">TODAY()</f>
        <v>46139</v>
      </c>
      <c r="O1" s="19"/>
      <c r="P1" s="14" t="n">
        <f aca="false">SUM(P5:P300)</f>
        <v>26533.3333333333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W1+Nov!X1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Nov!H2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V1+Nov!V2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Nov!H4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45994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145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45996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143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45999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140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46001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138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46006</v>
      </c>
      <c r="B9" s="2" t="s">
        <v>15</v>
      </c>
      <c r="F9" s="4" t="s">
        <v>44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133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46009</v>
      </c>
      <c r="B10" s="2" t="s">
        <v>46</v>
      </c>
      <c r="F10" s="4" t="s">
        <v>44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130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46011</v>
      </c>
      <c r="B11" s="2" t="s">
        <v>47</v>
      </c>
      <c r="F11" s="4" t="s">
        <v>44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128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46013</v>
      </c>
      <c r="B12" s="2" t="s">
        <v>54</v>
      </c>
      <c r="F12" s="4" t="s">
        <v>44</v>
      </c>
      <c r="G12" s="2" t="n">
        <v>1440</v>
      </c>
      <c r="H12" s="2" t="n">
        <f aca="false">IF(H$4&gt;0,(IF(G12&lt;&gt;0,G12*H$4/100," ")),IF(G12&lt;&gt;0,G12*H$2/(100+H$2)," "))</f>
        <v>240</v>
      </c>
      <c r="I12" s="2" t="n">
        <f aca="false">IF((G12&lt;&gt;0),G12-H12," ")</f>
        <v>1200</v>
      </c>
      <c r="M12" s="7" t="n">
        <f aca="false">IF(G12&lt;&gt;0,G12-L12," ")</f>
        <v>1440</v>
      </c>
      <c r="N12" s="8" t="n">
        <f aca="false">IF((G12-L12)&lt;&gt;0,N$1-A12," ")</f>
        <v>126</v>
      </c>
      <c r="P12" s="2" t="n">
        <f aca="false">IF((F12="a"),I12," ")</f>
        <v>1200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35440</v>
      </c>
      <c r="H1" s="14" t="n">
        <f aca="false">SUM(H5:H300)</f>
        <v>5906.66666666667</v>
      </c>
      <c r="I1" s="14" t="n">
        <f aca="false">SUM(I5:I300)</f>
        <v>29533.3333333333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35440</v>
      </c>
      <c r="N1" s="18" t="n">
        <f aca="true">TODAY()</f>
        <v>46139</v>
      </c>
      <c r="O1" s="19"/>
      <c r="P1" s="14" t="n">
        <f aca="false">SUM(P5:P300)</f>
        <v>25633.3333333333</v>
      </c>
      <c r="Q1" s="14" t="n">
        <f aca="false">SUM(Q5:Q300)</f>
        <v>1800</v>
      </c>
      <c r="R1" s="14" t="n">
        <f aca="false">SUM(R5:R300)</f>
        <v>1000</v>
      </c>
      <c r="S1" s="14" t="n">
        <f aca="false">SUM(S5:S300)</f>
        <v>1100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W1+Dec!X1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Dec!H2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V1+Dec!V2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44" t="n">
        <f aca="false">Dec!H4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46023</v>
      </c>
      <c r="B5" s="2" t="s">
        <v>17</v>
      </c>
      <c r="F5" s="4" t="s">
        <v>40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116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46025</v>
      </c>
      <c r="B6" s="2" t="s">
        <v>41</v>
      </c>
      <c r="F6" s="4" t="s">
        <v>40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114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46027</v>
      </c>
      <c r="B7" s="2" t="s">
        <v>42</v>
      </c>
      <c r="F7" s="4" t="s">
        <v>40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112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46030</v>
      </c>
      <c r="B8" s="2" t="s">
        <v>43</v>
      </c>
      <c r="F8" s="4" t="s">
        <v>44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109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46032</v>
      </c>
      <c r="B9" s="2" t="s">
        <v>45</v>
      </c>
      <c r="F9" s="4" t="s">
        <v>44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107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46036</v>
      </c>
      <c r="B10" s="2" t="s">
        <v>55</v>
      </c>
      <c r="F10" s="4" t="s">
        <v>44</v>
      </c>
      <c r="G10" s="2" t="n">
        <v>2160</v>
      </c>
      <c r="H10" s="2" t="n">
        <f aca="false">IF(H$4&gt;0,(IF(G10&lt;&gt;0,G10*H$4/100," ")),IF(G10&lt;&gt;0,G10*H$2/(100+H$2)," "))</f>
        <v>360</v>
      </c>
      <c r="I10" s="2" t="n">
        <f aca="false">IF((G10&lt;&gt;0),G10-H10," ")</f>
        <v>1800</v>
      </c>
      <c r="M10" s="7" t="n">
        <f aca="false">IF(G10&lt;&gt;0,G10-L10," ")</f>
        <v>2160</v>
      </c>
      <c r="N10" s="8" t="n">
        <f aca="false">IF((G10-L10)&lt;&gt;0,N$1-A10," ")</f>
        <v>103</v>
      </c>
      <c r="P10" s="2" t="n">
        <f aca="false">IF((F10="a"),I10," ")</f>
        <v>1800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46037</v>
      </c>
      <c r="B11" s="2" t="s">
        <v>15</v>
      </c>
      <c r="F11" s="4" t="s">
        <v>44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102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46038</v>
      </c>
      <c r="B12" s="2" t="s">
        <v>51</v>
      </c>
      <c r="F12" s="4" t="s">
        <v>52</v>
      </c>
      <c r="G12" s="2" t="n">
        <v>1200</v>
      </c>
      <c r="H12" s="2" t="n">
        <f aca="false">IF(H$4&gt;0,(IF(G12&lt;&gt;0,G12*H$4/100," ")),IF(G12&lt;&gt;0,G12*H$2/(100+H$2)," "))</f>
        <v>200</v>
      </c>
      <c r="I12" s="2" t="n">
        <f aca="false">IF((G12&lt;&gt;0),G12-H12," ")</f>
        <v>1000</v>
      </c>
      <c r="M12" s="7" t="n">
        <f aca="false">IF(G12&lt;&gt;0,G12-L12," ")</f>
        <v>1200</v>
      </c>
      <c r="N12" s="8" t="n">
        <f aca="false">IF((G12-L12)&lt;&gt;0,N$1-A12," ")</f>
        <v>101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1000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46040</v>
      </c>
      <c r="B13" s="2" t="s">
        <v>46</v>
      </c>
      <c r="F13" s="4" t="s">
        <v>44</v>
      </c>
      <c r="G13" s="2" t="n">
        <v>2400</v>
      </c>
      <c r="H13" s="2" t="n">
        <f aca="false">IF(H$4&gt;0,(IF(G13&lt;&gt;0,G13*H$4/100," ")),IF(G13&lt;&gt;0,G13*H$2/(100+H$2)," "))</f>
        <v>400</v>
      </c>
      <c r="I13" s="2" t="n">
        <f aca="false">IF((G13&lt;&gt;0),G13-H13," ")</f>
        <v>2000</v>
      </c>
      <c r="M13" s="7" t="n">
        <f aca="false">IF(G13&lt;&gt;0,G13-L13," ")</f>
        <v>2400</v>
      </c>
      <c r="N13" s="8" t="n">
        <f aca="false">IF((G13-L13)&lt;&gt;0,N$1-A13," ")</f>
        <v>99</v>
      </c>
      <c r="P13" s="2" t="n">
        <f aca="false">IF((F13="a"),I13," ")</f>
        <v>2000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A14" s="1" t="n">
        <v>46047</v>
      </c>
      <c r="B14" s="2" t="s">
        <v>63</v>
      </c>
      <c r="F14" s="4" t="s">
        <v>49</v>
      </c>
      <c r="G14" s="2" t="n">
        <v>480</v>
      </c>
      <c r="H14" s="2" t="n">
        <f aca="false">IF(H$4&gt;0,(IF(G14&lt;&gt;0,G14*H$4/100," ")),IF(G14&lt;&gt;0,G14*H$2/(100+H$2)," "))</f>
        <v>80</v>
      </c>
      <c r="I14" s="2" t="n">
        <f aca="false">IF((G14&lt;&gt;0),G14-H14," ")</f>
        <v>400</v>
      </c>
      <c r="M14" s="7" t="n">
        <f aca="false">IF(G14&lt;&gt;0,G14-L14," ")</f>
        <v>480</v>
      </c>
      <c r="N14" s="8" t="n">
        <f aca="false">IF((G14-L14)&lt;&gt;0,N$1-A14," ")</f>
        <v>92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n">
        <f aca="false">IF((F14="d"),I14," ")</f>
        <v>400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A15" s="1" t="n">
        <v>46050</v>
      </c>
      <c r="B15" s="2" t="s">
        <v>48</v>
      </c>
      <c r="F15" s="4" t="s">
        <v>49</v>
      </c>
      <c r="G15" s="2" t="n">
        <v>840</v>
      </c>
      <c r="H15" s="2" t="n">
        <f aca="false">IF(H$4&gt;0,(IF(G15&lt;&gt;0,G15*H$4/100," ")),IF(G15&lt;&gt;0,G15*H$2/(100+H$2)," "))</f>
        <v>140</v>
      </c>
      <c r="I15" s="2" t="n">
        <f aca="false">IF((G15&lt;&gt;0),G15-H15," ")</f>
        <v>700</v>
      </c>
      <c r="M15" s="7" t="n">
        <f aca="false">IF(G15&lt;&gt;0,G15-L15," ")</f>
        <v>840</v>
      </c>
      <c r="N15" s="8" t="n">
        <f aca="false">IF((G15-L15)&lt;&gt;0,N$1-A15," ")</f>
        <v>89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n">
        <f aca="false">IF((F15="d"),I15," ")</f>
        <v>700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5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To effect a change in the standard vat rate:&#10;&#10;ENTER NEW RATE IN THE MONTH THE RATE CHANGES&#10;PURCHASE AND SUCCEEDING MONTHS AUTOMATICALLY UPDATED" promptTitle="VAT CHANGE" showDropDown="false" showErrorMessage="true" showInputMessage="true" sqref="H2" type="none">
      <formula1>0</formula1>
      <formula2>0</formula2>
    </dataValidation>
    <dataValidation allowBlank="true" errorStyle="stop" operator="between" prompt="To effect a change in the FLAT RATE VAT PERCENTAGE&#10;&#10;ENTER NEW RATE IN THE MONTH THE RATE CHANGES&#10;PURCHASE AND SUCCEEDING MONTHS AUTOMATICALLY UPDATED" promptTitle="CHANGE TO FLAT RATE VAT" showDropDown="false" showErrorMessage="true" showInputMessage="true" sqref="H4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34360</v>
      </c>
      <c r="H1" s="14" t="n">
        <f aca="false">SUM(H5:H300)</f>
        <v>5726.66666666667</v>
      </c>
      <c r="I1" s="14" t="n">
        <f aca="false">SUM(I5:I300)</f>
        <v>28633.3333333333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34360</v>
      </c>
      <c r="N1" s="18" t="n">
        <f aca="true">TODAY()</f>
        <v>46139</v>
      </c>
      <c r="O1" s="19"/>
      <c r="P1" s="14" t="n">
        <f aca="false">SUM(P5:P300)</f>
        <v>26333.3333333333</v>
      </c>
      <c r="Q1" s="14" t="n">
        <f aca="false">SUM(Q5:Q300)</f>
        <v>800</v>
      </c>
      <c r="R1" s="14" t="n">
        <f aca="false">SUM(R5:R300)</f>
        <v>1500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W1+Jan!X1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Jan!H2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V1+Jan!V2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Jan!H4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46056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83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46058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81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46061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78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46063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76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46068</v>
      </c>
      <c r="B9" s="2" t="s">
        <v>15</v>
      </c>
      <c r="F9" s="4" t="s">
        <v>44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71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46071</v>
      </c>
      <c r="B10" s="2" t="s">
        <v>46</v>
      </c>
      <c r="F10" s="4" t="s">
        <v>44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68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46073</v>
      </c>
      <c r="B11" s="2" t="s">
        <v>47</v>
      </c>
      <c r="F11" s="4" t="s">
        <v>44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66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46073</v>
      </c>
      <c r="B12" s="2" t="s">
        <v>64</v>
      </c>
      <c r="F12" s="4" t="s">
        <v>52</v>
      </c>
      <c r="G12" s="2" t="n">
        <v>1800</v>
      </c>
      <c r="H12" s="2" t="n">
        <f aca="false">IF(H$4&gt;0,(IF(G12&lt;&gt;0,G12*H$4/100," ")),IF(G12&lt;&gt;0,G12*H$2/(100+H$2)," "))</f>
        <v>300</v>
      </c>
      <c r="I12" s="2" t="n">
        <f aca="false">IF((G12&lt;&gt;0),G12-H12," ")</f>
        <v>1500</v>
      </c>
      <c r="M12" s="7" t="n">
        <f aca="false">IF(G12&lt;&gt;0,G12-L12," ")</f>
        <v>1800</v>
      </c>
      <c r="N12" s="8" t="n">
        <f aca="false">IF((G12-L12)&lt;&gt;0,N$1-A12," ")</f>
        <v>66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1500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A13" s="1" t="n">
        <v>46078</v>
      </c>
      <c r="B13" s="2" t="s">
        <v>53</v>
      </c>
      <c r="F13" s="4" t="s">
        <v>44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61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31360</v>
      </c>
      <c r="H1" s="14" t="n">
        <f aca="false">SUM(H5:H300)</f>
        <v>5226.66666666667</v>
      </c>
      <c r="I1" s="14" t="n">
        <f aca="false">SUM(I5:I300)</f>
        <v>26133.3333333333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31360</v>
      </c>
      <c r="N1" s="18" t="n">
        <f aca="true">TODAY()</f>
        <v>46139</v>
      </c>
      <c r="O1" s="19"/>
      <c r="P1" s="14" t="n">
        <f aca="false">SUM(P5:P300)</f>
        <v>25033.3333333333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300</v>
      </c>
      <c r="V1" s="14" t="n">
        <f aca="false">SUM(V5:V300)</f>
        <v>0</v>
      </c>
      <c r="W1" s="14" t="n">
        <f aca="false">SUM(W5:W300)</f>
        <v>0</v>
      </c>
      <c r="X1" s="14" t="n">
        <f aca="false">W1+Feb!X1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Feb!H2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V1+Feb!V2</f>
        <v>12500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Feb!H4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46084</v>
      </c>
      <c r="B5" s="2" t="s">
        <v>41</v>
      </c>
      <c r="F5" s="4" t="s">
        <v>40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55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46086</v>
      </c>
      <c r="B6" s="2" t="s">
        <v>42</v>
      </c>
      <c r="F6" s="4" t="s">
        <v>40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53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A7" s="1" t="n">
        <v>46089</v>
      </c>
      <c r="B7" s="2" t="s">
        <v>43</v>
      </c>
      <c r="F7" s="4" t="s">
        <v>44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50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A8" s="1" t="n">
        <v>46091</v>
      </c>
      <c r="B8" s="2" t="s">
        <v>45</v>
      </c>
      <c r="F8" s="4" t="s">
        <v>44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48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A9" s="1" t="n">
        <v>46096</v>
      </c>
      <c r="B9" s="2" t="s">
        <v>15</v>
      </c>
      <c r="F9" s="4" t="s">
        <v>44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43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A10" s="1" t="n">
        <v>46099</v>
      </c>
      <c r="B10" s="2" t="s">
        <v>46</v>
      </c>
      <c r="F10" s="4" t="s">
        <v>44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40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A11" s="1" t="n">
        <v>46103</v>
      </c>
      <c r="B11" s="2" t="s">
        <v>54</v>
      </c>
      <c r="F11" s="4" t="s">
        <v>44</v>
      </c>
      <c r="G11" s="2" t="n">
        <v>1440</v>
      </c>
      <c r="H11" s="2" t="n">
        <f aca="false">IF(H$4&gt;0,(IF(G11&lt;&gt;0,G11*H$4/100," ")),IF(G11&lt;&gt;0,G11*H$2/(100+H$2)," "))</f>
        <v>240</v>
      </c>
      <c r="I11" s="2" t="n">
        <f aca="false">IF((G11&lt;&gt;0),G11-H11," ")</f>
        <v>1200</v>
      </c>
      <c r="M11" s="7" t="n">
        <f aca="false">IF(G11&lt;&gt;0,G11-L11," ")</f>
        <v>1440</v>
      </c>
      <c r="N11" s="8" t="n">
        <f aca="false">IF((G11-L11)&lt;&gt;0,N$1-A11," ")</f>
        <v>36</v>
      </c>
      <c r="P11" s="2" t="n">
        <f aca="false">IF((F11="a"),I11," ")</f>
        <v>1200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A12" s="1" t="n">
        <v>46112</v>
      </c>
      <c r="B12" s="2" t="s">
        <v>65</v>
      </c>
      <c r="F12" s="4" t="s">
        <v>66</v>
      </c>
      <c r="G12" s="2" t="n">
        <v>360</v>
      </c>
      <c r="H12" s="2" t="n">
        <f aca="false">IF(H$4&gt;0,(IF(G12&lt;&gt;0,G12*H$4/100," ")),IF(G12&lt;&gt;0,G12*H$2/(100+H$2)," "))</f>
        <v>60</v>
      </c>
      <c r="I12" s="2" t="n">
        <f aca="false">IF((G12&lt;&gt;0),G12-H12," ")</f>
        <v>300</v>
      </c>
      <c r="M12" s="7" t="n">
        <f aca="false">IF(G12&lt;&gt;0,G12-L12," ")</f>
        <v>360</v>
      </c>
      <c r="N12" s="8" t="n">
        <f aca="false">IF((G12-L12)&lt;&gt;0,N$1-A12," ")</f>
        <v>27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n">
        <f aca="false">IF((F12="o"),I12," ")</f>
        <v>300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46139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Mar!H2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 t="n">
        <f aca="false">Mar!H4</f>
        <v>0</v>
      </c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B5" s="2" t="s">
        <v>15</v>
      </c>
      <c r="C5" s="3" t="s">
        <v>67</v>
      </c>
      <c r="D5" s="4" t="n">
        <v>8000</v>
      </c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B6" s="2" t="s">
        <v>46</v>
      </c>
      <c r="C6" s="3" t="s">
        <v>68</v>
      </c>
      <c r="D6" s="4" t="n">
        <v>2400</v>
      </c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2007-03-02T22:25:05Z</cp:lastPrinted>
  <dcterms:modified xsi:type="dcterms:W3CDTF">2025-04-03T22:49:48Z</dcterms:modified>
  <cp:revision>0</cp:revision>
  <dc:subject/>
  <dc:title>Self Employed Sales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