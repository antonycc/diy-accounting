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<sst xmlns="http://schemas.openxmlformats.org/spreadsheetml/2006/main" count="881" uniqueCount="60">
  <si>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</si>
  <si>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</si>
  <si>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</si>
  <si>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</si>
  <si>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</si>
  <si>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</si>
  <si>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</si>
  <si>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</si>
  <si>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</si>
  <si>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</si>
  <si>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</si>
  <si>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</si>
  <si>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</si>
  <si>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</si>
  <si>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</si>
  <si>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</si>
  <si>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</si>
  <si>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</si>
  <si>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</si>
  <si>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</si>
  <si>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</si>
  <si>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</si>
  <si>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</si>
  <si>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</si>
  <si>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</si>
  <si>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</si>
  <si>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</si>
  <si>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</si>
  <si>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</si>
  <si>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</si>
  <si>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</si>
  <si>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</si>
  <si>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</si>
  <si>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</si>
  <si>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</si>
  <si>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</si>
  <si>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</si>
  <si>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</si>
  <si>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</si>
  <si>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</si>
  <si>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</si>
  <si>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</si>
  <si>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</si>
  <si>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</si>
  <si>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</si>
  <si>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</si>
  <si>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</si>
  <si>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</si>
  <si>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</si>
  <si>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</si>
  <si>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</si>
  <si>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</si>
  <si>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</si>
  <si>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</si>
  <si>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</si>
  <si>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</si>
  <si>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</si>
  <si>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&lt;  Opening Bank Balance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</si>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</sst>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C1" s="8" t="n">
        <f aca="false">[1]Admin!$B$9</f>
        <v>45748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Jun!A2</f>
        <v>5000</v>
      </c>
      <c r="B1" s="46" t="s">
        <v>57</v>
      </c>
      <c r="C1" s="8" t="n">
        <f aca="false">[1]Admin!$B$11</f>
        <v>45778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Jul!A2</f>
        <v>5000</v>
      </c>
      <c r="B1" s="46" t="s">
        <v>57</v>
      </c>
      <c r="C1" s="8" t="n">
        <f aca="false">[1]Admin!$B$13</f>
        <v>45809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Aug!A2</f>
        <v>5000</v>
      </c>
      <c r="B1" s="46" t="s">
        <v>57</v>
      </c>
      <c r="C1" s="8" t="n">
        <f aca="false">[1]Admin!$B$15</f>
        <v>45839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Sep!A2</f>
        <v>5000</v>
      </c>
      <c r="B1" s="46" t="s">
        <v>57</v>
      </c>
      <c r="C1" s="8" t="n">
        <f aca="false">[1]Admin!$B$17</f>
        <v>45870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5000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Oct!A2</f>
        <v>5000</v>
      </c>
      <c r="B1" s="46" t="s">
        <v>57</v>
      </c>
      <c r="C1" s="8" t="n">
        <f aca="false">[1]Admin!$B$19</f>
        <v>45901</v>
      </c>
      <c r="D1" s="9" t="s">
        <v>0</v>
      </c>
      <c r="E1" s="10" t="n">
        <f aca="false">F1-SUM(G1:Q1)</f>
        <v>0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125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45991</v>
      </c>
      <c r="B6" s="2" t="s">
        <v>58</v>
      </c>
      <c r="E6" s="5" t="s">
        <v>46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n">
        <f aca="false">IF(E6="RV",F6," ")</f>
        <v>125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Nov!A2</f>
        <v>5125</v>
      </c>
      <c r="B1" s="46" t="s">
        <v>57</v>
      </c>
      <c r="C1" s="8" t="n">
        <f aca="false">[1]Admin!$B$21</f>
        <v>45931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Dec!A2</f>
        <v>5125</v>
      </c>
      <c r="B1" s="46" t="s">
        <v>57</v>
      </c>
      <c r="C1" s="8" t="n">
        <f aca="false">[1]Admin!$B$23</f>
        <v>45962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Jan!A2</f>
        <v>5125</v>
      </c>
      <c r="B1" s="46" t="s">
        <v>57</v>
      </c>
      <c r="C1" s="8" t="n">
        <f aca="false">[1]Admin!$B$25</f>
        <v>45992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Feb!A2</f>
        <v>5125</v>
      </c>
      <c r="B1" s="46" t="s">
        <v>57</v>
      </c>
      <c r="C1" s="8" t="n">
        <f aca="false">[1]Admin!$B$27</f>
        <v>46023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Mar!A2</f>
        <v>5125</v>
      </c>
      <c r="B1" s="46" t="s">
        <v>57</v>
      </c>
      <c r="C1" s="8" t="n">
        <f aca="false">[1]Admin!$B$29</f>
        <v>46054</v>
      </c>
      <c r="D1" s="9" t="s">
        <v>0</v>
      </c>
      <c r="E1" s="10" t="n">
        <f aca="false">F1-SUM(G1:Q1)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5125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5125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5" t="n">
        <f aca="false">Apr!A2</f>
        <v>5125</v>
      </c>
      <c r="B1" s="46" t="s">
        <v>57</v>
      </c>
      <c r="C1" s="8" t="n">
        <f aca="false">[1]Admin!$B$31</f>
        <v>46082</v>
      </c>
      <c r="D1" s="9" t="s">
        <v>0</v>
      </c>
      <c r="E1" s="10" t="n">
        <f aca="false">F1-SUM(G1:Q1)</f>
        <v>0</v>
      </c>
      <c r="F1" s="11" t="n">
        <f aca="false">SUM(F6:F200)</f>
        <v>5150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</v>
      </c>
      <c r="O1" s="11" t="n">
        <f aca="false">SUM(O6:O200)</f>
        <v>0</v>
      </c>
      <c r="P1" s="11" t="n">
        <f aca="false">SUM(P6:P200)</f>
        <v>0</v>
      </c>
      <c r="Q1" s="11" t="n">
        <f aca="false">SUM(Q6:Q200)</f>
        <v>5000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10275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 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5" customFormat="true" ht="19.5" hidden="false" customHeight="true" outlineLevel="0" collapsed="false">
      <c r="A4" s="28" t="n">
        <f aca="false">A2-A3</f>
        <v>10275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5" customFormat="true" ht="15" hidden="false" customHeight="true" outlineLevel="0" collapsed="false">
      <c r="A5" s="32" t="s">
        <v>36</v>
      </c>
      <c r="B5" s="33" t="s">
        <v>37</v>
      </c>
      <c r="C5" s="34" t="s">
        <v>38</v>
      </c>
      <c r="D5" s="18"/>
      <c r="E5" s="19"/>
      <c r="F5" s="25"/>
      <c r="G5" s="35" t="s">
        <v>39</v>
      </c>
      <c r="H5" s="35" t="s">
        <v>40</v>
      </c>
      <c r="I5" s="35" t="s">
        <v>41</v>
      </c>
      <c r="J5" s="35" t="s">
        <v>42</v>
      </c>
      <c r="K5" s="35" t="s">
        <v>43</v>
      </c>
      <c r="L5" s="35" t="s">
        <v>44</v>
      </c>
      <c r="M5" s="35" t="s">
        <v>45</v>
      </c>
      <c r="N5" s="35" t="s">
        <v>46</v>
      </c>
      <c r="O5" s="35" t="s">
        <v>47</v>
      </c>
      <c r="P5" s="35" t="s">
        <v>48</v>
      </c>
      <c r="Q5" s="35" t="s">
        <v>49</v>
      </c>
      <c r="R5" s="12"/>
      <c r="S5" s="30"/>
      <c r="T5" s="31"/>
      <c r="U5" s="21"/>
      <c r="V5" s="22"/>
      <c r="W5" s="19"/>
      <c r="X5" s="25"/>
      <c r="Y5" s="35" t="s">
        <v>39</v>
      </c>
      <c r="Z5" s="35" t="s">
        <v>40</v>
      </c>
      <c r="AA5" s="35" t="s">
        <v>41</v>
      </c>
      <c r="AB5" s="35" t="s">
        <v>50</v>
      </c>
      <c r="AC5" s="35" t="s">
        <v>51</v>
      </c>
      <c r="AD5" s="35" t="s">
        <v>52</v>
      </c>
      <c r="AE5" s="35" t="s">
        <v>53</v>
      </c>
      <c r="AF5" s="35" t="s">
        <v>44</v>
      </c>
      <c r="AG5" s="35" t="s">
        <v>45</v>
      </c>
      <c r="AH5" s="35" t="s">
        <v>54</v>
      </c>
      <c r="AI5" s="35" t="s">
        <v>46</v>
      </c>
      <c r="AJ5" s="35" t="s">
        <v>47</v>
      </c>
      <c r="AK5" s="35" t="s">
        <v>55</v>
      </c>
      <c r="AL5" s="35" t="s">
        <v>56</v>
      </c>
      <c r="AM5" s="35" t="s">
        <v>48</v>
      </c>
      <c r="AN5" s="35" t="s">
        <v>49</v>
      </c>
    </row>
    <row r="6" customFormat="false" ht="12" hidden="false" customHeight="false" outlineLevel="0" collapsed="false">
      <c r="A6" s="1" t="n">
        <v>46157</v>
      </c>
      <c r="B6" s="2" t="s">
        <v>59</v>
      </c>
      <c r="E6" s="5" t="s">
        <v>49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6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46173</v>
      </c>
      <c r="B7" s="2" t="s">
        <v>58</v>
      </c>
      <c r="E7" s="5" t="s">
        <v>46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n">
        <f aca="false">IF(E7="RV",F7," ")</f>
        <v>150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7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7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7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7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7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7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7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7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7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7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7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7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7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7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7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7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7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7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7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7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7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7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7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7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7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7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7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7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7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7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7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7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7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7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7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7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7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7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7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7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7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7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7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7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7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7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7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7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7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7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7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7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7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7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7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7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7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7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7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7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7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7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7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7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7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7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7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7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7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7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7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7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7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7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7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7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7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7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7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7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7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7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7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7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7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7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7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7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7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7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7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7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7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7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7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7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7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7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7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7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7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7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7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7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7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7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7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7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7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7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7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7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7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7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7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7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7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7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7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7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7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7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7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7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7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7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7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7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7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7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7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7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7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7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7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7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7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7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7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7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7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7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7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7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7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7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7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7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7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7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7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7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7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7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7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7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7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7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7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7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7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7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7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7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7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7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7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6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8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7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7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7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7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7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7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7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7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7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7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7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7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7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7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7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7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7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7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7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7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7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7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7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7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IF(E200="BD",F200," ")</f>
        <v> </v>
      </c>
      <c r="I200" s="44" t="str">
        <f aca="false">IF(E200="BC",F200,"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IF(E200="RV",F200," ")</f>
        <v> </v>
      </c>
      <c r="O200" s="44" t="str">
        <f aca="false">IF(E200="RC",F200," ")</f>
        <v> </v>
      </c>
      <c r="P200" s="44" t="str">
        <f aca="false">IF(E200="DL",F200," ")</f>
        <v> </v>
      </c>
      <c r="Q200" s="44" t="str">
        <f aca="false">IF(E200="X",F200," ")</f>
        <v> </v>
      </c>
      <c r="R200" s="38"/>
      <c r="S200" s="39"/>
      <c r="T200" s="42"/>
      <c r="U200" s="41"/>
      <c r="V200" s="41"/>
      <c r="W200" s="44" t="str">
        <f aca="false">IF(X200&lt;&gt;0,"Enter Code"," ")</f>
        <v> </v>
      </c>
      <c r="X200" s="44"/>
      <c r="Y200" s="44" t="str">
        <f aca="false">IF(W200="BB",X200," ")</f>
        <v> </v>
      </c>
      <c r="Z200" s="44" t="str">
        <f aca="false">IF(W200="BD",X200," ")</f>
        <v> </v>
      </c>
      <c r="AA200" s="44" t="str">
        <f aca="false">IF(W200="BC",X200," ")</f>
        <v> </v>
      </c>
      <c r="AB200" s="44" t="str">
        <f aca="false">IF(W200="CR",X200," ")</f>
        <v> </v>
      </c>
      <c r="AC200" s="44" t="str">
        <f aca="false">IF(W200="W",X200," ")</f>
        <v> </v>
      </c>
      <c r="AD200" s="44" t="str">
        <f aca="false">IF(W200="B",X200," ")</f>
        <v> </v>
      </c>
      <c r="AE200" s="44" t="str">
        <f aca="false">IF(W200="J",X200," ")</f>
        <v> </v>
      </c>
      <c r="AF200" s="44" t="str">
        <f aca="false">IF(W200="LDR",X200," ")</f>
        <v> </v>
      </c>
      <c r="AG200" s="44" t="str">
        <f aca="false">IF(W200="LCR",X200," ")</f>
        <v> </v>
      </c>
      <c r="AH200" s="44" t="str">
        <f aca="false">IF(W200="RP",X200," ")</f>
        <v> </v>
      </c>
      <c r="AI200" s="44" t="str">
        <f aca="false">IF(W200="RV",X200," ")</f>
        <v> </v>
      </c>
      <c r="AJ200" s="44" t="str">
        <f aca="false">IF(W200="RC",X200," ")</f>
        <v> </v>
      </c>
      <c r="AK200" s="44" t="str">
        <f aca="false">IF(W200="RT",X200," ")</f>
        <v> </v>
      </c>
      <c r="AL200" s="44" t="str">
        <f aca="false">IF(W200="DV",X200," ")</f>
        <v> </v>
      </c>
      <c r="AM200" s="44" t="str">
        <f aca="false">IF(W200="DL",X200," ")</f>
        <v> </v>
      </c>
      <c r="AN200" s="44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