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un" sheetId="1" state="visible" r:id="rId3"/>
    <sheet name="Jul" sheetId="2" state="visible" r:id="rId4"/>
    <sheet name="Aug" sheetId="3" state="visible" r:id="rId5"/>
    <sheet name="Sep" sheetId="4" state="visible" r:id="rId6"/>
    <sheet name="Oct" sheetId="5" state="visible" r:id="rId7"/>
    <sheet name="Nov" sheetId="6" state="visible" r:id="rId8"/>
    <sheet name="Dec" sheetId="7" state="visible" r:id="rId9"/>
    <sheet name="Jan" sheetId="8" state="visible" r:id="rId10"/>
    <sheet name="Feb" sheetId="9" state="visible" r:id="rId11"/>
    <sheet name="Mar" sheetId="10" state="visible" r:id="rId12"/>
    <sheet name="Apr" sheetId="11" state="visible" r:id="rId13"/>
    <sheet name="May" sheetId="12" state="visible" r:id="rId14"/>
  </sheets>
  <externalReferences>
    <externalReference r:id="rId15"/>
  </externalReferences>
  <definedNames>
    <definedName function="false" hidden="false" localSheetId="0" name="_xlnm_Print_Area" vbProcedure="false">Apr!$A$1:$AI$75</definedName>
    <definedName function="false" hidden="false" localSheetId="0" name="_xlnm_Print_Titles" vbProcedure="false">Apr!$1:$5</definedName>
    <definedName function="false" hidden="false" localSheetId="1" name="_xlnm_Print_Area" vbProcedure="false">May!$A$1:$AJ$75</definedName>
    <definedName function="false" hidden="false" localSheetId="1" name="_xlnm_Print_Titles" vbProcedure="false">May!$1:$5</definedName>
    <definedName function="false" hidden="false" localSheetId="2" name="_xlnm_Print_Area" vbProcedure="false">Jun!$A$1:$AJ$75</definedName>
    <definedName function="false" hidden="false" localSheetId="2" name="_xlnm_Print_Titles" vbProcedure="false">Jun!$1:$5</definedName>
    <definedName function="false" hidden="false" localSheetId="3" name="_xlnm_Print_Area" vbProcedure="false">Jul!$A$1:$AJ$75</definedName>
    <definedName function="false" hidden="false" localSheetId="3" name="_xlnm_Print_Titles" vbProcedure="false">Jul!$1:$5</definedName>
    <definedName function="false" hidden="false" localSheetId="4" name="_xlnm_Print_Area" vbProcedure="false">Aug!$A$1:$AJ$75</definedName>
    <definedName function="false" hidden="false" localSheetId="4" name="_xlnm_Print_Titles" vbProcedure="false">Aug!$1:$5</definedName>
    <definedName function="false" hidden="false" localSheetId="5" name="_xlnm_Print_Area" vbProcedure="false">Sep!$A$1:$AJ$75</definedName>
    <definedName function="false" hidden="false" localSheetId="5" name="_xlnm_Print_Titles" vbProcedure="false">Sep!$1:$5</definedName>
    <definedName function="false" hidden="false" localSheetId="6" name="_xlnm_Print_Area" vbProcedure="false">Oct!$A$1:$AJ$75</definedName>
    <definedName function="false" hidden="false" localSheetId="6" name="_xlnm_Print_Titles" vbProcedure="false">Oct!$1:$5</definedName>
    <definedName function="false" hidden="false" localSheetId="7" name="_xlnm_Print_Area" vbProcedure="false">Nov!$A$1:$AJ$75</definedName>
    <definedName function="false" hidden="false" localSheetId="7" name="_xlnm_Print_Titles" vbProcedure="false">Nov!$1:$5</definedName>
    <definedName function="false" hidden="false" localSheetId="8" name="_xlnm_Print_Area" vbProcedure="false">Dec!$A$1:$AJ$75</definedName>
    <definedName function="false" hidden="false" localSheetId="8" name="_xlnm_Print_Titles" vbProcedure="false">Dec!$1:$5</definedName>
    <definedName function="false" hidden="false" localSheetId="9" name="_xlnm_Print_Area" vbProcedure="false">Jan!$A$1:$AJ$75</definedName>
    <definedName function="false" hidden="false" localSheetId="9" name="_xlnm_Print_Titles" vbProcedure="false">Jan!$1:$5</definedName>
    <definedName function="false" hidden="false" localSheetId="10" name="_xlnm_Print_Area" vbProcedure="false">Feb!$A$1:$AJ$75</definedName>
    <definedName function="false" hidden="false" localSheetId="10" name="_xlnm_Print_Titles" vbProcedure="false">Feb!$1:$5</definedName>
    <definedName function="false" hidden="false" localSheetId="11" name="_xlnm_Print_Area" vbProcedure="false">Mar!$A$1:$AJ$75</definedName>
    <definedName function="false" hidden="false" localSheetId="11" name="_xlnm_Print_Titles" vbProcedure="false">Mar!$1:$5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<sst xmlns="http://schemas.openxmlformats.org/spreadsheetml/2006/main" count="881" uniqueCount="60">
  <si>
    <t xml:space="preserve">Totals &gt;</t>
  </si>
  <si>
    <t xml:space="preserve">&lt;  Closing Bank Balance</t>
  </si>
  <si>
    <t xml:space="preserve">Deposit   Bank     Reference</t>
  </si>
  <si>
    <t xml:space="preserve">Enter Code Letters</t>
  </si>
  <si>
    <t xml:space="preserve">SAVINGS ACCOUNT STATEMENT RECEIPTS</t>
  </si>
  <si>
    <t xml:space="preserve">Enter Purchase Invoice No.</t>
  </si>
  <si>
    <t xml:space="preserve">Cheque number  Direct Debit</t>
  </si>
  <si>
    <t xml:space="preserve">SAVINGS ACCOUNT STATEMENT PAYMENTS</t>
  </si>
  <si>
    <t xml:space="preserve">&lt;  Statement Bank Balance</t>
  </si>
  <si>
    <t xml:space="preserve">Amounts received from each Source</t>
  </si>
  <si>
    <t xml:space="preserve">Transfers From Current</t>
  </si>
  <si>
    <t xml:space="preserve">Transfers From Cr Card</t>
  </si>
  <si>
    <t xml:space="preserve">Transfers From Cash</t>
  </si>
  <si>
    <t xml:space="preserve">Amount Received Debtors</t>
  </si>
  <si>
    <t xml:space="preserve">Interest Received</t>
  </si>
  <si>
    <t xml:space="preserve">Long Term Debtor</t>
  </si>
  <si>
    <t xml:space="preserve">Long Term Creditor</t>
  </si>
  <si>
    <t xml:space="preserve">HMRC   Vat Refunded</t>
  </si>
  <si>
    <t xml:space="preserve">HMRC   CIS Refunded</t>
  </si>
  <si>
    <t xml:space="preserve">Directors Loan Account</t>
  </si>
  <si>
    <t xml:space="preserve">Bank Contra items</t>
  </si>
  <si>
    <t xml:space="preserve">Amounts Paid by invoice number</t>
  </si>
  <si>
    <t xml:space="preserve">Transfers  To   Current</t>
  </si>
  <si>
    <t xml:space="preserve">Transfers      To     Credit Card</t>
  </si>
  <si>
    <t xml:space="preserve">Transfers      To       Cash</t>
  </si>
  <si>
    <t xml:space="preserve">Amount Paid Creditors</t>
  </si>
  <si>
    <t xml:space="preserve">Net        Wages      Paid</t>
  </si>
  <si>
    <t xml:space="preserve">Bank Charges Paid</t>
  </si>
  <si>
    <t xml:space="preserve">Interest Paid</t>
  </si>
  <si>
    <t xml:space="preserve">HMRC Paye Payments</t>
  </si>
  <si>
    <t xml:space="preserve">HMRC    Vat Payments</t>
  </si>
  <si>
    <t xml:space="preserve">HMRC CIS Payments</t>
  </si>
  <si>
    <t xml:space="preserve">HMRC Corp Tax Payment</t>
  </si>
  <si>
    <t xml:space="preserve">Dividends Paid</t>
  </si>
  <si>
    <t xml:space="preserve">Payment Date </t>
  </si>
  <si>
    <t xml:space="preserve">Suppliers paid</t>
  </si>
  <si>
    <t xml:space="preserve">Date</t>
  </si>
  <si>
    <t xml:space="preserve">Source of Funds Received</t>
  </si>
  <si>
    <t xml:space="preserve">Sales Invoice</t>
  </si>
  <si>
    <t xml:space="preserve">BB</t>
  </si>
  <si>
    <t xml:space="preserve">BD</t>
  </si>
  <si>
    <t xml:space="preserve">BC</t>
  </si>
  <si>
    <t xml:space="preserve">DR</t>
  </si>
  <si>
    <t xml:space="preserve">K</t>
  </si>
  <si>
    <t xml:space="preserve">LDR</t>
  </si>
  <si>
    <t xml:space="preserve">LCR</t>
  </si>
  <si>
    <t xml:space="preserve">RV</t>
  </si>
  <si>
    <t xml:space="preserve">RC</t>
  </si>
  <si>
    <t xml:space="preserve">DL</t>
  </si>
  <si>
    <t xml:space="preserve">X</t>
  </si>
  <si>
    <t xml:space="preserve">CR</t>
  </si>
  <si>
    <t xml:space="preserve">W</t>
  </si>
  <si>
    <t xml:space="preserve">B</t>
  </si>
  <si>
    <t xml:space="preserve">J</t>
  </si>
  <si>
    <t xml:space="preserve">RP</t>
  </si>
  <si>
    <t xml:space="preserve">RT</t>
  </si>
  <si>
    <t xml:space="preserve">DV</t>
  </si>
  <si>
    <t xml:space="preserve">&lt;  Opening Bank Balance</t>
  </si>
  <si>
    <t xml:space="preserve">HSBC Savings</t>
  </si>
  <si>
    <t xml:space="preserve">Internal transfer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</si>
</sst>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\-mmm\-yy"/>
    <numFmt numFmtId="166" formatCode="#,##0_ ;[RED]\-#,##0\ "/>
    <numFmt numFmtId="167" formatCode="0"/>
    <numFmt numFmtId="168" formatCode="0_ ;[RED]\-0\ "/>
    <numFmt numFmtId="169" formatCode="#,##0.00_ ;[RED]\-#,##0.00\ "/>
  </numFmts>
  <fonts count="7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9"/>
      <color rgb="FF000080"/>
      <name val="Times New Roman"/>
      <family val="1"/>
      <charset val="1"/>
    </font>
    <font>
      <b val="true"/>
      <sz val="9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6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5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6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2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8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2" borderId="6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5" fillId="2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5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2" xfId="0" applyFont="true" applyBorder="true" applyAlignment="true" applyProtection="false">
      <alignment horizontal="left" vertical="bottom" textRotation="0" wrapText="true" indent="1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" fillId="2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3" xfId="0" applyFont="true" applyBorder="true" applyAlignment="true" applyProtection="false">
      <alignment horizontal="left" vertical="bottom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externalLink" Target="externalLinks/externalLink1.xml"/><Relationship Id="rId16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nancialaccounts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7" t="n">
        <v>5000</v>
      </c>
      <c r="C1" s="8" t="n">
        <f aca="false">[1]Admin!$B$9</f>
        <v>45748</v>
      </c>
      <c r="D1" s="9" t="s">
        <v>0</v>
      </c>
      <c r="E1" s="10" t="n">
        <f aca="false">F1-SUM(G1:Q1)</f>
        <v>0</v>
      </c>
      <c r="F1" s="11" t="n">
        <f aca="false">SUM(F6:F200)</f>
        <v>0</v>
      </c>
      <c r="G1" s="11" t="n">
        <f aca="false">SUM(G6:G200)</f>
        <v>0</v>
      </c>
      <c r="H1" s="11" t="n">
        <f aca="false">SUM(H6:H200)</f>
        <v>0</v>
      </c>
      <c r="I1" s="11" t="n">
        <f aca="false">SUM(I6:I200)</f>
        <v>0</v>
      </c>
      <c r="J1" s="11" t="n">
        <f aca="false">SUM(J6:J200)</f>
        <v>0</v>
      </c>
      <c r="K1" s="11" t="n">
        <f aca="false">SUM(K6:K200)</f>
        <v>0</v>
      </c>
      <c r="L1" s="11" t="n">
        <f aca="false">SUM(L6:L200)</f>
        <v>0</v>
      </c>
      <c r="M1" s="11" t="n">
        <f aca="false">SUM(M6:M200)</f>
        <v>0</v>
      </c>
      <c r="N1" s="11" t="n">
        <f aca="false">SUM(N6:N200)</f>
        <v>0</v>
      </c>
      <c r="O1" s="11" t="n">
        <f aca="false">SUM(O6:O200)</f>
        <v>0</v>
      </c>
      <c r="P1" s="11" t="n">
        <f aca="false">SUM(P6:P200)</f>
        <v>0</v>
      </c>
      <c r="Q1" s="11" t="n">
        <f aca="false">SUM(Q6:Q200)</f>
        <v>0</v>
      </c>
      <c r="R1" s="12"/>
      <c r="S1" s="13" t="str">
        <f aca="false">IF(W1=0," ","Check all payment code letters entered")</f>
        <v> </v>
      </c>
      <c r="T1" s="13"/>
      <c r="U1" s="14"/>
      <c r="V1" s="15" t="s">
        <v>0</v>
      </c>
      <c r="W1" s="10" t="n">
        <f aca="false">X1-SUM(Y1:AN1)</f>
        <v>0</v>
      </c>
      <c r="X1" s="11" t="n">
        <f aca="false">SUM(X6:X200)</f>
        <v>0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0</v>
      </c>
      <c r="AB1" s="11" t="n">
        <f aca="false">SUM(AB6:AB200)</f>
        <v>0</v>
      </c>
      <c r="AC1" s="11" t="n">
        <f aca="false">SUM(AC6:AC200)</f>
        <v>0</v>
      </c>
      <c r="AD1" s="11" t="n">
        <f aca="false">SUM(AD6:AD200)</f>
        <v>0</v>
      </c>
      <c r="AE1" s="11" t="n">
        <f aca="false">SUM(AE6:AE200)</f>
        <v>0</v>
      </c>
      <c r="AF1" s="11" t="n">
        <f aca="false">SUM(AF6:AF200)</f>
        <v>0</v>
      </c>
      <c r="AG1" s="11" t="n">
        <f aca="false">SUM(AG6:AG200)</f>
        <v>0</v>
      </c>
      <c r="AH1" s="11" t="n">
        <f aca="false">SUM(AH6:AH200)</f>
        <v>0</v>
      </c>
      <c r="AI1" s="11" t="n">
        <f aca="false">SUM(AI6:AI200)</f>
        <v>0</v>
      </c>
      <c r="AJ1" s="11" t="n">
        <f aca="false">SUM(AJ6:AJ200)</f>
        <v>0</v>
      </c>
      <c r="AK1" s="11" t="n">
        <f aca="false">SUM(AK6:AK200)</f>
        <v>0</v>
      </c>
      <c r="AL1" s="11" t="n">
        <f aca="false">SUM(AL6:AL200)</f>
        <v>0</v>
      </c>
      <c r="AM1" s="11" t="n">
        <f aca="false">SUM(AM6:AM200)</f>
        <v>0</v>
      </c>
      <c r="AN1" s="11" t="n">
        <f aca="false">SUM(AN6:AN200)</f>
        <v>0</v>
      </c>
    </row>
    <row r="2" customFormat="false" ht="15" hidden="false" customHeight="true" outlineLevel="0" collapsed="false">
      <c r="A2" s="16" t="n">
        <f aca="false">A1+F1-X1</f>
        <v>5000</v>
      </c>
      <c r="B2" s="17" t="s">
        <v>1</v>
      </c>
      <c r="C2" s="8" t="n">
        <f aca="false">[1]Admin!$B$10</f>
        <v>45777</v>
      </c>
      <c r="D2" s="18" t="s">
        <v>2</v>
      </c>
      <c r="E2" s="19" t="s">
        <v>3</v>
      </c>
      <c r="F2" s="20" t="s">
        <v>4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12"/>
      <c r="S2" s="13" t="str">
        <f aca="false">IF(E1=0," ","Check all Receipts Code Letters entered")</f>
        <v> </v>
      </c>
      <c r="T2" s="13"/>
      <c r="U2" s="21" t="s">
        <v>5</v>
      </c>
      <c r="V2" s="22" t="s">
        <v>6</v>
      </c>
      <c r="W2" s="19" t="s">
        <v>3</v>
      </c>
      <c r="X2" s="20" t="s">
        <v>7</v>
      </c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</row>
    <row r="3" customFormat="false" ht="19.5" hidden="false" customHeight="true" outlineLevel="0" collapsed="false">
      <c r="A3" s="7"/>
      <c r="B3" s="23" t="s">
        <v>8</v>
      </c>
      <c r="C3" s="24" t="n">
        <f aca="false">C2</f>
        <v>45777</v>
      </c>
      <c r="D3" s="18"/>
      <c r="E3" s="19"/>
      <c r="F3" s="25" t="s">
        <v>9</v>
      </c>
      <c r="G3" s="25" t="s">
        <v>10</v>
      </c>
      <c r="H3" s="25" t="s">
        <v>11</v>
      </c>
      <c r="I3" s="25" t="s">
        <v>12</v>
      </c>
      <c r="J3" s="25" t="s">
        <v>13</v>
      </c>
      <c r="K3" s="25" t="s">
        <v>14</v>
      </c>
      <c r="L3" s="25" t="s">
        <v>15</v>
      </c>
      <c r="M3" s="25" t="s">
        <v>16</v>
      </c>
      <c r="N3" s="25" t="s">
        <v>17</v>
      </c>
      <c r="O3" s="25" t="s">
        <v>18</v>
      </c>
      <c r="P3" s="25" t="s">
        <v>19</v>
      </c>
      <c r="Q3" s="25" t="s">
        <v>20</v>
      </c>
      <c r="R3" s="12"/>
      <c r="S3" s="26"/>
      <c r="T3" s="27"/>
      <c r="U3" s="21"/>
      <c r="V3" s="22"/>
      <c r="W3" s="19"/>
      <c r="X3" s="25" t="s">
        <v>21</v>
      </c>
      <c r="Y3" s="25" t="s">
        <v>22</v>
      </c>
      <c r="Z3" s="25" t="s">
        <v>23</v>
      </c>
      <c r="AA3" s="25" t="s">
        <v>24</v>
      </c>
      <c r="AB3" s="25" t="s">
        <v>25</v>
      </c>
      <c r="AC3" s="25" t="s">
        <v>26</v>
      </c>
      <c r="AD3" s="25" t="s">
        <v>27</v>
      </c>
      <c r="AE3" s="25" t="s">
        <v>28</v>
      </c>
      <c r="AF3" s="25" t="s">
        <v>15</v>
      </c>
      <c r="AG3" s="25" t="s">
        <v>16</v>
      </c>
      <c r="AH3" s="25" t="s">
        <v>29</v>
      </c>
      <c r="AI3" s="25" t="s">
        <v>30</v>
      </c>
      <c r="AJ3" s="25" t="s">
        <v>31</v>
      </c>
      <c r="AK3" s="25" t="s">
        <v>32</v>
      </c>
      <c r="AL3" s="25" t="s">
        <v>33</v>
      </c>
      <c r="AM3" s="25" t="s">
        <v>19</v>
      </c>
      <c r="AN3" s="25" t="s">
        <v>20</v>
      </c>
    </row>
    <row r="4" s="5" customFormat="true" ht="19.5" hidden="false" customHeight="true" outlineLevel="0" collapsed="false">
      <c r="A4" s="28" t="n">
        <f aca="false">A2-A3</f>
        <v>5000</v>
      </c>
      <c r="B4" s="29" t="str">
        <f aca="false">IF(A4=0,"&lt;  Bank  - Statement Balance","  Reconcile Bank Statement")</f>
        <v>  Reconcile Bank Statement</v>
      </c>
      <c r="C4" s="29"/>
      <c r="D4" s="18"/>
      <c r="E4" s="19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12"/>
      <c r="S4" s="30" t="s">
        <v>34</v>
      </c>
      <c r="T4" s="31" t="s">
        <v>35</v>
      </c>
      <c r="U4" s="21"/>
      <c r="V4" s="22"/>
      <c r="W4" s="19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</row>
    <row r="5" s="5" customFormat="true" ht="15" hidden="false" customHeight="true" outlineLevel="0" collapsed="false">
      <c r="A5" s="32" t="s">
        <v>36</v>
      </c>
      <c r="B5" s="33" t="s">
        <v>37</v>
      </c>
      <c r="C5" s="34" t="s">
        <v>38</v>
      </c>
      <c r="D5" s="18"/>
      <c r="E5" s="19"/>
      <c r="F5" s="25"/>
      <c r="G5" s="35" t="s">
        <v>39</v>
      </c>
      <c r="H5" s="35" t="s">
        <v>40</v>
      </c>
      <c r="I5" s="35" t="s">
        <v>41</v>
      </c>
      <c r="J5" s="35" t="s">
        <v>42</v>
      </c>
      <c r="K5" s="35" t="s">
        <v>43</v>
      </c>
      <c r="L5" s="35" t="s">
        <v>44</v>
      </c>
      <c r="M5" s="35" t="s">
        <v>45</v>
      </c>
      <c r="N5" s="35" t="s">
        <v>46</v>
      </c>
      <c r="O5" s="35" t="s">
        <v>47</v>
      </c>
      <c r="P5" s="35" t="s">
        <v>48</v>
      </c>
      <c r="Q5" s="35" t="s">
        <v>49</v>
      </c>
      <c r="R5" s="12"/>
      <c r="S5" s="30"/>
      <c r="T5" s="31"/>
      <c r="U5" s="21"/>
      <c r="V5" s="22"/>
      <c r="W5" s="19"/>
      <c r="X5" s="25"/>
      <c r="Y5" s="35" t="s">
        <v>39</v>
      </c>
      <c r="Z5" s="35" t="s">
        <v>40</v>
      </c>
      <c r="AA5" s="35" t="s">
        <v>41</v>
      </c>
      <c r="AB5" s="35" t="s">
        <v>50</v>
      </c>
      <c r="AC5" s="35" t="s">
        <v>51</v>
      </c>
      <c r="AD5" s="35" t="s">
        <v>52</v>
      </c>
      <c r="AE5" s="35" t="s">
        <v>53</v>
      </c>
      <c r="AF5" s="35" t="s">
        <v>44</v>
      </c>
      <c r="AG5" s="35" t="s">
        <v>45</v>
      </c>
      <c r="AH5" s="35" t="s">
        <v>54</v>
      </c>
      <c r="AI5" s="35" t="s">
        <v>46</v>
      </c>
      <c r="AJ5" s="35" t="s">
        <v>47</v>
      </c>
      <c r="AK5" s="35" t="s">
        <v>55</v>
      </c>
      <c r="AL5" s="35" t="s">
        <v>56</v>
      </c>
      <c r="AM5" s="35" t="s">
        <v>48</v>
      </c>
      <c r="AN5" s="35" t="s">
        <v>49</v>
      </c>
    </row>
    <row r="6" customFormat="false" ht="12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6"/>
      <c r="W6" s="6" t="str">
        <f aca="false">IF(X6&lt;&gt;0,"Enter Code"," ")</f>
        <v> </v>
      </c>
      <c r="Y6" s="6" t="str">
        <f aca="false">IF(W6="BB",X6,"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IF(E7="BD",F7,"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37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IF(E8="BD",F8,"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37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37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37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37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37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37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37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37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37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37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37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37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37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37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37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37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37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37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37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37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37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37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37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37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37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37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37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37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37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37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37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37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37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37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37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37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37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37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37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37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37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37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37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37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37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37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37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37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37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37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37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37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37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37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37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37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37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37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37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37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37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37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37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37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37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37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37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37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37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37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37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37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37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37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37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37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37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37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37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37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37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37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37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37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37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37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37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37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37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37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37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37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37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37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37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37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37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37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37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37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37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37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37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37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37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37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37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37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37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37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37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37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37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37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37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37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37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37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37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37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37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37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37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37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37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37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37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37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37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37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37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37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37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37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37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37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37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37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37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37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37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37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37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37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37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37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37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37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37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37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37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37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37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37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37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37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37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37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37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37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37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37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37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37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37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37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6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38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37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37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37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37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37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37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37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37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37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37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37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37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37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37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37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37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37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37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37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37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37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37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37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37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39"/>
      <c r="B200" s="40"/>
      <c r="C200" s="4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IF(E200="BD",F200," ")</f>
        <v> </v>
      </c>
      <c r="I200" s="44" t="str">
        <f aca="false">IF(E200="BC",F200," ")</f>
        <v> </v>
      </c>
      <c r="J200" s="44" t="str">
        <f aca="false">IF(E200="DR",F200," ")</f>
        <v> </v>
      </c>
      <c r="K200" s="44" t="str">
        <f aca="false">IF(E200="K",F200," ")</f>
        <v> </v>
      </c>
      <c r="L200" s="44" t="str">
        <f aca="false">IF(E200="LDR",F200," ")</f>
        <v> </v>
      </c>
      <c r="M200" s="44" t="str">
        <f aca="false">IF(E200="LCR",F200," ")</f>
        <v> </v>
      </c>
      <c r="N200" s="44" t="str">
        <f aca="false">IF(E200="RV",F200," ")</f>
        <v> </v>
      </c>
      <c r="O200" s="44" t="str">
        <f aca="false">IF(E200="RC",F200," ")</f>
        <v> </v>
      </c>
      <c r="P200" s="44" t="str">
        <f aca="false">IF(E200="DL",F200," ")</f>
        <v> </v>
      </c>
      <c r="Q200" s="44" t="str">
        <f aca="false">IF(E200="X",F200," ")</f>
        <v> </v>
      </c>
      <c r="R200" s="38"/>
      <c r="S200" s="39"/>
      <c r="T200" s="42"/>
      <c r="U200" s="41"/>
      <c r="V200" s="41"/>
      <c r="W200" s="44" t="str">
        <f aca="false">IF(X200&lt;&gt;0,"Enter Code"," ")</f>
        <v> </v>
      </c>
      <c r="X200" s="44"/>
      <c r="Y200" s="44" t="str">
        <f aca="false">IF(W200="BB",X200," ")</f>
        <v> </v>
      </c>
      <c r="Z200" s="44" t="str">
        <f aca="false">IF(W200="BD",X200," ")</f>
        <v> </v>
      </c>
      <c r="AA200" s="44" t="str">
        <f aca="false">IF(W200="BC",X200," ")</f>
        <v> </v>
      </c>
      <c r="AB200" s="44" t="str">
        <f aca="false">IF(W200="CR",X200," ")</f>
        <v> </v>
      </c>
      <c r="AC200" s="44" t="str">
        <f aca="false">IF(W200="W",X200," ")</f>
        <v> </v>
      </c>
      <c r="AD200" s="44" t="str">
        <f aca="false">IF(W200="B",X200," ")</f>
        <v> </v>
      </c>
      <c r="AE200" s="44" t="str">
        <f aca="false">IF(W200="J",X200," ")</f>
        <v> </v>
      </c>
      <c r="AF200" s="44" t="str">
        <f aca="false">IF(W200="LDR",X200," ")</f>
        <v> </v>
      </c>
      <c r="AG200" s="44" t="str">
        <f aca="false">IF(W200="LCR",X200," ")</f>
        <v> </v>
      </c>
      <c r="AH200" s="44" t="str">
        <f aca="false">IF(W200="RP",X200," ")</f>
        <v> </v>
      </c>
      <c r="AI200" s="44" t="str">
        <f aca="false">IF(W200="RV",X200," ")</f>
        <v> </v>
      </c>
      <c r="AJ200" s="44" t="str">
        <f aca="false">IF(W200="RC",X200," ")</f>
        <v> </v>
      </c>
      <c r="AK200" s="44" t="str">
        <f aca="false">IF(W200="RT",X200," ")</f>
        <v> </v>
      </c>
      <c r="AL200" s="44" t="str">
        <f aca="false">IF(W200="DV",X200," ")</f>
        <v> </v>
      </c>
      <c r="AM200" s="44" t="str">
        <f aca="false">IF(W200="DL",X200," ")</f>
        <v> </v>
      </c>
      <c r="AN200" s="44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0784722222222222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5" t="n">
        <f aca="false">Jun!A2</f>
        <v>5000</v>
      </c>
      <c r="B1" s="46" t="s">
        <v>57</v>
      </c>
      <c r="C1" s="8" t="n">
        <f aca="false">[1]Admin!$B$11</f>
        <v>45778</v>
      </c>
      <c r="D1" s="9" t="s">
        <v>0</v>
      </c>
      <c r="E1" s="10" t="n">
        <f aca="false">F1-SUM(G1:Q1)</f>
        <v>0</v>
      </c>
      <c r="F1" s="11" t="n">
        <f aca="false">SUM(F6:F200)</f>
        <v>0</v>
      </c>
      <c r="G1" s="11" t="n">
        <f aca="false">SUM(G6:G200)</f>
        <v>0</v>
      </c>
      <c r="H1" s="11" t="n">
        <f aca="false">SUM(H6:H200)</f>
        <v>0</v>
      </c>
      <c r="I1" s="11" t="n">
        <f aca="false">SUM(I6:I200)</f>
        <v>0</v>
      </c>
      <c r="J1" s="11" t="n">
        <f aca="false">SUM(J6:J200)</f>
        <v>0</v>
      </c>
      <c r="K1" s="11" t="n">
        <f aca="false">SUM(K6:K200)</f>
        <v>0</v>
      </c>
      <c r="L1" s="11" t="n">
        <f aca="false">SUM(L6:L200)</f>
        <v>0</v>
      </c>
      <c r="M1" s="11" t="n">
        <f aca="false">SUM(M6:M200)</f>
        <v>0</v>
      </c>
      <c r="N1" s="11" t="n">
        <f aca="false">SUM(N6:N200)</f>
        <v>0</v>
      </c>
      <c r="O1" s="11" t="n">
        <f aca="false">SUM(O6:O200)</f>
        <v>0</v>
      </c>
      <c r="P1" s="11" t="n">
        <f aca="false">SUM(P6:P200)</f>
        <v>0</v>
      </c>
      <c r="Q1" s="11" t="n">
        <f aca="false">SUM(Q6:Q200)</f>
        <v>0</v>
      </c>
      <c r="R1" s="12"/>
      <c r="S1" s="13" t="str">
        <f aca="false">IF(W1=0," ","Check all payment code letters entered")</f>
        <v> </v>
      </c>
      <c r="T1" s="13"/>
      <c r="U1" s="14"/>
      <c r="V1" s="15" t="s">
        <v>0</v>
      </c>
      <c r="W1" s="10" t="n">
        <f aca="false">X1-SUM(Y1:AN1)</f>
        <v>0</v>
      </c>
      <c r="X1" s="11" t="n">
        <f aca="false">SUM(X6:X200)</f>
        <v>0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0</v>
      </c>
      <c r="AB1" s="11" t="n">
        <f aca="false">SUM(AB6:AB200)</f>
        <v>0</v>
      </c>
      <c r="AC1" s="11" t="n">
        <f aca="false">SUM(AC6:AC200)</f>
        <v>0</v>
      </c>
      <c r="AD1" s="11" t="n">
        <f aca="false">SUM(AD6:AD200)</f>
        <v>0</v>
      </c>
      <c r="AE1" s="11" t="n">
        <f aca="false">SUM(AE6:AE200)</f>
        <v>0</v>
      </c>
      <c r="AF1" s="11" t="n">
        <f aca="false">SUM(AF6:AF200)</f>
        <v>0</v>
      </c>
      <c r="AG1" s="11" t="n">
        <f aca="false">SUM(AG6:AG200)</f>
        <v>0</v>
      </c>
      <c r="AH1" s="11" t="n">
        <f aca="false">SUM(AH6:AH200)</f>
        <v>0</v>
      </c>
      <c r="AI1" s="11" t="n">
        <f aca="false">SUM(AI6:AI200)</f>
        <v>0</v>
      </c>
      <c r="AJ1" s="11" t="n">
        <f aca="false">SUM(AJ6:AJ200)</f>
        <v>0</v>
      </c>
      <c r="AK1" s="11" t="n">
        <f aca="false">SUM(AK6:AK200)</f>
        <v>0</v>
      </c>
      <c r="AL1" s="11" t="n">
        <f aca="false">SUM(AL6:AL200)</f>
        <v>0</v>
      </c>
      <c r="AM1" s="11" t="n">
        <f aca="false">SUM(AM6:AM200)</f>
        <v>0</v>
      </c>
      <c r="AN1" s="11" t="n">
        <f aca="false">SUM(AN6:AN200)</f>
        <v>0</v>
      </c>
    </row>
    <row r="2" customFormat="false" ht="15" hidden="false" customHeight="true" outlineLevel="0" collapsed="false">
      <c r="A2" s="16" t="n">
        <f aca="false">A1+F1-X1</f>
        <v>5000</v>
      </c>
      <c r="B2" s="17" t="s">
        <v>1</v>
      </c>
      <c r="C2" s="8" t="n">
        <f aca="false">[1]Admin!$B$12</f>
        <v>45808</v>
      </c>
      <c r="D2" s="18" t="s">
        <v>2</v>
      </c>
      <c r="E2" s="19" t="s">
        <v>3</v>
      </c>
      <c r="F2" s="20" t="s">
        <v>4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12"/>
      <c r="S2" s="13" t="str">
        <f aca="false">IF(E1=0," ","Check all Receipts Code Letters entered")</f>
        <v> </v>
      </c>
      <c r="T2" s="13"/>
      <c r="U2" s="21" t="s">
        <v>5</v>
      </c>
      <c r="V2" s="22" t="s">
        <v>6</v>
      </c>
      <c r="W2" s="19" t="s">
        <v>3</v>
      </c>
      <c r="X2" s="20" t="s">
        <v>7</v>
      </c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</row>
    <row r="3" customFormat="false" ht="19.5" hidden="false" customHeight="true" outlineLevel="0" collapsed="false">
      <c r="A3" s="7"/>
      <c r="B3" s="23" t="s">
        <v>8</v>
      </c>
      <c r="C3" s="24" t="n">
        <f aca="false">C2</f>
        <v>45808</v>
      </c>
      <c r="D3" s="18"/>
      <c r="E3" s="19"/>
      <c r="F3" s="25" t="s">
        <v>9</v>
      </c>
      <c r="G3" s="25" t="s">
        <v>10</v>
      </c>
      <c r="H3" s="25" t="s">
        <v>11</v>
      </c>
      <c r="I3" s="25" t="s">
        <v>12</v>
      </c>
      <c r="J3" s="25" t="s">
        <v>13</v>
      </c>
      <c r="K3" s="25" t="s">
        <v>14</v>
      </c>
      <c r="L3" s="25" t="s">
        <v>15</v>
      </c>
      <c r="M3" s="25" t="s">
        <v>16</v>
      </c>
      <c r="N3" s="25" t="s">
        <v>17</v>
      </c>
      <c r="O3" s="25" t="s">
        <v>18</v>
      </c>
      <c r="P3" s="25" t="s">
        <v>19</v>
      </c>
      <c r="Q3" s="25" t="s">
        <v>20</v>
      </c>
      <c r="R3" s="12"/>
      <c r="S3" s="26"/>
      <c r="T3" s="27"/>
      <c r="U3" s="21"/>
      <c r="V3" s="22"/>
      <c r="W3" s="19"/>
      <c r="X3" s="25" t="s">
        <v>21</v>
      </c>
      <c r="Y3" s="25" t="s">
        <v>22</v>
      </c>
      <c r="Z3" s="25" t="s">
        <v>23</v>
      </c>
      <c r="AA3" s="25" t="s">
        <v>24</v>
      </c>
      <c r="AB3" s="25" t="s">
        <v>25</v>
      </c>
      <c r="AC3" s="25" t="s">
        <v>26</v>
      </c>
      <c r="AD3" s="25" t="s">
        <v>27</v>
      </c>
      <c r="AE3" s="25" t="s">
        <v>28</v>
      </c>
      <c r="AF3" s="25" t="s">
        <v>15</v>
      </c>
      <c r="AG3" s="25" t="s">
        <v>16</v>
      </c>
      <c r="AH3" s="25" t="s">
        <v>29</v>
      </c>
      <c r="AI3" s="25" t="s">
        <v>30</v>
      </c>
      <c r="AJ3" s="25" t="s">
        <v>31</v>
      </c>
      <c r="AK3" s="25" t="s">
        <v>32</v>
      </c>
      <c r="AL3" s="25" t="s">
        <v>33</v>
      </c>
      <c r="AM3" s="25" t="s">
        <v>19</v>
      </c>
      <c r="AN3" s="25" t="s">
        <v>20</v>
      </c>
    </row>
    <row r="4" s="5" customFormat="true" ht="19.5" hidden="false" customHeight="true" outlineLevel="0" collapsed="false">
      <c r="A4" s="28" t="n">
        <f aca="false">A2-A3</f>
        <v>5000</v>
      </c>
      <c r="B4" s="29" t="str">
        <f aca="false">IF(A4=0,"&lt;  Bank  - Statement Balance","  Reconcile Bank Statement")</f>
        <v>  Reconcile Bank Statement</v>
      </c>
      <c r="C4" s="29"/>
      <c r="D4" s="18"/>
      <c r="E4" s="19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12"/>
      <c r="S4" s="30" t="s">
        <v>34</v>
      </c>
      <c r="T4" s="31" t="s">
        <v>35</v>
      </c>
      <c r="U4" s="21"/>
      <c r="V4" s="22"/>
      <c r="W4" s="19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</row>
    <row r="5" s="5" customFormat="true" ht="15" hidden="false" customHeight="true" outlineLevel="0" collapsed="false">
      <c r="A5" s="32" t="s">
        <v>36</v>
      </c>
      <c r="B5" s="33" t="s">
        <v>37</v>
      </c>
      <c r="C5" s="34" t="s">
        <v>38</v>
      </c>
      <c r="D5" s="18"/>
      <c r="E5" s="19"/>
      <c r="F5" s="25"/>
      <c r="G5" s="35" t="s">
        <v>39</v>
      </c>
      <c r="H5" s="35" t="s">
        <v>40</v>
      </c>
      <c r="I5" s="35" t="s">
        <v>41</v>
      </c>
      <c r="J5" s="35" t="s">
        <v>42</v>
      </c>
      <c r="K5" s="35" t="s">
        <v>43</v>
      </c>
      <c r="L5" s="35" t="s">
        <v>44</v>
      </c>
      <c r="M5" s="35" t="s">
        <v>45</v>
      </c>
      <c r="N5" s="35" t="s">
        <v>46</v>
      </c>
      <c r="O5" s="35" t="s">
        <v>47</v>
      </c>
      <c r="P5" s="35" t="s">
        <v>48</v>
      </c>
      <c r="Q5" s="35" t="s">
        <v>49</v>
      </c>
      <c r="R5" s="12"/>
      <c r="S5" s="30"/>
      <c r="T5" s="31"/>
      <c r="U5" s="21"/>
      <c r="V5" s="22"/>
      <c r="W5" s="19"/>
      <c r="X5" s="25"/>
      <c r="Y5" s="35" t="s">
        <v>39</v>
      </c>
      <c r="Z5" s="35" t="s">
        <v>40</v>
      </c>
      <c r="AA5" s="35" t="s">
        <v>41</v>
      </c>
      <c r="AB5" s="35" t="s">
        <v>50</v>
      </c>
      <c r="AC5" s="35" t="s">
        <v>51</v>
      </c>
      <c r="AD5" s="35" t="s">
        <v>52</v>
      </c>
      <c r="AE5" s="35" t="s">
        <v>53</v>
      </c>
      <c r="AF5" s="35" t="s">
        <v>44</v>
      </c>
      <c r="AG5" s="35" t="s">
        <v>45</v>
      </c>
      <c r="AH5" s="35" t="s">
        <v>54</v>
      </c>
      <c r="AI5" s="35" t="s">
        <v>46</v>
      </c>
      <c r="AJ5" s="35" t="s">
        <v>47</v>
      </c>
      <c r="AK5" s="35" t="s">
        <v>55</v>
      </c>
      <c r="AL5" s="35" t="s">
        <v>56</v>
      </c>
      <c r="AM5" s="35" t="s">
        <v>48</v>
      </c>
      <c r="AN5" s="35" t="s">
        <v>49</v>
      </c>
    </row>
    <row r="6" customFormat="false" ht="12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6"/>
      <c r="W6" s="6" t="str">
        <f aca="false">IF(X6&lt;&gt;0,"Enter Code"," ")</f>
        <v> </v>
      </c>
      <c r="Y6" s="6" t="str">
        <f aca="false">IF(W6="BB",X6,"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IF(E7="BD",F7,"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37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IF(E8="BD",F8,"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37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37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37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37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37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37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37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37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37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37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37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37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37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37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37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37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37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37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37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37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37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37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37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37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37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37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37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37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37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37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37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37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37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37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37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37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37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37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37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37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37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37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37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37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37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37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37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37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37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37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37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37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37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37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37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37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37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37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37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37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37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37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37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37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37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37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37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37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37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37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37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37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37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37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37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37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37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37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37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37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37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37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37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37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37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37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37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37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37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37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37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37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37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37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37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37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37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37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37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37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37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37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37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37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37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37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37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37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37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37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37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37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37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37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37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37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37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37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37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37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37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37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37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37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37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37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37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37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37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37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37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37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37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37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37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37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37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37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37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37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37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37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37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37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37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37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37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37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37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37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37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37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37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37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37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37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37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37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37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37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37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37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37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37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37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37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6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38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37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37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37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37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37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37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37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37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37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37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37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37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37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37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37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37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37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37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37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37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37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37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37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37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39"/>
      <c r="B200" s="40"/>
      <c r="C200" s="4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IF(E200="BD",F200," ")</f>
        <v> </v>
      </c>
      <c r="I200" s="44" t="str">
        <f aca="false">IF(E200="BC",F200," ")</f>
        <v> </v>
      </c>
      <c r="J200" s="44" t="str">
        <f aca="false">IF(E200="DR",F200," ")</f>
        <v> </v>
      </c>
      <c r="K200" s="44" t="str">
        <f aca="false">IF(E200="K",F200," ")</f>
        <v> </v>
      </c>
      <c r="L200" s="44" t="str">
        <f aca="false">IF(E200="LDR",F200," ")</f>
        <v> </v>
      </c>
      <c r="M200" s="44" t="str">
        <f aca="false">IF(E200="LCR",F200," ")</f>
        <v> </v>
      </c>
      <c r="N200" s="44" t="str">
        <f aca="false">IF(E200="RV",F200," ")</f>
        <v> </v>
      </c>
      <c r="O200" s="44" t="str">
        <f aca="false">IF(E200="RC",F200," ")</f>
        <v> </v>
      </c>
      <c r="P200" s="44" t="str">
        <f aca="false">IF(E200="DL",F200," ")</f>
        <v> </v>
      </c>
      <c r="Q200" s="44" t="str">
        <f aca="false">IF(E200="X",F200," ")</f>
        <v> </v>
      </c>
      <c r="R200" s="38"/>
      <c r="S200" s="39"/>
      <c r="T200" s="42"/>
      <c r="U200" s="41"/>
      <c r="V200" s="41"/>
      <c r="W200" s="44" t="str">
        <f aca="false">IF(X200&lt;&gt;0,"Enter Code"," ")</f>
        <v> </v>
      </c>
      <c r="X200" s="44"/>
      <c r="Y200" s="44" t="str">
        <f aca="false">IF(W200="BB",X200," ")</f>
        <v> </v>
      </c>
      <c r="Z200" s="44" t="str">
        <f aca="false">IF(W200="BD",X200," ")</f>
        <v> </v>
      </c>
      <c r="AA200" s="44" t="str">
        <f aca="false">IF(W200="BC",X200," ")</f>
        <v> </v>
      </c>
      <c r="AB200" s="44" t="str">
        <f aca="false">IF(W200="CR",X200," ")</f>
        <v> </v>
      </c>
      <c r="AC200" s="44" t="str">
        <f aca="false">IF(W200="W",X200," ")</f>
        <v> </v>
      </c>
      <c r="AD200" s="44" t="str">
        <f aca="false">IF(W200="B",X200," ")</f>
        <v> </v>
      </c>
      <c r="AE200" s="44" t="str">
        <f aca="false">IF(W200="J",X200," ")</f>
        <v> </v>
      </c>
      <c r="AF200" s="44" t="str">
        <f aca="false">IF(W200="LDR",X200," ")</f>
        <v> </v>
      </c>
      <c r="AG200" s="44" t="str">
        <f aca="false">IF(W200="LCR",X200," ")</f>
        <v> </v>
      </c>
      <c r="AH200" s="44" t="str">
        <f aca="false">IF(W200="RP",X200," ")</f>
        <v> </v>
      </c>
      <c r="AI200" s="44" t="str">
        <f aca="false">IF(W200="RV",X200," ")</f>
        <v> </v>
      </c>
      <c r="AJ200" s="44" t="str">
        <f aca="false">IF(W200="RC",X200," ")</f>
        <v> </v>
      </c>
      <c r="AK200" s="44" t="str">
        <f aca="false">IF(W200="RT",X200," ")</f>
        <v> </v>
      </c>
      <c r="AL200" s="44" t="str">
        <f aca="false">IF(W200="DV",X200," ")</f>
        <v> </v>
      </c>
      <c r="AM200" s="44" t="str">
        <f aca="false">IF(W200="DL",X200," ")</f>
        <v> </v>
      </c>
      <c r="AN200" s="44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5" t="n">
        <f aca="false">Jul!A2</f>
        <v>5000</v>
      </c>
      <c r="B1" s="46" t="s">
        <v>57</v>
      </c>
      <c r="C1" s="8" t="n">
        <f aca="false">[1]Admin!$B$13</f>
        <v>45809</v>
      </c>
      <c r="D1" s="9" t="s">
        <v>0</v>
      </c>
      <c r="E1" s="10" t="n">
        <f aca="false">F1-SUM(G1:Q1)</f>
        <v>0</v>
      </c>
      <c r="F1" s="11" t="n">
        <f aca="false">SUM(F6:F200)</f>
        <v>0</v>
      </c>
      <c r="G1" s="11" t="n">
        <f aca="false">SUM(G6:G200)</f>
        <v>0</v>
      </c>
      <c r="H1" s="11" t="n">
        <f aca="false">SUM(H6:H200)</f>
        <v>0</v>
      </c>
      <c r="I1" s="11" t="n">
        <f aca="false">SUM(I6:I200)</f>
        <v>0</v>
      </c>
      <c r="J1" s="11" t="n">
        <f aca="false">SUM(J6:J200)</f>
        <v>0</v>
      </c>
      <c r="K1" s="11" t="n">
        <f aca="false">SUM(K6:K200)</f>
        <v>0</v>
      </c>
      <c r="L1" s="11" t="n">
        <f aca="false">SUM(L6:L200)</f>
        <v>0</v>
      </c>
      <c r="M1" s="11" t="n">
        <f aca="false">SUM(M6:M200)</f>
        <v>0</v>
      </c>
      <c r="N1" s="11" t="n">
        <f aca="false">SUM(N6:N200)</f>
        <v>0</v>
      </c>
      <c r="O1" s="11" t="n">
        <f aca="false">SUM(O6:O200)</f>
        <v>0</v>
      </c>
      <c r="P1" s="11" t="n">
        <f aca="false">SUM(P6:P200)</f>
        <v>0</v>
      </c>
      <c r="Q1" s="11" t="n">
        <f aca="false">SUM(Q6:Q200)</f>
        <v>0</v>
      </c>
      <c r="R1" s="12"/>
      <c r="S1" s="13" t="str">
        <f aca="false">IF(W1=0," ","Check all payment code letters entered")</f>
        <v> </v>
      </c>
      <c r="T1" s="13"/>
      <c r="U1" s="14"/>
      <c r="V1" s="15" t="s">
        <v>0</v>
      </c>
      <c r="W1" s="10" t="n">
        <f aca="false">X1-SUM(Y1:AN1)</f>
        <v>0</v>
      </c>
      <c r="X1" s="11" t="n">
        <f aca="false">SUM(X6:X200)</f>
        <v>0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0</v>
      </c>
      <c r="AB1" s="11" t="n">
        <f aca="false">SUM(AB6:AB200)</f>
        <v>0</v>
      </c>
      <c r="AC1" s="11" t="n">
        <f aca="false">SUM(AC6:AC200)</f>
        <v>0</v>
      </c>
      <c r="AD1" s="11" t="n">
        <f aca="false">SUM(AD6:AD200)</f>
        <v>0</v>
      </c>
      <c r="AE1" s="11" t="n">
        <f aca="false">SUM(AE6:AE200)</f>
        <v>0</v>
      </c>
      <c r="AF1" s="11" t="n">
        <f aca="false">SUM(AF6:AF200)</f>
        <v>0</v>
      </c>
      <c r="AG1" s="11" t="n">
        <f aca="false">SUM(AG6:AG200)</f>
        <v>0</v>
      </c>
      <c r="AH1" s="11" t="n">
        <f aca="false">SUM(AH6:AH200)</f>
        <v>0</v>
      </c>
      <c r="AI1" s="11" t="n">
        <f aca="false">SUM(AI6:AI200)</f>
        <v>0</v>
      </c>
      <c r="AJ1" s="11" t="n">
        <f aca="false">SUM(AJ6:AJ200)</f>
        <v>0</v>
      </c>
      <c r="AK1" s="11" t="n">
        <f aca="false">SUM(AK6:AK200)</f>
        <v>0</v>
      </c>
      <c r="AL1" s="11" t="n">
        <f aca="false">SUM(AL6:AL200)</f>
        <v>0</v>
      </c>
      <c r="AM1" s="11" t="n">
        <f aca="false">SUM(AM6:AM200)</f>
        <v>0</v>
      </c>
      <c r="AN1" s="11" t="n">
        <f aca="false">SUM(AN6:AN200)</f>
        <v>0</v>
      </c>
    </row>
    <row r="2" customFormat="false" ht="15" hidden="false" customHeight="true" outlineLevel="0" collapsed="false">
      <c r="A2" s="16" t="n">
        <f aca="false">A1+F1-X1</f>
        <v>5000</v>
      </c>
      <c r="B2" s="17" t="s">
        <v>1</v>
      </c>
      <c r="C2" s="8" t="n">
        <f aca="false">[1]Admin!$B$14</f>
        <v>45838</v>
      </c>
      <c r="D2" s="18" t="s">
        <v>2</v>
      </c>
      <c r="E2" s="19" t="s">
        <v>3</v>
      </c>
      <c r="F2" s="20" t="s">
        <v>4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12"/>
      <c r="S2" s="13" t="str">
        <f aca="false">IF(E1=0," ","Check all Receipts Code Letters entered")</f>
        <v> </v>
      </c>
      <c r="T2" s="13"/>
      <c r="U2" s="21" t="s">
        <v>5</v>
      </c>
      <c r="V2" s="22" t="s">
        <v>6</v>
      </c>
      <c r="W2" s="19" t="s">
        <v>3</v>
      </c>
      <c r="X2" s="20" t="s">
        <v>7</v>
      </c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</row>
    <row r="3" customFormat="false" ht="19.5" hidden="false" customHeight="true" outlineLevel="0" collapsed="false">
      <c r="A3" s="7"/>
      <c r="B3" s="23" t="s">
        <v>8</v>
      </c>
      <c r="C3" s="24" t="n">
        <f aca="false">C2</f>
        <v>45838</v>
      </c>
      <c r="D3" s="18"/>
      <c r="E3" s="19"/>
      <c r="F3" s="25" t="s">
        <v>9</v>
      </c>
      <c r="G3" s="25" t="s">
        <v>10</v>
      </c>
      <c r="H3" s="25" t="s">
        <v>11</v>
      </c>
      <c r="I3" s="25" t="s">
        <v>12</v>
      </c>
      <c r="J3" s="25" t="s">
        <v>13</v>
      </c>
      <c r="K3" s="25" t="s">
        <v>14</v>
      </c>
      <c r="L3" s="25" t="s">
        <v>15</v>
      </c>
      <c r="M3" s="25" t="s">
        <v>16</v>
      </c>
      <c r="N3" s="25" t="s">
        <v>17</v>
      </c>
      <c r="O3" s="25" t="s">
        <v>18</v>
      </c>
      <c r="P3" s="25" t="s">
        <v>19</v>
      </c>
      <c r="Q3" s="25" t="s">
        <v>20</v>
      </c>
      <c r="R3" s="12"/>
      <c r="S3" s="26"/>
      <c r="T3" s="27"/>
      <c r="U3" s="21"/>
      <c r="V3" s="22"/>
      <c r="W3" s="19"/>
      <c r="X3" s="25" t="s">
        <v>21</v>
      </c>
      <c r="Y3" s="25" t="s">
        <v>22</v>
      </c>
      <c r="Z3" s="25" t="s">
        <v>23</v>
      </c>
      <c r="AA3" s="25" t="s">
        <v>24</v>
      </c>
      <c r="AB3" s="25" t="s">
        <v>25</v>
      </c>
      <c r="AC3" s="25" t="s">
        <v>26</v>
      </c>
      <c r="AD3" s="25" t="s">
        <v>27</v>
      </c>
      <c r="AE3" s="25" t="s">
        <v>28</v>
      </c>
      <c r="AF3" s="25" t="s">
        <v>15</v>
      </c>
      <c r="AG3" s="25" t="s">
        <v>16</v>
      </c>
      <c r="AH3" s="25" t="s">
        <v>29</v>
      </c>
      <c r="AI3" s="25" t="s">
        <v>30</v>
      </c>
      <c r="AJ3" s="25" t="s">
        <v>31</v>
      </c>
      <c r="AK3" s="25" t="s">
        <v>32</v>
      </c>
      <c r="AL3" s="25" t="s">
        <v>33</v>
      </c>
      <c r="AM3" s="25" t="s">
        <v>19</v>
      </c>
      <c r="AN3" s="25" t="s">
        <v>20</v>
      </c>
    </row>
    <row r="4" s="5" customFormat="true" ht="19.5" hidden="false" customHeight="true" outlineLevel="0" collapsed="false">
      <c r="A4" s="28" t="n">
        <f aca="false">A2-A3</f>
        <v>5000</v>
      </c>
      <c r="B4" s="29" t="str">
        <f aca="false">IF(A4=0,"&lt;  Bank  - Statement Balance","  Reconcile Bank Statement")</f>
        <v>  Reconcile Bank Statement</v>
      </c>
      <c r="C4" s="29"/>
      <c r="D4" s="18"/>
      <c r="E4" s="19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12"/>
      <c r="S4" s="30" t="s">
        <v>34</v>
      </c>
      <c r="T4" s="31" t="s">
        <v>35</v>
      </c>
      <c r="U4" s="21"/>
      <c r="V4" s="22"/>
      <c r="W4" s="19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</row>
    <row r="5" s="5" customFormat="true" ht="15" hidden="false" customHeight="true" outlineLevel="0" collapsed="false">
      <c r="A5" s="32" t="s">
        <v>36</v>
      </c>
      <c r="B5" s="33" t="s">
        <v>37</v>
      </c>
      <c r="C5" s="34" t="s">
        <v>38</v>
      </c>
      <c r="D5" s="18"/>
      <c r="E5" s="19"/>
      <c r="F5" s="25"/>
      <c r="G5" s="35" t="s">
        <v>39</v>
      </c>
      <c r="H5" s="35" t="s">
        <v>40</v>
      </c>
      <c r="I5" s="35" t="s">
        <v>41</v>
      </c>
      <c r="J5" s="35" t="s">
        <v>42</v>
      </c>
      <c r="K5" s="35" t="s">
        <v>43</v>
      </c>
      <c r="L5" s="35" t="s">
        <v>44</v>
      </c>
      <c r="M5" s="35" t="s">
        <v>45</v>
      </c>
      <c r="N5" s="35" t="s">
        <v>46</v>
      </c>
      <c r="O5" s="35" t="s">
        <v>47</v>
      </c>
      <c r="P5" s="35" t="s">
        <v>48</v>
      </c>
      <c r="Q5" s="35" t="s">
        <v>49</v>
      </c>
      <c r="R5" s="12"/>
      <c r="S5" s="30"/>
      <c r="T5" s="31"/>
      <c r="U5" s="21"/>
      <c r="V5" s="22"/>
      <c r="W5" s="19"/>
      <c r="X5" s="25"/>
      <c r="Y5" s="35" t="s">
        <v>39</v>
      </c>
      <c r="Z5" s="35" t="s">
        <v>40</v>
      </c>
      <c r="AA5" s="35" t="s">
        <v>41</v>
      </c>
      <c r="AB5" s="35" t="s">
        <v>50</v>
      </c>
      <c r="AC5" s="35" t="s">
        <v>51</v>
      </c>
      <c r="AD5" s="35" t="s">
        <v>52</v>
      </c>
      <c r="AE5" s="35" t="s">
        <v>53</v>
      </c>
      <c r="AF5" s="35" t="s">
        <v>44</v>
      </c>
      <c r="AG5" s="35" t="s">
        <v>45</v>
      </c>
      <c r="AH5" s="35" t="s">
        <v>54</v>
      </c>
      <c r="AI5" s="35" t="s">
        <v>46</v>
      </c>
      <c r="AJ5" s="35" t="s">
        <v>47</v>
      </c>
      <c r="AK5" s="35" t="s">
        <v>55</v>
      </c>
      <c r="AL5" s="35" t="s">
        <v>56</v>
      </c>
      <c r="AM5" s="35" t="s">
        <v>48</v>
      </c>
      <c r="AN5" s="35" t="s">
        <v>49</v>
      </c>
    </row>
    <row r="6" customFormat="false" ht="12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6"/>
      <c r="W6" s="6" t="str">
        <f aca="false">IF(X6&lt;&gt;0,"Enter Code"," ")</f>
        <v> </v>
      </c>
      <c r="Y6" s="6" t="str">
        <f aca="false">IF(W6="BB",X6,"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IF(E7="BD",F7,"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37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IF(E8="BD",F8,"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37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37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37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37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37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37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37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37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37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37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37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37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37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37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37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37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37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37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37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37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37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37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37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37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37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37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37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37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37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37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37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37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37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37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37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37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37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37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37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37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37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37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37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37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37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37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37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37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37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37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37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37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37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37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37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37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37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37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37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37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37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37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37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37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37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37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37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37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37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37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37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37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37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37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37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37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37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37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37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37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37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37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37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37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37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37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37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37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37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37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37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37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37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37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37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37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37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37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37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37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37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37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37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37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37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37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37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37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37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37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37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37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37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37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37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37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37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37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37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37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37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37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37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37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37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37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37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37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37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37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37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37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37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37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37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37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37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37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37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37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37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37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37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37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37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37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37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37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37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37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37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37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37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37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37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37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37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37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37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37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37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37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37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37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37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37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6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38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37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37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37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37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37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37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37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37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37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37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37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37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37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37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37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37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37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37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37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37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37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37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37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37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39"/>
      <c r="B200" s="40"/>
      <c r="C200" s="4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IF(E200="BD",F200," ")</f>
        <v> </v>
      </c>
      <c r="I200" s="44" t="str">
        <f aca="false">IF(E200="BC",F200," ")</f>
        <v> </v>
      </c>
      <c r="J200" s="44" t="str">
        <f aca="false">IF(E200="DR",F200," ")</f>
        <v> </v>
      </c>
      <c r="K200" s="44" t="str">
        <f aca="false">IF(E200="K",F200," ")</f>
        <v> </v>
      </c>
      <c r="L200" s="44" t="str">
        <f aca="false">IF(E200="LDR",F200," ")</f>
        <v> </v>
      </c>
      <c r="M200" s="44" t="str">
        <f aca="false">IF(E200="LCR",F200," ")</f>
        <v> </v>
      </c>
      <c r="N200" s="44" t="str">
        <f aca="false">IF(E200="RV",F200," ")</f>
        <v> </v>
      </c>
      <c r="O200" s="44" t="str">
        <f aca="false">IF(E200="RC",F200," ")</f>
        <v> </v>
      </c>
      <c r="P200" s="44" t="str">
        <f aca="false">IF(E200="DL",F200," ")</f>
        <v> </v>
      </c>
      <c r="Q200" s="44" t="str">
        <f aca="false">IF(E200="X",F200," ")</f>
        <v> </v>
      </c>
      <c r="R200" s="38"/>
      <c r="S200" s="39"/>
      <c r="T200" s="42"/>
      <c r="U200" s="41"/>
      <c r="V200" s="41"/>
      <c r="W200" s="44" t="str">
        <f aca="false">IF(X200&lt;&gt;0,"Enter Code"," ")</f>
        <v> </v>
      </c>
      <c r="X200" s="44"/>
      <c r="Y200" s="44" t="str">
        <f aca="false">IF(W200="BB",X200," ")</f>
        <v> </v>
      </c>
      <c r="Z200" s="44" t="str">
        <f aca="false">IF(W200="BD",X200," ")</f>
        <v> </v>
      </c>
      <c r="AA200" s="44" t="str">
        <f aca="false">IF(W200="BC",X200," ")</f>
        <v> </v>
      </c>
      <c r="AB200" s="44" t="str">
        <f aca="false">IF(W200="CR",X200," ")</f>
        <v> </v>
      </c>
      <c r="AC200" s="44" t="str">
        <f aca="false">IF(W200="W",X200," ")</f>
        <v> </v>
      </c>
      <c r="AD200" s="44" t="str">
        <f aca="false">IF(W200="B",X200," ")</f>
        <v> </v>
      </c>
      <c r="AE200" s="44" t="str">
        <f aca="false">IF(W200="J",X200," ")</f>
        <v> </v>
      </c>
      <c r="AF200" s="44" t="str">
        <f aca="false">IF(W200="LDR",X200," ")</f>
        <v> </v>
      </c>
      <c r="AG200" s="44" t="str">
        <f aca="false">IF(W200="LCR",X200," ")</f>
        <v> </v>
      </c>
      <c r="AH200" s="44" t="str">
        <f aca="false">IF(W200="RP",X200," ")</f>
        <v> </v>
      </c>
      <c r="AI200" s="44" t="str">
        <f aca="false">IF(W200="RV",X200," ")</f>
        <v> </v>
      </c>
      <c r="AJ200" s="44" t="str">
        <f aca="false">IF(W200="RC",X200," ")</f>
        <v> </v>
      </c>
      <c r="AK200" s="44" t="str">
        <f aca="false">IF(W200="RT",X200," ")</f>
        <v> </v>
      </c>
      <c r="AL200" s="44" t="str">
        <f aca="false">IF(W200="DV",X200," ")</f>
        <v> </v>
      </c>
      <c r="AM200" s="44" t="str">
        <f aca="false">IF(W200="DL",X200," ")</f>
        <v> </v>
      </c>
      <c r="AN200" s="44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5" t="n">
        <f aca="false">Aug!A2</f>
        <v>5000</v>
      </c>
      <c r="B1" s="46" t="s">
        <v>57</v>
      </c>
      <c r="C1" s="8" t="n">
        <f aca="false">[1]Admin!$B$15</f>
        <v>45839</v>
      </c>
      <c r="D1" s="9" t="s">
        <v>0</v>
      </c>
      <c r="E1" s="10" t="n">
        <f aca="false">F1-SUM(G1:Q1)</f>
        <v>0</v>
      </c>
      <c r="F1" s="11" t="n">
        <f aca="false">SUM(F6:F200)</f>
        <v>0</v>
      </c>
      <c r="G1" s="11" t="n">
        <f aca="false">SUM(G6:G200)</f>
        <v>0</v>
      </c>
      <c r="H1" s="11" t="n">
        <f aca="false">SUM(H6:H200)</f>
        <v>0</v>
      </c>
      <c r="I1" s="11" t="n">
        <f aca="false">SUM(I6:I200)</f>
        <v>0</v>
      </c>
      <c r="J1" s="11" t="n">
        <f aca="false">SUM(J6:J200)</f>
        <v>0</v>
      </c>
      <c r="K1" s="11" t="n">
        <f aca="false">SUM(K6:K200)</f>
        <v>0</v>
      </c>
      <c r="L1" s="11" t="n">
        <f aca="false">SUM(L6:L200)</f>
        <v>0</v>
      </c>
      <c r="M1" s="11" t="n">
        <f aca="false">SUM(M6:M200)</f>
        <v>0</v>
      </c>
      <c r="N1" s="11" t="n">
        <f aca="false">SUM(N6:N200)</f>
        <v>0</v>
      </c>
      <c r="O1" s="11" t="n">
        <f aca="false">SUM(O6:O200)</f>
        <v>0</v>
      </c>
      <c r="P1" s="11" t="n">
        <f aca="false">SUM(P6:P200)</f>
        <v>0</v>
      </c>
      <c r="Q1" s="11" t="n">
        <f aca="false">SUM(Q6:Q200)</f>
        <v>0</v>
      </c>
      <c r="R1" s="12"/>
      <c r="S1" s="13" t="str">
        <f aca="false">IF(W1=0," ","Check all payment code letters entered")</f>
        <v> </v>
      </c>
      <c r="T1" s="13"/>
      <c r="U1" s="14"/>
      <c r="V1" s="15" t="s">
        <v>0</v>
      </c>
      <c r="W1" s="10" t="n">
        <f aca="false">X1-SUM(Y1:AN1)</f>
        <v>0</v>
      </c>
      <c r="X1" s="11" t="n">
        <f aca="false">SUM(X6:X200)</f>
        <v>0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0</v>
      </c>
      <c r="AB1" s="11" t="n">
        <f aca="false">SUM(AB6:AB200)</f>
        <v>0</v>
      </c>
      <c r="AC1" s="11" t="n">
        <f aca="false">SUM(AC6:AC200)</f>
        <v>0</v>
      </c>
      <c r="AD1" s="11" t="n">
        <f aca="false">SUM(AD6:AD200)</f>
        <v>0</v>
      </c>
      <c r="AE1" s="11" t="n">
        <f aca="false">SUM(AE6:AE200)</f>
        <v>0</v>
      </c>
      <c r="AF1" s="11" t="n">
        <f aca="false">SUM(AF6:AF200)</f>
        <v>0</v>
      </c>
      <c r="AG1" s="11" t="n">
        <f aca="false">SUM(AG6:AG200)</f>
        <v>0</v>
      </c>
      <c r="AH1" s="11" t="n">
        <f aca="false">SUM(AH6:AH200)</f>
        <v>0</v>
      </c>
      <c r="AI1" s="11" t="n">
        <f aca="false">SUM(AI6:AI200)</f>
        <v>0</v>
      </c>
      <c r="AJ1" s="11" t="n">
        <f aca="false">SUM(AJ6:AJ200)</f>
        <v>0</v>
      </c>
      <c r="AK1" s="11" t="n">
        <f aca="false">SUM(AK6:AK200)</f>
        <v>0</v>
      </c>
      <c r="AL1" s="11" t="n">
        <f aca="false">SUM(AL6:AL200)</f>
        <v>0</v>
      </c>
      <c r="AM1" s="11" t="n">
        <f aca="false">SUM(AM6:AM200)</f>
        <v>0</v>
      </c>
      <c r="AN1" s="11" t="n">
        <f aca="false">SUM(AN6:AN200)</f>
        <v>0</v>
      </c>
    </row>
    <row r="2" customFormat="false" ht="15" hidden="false" customHeight="true" outlineLevel="0" collapsed="false">
      <c r="A2" s="16" t="n">
        <f aca="false">A1+F1-X1</f>
        <v>5000</v>
      </c>
      <c r="B2" s="17" t="s">
        <v>1</v>
      </c>
      <c r="C2" s="8" t="n">
        <f aca="false">[1]Admin!$B$16</f>
        <v>45869</v>
      </c>
      <c r="D2" s="18" t="s">
        <v>2</v>
      </c>
      <c r="E2" s="19" t="s">
        <v>3</v>
      </c>
      <c r="F2" s="20" t="s">
        <v>4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12"/>
      <c r="S2" s="13" t="str">
        <f aca="false">IF(E1=0," ","Check all Receipts Code Letters entered")</f>
        <v> </v>
      </c>
      <c r="T2" s="13"/>
      <c r="U2" s="21" t="s">
        <v>5</v>
      </c>
      <c r="V2" s="22" t="s">
        <v>6</v>
      </c>
      <c r="W2" s="19" t="s">
        <v>3</v>
      </c>
      <c r="X2" s="20" t="s">
        <v>7</v>
      </c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</row>
    <row r="3" customFormat="false" ht="19.5" hidden="false" customHeight="true" outlineLevel="0" collapsed="false">
      <c r="A3" s="7"/>
      <c r="B3" s="23" t="s">
        <v>8</v>
      </c>
      <c r="C3" s="24" t="n">
        <f aca="false">C2</f>
        <v>45869</v>
      </c>
      <c r="D3" s="18"/>
      <c r="E3" s="19"/>
      <c r="F3" s="25" t="s">
        <v>9</v>
      </c>
      <c r="G3" s="25" t="s">
        <v>10</v>
      </c>
      <c r="H3" s="25" t="s">
        <v>11</v>
      </c>
      <c r="I3" s="25" t="s">
        <v>12</v>
      </c>
      <c r="J3" s="25" t="s">
        <v>13</v>
      </c>
      <c r="K3" s="25" t="s">
        <v>14</v>
      </c>
      <c r="L3" s="25" t="s">
        <v>15</v>
      </c>
      <c r="M3" s="25" t="s">
        <v>16</v>
      </c>
      <c r="N3" s="25" t="s">
        <v>17</v>
      </c>
      <c r="O3" s="25" t="s">
        <v>18</v>
      </c>
      <c r="P3" s="25" t="s">
        <v>19</v>
      </c>
      <c r="Q3" s="25" t="s">
        <v>20</v>
      </c>
      <c r="R3" s="12"/>
      <c r="S3" s="26"/>
      <c r="T3" s="27"/>
      <c r="U3" s="21"/>
      <c r="V3" s="22"/>
      <c r="W3" s="19"/>
      <c r="X3" s="25" t="s">
        <v>21</v>
      </c>
      <c r="Y3" s="25" t="s">
        <v>22</v>
      </c>
      <c r="Z3" s="25" t="s">
        <v>23</v>
      </c>
      <c r="AA3" s="25" t="s">
        <v>24</v>
      </c>
      <c r="AB3" s="25" t="s">
        <v>25</v>
      </c>
      <c r="AC3" s="25" t="s">
        <v>26</v>
      </c>
      <c r="AD3" s="25" t="s">
        <v>27</v>
      </c>
      <c r="AE3" s="25" t="s">
        <v>28</v>
      </c>
      <c r="AF3" s="25" t="s">
        <v>15</v>
      </c>
      <c r="AG3" s="25" t="s">
        <v>16</v>
      </c>
      <c r="AH3" s="25" t="s">
        <v>29</v>
      </c>
      <c r="AI3" s="25" t="s">
        <v>30</v>
      </c>
      <c r="AJ3" s="25" t="s">
        <v>31</v>
      </c>
      <c r="AK3" s="25" t="s">
        <v>32</v>
      </c>
      <c r="AL3" s="25" t="s">
        <v>33</v>
      </c>
      <c r="AM3" s="25" t="s">
        <v>19</v>
      </c>
      <c r="AN3" s="25" t="s">
        <v>20</v>
      </c>
    </row>
    <row r="4" s="5" customFormat="true" ht="19.5" hidden="false" customHeight="true" outlineLevel="0" collapsed="false">
      <c r="A4" s="28" t="n">
        <f aca="false">A2-A3</f>
        <v>5000</v>
      </c>
      <c r="B4" s="29" t="str">
        <f aca="false">IF(A4=0,"&lt;  Bank  - Statement Balance","  Reconcile Bank Statement")</f>
        <v>  Reconcile Bank Statement</v>
      </c>
      <c r="C4" s="29"/>
      <c r="D4" s="18"/>
      <c r="E4" s="19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12"/>
      <c r="S4" s="30" t="s">
        <v>34</v>
      </c>
      <c r="T4" s="31" t="s">
        <v>35</v>
      </c>
      <c r="U4" s="21"/>
      <c r="V4" s="22"/>
      <c r="W4" s="19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</row>
    <row r="5" s="5" customFormat="true" ht="15" hidden="false" customHeight="true" outlineLevel="0" collapsed="false">
      <c r="A5" s="32" t="s">
        <v>36</v>
      </c>
      <c r="B5" s="33" t="s">
        <v>37</v>
      </c>
      <c r="C5" s="34" t="s">
        <v>38</v>
      </c>
      <c r="D5" s="18"/>
      <c r="E5" s="19"/>
      <c r="F5" s="25"/>
      <c r="G5" s="35" t="s">
        <v>39</v>
      </c>
      <c r="H5" s="35" t="s">
        <v>40</v>
      </c>
      <c r="I5" s="35" t="s">
        <v>41</v>
      </c>
      <c r="J5" s="35" t="s">
        <v>42</v>
      </c>
      <c r="K5" s="35" t="s">
        <v>43</v>
      </c>
      <c r="L5" s="35" t="s">
        <v>44</v>
      </c>
      <c r="M5" s="35" t="s">
        <v>45</v>
      </c>
      <c r="N5" s="35" t="s">
        <v>46</v>
      </c>
      <c r="O5" s="35" t="s">
        <v>47</v>
      </c>
      <c r="P5" s="35" t="s">
        <v>48</v>
      </c>
      <c r="Q5" s="35" t="s">
        <v>49</v>
      </c>
      <c r="R5" s="12"/>
      <c r="S5" s="30"/>
      <c r="T5" s="31"/>
      <c r="U5" s="21"/>
      <c r="V5" s="22"/>
      <c r="W5" s="19"/>
      <c r="X5" s="25"/>
      <c r="Y5" s="35" t="s">
        <v>39</v>
      </c>
      <c r="Z5" s="35" t="s">
        <v>40</v>
      </c>
      <c r="AA5" s="35" t="s">
        <v>41</v>
      </c>
      <c r="AB5" s="35" t="s">
        <v>50</v>
      </c>
      <c r="AC5" s="35" t="s">
        <v>51</v>
      </c>
      <c r="AD5" s="35" t="s">
        <v>52</v>
      </c>
      <c r="AE5" s="35" t="s">
        <v>53</v>
      </c>
      <c r="AF5" s="35" t="s">
        <v>44</v>
      </c>
      <c r="AG5" s="35" t="s">
        <v>45</v>
      </c>
      <c r="AH5" s="35" t="s">
        <v>54</v>
      </c>
      <c r="AI5" s="35" t="s">
        <v>46</v>
      </c>
      <c r="AJ5" s="35" t="s">
        <v>47</v>
      </c>
      <c r="AK5" s="35" t="s">
        <v>55</v>
      </c>
      <c r="AL5" s="35" t="s">
        <v>56</v>
      </c>
      <c r="AM5" s="35" t="s">
        <v>48</v>
      </c>
      <c r="AN5" s="35" t="s">
        <v>49</v>
      </c>
    </row>
    <row r="6" customFormat="false" ht="12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6"/>
      <c r="W6" s="6" t="str">
        <f aca="false">IF(X6&lt;&gt;0,"Enter Code"," ")</f>
        <v> </v>
      </c>
      <c r="Y6" s="6" t="str">
        <f aca="false">IF(W6="BB",X6,"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IF(E7="BD",F7,"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37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IF(E8="BD",F8,"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37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37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37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37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37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37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37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37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37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37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37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37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37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37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37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37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37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37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37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37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37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37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37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37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37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37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37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37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37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37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37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37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37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37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37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37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37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37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37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37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37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37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37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37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37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37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37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37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37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37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37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37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37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37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37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37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37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37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37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37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37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37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37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37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37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37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37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37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37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37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37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37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37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37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37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37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37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37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37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37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37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37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37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37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37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37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37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37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37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37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37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37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37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37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37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37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37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37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37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37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37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37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37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37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37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37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37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37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37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37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37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37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37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37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37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37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37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37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37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37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37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37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37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37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37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37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37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37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37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37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37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37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37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37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37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37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37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37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37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37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37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37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37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37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37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37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37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37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37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37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37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37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37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37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37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37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37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37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37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37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37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37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37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37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37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37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6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38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37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37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37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37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37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37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37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37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37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37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37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37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37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37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37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37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37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37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37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37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37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37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37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37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39"/>
      <c r="B200" s="40"/>
      <c r="C200" s="4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IF(E200="BD",F200," ")</f>
        <v> </v>
      </c>
      <c r="I200" s="44" t="str">
        <f aca="false">IF(E200="BC",F200," ")</f>
        <v> </v>
      </c>
      <c r="J200" s="44" t="str">
        <f aca="false">IF(E200="DR",F200," ")</f>
        <v> </v>
      </c>
      <c r="K200" s="44" t="str">
        <f aca="false">IF(E200="K",F200," ")</f>
        <v> </v>
      </c>
      <c r="L200" s="44" t="str">
        <f aca="false">IF(E200="LDR",F200," ")</f>
        <v> </v>
      </c>
      <c r="M200" s="44" t="str">
        <f aca="false">IF(E200="LCR",F200," ")</f>
        <v> </v>
      </c>
      <c r="N200" s="44" t="str">
        <f aca="false">IF(E200="RV",F200," ")</f>
        <v> </v>
      </c>
      <c r="O200" s="44" t="str">
        <f aca="false">IF(E200="RC",F200," ")</f>
        <v> </v>
      </c>
      <c r="P200" s="44" t="str">
        <f aca="false">IF(E200="DL",F200," ")</f>
        <v> </v>
      </c>
      <c r="Q200" s="44" t="str">
        <f aca="false">IF(E200="X",F200," ")</f>
        <v> </v>
      </c>
      <c r="R200" s="38"/>
      <c r="S200" s="39"/>
      <c r="T200" s="42"/>
      <c r="U200" s="41"/>
      <c r="V200" s="41"/>
      <c r="W200" s="44" t="str">
        <f aca="false">IF(X200&lt;&gt;0,"Enter Code"," ")</f>
        <v> </v>
      </c>
      <c r="X200" s="44"/>
      <c r="Y200" s="44" t="str">
        <f aca="false">IF(W200="BB",X200," ")</f>
        <v> </v>
      </c>
      <c r="Z200" s="44" t="str">
        <f aca="false">IF(W200="BD",X200," ")</f>
        <v> </v>
      </c>
      <c r="AA200" s="44" t="str">
        <f aca="false">IF(W200="BC",X200," ")</f>
        <v> </v>
      </c>
      <c r="AB200" s="44" t="str">
        <f aca="false">IF(W200="CR",X200," ")</f>
        <v> </v>
      </c>
      <c r="AC200" s="44" t="str">
        <f aca="false">IF(W200="W",X200," ")</f>
        <v> </v>
      </c>
      <c r="AD200" s="44" t="str">
        <f aca="false">IF(W200="B",X200," ")</f>
        <v> </v>
      </c>
      <c r="AE200" s="44" t="str">
        <f aca="false">IF(W200="J",X200," ")</f>
        <v> </v>
      </c>
      <c r="AF200" s="44" t="str">
        <f aca="false">IF(W200="LDR",X200," ")</f>
        <v> </v>
      </c>
      <c r="AG200" s="44" t="str">
        <f aca="false">IF(W200="LCR",X200," ")</f>
        <v> </v>
      </c>
      <c r="AH200" s="44" t="str">
        <f aca="false">IF(W200="RP",X200," ")</f>
        <v> </v>
      </c>
      <c r="AI200" s="44" t="str">
        <f aca="false">IF(W200="RV",X200," ")</f>
        <v> </v>
      </c>
      <c r="AJ200" s="44" t="str">
        <f aca="false">IF(W200="RC",X200," ")</f>
        <v> </v>
      </c>
      <c r="AK200" s="44" t="str">
        <f aca="false">IF(W200="RT",X200," ")</f>
        <v> </v>
      </c>
      <c r="AL200" s="44" t="str">
        <f aca="false">IF(W200="DV",X200," ")</f>
        <v> </v>
      </c>
      <c r="AM200" s="44" t="str">
        <f aca="false">IF(W200="DL",X200," ")</f>
        <v> </v>
      </c>
      <c r="AN200" s="44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5" t="n">
        <f aca="false">Sep!A2</f>
        <v>5000</v>
      </c>
      <c r="B1" s="46" t="s">
        <v>57</v>
      </c>
      <c r="C1" s="8" t="n">
        <f aca="false">[1]Admin!$B$17</f>
        <v>45870</v>
      </c>
      <c r="D1" s="9" t="s">
        <v>0</v>
      </c>
      <c r="E1" s="10" t="n">
        <f aca="false">F1-SUM(G1:Q1)</f>
        <v>0</v>
      </c>
      <c r="F1" s="11" t="n">
        <f aca="false">SUM(F6:F200)</f>
        <v>0</v>
      </c>
      <c r="G1" s="11" t="n">
        <f aca="false">SUM(G6:G200)</f>
        <v>0</v>
      </c>
      <c r="H1" s="11" t="n">
        <f aca="false">SUM(H6:H200)</f>
        <v>0</v>
      </c>
      <c r="I1" s="11" t="n">
        <f aca="false">SUM(I6:I200)</f>
        <v>0</v>
      </c>
      <c r="J1" s="11" t="n">
        <f aca="false">SUM(J6:J200)</f>
        <v>0</v>
      </c>
      <c r="K1" s="11" t="n">
        <f aca="false">SUM(K6:K200)</f>
        <v>0</v>
      </c>
      <c r="L1" s="11" t="n">
        <f aca="false">SUM(L6:L200)</f>
        <v>0</v>
      </c>
      <c r="M1" s="11" t="n">
        <f aca="false">SUM(M6:M200)</f>
        <v>0</v>
      </c>
      <c r="N1" s="11" t="n">
        <f aca="false">SUM(N6:N200)</f>
        <v>0</v>
      </c>
      <c r="O1" s="11" t="n">
        <f aca="false">SUM(O6:O200)</f>
        <v>0</v>
      </c>
      <c r="P1" s="11" t="n">
        <f aca="false">SUM(P6:P200)</f>
        <v>0</v>
      </c>
      <c r="Q1" s="11" t="n">
        <f aca="false">SUM(Q6:Q200)</f>
        <v>0</v>
      </c>
      <c r="R1" s="12"/>
      <c r="S1" s="13" t="str">
        <f aca="false">IF(W1=0," ","Check all payment code letters entered")</f>
        <v> </v>
      </c>
      <c r="T1" s="13"/>
      <c r="U1" s="14"/>
      <c r="V1" s="15" t="s">
        <v>0</v>
      </c>
      <c r="W1" s="10" t="n">
        <f aca="false">X1-SUM(Y1:AN1)</f>
        <v>0</v>
      </c>
      <c r="X1" s="11" t="n">
        <f aca="false">SUM(X6:X200)</f>
        <v>0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0</v>
      </c>
      <c r="AB1" s="11" t="n">
        <f aca="false">SUM(AB6:AB200)</f>
        <v>0</v>
      </c>
      <c r="AC1" s="11" t="n">
        <f aca="false">SUM(AC6:AC200)</f>
        <v>0</v>
      </c>
      <c r="AD1" s="11" t="n">
        <f aca="false">SUM(AD6:AD200)</f>
        <v>0</v>
      </c>
      <c r="AE1" s="11" t="n">
        <f aca="false">SUM(AE6:AE200)</f>
        <v>0</v>
      </c>
      <c r="AF1" s="11" t="n">
        <f aca="false">SUM(AF6:AF200)</f>
        <v>0</v>
      </c>
      <c r="AG1" s="11" t="n">
        <f aca="false">SUM(AG6:AG200)</f>
        <v>0</v>
      </c>
      <c r="AH1" s="11" t="n">
        <f aca="false">SUM(AH6:AH200)</f>
        <v>0</v>
      </c>
      <c r="AI1" s="11" t="n">
        <f aca="false">SUM(AI6:AI200)</f>
        <v>0</v>
      </c>
      <c r="AJ1" s="11" t="n">
        <f aca="false">SUM(AJ6:AJ200)</f>
        <v>0</v>
      </c>
      <c r="AK1" s="11" t="n">
        <f aca="false">SUM(AK6:AK200)</f>
        <v>0</v>
      </c>
      <c r="AL1" s="11" t="n">
        <f aca="false">SUM(AL6:AL200)</f>
        <v>0</v>
      </c>
      <c r="AM1" s="11" t="n">
        <f aca="false">SUM(AM6:AM200)</f>
        <v>0</v>
      </c>
      <c r="AN1" s="11" t="n">
        <f aca="false">SUM(AN6:AN200)</f>
        <v>0</v>
      </c>
    </row>
    <row r="2" customFormat="false" ht="15" hidden="false" customHeight="true" outlineLevel="0" collapsed="false">
      <c r="A2" s="16" t="n">
        <f aca="false">A1+F1-X1</f>
        <v>5000</v>
      </c>
      <c r="B2" s="17" t="s">
        <v>1</v>
      </c>
      <c r="C2" s="8" t="n">
        <f aca="false">[1]Admin!$B$18</f>
        <v>45900</v>
      </c>
      <c r="D2" s="18" t="s">
        <v>2</v>
      </c>
      <c r="E2" s="19" t="s">
        <v>3</v>
      </c>
      <c r="F2" s="20" t="s">
        <v>4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12"/>
      <c r="S2" s="13" t="str">
        <f aca="false">IF(E1=0," ","Check all Receipts Code Letters entered")</f>
        <v> </v>
      </c>
      <c r="T2" s="13"/>
      <c r="U2" s="21" t="s">
        <v>5</v>
      </c>
      <c r="V2" s="22" t="s">
        <v>6</v>
      </c>
      <c r="W2" s="19" t="s">
        <v>3</v>
      </c>
      <c r="X2" s="20" t="s">
        <v>7</v>
      </c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</row>
    <row r="3" customFormat="false" ht="19.5" hidden="false" customHeight="true" outlineLevel="0" collapsed="false">
      <c r="A3" s="7"/>
      <c r="B3" s="23" t="s">
        <v>8</v>
      </c>
      <c r="C3" s="24" t="n">
        <f aca="false">C2</f>
        <v>45900</v>
      </c>
      <c r="D3" s="18"/>
      <c r="E3" s="19"/>
      <c r="F3" s="25" t="s">
        <v>9</v>
      </c>
      <c r="G3" s="25" t="s">
        <v>10</v>
      </c>
      <c r="H3" s="25" t="s">
        <v>11</v>
      </c>
      <c r="I3" s="25" t="s">
        <v>12</v>
      </c>
      <c r="J3" s="25" t="s">
        <v>13</v>
      </c>
      <c r="K3" s="25" t="s">
        <v>14</v>
      </c>
      <c r="L3" s="25" t="s">
        <v>15</v>
      </c>
      <c r="M3" s="25" t="s">
        <v>16</v>
      </c>
      <c r="N3" s="25" t="s">
        <v>17</v>
      </c>
      <c r="O3" s="25" t="s">
        <v>18</v>
      </c>
      <c r="P3" s="25" t="s">
        <v>19</v>
      </c>
      <c r="Q3" s="25" t="s">
        <v>20</v>
      </c>
      <c r="R3" s="12"/>
      <c r="S3" s="26"/>
      <c r="T3" s="27"/>
      <c r="U3" s="21"/>
      <c r="V3" s="22"/>
      <c r="W3" s="19"/>
      <c r="X3" s="25" t="s">
        <v>21</v>
      </c>
      <c r="Y3" s="25" t="s">
        <v>22</v>
      </c>
      <c r="Z3" s="25" t="s">
        <v>23</v>
      </c>
      <c r="AA3" s="25" t="s">
        <v>24</v>
      </c>
      <c r="AB3" s="25" t="s">
        <v>25</v>
      </c>
      <c r="AC3" s="25" t="s">
        <v>26</v>
      </c>
      <c r="AD3" s="25" t="s">
        <v>27</v>
      </c>
      <c r="AE3" s="25" t="s">
        <v>28</v>
      </c>
      <c r="AF3" s="25" t="s">
        <v>15</v>
      </c>
      <c r="AG3" s="25" t="s">
        <v>16</v>
      </c>
      <c r="AH3" s="25" t="s">
        <v>29</v>
      </c>
      <c r="AI3" s="25" t="s">
        <v>30</v>
      </c>
      <c r="AJ3" s="25" t="s">
        <v>31</v>
      </c>
      <c r="AK3" s="25" t="s">
        <v>32</v>
      </c>
      <c r="AL3" s="25" t="s">
        <v>33</v>
      </c>
      <c r="AM3" s="25" t="s">
        <v>19</v>
      </c>
      <c r="AN3" s="25" t="s">
        <v>20</v>
      </c>
    </row>
    <row r="4" s="5" customFormat="true" ht="19.5" hidden="false" customHeight="true" outlineLevel="0" collapsed="false">
      <c r="A4" s="28" t="n">
        <f aca="false">A2-A3</f>
        <v>5000</v>
      </c>
      <c r="B4" s="29" t="str">
        <f aca="false">IF(A4=0,"&lt;  Bank  - Statement Balance","  Reconcile Bank Statement")</f>
        <v>  Reconcile Bank Statement</v>
      </c>
      <c r="C4" s="29"/>
      <c r="D4" s="18"/>
      <c r="E4" s="19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12"/>
      <c r="S4" s="30" t="s">
        <v>34</v>
      </c>
      <c r="T4" s="31" t="s">
        <v>35</v>
      </c>
      <c r="U4" s="21"/>
      <c r="V4" s="22"/>
      <c r="W4" s="19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</row>
    <row r="5" s="5" customFormat="true" ht="15" hidden="false" customHeight="true" outlineLevel="0" collapsed="false">
      <c r="A5" s="32" t="s">
        <v>36</v>
      </c>
      <c r="B5" s="33" t="s">
        <v>37</v>
      </c>
      <c r="C5" s="34" t="s">
        <v>38</v>
      </c>
      <c r="D5" s="18"/>
      <c r="E5" s="19"/>
      <c r="F5" s="25"/>
      <c r="G5" s="35" t="s">
        <v>39</v>
      </c>
      <c r="H5" s="35" t="s">
        <v>40</v>
      </c>
      <c r="I5" s="35" t="s">
        <v>41</v>
      </c>
      <c r="J5" s="35" t="s">
        <v>42</v>
      </c>
      <c r="K5" s="35" t="s">
        <v>43</v>
      </c>
      <c r="L5" s="35" t="s">
        <v>44</v>
      </c>
      <c r="M5" s="35" t="s">
        <v>45</v>
      </c>
      <c r="N5" s="35" t="s">
        <v>46</v>
      </c>
      <c r="O5" s="35" t="s">
        <v>47</v>
      </c>
      <c r="P5" s="35" t="s">
        <v>48</v>
      </c>
      <c r="Q5" s="35" t="s">
        <v>49</v>
      </c>
      <c r="R5" s="12"/>
      <c r="S5" s="30"/>
      <c r="T5" s="31"/>
      <c r="U5" s="21"/>
      <c r="V5" s="22"/>
      <c r="W5" s="19"/>
      <c r="X5" s="25"/>
      <c r="Y5" s="35" t="s">
        <v>39</v>
      </c>
      <c r="Z5" s="35" t="s">
        <v>40</v>
      </c>
      <c r="AA5" s="35" t="s">
        <v>41</v>
      </c>
      <c r="AB5" s="35" t="s">
        <v>50</v>
      </c>
      <c r="AC5" s="35" t="s">
        <v>51</v>
      </c>
      <c r="AD5" s="35" t="s">
        <v>52</v>
      </c>
      <c r="AE5" s="35" t="s">
        <v>53</v>
      </c>
      <c r="AF5" s="35" t="s">
        <v>44</v>
      </c>
      <c r="AG5" s="35" t="s">
        <v>45</v>
      </c>
      <c r="AH5" s="35" t="s">
        <v>54</v>
      </c>
      <c r="AI5" s="35" t="s">
        <v>46</v>
      </c>
      <c r="AJ5" s="35" t="s">
        <v>47</v>
      </c>
      <c r="AK5" s="35" t="s">
        <v>55</v>
      </c>
      <c r="AL5" s="35" t="s">
        <v>56</v>
      </c>
      <c r="AM5" s="35" t="s">
        <v>48</v>
      </c>
      <c r="AN5" s="35" t="s">
        <v>49</v>
      </c>
    </row>
    <row r="6" customFormat="false" ht="12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6"/>
      <c r="W6" s="6" t="str">
        <f aca="false">IF(X6&lt;&gt;0,"Enter Code"," ")</f>
        <v> </v>
      </c>
      <c r="Y6" s="6" t="str">
        <f aca="false">IF(W6="BB",X6,"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IF(E7="BD",F7,"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37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IF(E8="BD",F8,"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37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37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37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37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37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37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37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37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37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37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37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37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37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37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37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37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37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37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37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37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37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37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37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37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37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37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37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37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37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37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37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37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37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37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37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37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37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37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37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37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37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37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37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37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37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37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37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37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37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37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37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37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37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37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37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37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37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37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37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37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37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37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37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37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37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37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37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37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37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37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37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37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37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37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37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37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37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37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37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37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37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37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37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37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37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37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37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37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37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37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37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37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37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37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37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37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37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37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37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37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37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37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37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37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37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37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37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37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37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37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37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37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37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37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37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37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37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37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37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37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37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37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37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37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37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37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37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37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37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37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37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37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37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37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37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37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37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37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37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37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37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37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37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37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37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37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37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37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37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37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37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37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37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37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37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37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37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37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37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37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37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37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37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37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37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37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6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38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37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37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37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37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37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37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37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37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37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37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37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37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37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37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37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37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37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37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37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37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37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37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37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37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39"/>
      <c r="B200" s="40"/>
      <c r="C200" s="4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IF(E200="BD",F200," ")</f>
        <v> </v>
      </c>
      <c r="I200" s="44" t="str">
        <f aca="false">IF(E200="BC",F200," ")</f>
        <v> </v>
      </c>
      <c r="J200" s="44" t="str">
        <f aca="false">IF(E200="DR",F200," ")</f>
        <v> </v>
      </c>
      <c r="K200" s="44" t="str">
        <f aca="false">IF(E200="K",F200," ")</f>
        <v> </v>
      </c>
      <c r="L200" s="44" t="str">
        <f aca="false">IF(E200="LDR",F200," ")</f>
        <v> </v>
      </c>
      <c r="M200" s="44" t="str">
        <f aca="false">IF(E200="LCR",F200," ")</f>
        <v> </v>
      </c>
      <c r="N200" s="44" t="str">
        <f aca="false">IF(E200="RV",F200," ")</f>
        <v> </v>
      </c>
      <c r="O200" s="44" t="str">
        <f aca="false">IF(E200="RC",F200," ")</f>
        <v> </v>
      </c>
      <c r="P200" s="44" t="str">
        <f aca="false">IF(E200="DL",F200," ")</f>
        <v> </v>
      </c>
      <c r="Q200" s="44" t="str">
        <f aca="false">IF(E200="X",F200," ")</f>
        <v> </v>
      </c>
      <c r="R200" s="38"/>
      <c r="S200" s="39"/>
      <c r="T200" s="42"/>
      <c r="U200" s="41"/>
      <c r="V200" s="41"/>
      <c r="W200" s="44" t="str">
        <f aca="false">IF(X200&lt;&gt;0,"Enter Code"," ")</f>
        <v> </v>
      </c>
      <c r="X200" s="44"/>
      <c r="Y200" s="44" t="str">
        <f aca="false">IF(W200="BB",X200," ")</f>
        <v> </v>
      </c>
      <c r="Z200" s="44" t="str">
        <f aca="false">IF(W200="BD",X200," ")</f>
        <v> </v>
      </c>
      <c r="AA200" s="44" t="str">
        <f aca="false">IF(W200="BC",X200," ")</f>
        <v> </v>
      </c>
      <c r="AB200" s="44" t="str">
        <f aca="false">IF(W200="CR",X200," ")</f>
        <v> </v>
      </c>
      <c r="AC200" s="44" t="str">
        <f aca="false">IF(W200="W",X200," ")</f>
        <v> </v>
      </c>
      <c r="AD200" s="44" t="str">
        <f aca="false">IF(W200="B",X200," ")</f>
        <v> </v>
      </c>
      <c r="AE200" s="44" t="str">
        <f aca="false">IF(W200="J",X200," ")</f>
        <v> </v>
      </c>
      <c r="AF200" s="44" t="str">
        <f aca="false">IF(W200="LDR",X200," ")</f>
        <v> </v>
      </c>
      <c r="AG200" s="44" t="str">
        <f aca="false">IF(W200="LCR",X200," ")</f>
        <v> </v>
      </c>
      <c r="AH200" s="44" t="str">
        <f aca="false">IF(W200="RP",X200," ")</f>
        <v> </v>
      </c>
      <c r="AI200" s="44" t="str">
        <f aca="false">IF(W200="RV",X200," ")</f>
        <v> </v>
      </c>
      <c r="AJ200" s="44" t="str">
        <f aca="false">IF(W200="RC",X200," ")</f>
        <v> </v>
      </c>
      <c r="AK200" s="44" t="str">
        <f aca="false">IF(W200="RT",X200," ")</f>
        <v> </v>
      </c>
      <c r="AL200" s="44" t="str">
        <f aca="false">IF(W200="DV",X200," ")</f>
        <v> </v>
      </c>
      <c r="AM200" s="44" t="str">
        <f aca="false">IF(W200="DL",X200," ")</f>
        <v> </v>
      </c>
      <c r="AN200" s="44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5" t="n">
        <f aca="false">Oct!A2</f>
        <v>5000</v>
      </c>
      <c r="B1" s="46" t="s">
        <v>57</v>
      </c>
      <c r="C1" s="8" t="n">
        <f aca="false">[1]Admin!$B$19</f>
        <v>45901</v>
      </c>
      <c r="D1" s="9" t="s">
        <v>0</v>
      </c>
      <c r="E1" s="10" t="n">
        <f aca="false">F1-SUM(G1:Q1)</f>
        <v>0</v>
      </c>
      <c r="F1" s="11" t="n">
        <f aca="false">SUM(F6:F200)</f>
        <v>125</v>
      </c>
      <c r="G1" s="11" t="n">
        <f aca="false">SUM(G6:G200)</f>
        <v>0</v>
      </c>
      <c r="H1" s="11" t="n">
        <f aca="false">SUM(H6:H200)</f>
        <v>0</v>
      </c>
      <c r="I1" s="11" t="n">
        <f aca="false">SUM(I6:I200)</f>
        <v>0</v>
      </c>
      <c r="J1" s="11" t="n">
        <f aca="false">SUM(J6:J200)</f>
        <v>0</v>
      </c>
      <c r="K1" s="11" t="n">
        <f aca="false">SUM(K6:K200)</f>
        <v>0</v>
      </c>
      <c r="L1" s="11" t="n">
        <f aca="false">SUM(L6:L200)</f>
        <v>0</v>
      </c>
      <c r="M1" s="11" t="n">
        <f aca="false">SUM(M6:M200)</f>
        <v>0</v>
      </c>
      <c r="N1" s="11" t="n">
        <f aca="false">SUM(N6:N200)</f>
        <v>125</v>
      </c>
      <c r="O1" s="11" t="n">
        <f aca="false">SUM(O6:O200)</f>
        <v>0</v>
      </c>
      <c r="P1" s="11" t="n">
        <f aca="false">SUM(P6:P200)</f>
        <v>0</v>
      </c>
      <c r="Q1" s="11" t="n">
        <f aca="false">SUM(Q6:Q200)</f>
        <v>0</v>
      </c>
      <c r="R1" s="12"/>
      <c r="S1" s="13" t="str">
        <f aca="false">IF(W1=0," ","Check all payment code letters entered")</f>
        <v> </v>
      </c>
      <c r="T1" s="13"/>
      <c r="U1" s="14"/>
      <c r="V1" s="15" t="s">
        <v>0</v>
      </c>
      <c r="W1" s="10" t="n">
        <f aca="false">X1-SUM(Y1:AN1)</f>
        <v>0</v>
      </c>
      <c r="X1" s="11" t="n">
        <f aca="false">SUM(X6:X200)</f>
        <v>0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0</v>
      </c>
      <c r="AB1" s="11" t="n">
        <f aca="false">SUM(AB6:AB200)</f>
        <v>0</v>
      </c>
      <c r="AC1" s="11" t="n">
        <f aca="false">SUM(AC6:AC200)</f>
        <v>0</v>
      </c>
      <c r="AD1" s="11" t="n">
        <f aca="false">SUM(AD6:AD200)</f>
        <v>0</v>
      </c>
      <c r="AE1" s="11" t="n">
        <f aca="false">SUM(AE6:AE200)</f>
        <v>0</v>
      </c>
      <c r="AF1" s="11" t="n">
        <f aca="false">SUM(AF6:AF200)</f>
        <v>0</v>
      </c>
      <c r="AG1" s="11" t="n">
        <f aca="false">SUM(AG6:AG200)</f>
        <v>0</v>
      </c>
      <c r="AH1" s="11" t="n">
        <f aca="false">SUM(AH6:AH200)</f>
        <v>0</v>
      </c>
      <c r="AI1" s="11" t="n">
        <f aca="false">SUM(AI6:AI200)</f>
        <v>0</v>
      </c>
      <c r="AJ1" s="11" t="n">
        <f aca="false">SUM(AJ6:AJ200)</f>
        <v>0</v>
      </c>
      <c r="AK1" s="11" t="n">
        <f aca="false">SUM(AK6:AK200)</f>
        <v>0</v>
      </c>
      <c r="AL1" s="11" t="n">
        <f aca="false">SUM(AL6:AL200)</f>
        <v>0</v>
      </c>
      <c r="AM1" s="11" t="n">
        <f aca="false">SUM(AM6:AM200)</f>
        <v>0</v>
      </c>
      <c r="AN1" s="11" t="n">
        <f aca="false">SUM(AN6:AN200)</f>
        <v>0</v>
      </c>
    </row>
    <row r="2" customFormat="false" ht="15" hidden="false" customHeight="true" outlineLevel="0" collapsed="false">
      <c r="A2" s="16" t="n">
        <f aca="false">A1+F1-X1</f>
        <v>5125</v>
      </c>
      <c r="B2" s="17" t="s">
        <v>1</v>
      </c>
      <c r="C2" s="8" t="n">
        <f aca="false">[1]Admin!$B$20</f>
        <v>45930</v>
      </c>
      <c r="D2" s="18" t="s">
        <v>2</v>
      </c>
      <c r="E2" s="19" t="s">
        <v>3</v>
      </c>
      <c r="F2" s="20" t="s">
        <v>4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12"/>
      <c r="S2" s="13" t="str">
        <f aca="false">IF(E1=0," ","Check all Receipts Code Letters entered")</f>
        <v> </v>
      </c>
      <c r="T2" s="13"/>
      <c r="U2" s="21" t="s">
        <v>5</v>
      </c>
      <c r="V2" s="22" t="s">
        <v>6</v>
      </c>
      <c r="W2" s="19" t="s">
        <v>3</v>
      </c>
      <c r="X2" s="20" t="s">
        <v>7</v>
      </c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</row>
    <row r="3" customFormat="false" ht="19.5" hidden="false" customHeight="true" outlineLevel="0" collapsed="false">
      <c r="A3" s="7"/>
      <c r="B3" s="23" t="s">
        <v>8</v>
      </c>
      <c r="C3" s="24" t="n">
        <f aca="false">C2</f>
        <v>45930</v>
      </c>
      <c r="D3" s="18"/>
      <c r="E3" s="19"/>
      <c r="F3" s="25" t="s">
        <v>9</v>
      </c>
      <c r="G3" s="25" t="s">
        <v>10</v>
      </c>
      <c r="H3" s="25" t="s">
        <v>11</v>
      </c>
      <c r="I3" s="25" t="s">
        <v>12</v>
      </c>
      <c r="J3" s="25" t="s">
        <v>13</v>
      </c>
      <c r="K3" s="25" t="s">
        <v>14</v>
      </c>
      <c r="L3" s="25" t="s">
        <v>15</v>
      </c>
      <c r="M3" s="25" t="s">
        <v>16</v>
      </c>
      <c r="N3" s="25" t="s">
        <v>17</v>
      </c>
      <c r="O3" s="25" t="s">
        <v>18</v>
      </c>
      <c r="P3" s="25" t="s">
        <v>19</v>
      </c>
      <c r="Q3" s="25" t="s">
        <v>20</v>
      </c>
      <c r="R3" s="12"/>
      <c r="S3" s="26"/>
      <c r="T3" s="27"/>
      <c r="U3" s="21"/>
      <c r="V3" s="22"/>
      <c r="W3" s="19"/>
      <c r="X3" s="25" t="s">
        <v>21</v>
      </c>
      <c r="Y3" s="25" t="s">
        <v>22</v>
      </c>
      <c r="Z3" s="25" t="s">
        <v>23</v>
      </c>
      <c r="AA3" s="25" t="s">
        <v>24</v>
      </c>
      <c r="AB3" s="25" t="s">
        <v>25</v>
      </c>
      <c r="AC3" s="25" t="s">
        <v>26</v>
      </c>
      <c r="AD3" s="25" t="s">
        <v>27</v>
      </c>
      <c r="AE3" s="25" t="s">
        <v>28</v>
      </c>
      <c r="AF3" s="25" t="s">
        <v>15</v>
      </c>
      <c r="AG3" s="25" t="s">
        <v>16</v>
      </c>
      <c r="AH3" s="25" t="s">
        <v>29</v>
      </c>
      <c r="AI3" s="25" t="s">
        <v>30</v>
      </c>
      <c r="AJ3" s="25" t="s">
        <v>31</v>
      </c>
      <c r="AK3" s="25" t="s">
        <v>32</v>
      </c>
      <c r="AL3" s="25" t="s">
        <v>33</v>
      </c>
      <c r="AM3" s="25" t="s">
        <v>19</v>
      </c>
      <c r="AN3" s="25" t="s">
        <v>20</v>
      </c>
    </row>
    <row r="4" s="5" customFormat="true" ht="19.5" hidden="false" customHeight="true" outlineLevel="0" collapsed="false">
      <c r="A4" s="28" t="n">
        <f aca="false">A2-A3</f>
        <v>5125</v>
      </c>
      <c r="B4" s="29" t="str">
        <f aca="false">IF(A4=0,"&lt;  Bank  - Statement Balance","  Reconcile Bank Statement")</f>
        <v>  Reconcile Bank Statement</v>
      </c>
      <c r="C4" s="29"/>
      <c r="D4" s="18"/>
      <c r="E4" s="19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12"/>
      <c r="S4" s="30" t="s">
        <v>34</v>
      </c>
      <c r="T4" s="31" t="s">
        <v>35</v>
      </c>
      <c r="U4" s="21"/>
      <c r="V4" s="22"/>
      <c r="W4" s="19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</row>
    <row r="5" s="5" customFormat="true" ht="15" hidden="false" customHeight="true" outlineLevel="0" collapsed="false">
      <c r="A5" s="32" t="s">
        <v>36</v>
      </c>
      <c r="B5" s="33" t="s">
        <v>37</v>
      </c>
      <c r="C5" s="34" t="s">
        <v>38</v>
      </c>
      <c r="D5" s="18"/>
      <c r="E5" s="19"/>
      <c r="F5" s="25"/>
      <c r="G5" s="35" t="s">
        <v>39</v>
      </c>
      <c r="H5" s="35" t="s">
        <v>40</v>
      </c>
      <c r="I5" s="35" t="s">
        <v>41</v>
      </c>
      <c r="J5" s="35" t="s">
        <v>42</v>
      </c>
      <c r="K5" s="35" t="s">
        <v>43</v>
      </c>
      <c r="L5" s="35" t="s">
        <v>44</v>
      </c>
      <c r="M5" s="35" t="s">
        <v>45</v>
      </c>
      <c r="N5" s="35" t="s">
        <v>46</v>
      </c>
      <c r="O5" s="35" t="s">
        <v>47</v>
      </c>
      <c r="P5" s="35" t="s">
        <v>48</v>
      </c>
      <c r="Q5" s="35" t="s">
        <v>49</v>
      </c>
      <c r="R5" s="12"/>
      <c r="S5" s="30"/>
      <c r="T5" s="31"/>
      <c r="U5" s="21"/>
      <c r="V5" s="22"/>
      <c r="W5" s="19"/>
      <c r="X5" s="25"/>
      <c r="Y5" s="35" t="s">
        <v>39</v>
      </c>
      <c r="Z5" s="35" t="s">
        <v>40</v>
      </c>
      <c r="AA5" s="35" t="s">
        <v>41</v>
      </c>
      <c r="AB5" s="35" t="s">
        <v>50</v>
      </c>
      <c r="AC5" s="35" t="s">
        <v>51</v>
      </c>
      <c r="AD5" s="35" t="s">
        <v>52</v>
      </c>
      <c r="AE5" s="35" t="s">
        <v>53</v>
      </c>
      <c r="AF5" s="35" t="s">
        <v>44</v>
      </c>
      <c r="AG5" s="35" t="s">
        <v>45</v>
      </c>
      <c r="AH5" s="35" t="s">
        <v>54</v>
      </c>
      <c r="AI5" s="35" t="s">
        <v>46</v>
      </c>
      <c r="AJ5" s="35" t="s">
        <v>47</v>
      </c>
      <c r="AK5" s="35" t="s">
        <v>55</v>
      </c>
      <c r="AL5" s="35" t="s">
        <v>56</v>
      </c>
      <c r="AM5" s="35" t="s">
        <v>48</v>
      </c>
      <c r="AN5" s="35" t="s">
        <v>49</v>
      </c>
    </row>
    <row r="6" customFormat="false" ht="12" hidden="false" customHeight="false" outlineLevel="0" collapsed="false">
      <c r="A6" s="1" t="n">
        <v>45991</v>
      </c>
      <c r="B6" s="2" t="s">
        <v>58</v>
      </c>
      <c r="E6" s="5" t="s">
        <v>46</v>
      </c>
      <c r="F6" s="6" t="n">
        <v>125</v>
      </c>
      <c r="G6" s="6" t="str">
        <f aca="false">IF(E6="BB",F6,"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n">
        <f aca="false">IF(E6="RV",F6," ")</f>
        <v>125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6"/>
      <c r="W6" s="6" t="str">
        <f aca="false">IF(X6&lt;&gt;0,"Enter Code"," ")</f>
        <v> </v>
      </c>
      <c r="Y6" s="6" t="str">
        <f aca="false">IF(W6="BB",X6,"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G7" s="6" t="str">
        <f aca="false">IF(E7="BB",F7," ")</f>
        <v> </v>
      </c>
      <c r="H7" s="6" t="str">
        <f aca="false">IF(E7="BD",F7,"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37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G8" s="6" t="str">
        <f aca="false">IF(E8="BB",F8," ")</f>
        <v> </v>
      </c>
      <c r="H8" s="6" t="str">
        <f aca="false">IF(E8="BD",F8,"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37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G9" s="6" t="str">
        <f aca="false">IF(E9="BB",F9,"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37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G10" s="6" t="str">
        <f aca="false">IF(E10="BB",F10,"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37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G11" s="6" t="str">
        <f aca="false">IF(E11="BB",F11,"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37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G12" s="6" t="str">
        <f aca="false">IF(E12="BB",F12,"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37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G13" s="6" t="str">
        <f aca="false">IF(E13="BB",F13,"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37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G14" s="6" t="str">
        <f aca="false">IF(E14="BB",F14,"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37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G15" s="6" t="str">
        <f aca="false">IF(E15="BB",F15,"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37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G16" s="6" t="str">
        <f aca="false">IF(E16="BB",F16,"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37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G17" s="6" t="str">
        <f aca="false">IF(E17="BB",F17,"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37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G18" s="6" t="str">
        <f aca="false">IF(E18="BB",F18,"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37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G19" s="6" t="str">
        <f aca="false">IF(E19="BB",F19,"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37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G20" s="6" t="str">
        <f aca="false">IF(E20="BB",F20,"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37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G21" s="6" t="str">
        <f aca="false">IF(E21="BB",F21,"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37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G22" s="6" t="str">
        <f aca="false">IF(E22="BB",F22,"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37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G23" s="6" t="str">
        <f aca="false">IF(E23="BB",F23,"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37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G24" s="6" t="str">
        <f aca="false">IF(E24="BB",F24,"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37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G25" s="6" t="str">
        <f aca="false">IF(E25="BB",F25,"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37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G26" s="6" t="str">
        <f aca="false">IF(E26="BB",F26,"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37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G27" s="6" t="str">
        <f aca="false">IF(E27="BB",F27,"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37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G28" s="6" t="str">
        <f aca="false">IF(E28="BB",F28,"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37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G29" s="6" t="str">
        <f aca="false">IF(E29="BB",F29,"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37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G30" s="6" t="str">
        <f aca="false">IF(E30="BB",F30,"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37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G31" s="6" t="str">
        <f aca="false">IF(E31="BB",F31,"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37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G32" s="6" t="str">
        <f aca="false">IF(E32="BB",F32,"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37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G33" s="6" t="str">
        <f aca="false">IF(E33="BB",F33,"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37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G34" s="6" t="str">
        <f aca="false">IF(E34="BB",F34,"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37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G35" s="6" t="str">
        <f aca="false">IF(E35="BB",F35,"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37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G36" s="6" t="str">
        <f aca="false">IF(E36="BB",F36,"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37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G37" s="6" t="str">
        <f aca="false">IF(E37="BB",F37,"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37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G38" s="6" t="str">
        <f aca="false">IF(E38="BB",F38,"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37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G39" s="6" t="str">
        <f aca="false">IF(E39="BB",F39,"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37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G40" s="6" t="str">
        <f aca="false">IF(E40="BB",F40,"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37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G41" s="6" t="str">
        <f aca="false">IF(E41="BB",F41,"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37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G42" s="6" t="str">
        <f aca="false">IF(E42="BB",F42,"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37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G43" s="6" t="str">
        <f aca="false">IF(E43="BB",F43,"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37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G44" s="6" t="str">
        <f aca="false">IF(E44="BB",F44,"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37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G45" s="6" t="str">
        <f aca="false">IF(E45="BB",F45,"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37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G46" s="6" t="str">
        <f aca="false">IF(E46="BB",F46,"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37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G47" s="6" t="str">
        <f aca="false">IF(E47="BB",F47,"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37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G48" s="6" t="str">
        <f aca="false">IF(E48="BB",F48,"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37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G49" s="6" t="str">
        <f aca="false">IF(E49="BB",F49,"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37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G50" s="6" t="str">
        <f aca="false">IF(E50="BB",F50,"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37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G51" s="6" t="str">
        <f aca="false">IF(E51="BB",F51,"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37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G52" s="6" t="str">
        <f aca="false">IF(E52="BB",F52,"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37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G53" s="6" t="str">
        <f aca="false">IF(E53="BB",F53,"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37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G54" s="6" t="str">
        <f aca="false">IF(E54="BB",F54,"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37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G55" s="6" t="str">
        <f aca="false">IF(E55="BB",F55,"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37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G56" s="6" t="str">
        <f aca="false">IF(E56="BB",F56,"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37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G57" s="6" t="str">
        <f aca="false">IF(E57="BB",F57,"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37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G58" s="6" t="str">
        <f aca="false">IF(E58="BB",F58,"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37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G59" s="6" t="str">
        <f aca="false">IF(E59="BB",F59,"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37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G60" s="6" t="str">
        <f aca="false">IF(E60="BB",F60,"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37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G61" s="6" t="str">
        <f aca="false">IF(E61="BB",F61,"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37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G62" s="6" t="str">
        <f aca="false">IF(E62="BB",F62,"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37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G63" s="6" t="str">
        <f aca="false">IF(E63="BB",F63,"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37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G64" s="6" t="str">
        <f aca="false">IF(E64="BB",F64,"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37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G65" s="6" t="str">
        <f aca="false">IF(E65="BB",F65,"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37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G66" s="6" t="str">
        <f aca="false">IF(E66="BB",F66,"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37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G67" s="6" t="str">
        <f aca="false">IF(E67="BB",F67,"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37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G68" s="6" t="str">
        <f aca="false">IF(E68="BB",F68,"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37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G69" s="6" t="str">
        <f aca="false">IF(E69="BB",F69,"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37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37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37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37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37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37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37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37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37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37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37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37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37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37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37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37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37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37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37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37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37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37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37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37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37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37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37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37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37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37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37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37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37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37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37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37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37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37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37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37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37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37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37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37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37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37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37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37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37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37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37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37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37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37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37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37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37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37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37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37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37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37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37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37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37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37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37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37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37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37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37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37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37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37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37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37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37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37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37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37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37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37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37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37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37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37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37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37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37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37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37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37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37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37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37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37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37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37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37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37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37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37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37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37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37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6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38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37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37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37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37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37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37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37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37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37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37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37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37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37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37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37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37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37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37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37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37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37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37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37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37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39"/>
      <c r="B200" s="40"/>
      <c r="C200" s="4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IF(E200="BD",F200," ")</f>
        <v> </v>
      </c>
      <c r="I200" s="44" t="str">
        <f aca="false">IF(E200="BC",F200," ")</f>
        <v> </v>
      </c>
      <c r="J200" s="44" t="str">
        <f aca="false">IF(E200="DR",F200," ")</f>
        <v> </v>
      </c>
      <c r="K200" s="44" t="str">
        <f aca="false">IF(E200="K",F200," ")</f>
        <v> </v>
      </c>
      <c r="L200" s="44" t="str">
        <f aca="false">IF(E200="LDR",F200," ")</f>
        <v> </v>
      </c>
      <c r="M200" s="44" t="str">
        <f aca="false">IF(E200="LCR",F200," ")</f>
        <v> </v>
      </c>
      <c r="N200" s="44" t="str">
        <f aca="false">IF(E200="RV",F200," ")</f>
        <v> </v>
      </c>
      <c r="O200" s="44" t="str">
        <f aca="false">IF(E200="RC",F200," ")</f>
        <v> </v>
      </c>
      <c r="P200" s="44" t="str">
        <f aca="false">IF(E200="DL",F200," ")</f>
        <v> </v>
      </c>
      <c r="Q200" s="44" t="str">
        <f aca="false">IF(E200="X",F200," ")</f>
        <v> </v>
      </c>
      <c r="R200" s="38"/>
      <c r="S200" s="39"/>
      <c r="T200" s="42"/>
      <c r="U200" s="41"/>
      <c r="V200" s="41"/>
      <c r="W200" s="44" t="str">
        <f aca="false">IF(X200&lt;&gt;0,"Enter Code"," ")</f>
        <v> </v>
      </c>
      <c r="X200" s="44"/>
      <c r="Y200" s="44" t="str">
        <f aca="false">IF(W200="BB",X200," ")</f>
        <v> </v>
      </c>
      <c r="Z200" s="44" t="str">
        <f aca="false">IF(W200="BD",X200," ")</f>
        <v> </v>
      </c>
      <c r="AA200" s="44" t="str">
        <f aca="false">IF(W200="BC",X200," ")</f>
        <v> </v>
      </c>
      <c r="AB200" s="44" t="str">
        <f aca="false">IF(W200="CR",X200," ")</f>
        <v> </v>
      </c>
      <c r="AC200" s="44" t="str">
        <f aca="false">IF(W200="W",X200," ")</f>
        <v> </v>
      </c>
      <c r="AD200" s="44" t="str">
        <f aca="false">IF(W200="B",X200," ")</f>
        <v> </v>
      </c>
      <c r="AE200" s="44" t="str">
        <f aca="false">IF(W200="J",X200," ")</f>
        <v> </v>
      </c>
      <c r="AF200" s="44" t="str">
        <f aca="false">IF(W200="LDR",X200," ")</f>
        <v> </v>
      </c>
      <c r="AG200" s="44" t="str">
        <f aca="false">IF(W200="LCR",X200," ")</f>
        <v> </v>
      </c>
      <c r="AH200" s="44" t="str">
        <f aca="false">IF(W200="RP",X200," ")</f>
        <v> </v>
      </c>
      <c r="AI200" s="44" t="str">
        <f aca="false">IF(W200="RV",X200," ")</f>
        <v> </v>
      </c>
      <c r="AJ200" s="44" t="str">
        <f aca="false">IF(W200="RC",X200," ")</f>
        <v> </v>
      </c>
      <c r="AK200" s="44" t="str">
        <f aca="false">IF(W200="RT",X200," ")</f>
        <v> </v>
      </c>
      <c r="AL200" s="44" t="str">
        <f aca="false">IF(W200="DV",X200," ")</f>
        <v> </v>
      </c>
      <c r="AM200" s="44" t="str">
        <f aca="false">IF(W200="DL",X200," ")</f>
        <v> </v>
      </c>
      <c r="AN200" s="44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5" t="n">
        <f aca="false">Nov!A2</f>
        <v>5125</v>
      </c>
      <c r="B1" s="46" t="s">
        <v>57</v>
      </c>
      <c r="C1" s="8" t="n">
        <f aca="false">[1]Admin!$B$21</f>
        <v>45931</v>
      </c>
      <c r="D1" s="9" t="s">
        <v>0</v>
      </c>
      <c r="E1" s="10" t="n">
        <f aca="false">F1-SUM(G1:Q1)</f>
        <v>0</v>
      </c>
      <c r="F1" s="11" t="n">
        <f aca="false">SUM(F6:F200)</f>
        <v>0</v>
      </c>
      <c r="G1" s="11" t="n">
        <f aca="false">SUM(G6:G200)</f>
        <v>0</v>
      </c>
      <c r="H1" s="11" t="n">
        <f aca="false">SUM(H6:H200)</f>
        <v>0</v>
      </c>
      <c r="I1" s="11" t="n">
        <f aca="false">SUM(I6:I200)</f>
        <v>0</v>
      </c>
      <c r="J1" s="11" t="n">
        <f aca="false">SUM(J6:J200)</f>
        <v>0</v>
      </c>
      <c r="K1" s="11" t="n">
        <f aca="false">SUM(K6:K200)</f>
        <v>0</v>
      </c>
      <c r="L1" s="11" t="n">
        <f aca="false">SUM(L6:L200)</f>
        <v>0</v>
      </c>
      <c r="M1" s="11" t="n">
        <f aca="false">SUM(M6:M200)</f>
        <v>0</v>
      </c>
      <c r="N1" s="11" t="n">
        <f aca="false">SUM(N6:N200)</f>
        <v>0</v>
      </c>
      <c r="O1" s="11" t="n">
        <f aca="false">SUM(O6:O200)</f>
        <v>0</v>
      </c>
      <c r="P1" s="11" t="n">
        <f aca="false">SUM(P6:P200)</f>
        <v>0</v>
      </c>
      <c r="Q1" s="11" t="n">
        <f aca="false">SUM(Q6:Q200)</f>
        <v>0</v>
      </c>
      <c r="R1" s="12"/>
      <c r="S1" s="13" t="str">
        <f aca="false">IF(W1=0," ","Check all payment code letters entered")</f>
        <v> </v>
      </c>
      <c r="T1" s="13"/>
      <c r="U1" s="14"/>
      <c r="V1" s="15" t="s">
        <v>0</v>
      </c>
      <c r="W1" s="10" t="n">
        <f aca="false">X1-SUM(Y1:AN1)</f>
        <v>0</v>
      </c>
      <c r="X1" s="11" t="n">
        <f aca="false">SUM(X6:X200)</f>
        <v>0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0</v>
      </c>
      <c r="AB1" s="11" t="n">
        <f aca="false">SUM(AB6:AB200)</f>
        <v>0</v>
      </c>
      <c r="AC1" s="11" t="n">
        <f aca="false">SUM(AC6:AC200)</f>
        <v>0</v>
      </c>
      <c r="AD1" s="11" t="n">
        <f aca="false">SUM(AD6:AD200)</f>
        <v>0</v>
      </c>
      <c r="AE1" s="11" t="n">
        <f aca="false">SUM(AE6:AE200)</f>
        <v>0</v>
      </c>
      <c r="AF1" s="11" t="n">
        <f aca="false">SUM(AF6:AF200)</f>
        <v>0</v>
      </c>
      <c r="AG1" s="11" t="n">
        <f aca="false">SUM(AG6:AG200)</f>
        <v>0</v>
      </c>
      <c r="AH1" s="11" t="n">
        <f aca="false">SUM(AH6:AH200)</f>
        <v>0</v>
      </c>
      <c r="AI1" s="11" t="n">
        <f aca="false">SUM(AI6:AI200)</f>
        <v>0</v>
      </c>
      <c r="AJ1" s="11" t="n">
        <f aca="false">SUM(AJ6:AJ200)</f>
        <v>0</v>
      </c>
      <c r="AK1" s="11" t="n">
        <f aca="false">SUM(AK6:AK200)</f>
        <v>0</v>
      </c>
      <c r="AL1" s="11" t="n">
        <f aca="false">SUM(AL6:AL200)</f>
        <v>0</v>
      </c>
      <c r="AM1" s="11" t="n">
        <f aca="false">SUM(AM6:AM200)</f>
        <v>0</v>
      </c>
      <c r="AN1" s="11" t="n">
        <f aca="false">SUM(AN6:AN200)</f>
        <v>0</v>
      </c>
    </row>
    <row r="2" customFormat="false" ht="15" hidden="false" customHeight="true" outlineLevel="0" collapsed="false">
      <c r="A2" s="16" t="n">
        <f aca="false">A1+F1-X1</f>
        <v>5125</v>
      </c>
      <c r="B2" s="17" t="s">
        <v>1</v>
      </c>
      <c r="C2" s="8" t="n">
        <f aca="false">[1]Admin!$B$22</f>
        <v>45961</v>
      </c>
      <c r="D2" s="18" t="s">
        <v>2</v>
      </c>
      <c r="E2" s="19" t="s">
        <v>3</v>
      </c>
      <c r="F2" s="20" t="s">
        <v>4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12"/>
      <c r="S2" s="13" t="str">
        <f aca="false">IF(E1=0," ","Check all Receipts Code Letters entered")</f>
        <v> </v>
      </c>
      <c r="T2" s="13"/>
      <c r="U2" s="21" t="s">
        <v>5</v>
      </c>
      <c r="V2" s="22" t="s">
        <v>6</v>
      </c>
      <c r="W2" s="19" t="s">
        <v>3</v>
      </c>
      <c r="X2" s="20" t="s">
        <v>7</v>
      </c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</row>
    <row r="3" customFormat="false" ht="19.5" hidden="false" customHeight="true" outlineLevel="0" collapsed="false">
      <c r="A3" s="7"/>
      <c r="B3" s="23" t="s">
        <v>8</v>
      </c>
      <c r="C3" s="24" t="n">
        <f aca="false">C2</f>
        <v>45961</v>
      </c>
      <c r="D3" s="18"/>
      <c r="E3" s="19"/>
      <c r="F3" s="25" t="s">
        <v>9</v>
      </c>
      <c r="G3" s="25" t="s">
        <v>10</v>
      </c>
      <c r="H3" s="25" t="s">
        <v>11</v>
      </c>
      <c r="I3" s="25" t="s">
        <v>12</v>
      </c>
      <c r="J3" s="25" t="s">
        <v>13</v>
      </c>
      <c r="K3" s="25" t="s">
        <v>14</v>
      </c>
      <c r="L3" s="25" t="s">
        <v>15</v>
      </c>
      <c r="M3" s="25" t="s">
        <v>16</v>
      </c>
      <c r="N3" s="25" t="s">
        <v>17</v>
      </c>
      <c r="O3" s="25" t="s">
        <v>18</v>
      </c>
      <c r="P3" s="25" t="s">
        <v>19</v>
      </c>
      <c r="Q3" s="25" t="s">
        <v>20</v>
      </c>
      <c r="R3" s="12"/>
      <c r="S3" s="26"/>
      <c r="T3" s="27"/>
      <c r="U3" s="21"/>
      <c r="V3" s="22"/>
      <c r="W3" s="19"/>
      <c r="X3" s="25" t="s">
        <v>21</v>
      </c>
      <c r="Y3" s="25" t="s">
        <v>22</v>
      </c>
      <c r="Z3" s="25" t="s">
        <v>23</v>
      </c>
      <c r="AA3" s="25" t="s">
        <v>24</v>
      </c>
      <c r="AB3" s="25" t="s">
        <v>25</v>
      </c>
      <c r="AC3" s="25" t="s">
        <v>26</v>
      </c>
      <c r="AD3" s="25" t="s">
        <v>27</v>
      </c>
      <c r="AE3" s="25" t="s">
        <v>28</v>
      </c>
      <c r="AF3" s="25" t="s">
        <v>15</v>
      </c>
      <c r="AG3" s="25" t="s">
        <v>16</v>
      </c>
      <c r="AH3" s="25" t="s">
        <v>29</v>
      </c>
      <c r="AI3" s="25" t="s">
        <v>30</v>
      </c>
      <c r="AJ3" s="25" t="s">
        <v>31</v>
      </c>
      <c r="AK3" s="25" t="s">
        <v>32</v>
      </c>
      <c r="AL3" s="25" t="s">
        <v>33</v>
      </c>
      <c r="AM3" s="25" t="s">
        <v>19</v>
      </c>
      <c r="AN3" s="25" t="s">
        <v>20</v>
      </c>
    </row>
    <row r="4" s="5" customFormat="true" ht="19.5" hidden="false" customHeight="true" outlineLevel="0" collapsed="false">
      <c r="A4" s="28" t="n">
        <f aca="false">A2-A3</f>
        <v>5125</v>
      </c>
      <c r="B4" s="29" t="str">
        <f aca="false">IF(A4=0,"&lt;  Bank  - Statement Balance","  Reconcile Bank Statement")</f>
        <v>  Reconcile Bank Statement</v>
      </c>
      <c r="C4" s="29"/>
      <c r="D4" s="18"/>
      <c r="E4" s="19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12"/>
      <c r="S4" s="30" t="s">
        <v>34</v>
      </c>
      <c r="T4" s="31" t="s">
        <v>35</v>
      </c>
      <c r="U4" s="21"/>
      <c r="V4" s="22"/>
      <c r="W4" s="19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</row>
    <row r="5" s="5" customFormat="true" ht="15" hidden="false" customHeight="true" outlineLevel="0" collapsed="false">
      <c r="A5" s="32" t="s">
        <v>36</v>
      </c>
      <c r="B5" s="33" t="s">
        <v>37</v>
      </c>
      <c r="C5" s="34" t="s">
        <v>38</v>
      </c>
      <c r="D5" s="18"/>
      <c r="E5" s="19"/>
      <c r="F5" s="25"/>
      <c r="G5" s="35" t="s">
        <v>39</v>
      </c>
      <c r="H5" s="35" t="s">
        <v>40</v>
      </c>
      <c r="I5" s="35" t="s">
        <v>41</v>
      </c>
      <c r="J5" s="35" t="s">
        <v>42</v>
      </c>
      <c r="K5" s="35" t="s">
        <v>43</v>
      </c>
      <c r="L5" s="35" t="s">
        <v>44</v>
      </c>
      <c r="M5" s="35" t="s">
        <v>45</v>
      </c>
      <c r="N5" s="35" t="s">
        <v>46</v>
      </c>
      <c r="O5" s="35" t="s">
        <v>47</v>
      </c>
      <c r="P5" s="35" t="s">
        <v>48</v>
      </c>
      <c r="Q5" s="35" t="s">
        <v>49</v>
      </c>
      <c r="R5" s="12"/>
      <c r="S5" s="30"/>
      <c r="T5" s="31"/>
      <c r="U5" s="21"/>
      <c r="V5" s="22"/>
      <c r="W5" s="19"/>
      <c r="X5" s="25"/>
      <c r="Y5" s="35" t="s">
        <v>39</v>
      </c>
      <c r="Z5" s="35" t="s">
        <v>40</v>
      </c>
      <c r="AA5" s="35" t="s">
        <v>41</v>
      </c>
      <c r="AB5" s="35" t="s">
        <v>50</v>
      </c>
      <c r="AC5" s="35" t="s">
        <v>51</v>
      </c>
      <c r="AD5" s="35" t="s">
        <v>52</v>
      </c>
      <c r="AE5" s="35" t="s">
        <v>53</v>
      </c>
      <c r="AF5" s="35" t="s">
        <v>44</v>
      </c>
      <c r="AG5" s="35" t="s">
        <v>45</v>
      </c>
      <c r="AH5" s="35" t="s">
        <v>54</v>
      </c>
      <c r="AI5" s="35" t="s">
        <v>46</v>
      </c>
      <c r="AJ5" s="35" t="s">
        <v>47</v>
      </c>
      <c r="AK5" s="35" t="s">
        <v>55</v>
      </c>
      <c r="AL5" s="35" t="s">
        <v>56</v>
      </c>
      <c r="AM5" s="35" t="s">
        <v>48</v>
      </c>
      <c r="AN5" s="35" t="s">
        <v>49</v>
      </c>
    </row>
    <row r="6" customFormat="false" ht="12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6"/>
      <c r="W6" s="6" t="str">
        <f aca="false">IF(X6&lt;&gt;0,"Enter Code"," ")</f>
        <v> </v>
      </c>
      <c r="Y6" s="6" t="str">
        <f aca="false">IF(W6="BB",X6,"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IF(E7="BD",F7,"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37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IF(E8="BD",F8,"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37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37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37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37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37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37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37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37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37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37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37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37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37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37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37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37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37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37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37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37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37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37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37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37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37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37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37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37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37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37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37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37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37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37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37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37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37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37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37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37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37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37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37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37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37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37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37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37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37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37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37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37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37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37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37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37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37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37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37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37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37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37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37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37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37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37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37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37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37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37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37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37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37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37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37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37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37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37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37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37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37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37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37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37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37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37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37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37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37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37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37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37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37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37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37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37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37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37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37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37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37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37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37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37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37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37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37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37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37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37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37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37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37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37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37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37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37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37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37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37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37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37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37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37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37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37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37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37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37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37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37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37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37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37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37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37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37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37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37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37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37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37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37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37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37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37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37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37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37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37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37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37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37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37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37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37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37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37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37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37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37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37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37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37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37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37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6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38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37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37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37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37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37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37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37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37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37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37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37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37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37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37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37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37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37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37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37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37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37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37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37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37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39"/>
      <c r="B200" s="40"/>
      <c r="C200" s="4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IF(E200="BD",F200," ")</f>
        <v> </v>
      </c>
      <c r="I200" s="44" t="str">
        <f aca="false">IF(E200="BC",F200," ")</f>
        <v> </v>
      </c>
      <c r="J200" s="44" t="str">
        <f aca="false">IF(E200="DR",F200," ")</f>
        <v> </v>
      </c>
      <c r="K200" s="44" t="str">
        <f aca="false">IF(E200="K",F200," ")</f>
        <v> </v>
      </c>
      <c r="L200" s="44" t="str">
        <f aca="false">IF(E200="LDR",F200," ")</f>
        <v> </v>
      </c>
      <c r="M200" s="44" t="str">
        <f aca="false">IF(E200="LCR",F200," ")</f>
        <v> </v>
      </c>
      <c r="N200" s="44" t="str">
        <f aca="false">IF(E200="RV",F200," ")</f>
        <v> </v>
      </c>
      <c r="O200" s="44" t="str">
        <f aca="false">IF(E200="RC",F200," ")</f>
        <v> </v>
      </c>
      <c r="P200" s="44" t="str">
        <f aca="false">IF(E200="DL",F200," ")</f>
        <v> </v>
      </c>
      <c r="Q200" s="44" t="str">
        <f aca="false">IF(E200="X",F200," ")</f>
        <v> </v>
      </c>
      <c r="R200" s="38"/>
      <c r="S200" s="39"/>
      <c r="T200" s="42"/>
      <c r="U200" s="41"/>
      <c r="V200" s="41"/>
      <c r="W200" s="44" t="str">
        <f aca="false">IF(X200&lt;&gt;0,"Enter Code"," ")</f>
        <v> </v>
      </c>
      <c r="X200" s="44"/>
      <c r="Y200" s="44" t="str">
        <f aca="false">IF(W200="BB",X200," ")</f>
        <v> </v>
      </c>
      <c r="Z200" s="44" t="str">
        <f aca="false">IF(W200="BD",X200," ")</f>
        <v> </v>
      </c>
      <c r="AA200" s="44" t="str">
        <f aca="false">IF(W200="BC",X200," ")</f>
        <v> </v>
      </c>
      <c r="AB200" s="44" t="str">
        <f aca="false">IF(W200="CR",X200," ")</f>
        <v> </v>
      </c>
      <c r="AC200" s="44" t="str">
        <f aca="false">IF(W200="W",X200," ")</f>
        <v> </v>
      </c>
      <c r="AD200" s="44" t="str">
        <f aca="false">IF(W200="B",X200," ")</f>
        <v> </v>
      </c>
      <c r="AE200" s="44" t="str">
        <f aca="false">IF(W200="J",X200," ")</f>
        <v> </v>
      </c>
      <c r="AF200" s="44" t="str">
        <f aca="false">IF(W200="LDR",X200," ")</f>
        <v> </v>
      </c>
      <c r="AG200" s="44" t="str">
        <f aca="false">IF(W200="LCR",X200," ")</f>
        <v> </v>
      </c>
      <c r="AH200" s="44" t="str">
        <f aca="false">IF(W200="RP",X200," ")</f>
        <v> </v>
      </c>
      <c r="AI200" s="44" t="str">
        <f aca="false">IF(W200="RV",X200," ")</f>
        <v> </v>
      </c>
      <c r="AJ200" s="44" t="str">
        <f aca="false">IF(W200="RC",X200," ")</f>
        <v> </v>
      </c>
      <c r="AK200" s="44" t="str">
        <f aca="false">IF(W200="RT",X200," ")</f>
        <v> </v>
      </c>
      <c r="AL200" s="44" t="str">
        <f aca="false">IF(W200="DV",X200," ")</f>
        <v> </v>
      </c>
      <c r="AM200" s="44" t="str">
        <f aca="false">IF(W200="DL",X200," ")</f>
        <v> </v>
      </c>
      <c r="AN200" s="44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5" t="n">
        <f aca="false">Dec!A2</f>
        <v>5125</v>
      </c>
      <c r="B1" s="46" t="s">
        <v>57</v>
      </c>
      <c r="C1" s="8" t="n">
        <f aca="false">[1]Admin!$B$23</f>
        <v>45962</v>
      </c>
      <c r="D1" s="9" t="s">
        <v>0</v>
      </c>
      <c r="E1" s="10" t="n">
        <f aca="false">F1-SUM(G1:Q1)</f>
        <v>0</v>
      </c>
      <c r="F1" s="11" t="n">
        <f aca="false">SUM(F6:F200)</f>
        <v>0</v>
      </c>
      <c r="G1" s="11" t="n">
        <f aca="false">SUM(G6:G200)</f>
        <v>0</v>
      </c>
      <c r="H1" s="11" t="n">
        <f aca="false">SUM(H6:H200)</f>
        <v>0</v>
      </c>
      <c r="I1" s="11" t="n">
        <f aca="false">SUM(I6:I200)</f>
        <v>0</v>
      </c>
      <c r="J1" s="11" t="n">
        <f aca="false">SUM(J6:J200)</f>
        <v>0</v>
      </c>
      <c r="K1" s="11" t="n">
        <f aca="false">SUM(K6:K200)</f>
        <v>0</v>
      </c>
      <c r="L1" s="11" t="n">
        <f aca="false">SUM(L6:L200)</f>
        <v>0</v>
      </c>
      <c r="M1" s="11" t="n">
        <f aca="false">SUM(M6:M200)</f>
        <v>0</v>
      </c>
      <c r="N1" s="11" t="n">
        <f aca="false">SUM(N6:N200)</f>
        <v>0</v>
      </c>
      <c r="O1" s="11" t="n">
        <f aca="false">SUM(O6:O200)</f>
        <v>0</v>
      </c>
      <c r="P1" s="11" t="n">
        <f aca="false">SUM(P6:P200)</f>
        <v>0</v>
      </c>
      <c r="Q1" s="11" t="n">
        <f aca="false">SUM(Q6:Q200)</f>
        <v>0</v>
      </c>
      <c r="R1" s="12"/>
      <c r="S1" s="13" t="str">
        <f aca="false">IF(W1=0," ","Check all payment code letters entered")</f>
        <v> </v>
      </c>
      <c r="T1" s="13"/>
      <c r="U1" s="14"/>
      <c r="V1" s="15" t="s">
        <v>0</v>
      </c>
      <c r="W1" s="10" t="n">
        <f aca="false">X1-SUM(Y1:AN1)</f>
        <v>0</v>
      </c>
      <c r="X1" s="11" t="n">
        <f aca="false">SUM(X6:X200)</f>
        <v>0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0</v>
      </c>
      <c r="AB1" s="11" t="n">
        <f aca="false">SUM(AB6:AB200)</f>
        <v>0</v>
      </c>
      <c r="AC1" s="11" t="n">
        <f aca="false">SUM(AC6:AC200)</f>
        <v>0</v>
      </c>
      <c r="AD1" s="11" t="n">
        <f aca="false">SUM(AD6:AD200)</f>
        <v>0</v>
      </c>
      <c r="AE1" s="11" t="n">
        <f aca="false">SUM(AE6:AE200)</f>
        <v>0</v>
      </c>
      <c r="AF1" s="11" t="n">
        <f aca="false">SUM(AF6:AF200)</f>
        <v>0</v>
      </c>
      <c r="AG1" s="11" t="n">
        <f aca="false">SUM(AG6:AG200)</f>
        <v>0</v>
      </c>
      <c r="AH1" s="11" t="n">
        <f aca="false">SUM(AH6:AH200)</f>
        <v>0</v>
      </c>
      <c r="AI1" s="11" t="n">
        <f aca="false">SUM(AI6:AI200)</f>
        <v>0</v>
      </c>
      <c r="AJ1" s="11" t="n">
        <f aca="false">SUM(AJ6:AJ200)</f>
        <v>0</v>
      </c>
      <c r="AK1" s="11" t="n">
        <f aca="false">SUM(AK6:AK200)</f>
        <v>0</v>
      </c>
      <c r="AL1" s="11" t="n">
        <f aca="false">SUM(AL6:AL200)</f>
        <v>0</v>
      </c>
      <c r="AM1" s="11" t="n">
        <f aca="false">SUM(AM6:AM200)</f>
        <v>0</v>
      </c>
      <c r="AN1" s="11" t="n">
        <f aca="false">SUM(AN6:AN200)</f>
        <v>0</v>
      </c>
    </row>
    <row r="2" customFormat="false" ht="15" hidden="false" customHeight="true" outlineLevel="0" collapsed="false">
      <c r="A2" s="16" t="n">
        <f aca="false">A1+F1-X1</f>
        <v>5125</v>
      </c>
      <c r="B2" s="17" t="s">
        <v>1</v>
      </c>
      <c r="C2" s="8" t="n">
        <f aca="false">[1]Admin!$B$24</f>
        <v>45991</v>
      </c>
      <c r="D2" s="18" t="s">
        <v>2</v>
      </c>
      <c r="E2" s="19" t="s">
        <v>3</v>
      </c>
      <c r="F2" s="20" t="s">
        <v>4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12"/>
      <c r="S2" s="13" t="str">
        <f aca="false">IF(E1=0," ","Check all Receipts Code Letters entered")</f>
        <v> </v>
      </c>
      <c r="T2" s="13"/>
      <c r="U2" s="21" t="s">
        <v>5</v>
      </c>
      <c r="V2" s="22" t="s">
        <v>6</v>
      </c>
      <c r="W2" s="19" t="s">
        <v>3</v>
      </c>
      <c r="X2" s="20" t="s">
        <v>7</v>
      </c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</row>
    <row r="3" customFormat="false" ht="19.5" hidden="false" customHeight="true" outlineLevel="0" collapsed="false">
      <c r="A3" s="7"/>
      <c r="B3" s="23" t="s">
        <v>8</v>
      </c>
      <c r="C3" s="24" t="n">
        <f aca="false">C2</f>
        <v>45991</v>
      </c>
      <c r="D3" s="18"/>
      <c r="E3" s="19"/>
      <c r="F3" s="25" t="s">
        <v>9</v>
      </c>
      <c r="G3" s="25" t="s">
        <v>10</v>
      </c>
      <c r="H3" s="25" t="s">
        <v>11</v>
      </c>
      <c r="I3" s="25" t="s">
        <v>12</v>
      </c>
      <c r="J3" s="25" t="s">
        <v>13</v>
      </c>
      <c r="K3" s="25" t="s">
        <v>14</v>
      </c>
      <c r="L3" s="25" t="s">
        <v>15</v>
      </c>
      <c r="M3" s="25" t="s">
        <v>16</v>
      </c>
      <c r="N3" s="25" t="s">
        <v>17</v>
      </c>
      <c r="O3" s="25" t="s">
        <v>18</v>
      </c>
      <c r="P3" s="25" t="s">
        <v>19</v>
      </c>
      <c r="Q3" s="25" t="s">
        <v>20</v>
      </c>
      <c r="R3" s="12"/>
      <c r="S3" s="26"/>
      <c r="T3" s="27"/>
      <c r="U3" s="21"/>
      <c r="V3" s="22"/>
      <c r="W3" s="19"/>
      <c r="X3" s="25" t="s">
        <v>21</v>
      </c>
      <c r="Y3" s="25" t="s">
        <v>22</v>
      </c>
      <c r="Z3" s="25" t="s">
        <v>23</v>
      </c>
      <c r="AA3" s="25" t="s">
        <v>24</v>
      </c>
      <c r="AB3" s="25" t="s">
        <v>25</v>
      </c>
      <c r="AC3" s="25" t="s">
        <v>26</v>
      </c>
      <c r="AD3" s="25" t="s">
        <v>27</v>
      </c>
      <c r="AE3" s="25" t="s">
        <v>28</v>
      </c>
      <c r="AF3" s="25" t="s">
        <v>15</v>
      </c>
      <c r="AG3" s="25" t="s">
        <v>16</v>
      </c>
      <c r="AH3" s="25" t="s">
        <v>29</v>
      </c>
      <c r="AI3" s="25" t="s">
        <v>30</v>
      </c>
      <c r="AJ3" s="25" t="s">
        <v>31</v>
      </c>
      <c r="AK3" s="25" t="s">
        <v>32</v>
      </c>
      <c r="AL3" s="25" t="s">
        <v>33</v>
      </c>
      <c r="AM3" s="25" t="s">
        <v>19</v>
      </c>
      <c r="AN3" s="25" t="s">
        <v>20</v>
      </c>
    </row>
    <row r="4" s="5" customFormat="true" ht="19.5" hidden="false" customHeight="true" outlineLevel="0" collapsed="false">
      <c r="A4" s="28" t="n">
        <f aca="false">A2-A3</f>
        <v>5125</v>
      </c>
      <c r="B4" s="29" t="str">
        <f aca="false">IF(A4=0,"&lt;  Bank  - Statement Balance","  Reconcile Bank Statement")</f>
        <v>  Reconcile Bank Statement</v>
      </c>
      <c r="C4" s="29"/>
      <c r="D4" s="18"/>
      <c r="E4" s="19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12"/>
      <c r="S4" s="30" t="s">
        <v>34</v>
      </c>
      <c r="T4" s="31" t="s">
        <v>35</v>
      </c>
      <c r="U4" s="21"/>
      <c r="V4" s="22"/>
      <c r="W4" s="19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</row>
    <row r="5" s="5" customFormat="true" ht="15" hidden="false" customHeight="true" outlineLevel="0" collapsed="false">
      <c r="A5" s="32" t="s">
        <v>36</v>
      </c>
      <c r="B5" s="33" t="s">
        <v>37</v>
      </c>
      <c r="C5" s="34" t="s">
        <v>38</v>
      </c>
      <c r="D5" s="18"/>
      <c r="E5" s="19"/>
      <c r="F5" s="25"/>
      <c r="G5" s="35" t="s">
        <v>39</v>
      </c>
      <c r="H5" s="35" t="s">
        <v>40</v>
      </c>
      <c r="I5" s="35" t="s">
        <v>41</v>
      </c>
      <c r="J5" s="35" t="s">
        <v>42</v>
      </c>
      <c r="K5" s="35" t="s">
        <v>43</v>
      </c>
      <c r="L5" s="35" t="s">
        <v>44</v>
      </c>
      <c r="M5" s="35" t="s">
        <v>45</v>
      </c>
      <c r="N5" s="35" t="s">
        <v>46</v>
      </c>
      <c r="O5" s="35" t="s">
        <v>47</v>
      </c>
      <c r="P5" s="35" t="s">
        <v>48</v>
      </c>
      <c r="Q5" s="35" t="s">
        <v>49</v>
      </c>
      <c r="R5" s="12"/>
      <c r="S5" s="30"/>
      <c r="T5" s="31"/>
      <c r="U5" s="21"/>
      <c r="V5" s="22"/>
      <c r="W5" s="19"/>
      <c r="X5" s="25"/>
      <c r="Y5" s="35" t="s">
        <v>39</v>
      </c>
      <c r="Z5" s="35" t="s">
        <v>40</v>
      </c>
      <c r="AA5" s="35" t="s">
        <v>41</v>
      </c>
      <c r="AB5" s="35" t="s">
        <v>50</v>
      </c>
      <c r="AC5" s="35" t="s">
        <v>51</v>
      </c>
      <c r="AD5" s="35" t="s">
        <v>52</v>
      </c>
      <c r="AE5" s="35" t="s">
        <v>53</v>
      </c>
      <c r="AF5" s="35" t="s">
        <v>44</v>
      </c>
      <c r="AG5" s="35" t="s">
        <v>45</v>
      </c>
      <c r="AH5" s="35" t="s">
        <v>54</v>
      </c>
      <c r="AI5" s="35" t="s">
        <v>46</v>
      </c>
      <c r="AJ5" s="35" t="s">
        <v>47</v>
      </c>
      <c r="AK5" s="35" t="s">
        <v>55</v>
      </c>
      <c r="AL5" s="35" t="s">
        <v>56</v>
      </c>
      <c r="AM5" s="35" t="s">
        <v>48</v>
      </c>
      <c r="AN5" s="35" t="s">
        <v>49</v>
      </c>
    </row>
    <row r="6" customFormat="false" ht="12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6"/>
      <c r="W6" s="6" t="str">
        <f aca="false">IF(X6&lt;&gt;0,"Enter Code"," ")</f>
        <v> </v>
      </c>
      <c r="Y6" s="6" t="str">
        <f aca="false">IF(W6="BB",X6,"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IF(E7="BD",F7,"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37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IF(E8="BD",F8,"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37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37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37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37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37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37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37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37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37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37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37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37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37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37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37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37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37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37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37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37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37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37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37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37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37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37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37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37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37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37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37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37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37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37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37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37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37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37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37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37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37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37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37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37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37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37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37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37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37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37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37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37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37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37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37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37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37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37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37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37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37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37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37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37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37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37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37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37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37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37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37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37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37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37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37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37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37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37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37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37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37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37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37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37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37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37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37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37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37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37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37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37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37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37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37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37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37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37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37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37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37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37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37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37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37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37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37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37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37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37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37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37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37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37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37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37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37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37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37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37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37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37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37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37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37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37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37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37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37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37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37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37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37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37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37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37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37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37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37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37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37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37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37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37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37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37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37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37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37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37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37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37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37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37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37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37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37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37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37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37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37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37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37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37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37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37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6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38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37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37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37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37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37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37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37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37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37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37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37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37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37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37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37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37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37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37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37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37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37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37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37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37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39"/>
      <c r="B200" s="40"/>
      <c r="C200" s="4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IF(E200="BD",F200," ")</f>
        <v> </v>
      </c>
      <c r="I200" s="44" t="str">
        <f aca="false">IF(E200="BC",F200," ")</f>
        <v> </v>
      </c>
      <c r="J200" s="44" t="str">
        <f aca="false">IF(E200="DR",F200," ")</f>
        <v> </v>
      </c>
      <c r="K200" s="44" t="str">
        <f aca="false">IF(E200="K",F200," ")</f>
        <v> </v>
      </c>
      <c r="L200" s="44" t="str">
        <f aca="false">IF(E200="LDR",F200," ")</f>
        <v> </v>
      </c>
      <c r="M200" s="44" t="str">
        <f aca="false">IF(E200="LCR",F200," ")</f>
        <v> </v>
      </c>
      <c r="N200" s="44" t="str">
        <f aca="false">IF(E200="RV",F200," ")</f>
        <v> </v>
      </c>
      <c r="O200" s="44" t="str">
        <f aca="false">IF(E200="RC",F200," ")</f>
        <v> </v>
      </c>
      <c r="P200" s="44" t="str">
        <f aca="false">IF(E200="DL",F200," ")</f>
        <v> </v>
      </c>
      <c r="Q200" s="44" t="str">
        <f aca="false">IF(E200="X",F200," ")</f>
        <v> </v>
      </c>
      <c r="R200" s="38"/>
      <c r="S200" s="39"/>
      <c r="T200" s="42"/>
      <c r="U200" s="41"/>
      <c r="V200" s="41"/>
      <c r="W200" s="44" t="str">
        <f aca="false">IF(X200&lt;&gt;0,"Enter Code"," ")</f>
        <v> </v>
      </c>
      <c r="X200" s="44"/>
      <c r="Y200" s="44" t="str">
        <f aca="false">IF(W200="BB",X200," ")</f>
        <v> </v>
      </c>
      <c r="Z200" s="44" t="str">
        <f aca="false">IF(W200="BD",X200," ")</f>
        <v> </v>
      </c>
      <c r="AA200" s="44" t="str">
        <f aca="false">IF(W200="BC",X200," ")</f>
        <v> </v>
      </c>
      <c r="AB200" s="44" t="str">
        <f aca="false">IF(W200="CR",X200," ")</f>
        <v> </v>
      </c>
      <c r="AC200" s="44" t="str">
        <f aca="false">IF(W200="W",X200," ")</f>
        <v> </v>
      </c>
      <c r="AD200" s="44" t="str">
        <f aca="false">IF(W200="B",X200," ")</f>
        <v> </v>
      </c>
      <c r="AE200" s="44" t="str">
        <f aca="false">IF(W200="J",X200," ")</f>
        <v> </v>
      </c>
      <c r="AF200" s="44" t="str">
        <f aca="false">IF(W200="LDR",X200," ")</f>
        <v> </v>
      </c>
      <c r="AG200" s="44" t="str">
        <f aca="false">IF(W200="LCR",X200," ")</f>
        <v> </v>
      </c>
      <c r="AH200" s="44" t="str">
        <f aca="false">IF(W200="RP",X200," ")</f>
        <v> </v>
      </c>
      <c r="AI200" s="44" t="str">
        <f aca="false">IF(W200="RV",X200," ")</f>
        <v> </v>
      </c>
      <c r="AJ200" s="44" t="str">
        <f aca="false">IF(W200="RC",X200," ")</f>
        <v> </v>
      </c>
      <c r="AK200" s="44" t="str">
        <f aca="false">IF(W200="RT",X200," ")</f>
        <v> </v>
      </c>
      <c r="AL200" s="44" t="str">
        <f aca="false">IF(W200="DV",X200," ")</f>
        <v> </v>
      </c>
      <c r="AM200" s="44" t="str">
        <f aca="false">IF(W200="DL",X200," ")</f>
        <v> </v>
      </c>
      <c r="AN200" s="44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5" t="n">
        <f aca="false">Jan!A2</f>
        <v>5125</v>
      </c>
      <c r="B1" s="46" t="s">
        <v>57</v>
      </c>
      <c r="C1" s="8" t="n">
        <f aca="false">[1]Admin!$B$25</f>
        <v>45992</v>
      </c>
      <c r="D1" s="9" t="s">
        <v>0</v>
      </c>
      <c r="E1" s="10" t="n">
        <f aca="false">F1-SUM(G1:Q1)</f>
        <v>0</v>
      </c>
      <c r="F1" s="11" t="n">
        <f aca="false">SUM(F6:F200)</f>
        <v>0</v>
      </c>
      <c r="G1" s="11" t="n">
        <f aca="false">SUM(G6:G200)</f>
        <v>0</v>
      </c>
      <c r="H1" s="11" t="n">
        <f aca="false">SUM(H6:H200)</f>
        <v>0</v>
      </c>
      <c r="I1" s="11" t="n">
        <f aca="false">SUM(I6:I200)</f>
        <v>0</v>
      </c>
      <c r="J1" s="11" t="n">
        <f aca="false">SUM(J6:J200)</f>
        <v>0</v>
      </c>
      <c r="K1" s="11" t="n">
        <f aca="false">SUM(K6:K200)</f>
        <v>0</v>
      </c>
      <c r="L1" s="11" t="n">
        <f aca="false">SUM(L6:L200)</f>
        <v>0</v>
      </c>
      <c r="M1" s="11" t="n">
        <f aca="false">SUM(M6:M200)</f>
        <v>0</v>
      </c>
      <c r="N1" s="11" t="n">
        <f aca="false">SUM(N6:N200)</f>
        <v>0</v>
      </c>
      <c r="O1" s="11" t="n">
        <f aca="false">SUM(O6:O200)</f>
        <v>0</v>
      </c>
      <c r="P1" s="11" t="n">
        <f aca="false">SUM(P6:P200)</f>
        <v>0</v>
      </c>
      <c r="Q1" s="11" t="n">
        <f aca="false">SUM(Q6:Q200)</f>
        <v>0</v>
      </c>
      <c r="R1" s="12"/>
      <c r="S1" s="13" t="str">
        <f aca="false">IF(W1=0," ","Check all payment code letters entered")</f>
        <v> </v>
      </c>
      <c r="T1" s="13"/>
      <c r="U1" s="14"/>
      <c r="V1" s="15" t="s">
        <v>0</v>
      </c>
      <c r="W1" s="10" t="n">
        <f aca="false">X1-SUM(Y1:AN1)</f>
        <v>0</v>
      </c>
      <c r="X1" s="11" t="n">
        <f aca="false">SUM(X6:X200)</f>
        <v>0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0</v>
      </c>
      <c r="AB1" s="11" t="n">
        <f aca="false">SUM(AB6:AB200)</f>
        <v>0</v>
      </c>
      <c r="AC1" s="11" t="n">
        <f aca="false">SUM(AC6:AC200)</f>
        <v>0</v>
      </c>
      <c r="AD1" s="11" t="n">
        <f aca="false">SUM(AD6:AD200)</f>
        <v>0</v>
      </c>
      <c r="AE1" s="11" t="n">
        <f aca="false">SUM(AE6:AE200)</f>
        <v>0</v>
      </c>
      <c r="AF1" s="11" t="n">
        <f aca="false">SUM(AF6:AF200)</f>
        <v>0</v>
      </c>
      <c r="AG1" s="11" t="n">
        <f aca="false">SUM(AG6:AG200)</f>
        <v>0</v>
      </c>
      <c r="AH1" s="11" t="n">
        <f aca="false">SUM(AH6:AH200)</f>
        <v>0</v>
      </c>
      <c r="AI1" s="11" t="n">
        <f aca="false">SUM(AI6:AI200)</f>
        <v>0</v>
      </c>
      <c r="AJ1" s="11" t="n">
        <f aca="false">SUM(AJ6:AJ200)</f>
        <v>0</v>
      </c>
      <c r="AK1" s="11" t="n">
        <f aca="false">SUM(AK6:AK200)</f>
        <v>0</v>
      </c>
      <c r="AL1" s="11" t="n">
        <f aca="false">SUM(AL6:AL200)</f>
        <v>0</v>
      </c>
      <c r="AM1" s="11" t="n">
        <f aca="false">SUM(AM6:AM200)</f>
        <v>0</v>
      </c>
      <c r="AN1" s="11" t="n">
        <f aca="false">SUM(AN6:AN200)</f>
        <v>0</v>
      </c>
    </row>
    <row r="2" customFormat="false" ht="15" hidden="false" customHeight="true" outlineLevel="0" collapsed="false">
      <c r="A2" s="16" t="n">
        <f aca="false">A1+F1-X1</f>
        <v>5125</v>
      </c>
      <c r="B2" s="17" t="s">
        <v>1</v>
      </c>
      <c r="C2" s="8" t="n">
        <f aca="false">[1]Admin!$B$26</f>
        <v>46022</v>
      </c>
      <c r="D2" s="18" t="s">
        <v>2</v>
      </c>
      <c r="E2" s="19" t="s">
        <v>3</v>
      </c>
      <c r="F2" s="20" t="s">
        <v>4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12"/>
      <c r="S2" s="13" t="str">
        <f aca="false">IF(E1=0," ","Check all Receipts Code Letters entered")</f>
        <v> </v>
      </c>
      <c r="T2" s="13"/>
      <c r="U2" s="21" t="s">
        <v>5</v>
      </c>
      <c r="V2" s="22" t="s">
        <v>6</v>
      </c>
      <c r="W2" s="19" t="s">
        <v>3</v>
      </c>
      <c r="X2" s="20" t="s">
        <v>7</v>
      </c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</row>
    <row r="3" customFormat="false" ht="19.5" hidden="false" customHeight="true" outlineLevel="0" collapsed="false">
      <c r="A3" s="7"/>
      <c r="B3" s="23" t="s">
        <v>8</v>
      </c>
      <c r="C3" s="24" t="n">
        <f aca="false">C2</f>
        <v>46022</v>
      </c>
      <c r="D3" s="18"/>
      <c r="E3" s="19"/>
      <c r="F3" s="25" t="s">
        <v>9</v>
      </c>
      <c r="G3" s="25" t="s">
        <v>10</v>
      </c>
      <c r="H3" s="25" t="s">
        <v>11</v>
      </c>
      <c r="I3" s="25" t="s">
        <v>12</v>
      </c>
      <c r="J3" s="25" t="s">
        <v>13</v>
      </c>
      <c r="K3" s="25" t="s">
        <v>14</v>
      </c>
      <c r="L3" s="25" t="s">
        <v>15</v>
      </c>
      <c r="M3" s="25" t="s">
        <v>16</v>
      </c>
      <c r="N3" s="25" t="s">
        <v>17</v>
      </c>
      <c r="O3" s="25" t="s">
        <v>18</v>
      </c>
      <c r="P3" s="25" t="s">
        <v>19</v>
      </c>
      <c r="Q3" s="25" t="s">
        <v>20</v>
      </c>
      <c r="R3" s="12"/>
      <c r="S3" s="26"/>
      <c r="T3" s="27"/>
      <c r="U3" s="21"/>
      <c r="V3" s="22"/>
      <c r="W3" s="19"/>
      <c r="X3" s="25" t="s">
        <v>21</v>
      </c>
      <c r="Y3" s="25" t="s">
        <v>22</v>
      </c>
      <c r="Z3" s="25" t="s">
        <v>23</v>
      </c>
      <c r="AA3" s="25" t="s">
        <v>24</v>
      </c>
      <c r="AB3" s="25" t="s">
        <v>25</v>
      </c>
      <c r="AC3" s="25" t="s">
        <v>26</v>
      </c>
      <c r="AD3" s="25" t="s">
        <v>27</v>
      </c>
      <c r="AE3" s="25" t="s">
        <v>28</v>
      </c>
      <c r="AF3" s="25" t="s">
        <v>15</v>
      </c>
      <c r="AG3" s="25" t="s">
        <v>16</v>
      </c>
      <c r="AH3" s="25" t="s">
        <v>29</v>
      </c>
      <c r="AI3" s="25" t="s">
        <v>30</v>
      </c>
      <c r="AJ3" s="25" t="s">
        <v>31</v>
      </c>
      <c r="AK3" s="25" t="s">
        <v>32</v>
      </c>
      <c r="AL3" s="25" t="s">
        <v>33</v>
      </c>
      <c r="AM3" s="25" t="s">
        <v>19</v>
      </c>
      <c r="AN3" s="25" t="s">
        <v>20</v>
      </c>
    </row>
    <row r="4" s="5" customFormat="true" ht="19.5" hidden="false" customHeight="true" outlineLevel="0" collapsed="false">
      <c r="A4" s="28" t="n">
        <f aca="false">A2-A3</f>
        <v>5125</v>
      </c>
      <c r="B4" s="29" t="str">
        <f aca="false">IF(A4=0,"&lt;  Bank  - Statement Balance","  Reconcile Bank Statement")</f>
        <v>  Reconcile Bank Statement</v>
      </c>
      <c r="C4" s="29"/>
      <c r="D4" s="18"/>
      <c r="E4" s="19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12"/>
      <c r="S4" s="30" t="s">
        <v>34</v>
      </c>
      <c r="T4" s="31" t="s">
        <v>35</v>
      </c>
      <c r="U4" s="21"/>
      <c r="V4" s="22"/>
      <c r="W4" s="19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</row>
    <row r="5" s="5" customFormat="true" ht="15" hidden="false" customHeight="true" outlineLevel="0" collapsed="false">
      <c r="A5" s="32" t="s">
        <v>36</v>
      </c>
      <c r="B5" s="33" t="s">
        <v>37</v>
      </c>
      <c r="C5" s="34" t="s">
        <v>38</v>
      </c>
      <c r="D5" s="18"/>
      <c r="E5" s="19"/>
      <c r="F5" s="25"/>
      <c r="G5" s="35" t="s">
        <v>39</v>
      </c>
      <c r="H5" s="35" t="s">
        <v>40</v>
      </c>
      <c r="I5" s="35" t="s">
        <v>41</v>
      </c>
      <c r="J5" s="35" t="s">
        <v>42</v>
      </c>
      <c r="K5" s="35" t="s">
        <v>43</v>
      </c>
      <c r="L5" s="35" t="s">
        <v>44</v>
      </c>
      <c r="M5" s="35" t="s">
        <v>45</v>
      </c>
      <c r="N5" s="35" t="s">
        <v>46</v>
      </c>
      <c r="O5" s="35" t="s">
        <v>47</v>
      </c>
      <c r="P5" s="35" t="s">
        <v>48</v>
      </c>
      <c r="Q5" s="35" t="s">
        <v>49</v>
      </c>
      <c r="R5" s="12"/>
      <c r="S5" s="30"/>
      <c r="T5" s="31"/>
      <c r="U5" s="21"/>
      <c r="V5" s="22"/>
      <c r="W5" s="19"/>
      <c r="X5" s="25"/>
      <c r="Y5" s="35" t="s">
        <v>39</v>
      </c>
      <c r="Z5" s="35" t="s">
        <v>40</v>
      </c>
      <c r="AA5" s="35" t="s">
        <v>41</v>
      </c>
      <c r="AB5" s="35" t="s">
        <v>50</v>
      </c>
      <c r="AC5" s="35" t="s">
        <v>51</v>
      </c>
      <c r="AD5" s="35" t="s">
        <v>52</v>
      </c>
      <c r="AE5" s="35" t="s">
        <v>53</v>
      </c>
      <c r="AF5" s="35" t="s">
        <v>44</v>
      </c>
      <c r="AG5" s="35" t="s">
        <v>45</v>
      </c>
      <c r="AH5" s="35" t="s">
        <v>54</v>
      </c>
      <c r="AI5" s="35" t="s">
        <v>46</v>
      </c>
      <c r="AJ5" s="35" t="s">
        <v>47</v>
      </c>
      <c r="AK5" s="35" t="s">
        <v>55</v>
      </c>
      <c r="AL5" s="35" t="s">
        <v>56</v>
      </c>
      <c r="AM5" s="35" t="s">
        <v>48</v>
      </c>
      <c r="AN5" s="35" t="s">
        <v>49</v>
      </c>
    </row>
    <row r="6" customFormat="false" ht="12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6"/>
      <c r="W6" s="6" t="str">
        <f aca="false">IF(X6&lt;&gt;0,"Enter Code"," ")</f>
        <v> </v>
      </c>
      <c r="Y6" s="6" t="str">
        <f aca="false">IF(W6="BB",X6,"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IF(E7="BD",F7,"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37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IF(E8="BD",F8,"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37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37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37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37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37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37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37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37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37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37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37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37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37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37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37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37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37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37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37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37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37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37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37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37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37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37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37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37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37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37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37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37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37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37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37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37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37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37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37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37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37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37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37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37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37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37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37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37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37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37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37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37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37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37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37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37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37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37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37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37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37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37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37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37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37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37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37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37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37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37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37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37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37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37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37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37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37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37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37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37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37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37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37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37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37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37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37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37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37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37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37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37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37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37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37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37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37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37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37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37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37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37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37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37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37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37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37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37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37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37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37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37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37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37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37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37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37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37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37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37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37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37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37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37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37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37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37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37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37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37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37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37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37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37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37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37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37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37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37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37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37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37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37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37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37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37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37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37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37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37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37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37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37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37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37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37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37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37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37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37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37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37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37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37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37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37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6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38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37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37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37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37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37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37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37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37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37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37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37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37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37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37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37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37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37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37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37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37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37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37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37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37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39"/>
      <c r="B200" s="40"/>
      <c r="C200" s="4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IF(E200="BD",F200," ")</f>
        <v> </v>
      </c>
      <c r="I200" s="44" t="str">
        <f aca="false">IF(E200="BC",F200," ")</f>
        <v> </v>
      </c>
      <c r="J200" s="44" t="str">
        <f aca="false">IF(E200="DR",F200," ")</f>
        <v> </v>
      </c>
      <c r="K200" s="44" t="str">
        <f aca="false">IF(E200="K",F200," ")</f>
        <v> </v>
      </c>
      <c r="L200" s="44" t="str">
        <f aca="false">IF(E200="LDR",F200," ")</f>
        <v> </v>
      </c>
      <c r="M200" s="44" t="str">
        <f aca="false">IF(E200="LCR",F200," ")</f>
        <v> </v>
      </c>
      <c r="N200" s="44" t="str">
        <f aca="false">IF(E200="RV",F200," ")</f>
        <v> </v>
      </c>
      <c r="O200" s="44" t="str">
        <f aca="false">IF(E200="RC",F200," ")</f>
        <v> </v>
      </c>
      <c r="P200" s="44" t="str">
        <f aca="false">IF(E200="DL",F200," ")</f>
        <v> </v>
      </c>
      <c r="Q200" s="44" t="str">
        <f aca="false">IF(E200="X",F200," ")</f>
        <v> </v>
      </c>
      <c r="R200" s="38"/>
      <c r="S200" s="39"/>
      <c r="T200" s="42"/>
      <c r="U200" s="41"/>
      <c r="V200" s="41"/>
      <c r="W200" s="44" t="str">
        <f aca="false">IF(X200&lt;&gt;0,"Enter Code"," ")</f>
        <v> </v>
      </c>
      <c r="X200" s="44"/>
      <c r="Y200" s="44" t="str">
        <f aca="false">IF(W200="BB",X200," ")</f>
        <v> </v>
      </c>
      <c r="Z200" s="44" t="str">
        <f aca="false">IF(W200="BD",X200," ")</f>
        <v> </v>
      </c>
      <c r="AA200" s="44" t="str">
        <f aca="false">IF(W200="BC",X200," ")</f>
        <v> </v>
      </c>
      <c r="AB200" s="44" t="str">
        <f aca="false">IF(W200="CR",X200," ")</f>
        <v> </v>
      </c>
      <c r="AC200" s="44" t="str">
        <f aca="false">IF(W200="W",X200," ")</f>
        <v> </v>
      </c>
      <c r="AD200" s="44" t="str">
        <f aca="false">IF(W200="B",X200," ")</f>
        <v> </v>
      </c>
      <c r="AE200" s="44" t="str">
        <f aca="false">IF(W200="J",X200," ")</f>
        <v> </v>
      </c>
      <c r="AF200" s="44" t="str">
        <f aca="false">IF(W200="LDR",X200," ")</f>
        <v> </v>
      </c>
      <c r="AG200" s="44" t="str">
        <f aca="false">IF(W200="LCR",X200," ")</f>
        <v> </v>
      </c>
      <c r="AH200" s="44" t="str">
        <f aca="false">IF(W200="RP",X200," ")</f>
        <v> </v>
      </c>
      <c r="AI200" s="44" t="str">
        <f aca="false">IF(W200="RV",X200," ")</f>
        <v> </v>
      </c>
      <c r="AJ200" s="44" t="str">
        <f aca="false">IF(W200="RC",X200," ")</f>
        <v> </v>
      </c>
      <c r="AK200" s="44" t="str">
        <f aca="false">IF(W200="RT",X200," ")</f>
        <v> </v>
      </c>
      <c r="AL200" s="44" t="str">
        <f aca="false">IF(W200="DV",X200," ")</f>
        <v> </v>
      </c>
      <c r="AM200" s="44" t="str">
        <f aca="false">IF(W200="DL",X200," ")</f>
        <v> </v>
      </c>
      <c r="AN200" s="44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5" t="n">
        <f aca="false">Feb!A2</f>
        <v>5125</v>
      </c>
      <c r="B1" s="46" t="s">
        <v>57</v>
      </c>
      <c r="C1" s="8" t="n">
        <f aca="false">[1]Admin!$B$27</f>
        <v>46023</v>
      </c>
      <c r="D1" s="9" t="s">
        <v>0</v>
      </c>
      <c r="E1" s="10" t="n">
        <f aca="false">F1-SUM(G1:Q1)</f>
        <v>0</v>
      </c>
      <c r="F1" s="11" t="n">
        <f aca="false">SUM(F6:F200)</f>
        <v>0</v>
      </c>
      <c r="G1" s="11" t="n">
        <f aca="false">SUM(G6:G200)</f>
        <v>0</v>
      </c>
      <c r="H1" s="11" t="n">
        <f aca="false">SUM(H6:H200)</f>
        <v>0</v>
      </c>
      <c r="I1" s="11" t="n">
        <f aca="false">SUM(I6:I200)</f>
        <v>0</v>
      </c>
      <c r="J1" s="11" t="n">
        <f aca="false">SUM(J6:J200)</f>
        <v>0</v>
      </c>
      <c r="K1" s="11" t="n">
        <f aca="false">SUM(K6:K200)</f>
        <v>0</v>
      </c>
      <c r="L1" s="11" t="n">
        <f aca="false">SUM(L6:L200)</f>
        <v>0</v>
      </c>
      <c r="M1" s="11" t="n">
        <f aca="false">SUM(M6:M200)</f>
        <v>0</v>
      </c>
      <c r="N1" s="11" t="n">
        <f aca="false">SUM(N6:N200)</f>
        <v>0</v>
      </c>
      <c r="O1" s="11" t="n">
        <f aca="false">SUM(O6:O200)</f>
        <v>0</v>
      </c>
      <c r="P1" s="11" t="n">
        <f aca="false">SUM(P6:P200)</f>
        <v>0</v>
      </c>
      <c r="Q1" s="11" t="n">
        <f aca="false">SUM(Q6:Q200)</f>
        <v>0</v>
      </c>
      <c r="R1" s="12"/>
      <c r="S1" s="13" t="str">
        <f aca="false">IF(W1=0," ","Check all payment code letters entered")</f>
        <v> </v>
      </c>
      <c r="T1" s="13"/>
      <c r="U1" s="14"/>
      <c r="V1" s="15" t="s">
        <v>0</v>
      </c>
      <c r="W1" s="10" t="n">
        <f aca="false">X1-SUM(Y1:AN1)</f>
        <v>0</v>
      </c>
      <c r="X1" s="11" t="n">
        <f aca="false">SUM(X6:X200)</f>
        <v>0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0</v>
      </c>
      <c r="AB1" s="11" t="n">
        <f aca="false">SUM(AB6:AB200)</f>
        <v>0</v>
      </c>
      <c r="AC1" s="11" t="n">
        <f aca="false">SUM(AC6:AC200)</f>
        <v>0</v>
      </c>
      <c r="AD1" s="11" t="n">
        <f aca="false">SUM(AD6:AD200)</f>
        <v>0</v>
      </c>
      <c r="AE1" s="11" t="n">
        <f aca="false">SUM(AE6:AE200)</f>
        <v>0</v>
      </c>
      <c r="AF1" s="11" t="n">
        <f aca="false">SUM(AF6:AF200)</f>
        <v>0</v>
      </c>
      <c r="AG1" s="11" t="n">
        <f aca="false">SUM(AG6:AG200)</f>
        <v>0</v>
      </c>
      <c r="AH1" s="11" t="n">
        <f aca="false">SUM(AH6:AH200)</f>
        <v>0</v>
      </c>
      <c r="AI1" s="11" t="n">
        <f aca="false">SUM(AI6:AI200)</f>
        <v>0</v>
      </c>
      <c r="AJ1" s="11" t="n">
        <f aca="false">SUM(AJ6:AJ200)</f>
        <v>0</v>
      </c>
      <c r="AK1" s="11" t="n">
        <f aca="false">SUM(AK6:AK200)</f>
        <v>0</v>
      </c>
      <c r="AL1" s="11" t="n">
        <f aca="false">SUM(AL6:AL200)</f>
        <v>0</v>
      </c>
      <c r="AM1" s="11" t="n">
        <f aca="false">SUM(AM6:AM200)</f>
        <v>0</v>
      </c>
      <c r="AN1" s="11" t="n">
        <f aca="false">SUM(AN6:AN200)</f>
        <v>0</v>
      </c>
    </row>
    <row r="2" customFormat="false" ht="15" hidden="false" customHeight="true" outlineLevel="0" collapsed="false">
      <c r="A2" s="16" t="n">
        <f aca="false">A1+F1-X1</f>
        <v>5125</v>
      </c>
      <c r="B2" s="17" t="s">
        <v>1</v>
      </c>
      <c r="C2" s="8" t="n">
        <f aca="false">[1]Admin!$B$28</f>
        <v>46053</v>
      </c>
      <c r="D2" s="18" t="s">
        <v>2</v>
      </c>
      <c r="E2" s="19" t="s">
        <v>3</v>
      </c>
      <c r="F2" s="20" t="s">
        <v>4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12"/>
      <c r="S2" s="13" t="str">
        <f aca="false">IF(E1=0," ","Check all Receipts Code Letters entered")</f>
        <v> </v>
      </c>
      <c r="T2" s="13"/>
      <c r="U2" s="21" t="s">
        <v>5</v>
      </c>
      <c r="V2" s="22" t="s">
        <v>6</v>
      </c>
      <c r="W2" s="19" t="s">
        <v>3</v>
      </c>
      <c r="X2" s="20" t="s">
        <v>7</v>
      </c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</row>
    <row r="3" customFormat="false" ht="19.5" hidden="false" customHeight="true" outlineLevel="0" collapsed="false">
      <c r="A3" s="7"/>
      <c r="B3" s="23" t="s">
        <v>8</v>
      </c>
      <c r="C3" s="24" t="n">
        <f aca="false">C2</f>
        <v>46053</v>
      </c>
      <c r="D3" s="18"/>
      <c r="E3" s="19"/>
      <c r="F3" s="25" t="s">
        <v>9</v>
      </c>
      <c r="G3" s="25" t="s">
        <v>10</v>
      </c>
      <c r="H3" s="25" t="s">
        <v>11</v>
      </c>
      <c r="I3" s="25" t="s">
        <v>12</v>
      </c>
      <c r="J3" s="25" t="s">
        <v>13</v>
      </c>
      <c r="K3" s="25" t="s">
        <v>14</v>
      </c>
      <c r="L3" s="25" t="s">
        <v>15</v>
      </c>
      <c r="M3" s="25" t="s">
        <v>16</v>
      </c>
      <c r="N3" s="25" t="s">
        <v>17</v>
      </c>
      <c r="O3" s="25" t="s">
        <v>18</v>
      </c>
      <c r="P3" s="25" t="s">
        <v>19</v>
      </c>
      <c r="Q3" s="25" t="s">
        <v>20</v>
      </c>
      <c r="R3" s="12"/>
      <c r="S3" s="26"/>
      <c r="T3" s="27"/>
      <c r="U3" s="21"/>
      <c r="V3" s="22"/>
      <c r="W3" s="19"/>
      <c r="X3" s="25" t="s">
        <v>21</v>
      </c>
      <c r="Y3" s="25" t="s">
        <v>22</v>
      </c>
      <c r="Z3" s="25" t="s">
        <v>23</v>
      </c>
      <c r="AA3" s="25" t="s">
        <v>24</v>
      </c>
      <c r="AB3" s="25" t="s">
        <v>25</v>
      </c>
      <c r="AC3" s="25" t="s">
        <v>26</v>
      </c>
      <c r="AD3" s="25" t="s">
        <v>27</v>
      </c>
      <c r="AE3" s="25" t="s">
        <v>28</v>
      </c>
      <c r="AF3" s="25" t="s">
        <v>15</v>
      </c>
      <c r="AG3" s="25" t="s">
        <v>16</v>
      </c>
      <c r="AH3" s="25" t="s">
        <v>29</v>
      </c>
      <c r="AI3" s="25" t="s">
        <v>30</v>
      </c>
      <c r="AJ3" s="25" t="s">
        <v>31</v>
      </c>
      <c r="AK3" s="25" t="s">
        <v>32</v>
      </c>
      <c r="AL3" s="25" t="s">
        <v>33</v>
      </c>
      <c r="AM3" s="25" t="s">
        <v>19</v>
      </c>
      <c r="AN3" s="25" t="s">
        <v>20</v>
      </c>
    </row>
    <row r="4" s="5" customFormat="true" ht="19.5" hidden="false" customHeight="true" outlineLevel="0" collapsed="false">
      <c r="A4" s="28" t="n">
        <f aca="false">A2-A3</f>
        <v>5125</v>
      </c>
      <c r="B4" s="29" t="str">
        <f aca="false">IF(A4=0,"&lt;  Bank  - Statement Balance","  Reconcile Bank Statement")</f>
        <v>  Reconcile Bank Statement</v>
      </c>
      <c r="C4" s="29"/>
      <c r="D4" s="18"/>
      <c r="E4" s="19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12"/>
      <c r="S4" s="30" t="s">
        <v>34</v>
      </c>
      <c r="T4" s="31" t="s">
        <v>35</v>
      </c>
      <c r="U4" s="21"/>
      <c r="V4" s="22"/>
      <c r="W4" s="19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</row>
    <row r="5" s="5" customFormat="true" ht="15" hidden="false" customHeight="true" outlineLevel="0" collapsed="false">
      <c r="A5" s="32" t="s">
        <v>36</v>
      </c>
      <c r="B5" s="33" t="s">
        <v>37</v>
      </c>
      <c r="C5" s="34" t="s">
        <v>38</v>
      </c>
      <c r="D5" s="18"/>
      <c r="E5" s="19"/>
      <c r="F5" s="25"/>
      <c r="G5" s="35" t="s">
        <v>39</v>
      </c>
      <c r="H5" s="35" t="s">
        <v>40</v>
      </c>
      <c r="I5" s="35" t="s">
        <v>41</v>
      </c>
      <c r="J5" s="35" t="s">
        <v>42</v>
      </c>
      <c r="K5" s="35" t="s">
        <v>43</v>
      </c>
      <c r="L5" s="35" t="s">
        <v>44</v>
      </c>
      <c r="M5" s="35" t="s">
        <v>45</v>
      </c>
      <c r="N5" s="35" t="s">
        <v>46</v>
      </c>
      <c r="O5" s="35" t="s">
        <v>47</v>
      </c>
      <c r="P5" s="35" t="s">
        <v>48</v>
      </c>
      <c r="Q5" s="35" t="s">
        <v>49</v>
      </c>
      <c r="R5" s="12"/>
      <c r="S5" s="30"/>
      <c r="T5" s="31"/>
      <c r="U5" s="21"/>
      <c r="V5" s="22"/>
      <c r="W5" s="19"/>
      <c r="X5" s="25"/>
      <c r="Y5" s="35" t="s">
        <v>39</v>
      </c>
      <c r="Z5" s="35" t="s">
        <v>40</v>
      </c>
      <c r="AA5" s="35" t="s">
        <v>41</v>
      </c>
      <c r="AB5" s="35" t="s">
        <v>50</v>
      </c>
      <c r="AC5" s="35" t="s">
        <v>51</v>
      </c>
      <c r="AD5" s="35" t="s">
        <v>52</v>
      </c>
      <c r="AE5" s="35" t="s">
        <v>53</v>
      </c>
      <c r="AF5" s="35" t="s">
        <v>44</v>
      </c>
      <c r="AG5" s="35" t="s">
        <v>45</v>
      </c>
      <c r="AH5" s="35" t="s">
        <v>54</v>
      </c>
      <c r="AI5" s="35" t="s">
        <v>46</v>
      </c>
      <c r="AJ5" s="35" t="s">
        <v>47</v>
      </c>
      <c r="AK5" s="35" t="s">
        <v>55</v>
      </c>
      <c r="AL5" s="35" t="s">
        <v>56</v>
      </c>
      <c r="AM5" s="35" t="s">
        <v>48</v>
      </c>
      <c r="AN5" s="35" t="s">
        <v>49</v>
      </c>
    </row>
    <row r="6" customFormat="false" ht="12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6"/>
      <c r="W6" s="6" t="str">
        <f aca="false">IF(X6&lt;&gt;0,"Enter Code"," ")</f>
        <v> </v>
      </c>
      <c r="Y6" s="6" t="str">
        <f aca="false">IF(W6="BB",X6,"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IF(E7="BD",F7,"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37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IF(E8="BD",F8,"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37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37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37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37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37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37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37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37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37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37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37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37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37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37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37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37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37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37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37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37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37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37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37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37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37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37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37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37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37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37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37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37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37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37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37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37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37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37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37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37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37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37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37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37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37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37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37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37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37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37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37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37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37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37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37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37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37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37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37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37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37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37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37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37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37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37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37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37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37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37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37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37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37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37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37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37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37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37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37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37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37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37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37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37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37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37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37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37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37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37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37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37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37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37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37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37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37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37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37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37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37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37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37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37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37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37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37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37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37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37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37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37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37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37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37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37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37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37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37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37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37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37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37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37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37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37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37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37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37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37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37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37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37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37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37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37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37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37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37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37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37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37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37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37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37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37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37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37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37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37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37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37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37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37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37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37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37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37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37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37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37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37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37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37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37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37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6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38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37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37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37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37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37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37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37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37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37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37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37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37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37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37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37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37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37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37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37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37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37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37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37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37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39"/>
      <c r="B200" s="40"/>
      <c r="C200" s="4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IF(E200="BD",F200," ")</f>
        <v> </v>
      </c>
      <c r="I200" s="44" t="str">
        <f aca="false">IF(E200="BC",F200," ")</f>
        <v> </v>
      </c>
      <c r="J200" s="44" t="str">
        <f aca="false">IF(E200="DR",F200," ")</f>
        <v> </v>
      </c>
      <c r="K200" s="44" t="str">
        <f aca="false">IF(E200="K",F200," ")</f>
        <v> </v>
      </c>
      <c r="L200" s="44" t="str">
        <f aca="false">IF(E200="LDR",F200," ")</f>
        <v> </v>
      </c>
      <c r="M200" s="44" t="str">
        <f aca="false">IF(E200="LCR",F200," ")</f>
        <v> </v>
      </c>
      <c r="N200" s="44" t="str">
        <f aca="false">IF(E200="RV",F200," ")</f>
        <v> </v>
      </c>
      <c r="O200" s="44" t="str">
        <f aca="false">IF(E200="RC",F200," ")</f>
        <v> </v>
      </c>
      <c r="P200" s="44" t="str">
        <f aca="false">IF(E200="DL",F200," ")</f>
        <v> </v>
      </c>
      <c r="Q200" s="44" t="str">
        <f aca="false">IF(E200="X",F200," ")</f>
        <v> </v>
      </c>
      <c r="R200" s="38"/>
      <c r="S200" s="39"/>
      <c r="T200" s="42"/>
      <c r="U200" s="41"/>
      <c r="V200" s="41"/>
      <c r="W200" s="44" t="str">
        <f aca="false">IF(X200&lt;&gt;0,"Enter Code"," ")</f>
        <v> </v>
      </c>
      <c r="X200" s="44"/>
      <c r="Y200" s="44" t="str">
        <f aca="false">IF(W200="BB",X200," ")</f>
        <v> </v>
      </c>
      <c r="Z200" s="44" t="str">
        <f aca="false">IF(W200="BD",X200," ")</f>
        <v> </v>
      </c>
      <c r="AA200" s="44" t="str">
        <f aca="false">IF(W200="BC",X200," ")</f>
        <v> </v>
      </c>
      <c r="AB200" s="44" t="str">
        <f aca="false">IF(W200="CR",X200," ")</f>
        <v> </v>
      </c>
      <c r="AC200" s="44" t="str">
        <f aca="false">IF(W200="W",X200," ")</f>
        <v> </v>
      </c>
      <c r="AD200" s="44" t="str">
        <f aca="false">IF(W200="B",X200," ")</f>
        <v> </v>
      </c>
      <c r="AE200" s="44" t="str">
        <f aca="false">IF(W200="J",X200," ")</f>
        <v> </v>
      </c>
      <c r="AF200" s="44" t="str">
        <f aca="false">IF(W200="LDR",X200," ")</f>
        <v> </v>
      </c>
      <c r="AG200" s="44" t="str">
        <f aca="false">IF(W200="LCR",X200," ")</f>
        <v> </v>
      </c>
      <c r="AH200" s="44" t="str">
        <f aca="false">IF(W200="RP",X200," ")</f>
        <v> </v>
      </c>
      <c r="AI200" s="44" t="str">
        <f aca="false">IF(W200="RV",X200," ")</f>
        <v> </v>
      </c>
      <c r="AJ200" s="44" t="str">
        <f aca="false">IF(W200="RC",X200," ")</f>
        <v> </v>
      </c>
      <c r="AK200" s="44" t="str">
        <f aca="false">IF(W200="RT",X200," ")</f>
        <v> </v>
      </c>
      <c r="AL200" s="44" t="str">
        <f aca="false">IF(W200="DV",X200," ")</f>
        <v> </v>
      </c>
      <c r="AM200" s="44" t="str">
        <f aca="false">IF(W200="DL",X200," ")</f>
        <v> </v>
      </c>
      <c r="AN200" s="44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5" t="n">
        <f aca="false">Mar!A2</f>
        <v>5125</v>
      </c>
      <c r="B1" s="46" t="s">
        <v>57</v>
      </c>
      <c r="C1" s="8" t="n">
        <f aca="false">[1]Admin!$B$29</f>
        <v>46054</v>
      </c>
      <c r="D1" s="9" t="s">
        <v>0</v>
      </c>
      <c r="E1" s="10" t="n">
        <f aca="false">F1-SUM(G1:Q1)</f>
        <v>0</v>
      </c>
      <c r="F1" s="11" t="n">
        <f aca="false">SUM(F6:F200)</f>
        <v>0</v>
      </c>
      <c r="G1" s="11" t="n">
        <f aca="false">SUM(G6:G200)</f>
        <v>0</v>
      </c>
      <c r="H1" s="11" t="n">
        <f aca="false">SUM(H6:H200)</f>
        <v>0</v>
      </c>
      <c r="I1" s="11" t="n">
        <f aca="false">SUM(I6:I200)</f>
        <v>0</v>
      </c>
      <c r="J1" s="11" t="n">
        <f aca="false">SUM(J6:J200)</f>
        <v>0</v>
      </c>
      <c r="K1" s="11" t="n">
        <f aca="false">SUM(K6:K200)</f>
        <v>0</v>
      </c>
      <c r="L1" s="11" t="n">
        <f aca="false">SUM(L6:L200)</f>
        <v>0</v>
      </c>
      <c r="M1" s="11" t="n">
        <f aca="false">SUM(M6:M200)</f>
        <v>0</v>
      </c>
      <c r="N1" s="11" t="n">
        <f aca="false">SUM(N6:N200)</f>
        <v>0</v>
      </c>
      <c r="O1" s="11" t="n">
        <f aca="false">SUM(O6:O200)</f>
        <v>0</v>
      </c>
      <c r="P1" s="11" t="n">
        <f aca="false">SUM(P6:P200)</f>
        <v>0</v>
      </c>
      <c r="Q1" s="11" t="n">
        <f aca="false">SUM(Q6:Q200)</f>
        <v>0</v>
      </c>
      <c r="R1" s="12"/>
      <c r="S1" s="13" t="str">
        <f aca="false">IF(W1=0," ","Check all payment code letters entered")</f>
        <v> </v>
      </c>
      <c r="T1" s="13"/>
      <c r="U1" s="14"/>
      <c r="V1" s="15" t="s">
        <v>0</v>
      </c>
      <c r="W1" s="10" t="n">
        <f aca="false">X1-SUM(Y1:AN1)</f>
        <v>0</v>
      </c>
      <c r="X1" s="11" t="n">
        <f aca="false">SUM(X6:X200)</f>
        <v>0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0</v>
      </c>
      <c r="AB1" s="11" t="n">
        <f aca="false">SUM(AB6:AB200)</f>
        <v>0</v>
      </c>
      <c r="AC1" s="11" t="n">
        <f aca="false">SUM(AC6:AC200)</f>
        <v>0</v>
      </c>
      <c r="AD1" s="11" t="n">
        <f aca="false">SUM(AD6:AD200)</f>
        <v>0</v>
      </c>
      <c r="AE1" s="11" t="n">
        <f aca="false">SUM(AE6:AE200)</f>
        <v>0</v>
      </c>
      <c r="AF1" s="11" t="n">
        <f aca="false">SUM(AF6:AF200)</f>
        <v>0</v>
      </c>
      <c r="AG1" s="11" t="n">
        <f aca="false">SUM(AG6:AG200)</f>
        <v>0</v>
      </c>
      <c r="AH1" s="11" t="n">
        <f aca="false">SUM(AH6:AH200)</f>
        <v>0</v>
      </c>
      <c r="AI1" s="11" t="n">
        <f aca="false">SUM(AI6:AI200)</f>
        <v>0</v>
      </c>
      <c r="AJ1" s="11" t="n">
        <f aca="false">SUM(AJ6:AJ200)</f>
        <v>0</v>
      </c>
      <c r="AK1" s="11" t="n">
        <f aca="false">SUM(AK6:AK200)</f>
        <v>0</v>
      </c>
      <c r="AL1" s="11" t="n">
        <f aca="false">SUM(AL6:AL200)</f>
        <v>0</v>
      </c>
      <c r="AM1" s="11" t="n">
        <f aca="false">SUM(AM6:AM200)</f>
        <v>0</v>
      </c>
      <c r="AN1" s="11" t="n">
        <f aca="false">SUM(AN6:AN200)</f>
        <v>0</v>
      </c>
    </row>
    <row r="2" customFormat="false" ht="15" hidden="false" customHeight="true" outlineLevel="0" collapsed="false">
      <c r="A2" s="16" t="n">
        <f aca="false">A1+F1-X1</f>
        <v>5125</v>
      </c>
      <c r="B2" s="17" t="s">
        <v>1</v>
      </c>
      <c r="C2" s="8" t="n">
        <f aca="false">[1]Admin!$B$30</f>
        <v>46081</v>
      </c>
      <c r="D2" s="18" t="s">
        <v>2</v>
      </c>
      <c r="E2" s="19" t="s">
        <v>3</v>
      </c>
      <c r="F2" s="20" t="s">
        <v>4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12"/>
      <c r="S2" s="13" t="str">
        <f aca="false">IF(E1=0," ","Check all Receipts Code Letters entered")</f>
        <v> </v>
      </c>
      <c r="T2" s="13"/>
      <c r="U2" s="21" t="s">
        <v>5</v>
      </c>
      <c r="V2" s="22" t="s">
        <v>6</v>
      </c>
      <c r="W2" s="19" t="s">
        <v>3</v>
      </c>
      <c r="X2" s="20" t="s">
        <v>7</v>
      </c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</row>
    <row r="3" customFormat="false" ht="19.5" hidden="false" customHeight="true" outlineLevel="0" collapsed="false">
      <c r="A3" s="7"/>
      <c r="B3" s="23" t="s">
        <v>8</v>
      </c>
      <c r="C3" s="24" t="n">
        <f aca="false">C2</f>
        <v>46081</v>
      </c>
      <c r="D3" s="18"/>
      <c r="E3" s="19"/>
      <c r="F3" s="25" t="s">
        <v>9</v>
      </c>
      <c r="G3" s="25" t="s">
        <v>10</v>
      </c>
      <c r="H3" s="25" t="s">
        <v>11</v>
      </c>
      <c r="I3" s="25" t="s">
        <v>12</v>
      </c>
      <c r="J3" s="25" t="s">
        <v>13</v>
      </c>
      <c r="K3" s="25" t="s">
        <v>14</v>
      </c>
      <c r="L3" s="25" t="s">
        <v>15</v>
      </c>
      <c r="M3" s="25" t="s">
        <v>16</v>
      </c>
      <c r="N3" s="25" t="s">
        <v>17</v>
      </c>
      <c r="O3" s="25" t="s">
        <v>18</v>
      </c>
      <c r="P3" s="25" t="s">
        <v>19</v>
      </c>
      <c r="Q3" s="25" t="s">
        <v>20</v>
      </c>
      <c r="R3" s="12"/>
      <c r="S3" s="26"/>
      <c r="T3" s="27"/>
      <c r="U3" s="21"/>
      <c r="V3" s="22"/>
      <c r="W3" s="19"/>
      <c r="X3" s="25" t="s">
        <v>21</v>
      </c>
      <c r="Y3" s="25" t="s">
        <v>22</v>
      </c>
      <c r="Z3" s="25" t="s">
        <v>23</v>
      </c>
      <c r="AA3" s="25" t="s">
        <v>24</v>
      </c>
      <c r="AB3" s="25" t="s">
        <v>25</v>
      </c>
      <c r="AC3" s="25" t="s">
        <v>26</v>
      </c>
      <c r="AD3" s="25" t="s">
        <v>27</v>
      </c>
      <c r="AE3" s="25" t="s">
        <v>28</v>
      </c>
      <c r="AF3" s="25" t="s">
        <v>15</v>
      </c>
      <c r="AG3" s="25" t="s">
        <v>16</v>
      </c>
      <c r="AH3" s="25" t="s">
        <v>29</v>
      </c>
      <c r="AI3" s="25" t="s">
        <v>30</v>
      </c>
      <c r="AJ3" s="25" t="s">
        <v>31</v>
      </c>
      <c r="AK3" s="25" t="s">
        <v>32</v>
      </c>
      <c r="AL3" s="25" t="s">
        <v>33</v>
      </c>
      <c r="AM3" s="25" t="s">
        <v>19</v>
      </c>
      <c r="AN3" s="25" t="s">
        <v>20</v>
      </c>
    </row>
    <row r="4" s="5" customFormat="true" ht="19.5" hidden="false" customHeight="true" outlineLevel="0" collapsed="false">
      <c r="A4" s="28" t="n">
        <f aca="false">A2-A3</f>
        <v>5125</v>
      </c>
      <c r="B4" s="29" t="str">
        <f aca="false">IF(A4=0,"&lt;  Bank  - Statement Balance","  Reconcile Bank Statement")</f>
        <v>  Reconcile Bank Statement</v>
      </c>
      <c r="C4" s="29"/>
      <c r="D4" s="18"/>
      <c r="E4" s="19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12"/>
      <c r="S4" s="30" t="s">
        <v>34</v>
      </c>
      <c r="T4" s="31" t="s">
        <v>35</v>
      </c>
      <c r="U4" s="21"/>
      <c r="V4" s="22"/>
      <c r="W4" s="19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</row>
    <row r="5" s="5" customFormat="true" ht="15" hidden="false" customHeight="true" outlineLevel="0" collapsed="false">
      <c r="A5" s="32" t="s">
        <v>36</v>
      </c>
      <c r="B5" s="33" t="s">
        <v>37</v>
      </c>
      <c r="C5" s="34" t="s">
        <v>38</v>
      </c>
      <c r="D5" s="18"/>
      <c r="E5" s="19"/>
      <c r="F5" s="25"/>
      <c r="G5" s="35" t="s">
        <v>39</v>
      </c>
      <c r="H5" s="35" t="s">
        <v>40</v>
      </c>
      <c r="I5" s="35" t="s">
        <v>41</v>
      </c>
      <c r="J5" s="35" t="s">
        <v>42</v>
      </c>
      <c r="K5" s="35" t="s">
        <v>43</v>
      </c>
      <c r="L5" s="35" t="s">
        <v>44</v>
      </c>
      <c r="M5" s="35" t="s">
        <v>45</v>
      </c>
      <c r="N5" s="35" t="s">
        <v>46</v>
      </c>
      <c r="O5" s="35" t="s">
        <v>47</v>
      </c>
      <c r="P5" s="35" t="s">
        <v>48</v>
      </c>
      <c r="Q5" s="35" t="s">
        <v>49</v>
      </c>
      <c r="R5" s="12"/>
      <c r="S5" s="30"/>
      <c r="T5" s="31"/>
      <c r="U5" s="21"/>
      <c r="V5" s="22"/>
      <c r="W5" s="19"/>
      <c r="X5" s="25"/>
      <c r="Y5" s="35" t="s">
        <v>39</v>
      </c>
      <c r="Z5" s="35" t="s">
        <v>40</v>
      </c>
      <c r="AA5" s="35" t="s">
        <v>41</v>
      </c>
      <c r="AB5" s="35" t="s">
        <v>50</v>
      </c>
      <c r="AC5" s="35" t="s">
        <v>51</v>
      </c>
      <c r="AD5" s="35" t="s">
        <v>52</v>
      </c>
      <c r="AE5" s="35" t="s">
        <v>53</v>
      </c>
      <c r="AF5" s="35" t="s">
        <v>44</v>
      </c>
      <c r="AG5" s="35" t="s">
        <v>45</v>
      </c>
      <c r="AH5" s="35" t="s">
        <v>54</v>
      </c>
      <c r="AI5" s="35" t="s">
        <v>46</v>
      </c>
      <c r="AJ5" s="35" t="s">
        <v>47</v>
      </c>
      <c r="AK5" s="35" t="s">
        <v>55</v>
      </c>
      <c r="AL5" s="35" t="s">
        <v>56</v>
      </c>
      <c r="AM5" s="35" t="s">
        <v>48</v>
      </c>
      <c r="AN5" s="35" t="s">
        <v>49</v>
      </c>
    </row>
    <row r="6" customFormat="false" ht="12" hidden="false" customHeight="false" outlineLevel="0" collapsed="false">
      <c r="E6" s="5" t="str">
        <f aca="false">IF(F6&lt;&gt;0,"Enter Code"," ")</f>
        <v> </v>
      </c>
      <c r="G6" s="6" t="str">
        <f aca="false">IF(E6="BB",F6,"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str">
        <f aca="false">IF(E6="X",F6," ")</f>
        <v> </v>
      </c>
      <c r="R6" s="36"/>
      <c r="W6" s="6" t="str">
        <f aca="false">IF(X6&lt;&gt;0,"Enter Code"," ")</f>
        <v> </v>
      </c>
      <c r="Y6" s="6" t="str">
        <f aca="false">IF(W6="BB",X6,"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E7" s="5" t="str">
        <f aca="false">IF(F7&lt;&gt;0,"Enter Code"," ")</f>
        <v> </v>
      </c>
      <c r="G7" s="6" t="str">
        <f aca="false">IF(E7="BB",F7," ")</f>
        <v> </v>
      </c>
      <c r="H7" s="6" t="str">
        <f aca="false">IF(E7="BD",F7,"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str">
        <f aca="false">IF(E7="RV",F7," ")</f>
        <v> 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37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E8" s="5" t="str">
        <f aca="false">IF(F8&lt;&gt;0,"Enter Code"," ")</f>
        <v> </v>
      </c>
      <c r="G8" s="6" t="str">
        <f aca="false">IF(E8="BB",F8," ")</f>
        <v> </v>
      </c>
      <c r="H8" s="6" t="str">
        <f aca="false">IF(E8="BD",F8,"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37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E9" s="5" t="str">
        <f aca="false">IF(F9&lt;&gt;0,"Enter Code"," ")</f>
        <v> </v>
      </c>
      <c r="G9" s="6" t="str">
        <f aca="false">IF(E9="BB",F9,"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37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E10" s="5" t="str">
        <f aca="false">IF(F10&lt;&gt;0,"Enter Code"," ")</f>
        <v> </v>
      </c>
      <c r="G10" s="6" t="str">
        <f aca="false">IF(E10="BB",F10,"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37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E11" s="5" t="str">
        <f aca="false">IF(F11&lt;&gt;0,"Enter Code"," ")</f>
        <v> </v>
      </c>
      <c r="G11" s="6" t="str">
        <f aca="false">IF(E11="BB",F11,"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37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E12" s="5" t="str">
        <f aca="false">IF(F12&lt;&gt;0,"Enter Code"," ")</f>
        <v> </v>
      </c>
      <c r="G12" s="6" t="str">
        <f aca="false">IF(E12="BB",F12,"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37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E13" s="5" t="str">
        <f aca="false">IF(F13&lt;&gt;0,"Enter Code"," ")</f>
        <v> </v>
      </c>
      <c r="G13" s="6" t="str">
        <f aca="false">IF(E13="BB",F13,"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37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E14" s="5" t="str">
        <f aca="false">IF(F14&lt;&gt;0,"Enter Code"," ")</f>
        <v> </v>
      </c>
      <c r="G14" s="6" t="str">
        <f aca="false">IF(E14="BB",F14,"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37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E15" s="5" t="str">
        <f aca="false">IF(F15&lt;&gt;0,"Enter Code"," ")</f>
        <v> </v>
      </c>
      <c r="G15" s="6" t="str">
        <f aca="false">IF(E15="BB",F15,"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37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E16" s="5" t="str">
        <f aca="false">IF(F16&lt;&gt;0,"Enter Code"," ")</f>
        <v> </v>
      </c>
      <c r="G16" s="6" t="str">
        <f aca="false">IF(E16="BB",F16,"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37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E17" s="5" t="str">
        <f aca="false">IF(F17&lt;&gt;0,"Enter Code"," ")</f>
        <v> </v>
      </c>
      <c r="G17" s="6" t="str">
        <f aca="false">IF(E17="BB",F17,"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37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E18" s="5" t="str">
        <f aca="false">IF(F18&lt;&gt;0,"Enter Code"," ")</f>
        <v> </v>
      </c>
      <c r="G18" s="6" t="str">
        <f aca="false">IF(E18="BB",F18,"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37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E19" s="5" t="str">
        <f aca="false">IF(F19&lt;&gt;0,"Enter Code"," ")</f>
        <v> </v>
      </c>
      <c r="G19" s="6" t="str">
        <f aca="false">IF(E19="BB",F19,"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37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E20" s="5" t="str">
        <f aca="false">IF(F20&lt;&gt;0,"Enter Code"," ")</f>
        <v> </v>
      </c>
      <c r="G20" s="6" t="str">
        <f aca="false">IF(E20="BB",F20,"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37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E21" s="5" t="str">
        <f aca="false">IF(F21&lt;&gt;0,"Enter Code"," ")</f>
        <v> </v>
      </c>
      <c r="G21" s="6" t="str">
        <f aca="false">IF(E21="BB",F21,"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37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E22" s="5" t="str">
        <f aca="false">IF(F22&lt;&gt;0,"Enter Code"," ")</f>
        <v> </v>
      </c>
      <c r="G22" s="6" t="str">
        <f aca="false">IF(E22="BB",F22,"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37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E23" s="5" t="str">
        <f aca="false">IF(F23&lt;&gt;0,"Enter Code"," ")</f>
        <v> </v>
      </c>
      <c r="G23" s="6" t="str">
        <f aca="false">IF(E23="BB",F23,"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37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E24" s="5" t="str">
        <f aca="false">IF(F24&lt;&gt;0,"Enter Code"," ")</f>
        <v> </v>
      </c>
      <c r="G24" s="6" t="str">
        <f aca="false">IF(E24="BB",F24,"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37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E25" s="5" t="str">
        <f aca="false">IF(F25&lt;&gt;0,"Enter Code"," ")</f>
        <v> </v>
      </c>
      <c r="G25" s="6" t="str">
        <f aca="false">IF(E25="BB",F25,"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37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E26" s="5" t="str">
        <f aca="false">IF(F26&lt;&gt;0,"Enter Code"," ")</f>
        <v> </v>
      </c>
      <c r="G26" s="6" t="str">
        <f aca="false">IF(E26="BB",F26,"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37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E27" s="5" t="str">
        <f aca="false">IF(F27&lt;&gt;0,"Enter Code"," ")</f>
        <v> </v>
      </c>
      <c r="G27" s="6" t="str">
        <f aca="false">IF(E27="BB",F27,"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37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E28" s="5" t="str">
        <f aca="false">IF(F28&lt;&gt;0,"Enter Code"," ")</f>
        <v> </v>
      </c>
      <c r="G28" s="6" t="str">
        <f aca="false">IF(E28="BB",F28,"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37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E29" s="5" t="str">
        <f aca="false">IF(F29&lt;&gt;0,"Enter Code"," ")</f>
        <v> </v>
      </c>
      <c r="G29" s="6" t="str">
        <f aca="false">IF(E29="BB",F29,"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37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E30" s="5" t="str">
        <f aca="false">IF(F30&lt;&gt;0,"Enter Code"," ")</f>
        <v> </v>
      </c>
      <c r="G30" s="6" t="str">
        <f aca="false">IF(E30="BB",F30,"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37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E31" s="5" t="str">
        <f aca="false">IF(F31&lt;&gt;0,"Enter Code"," ")</f>
        <v> </v>
      </c>
      <c r="G31" s="6" t="str">
        <f aca="false">IF(E31="BB",F31,"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37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E32" s="5" t="str">
        <f aca="false">IF(F32&lt;&gt;0,"Enter Code"," ")</f>
        <v> </v>
      </c>
      <c r="G32" s="6" t="str">
        <f aca="false">IF(E32="BB",F32,"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37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E33" s="5" t="str">
        <f aca="false">IF(F33&lt;&gt;0,"Enter Code"," ")</f>
        <v> </v>
      </c>
      <c r="G33" s="6" t="str">
        <f aca="false">IF(E33="BB",F33,"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37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E34" s="5" t="str">
        <f aca="false">IF(F34&lt;&gt;0,"Enter Code"," ")</f>
        <v> </v>
      </c>
      <c r="G34" s="6" t="str">
        <f aca="false">IF(E34="BB",F34,"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37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E35" s="5" t="str">
        <f aca="false">IF(F35&lt;&gt;0,"Enter Code"," ")</f>
        <v> </v>
      </c>
      <c r="G35" s="6" t="str">
        <f aca="false">IF(E35="BB",F35,"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37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E36" s="5" t="str">
        <f aca="false">IF(F36&lt;&gt;0,"Enter Code"," ")</f>
        <v> </v>
      </c>
      <c r="G36" s="6" t="str">
        <f aca="false">IF(E36="BB",F36,"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37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E37" s="5" t="str">
        <f aca="false">IF(F37&lt;&gt;0,"Enter Code"," ")</f>
        <v> </v>
      </c>
      <c r="G37" s="6" t="str">
        <f aca="false">IF(E37="BB",F37,"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37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E38" s="5" t="str">
        <f aca="false">IF(F38&lt;&gt;0,"Enter Code"," ")</f>
        <v> </v>
      </c>
      <c r="G38" s="6" t="str">
        <f aca="false">IF(E38="BB",F38,"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37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E39" s="5" t="str">
        <f aca="false">IF(F39&lt;&gt;0,"Enter Code"," ")</f>
        <v> </v>
      </c>
      <c r="G39" s="6" t="str">
        <f aca="false">IF(E39="BB",F39,"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37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E40" s="5" t="str">
        <f aca="false">IF(F40&lt;&gt;0,"Enter Code"," ")</f>
        <v> </v>
      </c>
      <c r="G40" s="6" t="str">
        <f aca="false">IF(E40="BB",F40,"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37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E41" s="5" t="str">
        <f aca="false">IF(F41&lt;&gt;0,"Enter Code"," ")</f>
        <v> </v>
      </c>
      <c r="G41" s="6" t="str">
        <f aca="false">IF(E41="BB",F41,"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37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E42" s="5" t="str">
        <f aca="false">IF(F42&lt;&gt;0,"Enter Code"," ")</f>
        <v> </v>
      </c>
      <c r="G42" s="6" t="str">
        <f aca="false">IF(E42="BB",F42,"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37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E43" s="5" t="str">
        <f aca="false">IF(F43&lt;&gt;0,"Enter Code"," ")</f>
        <v> </v>
      </c>
      <c r="G43" s="6" t="str">
        <f aca="false">IF(E43="BB",F43,"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37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E44" s="5" t="str">
        <f aca="false">IF(F44&lt;&gt;0,"Enter Code"," ")</f>
        <v> </v>
      </c>
      <c r="G44" s="6" t="str">
        <f aca="false">IF(E44="BB",F44,"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37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E45" s="5" t="str">
        <f aca="false">IF(F45&lt;&gt;0,"Enter Code"," ")</f>
        <v> </v>
      </c>
      <c r="G45" s="6" t="str">
        <f aca="false">IF(E45="BB",F45,"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37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E46" s="5" t="str">
        <f aca="false">IF(F46&lt;&gt;0,"Enter Code"," ")</f>
        <v> </v>
      </c>
      <c r="G46" s="6" t="str">
        <f aca="false">IF(E46="BB",F46,"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37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E47" s="5" t="str">
        <f aca="false">IF(F47&lt;&gt;0,"Enter Code"," ")</f>
        <v> </v>
      </c>
      <c r="G47" s="6" t="str">
        <f aca="false">IF(E47="BB",F47,"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37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E48" s="5" t="str">
        <f aca="false">IF(F48&lt;&gt;0,"Enter Code"," ")</f>
        <v> </v>
      </c>
      <c r="G48" s="6" t="str">
        <f aca="false">IF(E48="BB",F48,"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37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E49" s="5" t="str">
        <f aca="false">IF(F49&lt;&gt;0,"Enter Code"," ")</f>
        <v> </v>
      </c>
      <c r="G49" s="6" t="str">
        <f aca="false">IF(E49="BB",F49,"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37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E50" s="5" t="str">
        <f aca="false">IF(F50&lt;&gt;0,"Enter Code"," ")</f>
        <v> </v>
      </c>
      <c r="G50" s="6" t="str">
        <f aca="false">IF(E50="BB",F50,"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37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E51" s="5" t="str">
        <f aca="false">IF(F51&lt;&gt;0,"Enter Code"," ")</f>
        <v> </v>
      </c>
      <c r="G51" s="6" t="str">
        <f aca="false">IF(E51="BB",F51,"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37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E52" s="5" t="str">
        <f aca="false">IF(F52&lt;&gt;0,"Enter Code"," ")</f>
        <v> </v>
      </c>
      <c r="G52" s="6" t="str">
        <f aca="false">IF(E52="BB",F52,"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37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E53" s="5" t="str">
        <f aca="false">IF(F53&lt;&gt;0,"Enter Code"," ")</f>
        <v> </v>
      </c>
      <c r="G53" s="6" t="str">
        <f aca="false">IF(E53="BB",F53,"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37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E54" s="5" t="str">
        <f aca="false">IF(F54&lt;&gt;0,"Enter Code"," ")</f>
        <v> </v>
      </c>
      <c r="G54" s="6" t="str">
        <f aca="false">IF(E54="BB",F54,"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37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E55" s="5" t="str">
        <f aca="false">IF(F55&lt;&gt;0,"Enter Code"," ")</f>
        <v> </v>
      </c>
      <c r="G55" s="6" t="str">
        <f aca="false">IF(E55="BB",F55,"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37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E56" s="5" t="str">
        <f aca="false">IF(F56&lt;&gt;0,"Enter Code"," ")</f>
        <v> </v>
      </c>
      <c r="G56" s="6" t="str">
        <f aca="false">IF(E56="BB",F56,"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37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E57" s="5" t="str">
        <f aca="false">IF(F57&lt;&gt;0,"Enter Code"," ")</f>
        <v> </v>
      </c>
      <c r="G57" s="6" t="str">
        <f aca="false">IF(E57="BB",F57,"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37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E58" s="5" t="str">
        <f aca="false">IF(F58&lt;&gt;0,"Enter Code"," ")</f>
        <v> </v>
      </c>
      <c r="G58" s="6" t="str">
        <f aca="false">IF(E58="BB",F58,"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37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E59" s="5" t="str">
        <f aca="false">IF(F59&lt;&gt;0,"Enter Code"," ")</f>
        <v> </v>
      </c>
      <c r="G59" s="6" t="str">
        <f aca="false">IF(E59="BB",F59,"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37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E60" s="5" t="str">
        <f aca="false">IF(F60&lt;&gt;0,"Enter Code"," ")</f>
        <v> </v>
      </c>
      <c r="G60" s="6" t="str">
        <f aca="false">IF(E60="BB",F60,"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37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E61" s="5" t="str">
        <f aca="false">IF(F61&lt;&gt;0,"Enter Code"," ")</f>
        <v> </v>
      </c>
      <c r="G61" s="6" t="str">
        <f aca="false">IF(E61="BB",F61,"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37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E62" s="5" t="str">
        <f aca="false">IF(F62&lt;&gt;0,"Enter Code"," ")</f>
        <v> </v>
      </c>
      <c r="G62" s="6" t="str">
        <f aca="false">IF(E62="BB",F62,"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37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E63" s="5" t="str">
        <f aca="false">IF(F63&lt;&gt;0,"Enter Code"," ")</f>
        <v> </v>
      </c>
      <c r="G63" s="6" t="str">
        <f aca="false">IF(E63="BB",F63,"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37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E64" s="5" t="str">
        <f aca="false">IF(F64&lt;&gt;0,"Enter Code"," ")</f>
        <v> </v>
      </c>
      <c r="G64" s="6" t="str">
        <f aca="false">IF(E64="BB",F64,"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37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E65" s="5" t="str">
        <f aca="false">IF(F65&lt;&gt;0,"Enter Code"," ")</f>
        <v> </v>
      </c>
      <c r="G65" s="6" t="str">
        <f aca="false">IF(E65="BB",F65,"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37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E66" s="5" t="str">
        <f aca="false">IF(F66&lt;&gt;0,"Enter Code"," ")</f>
        <v> </v>
      </c>
      <c r="G66" s="6" t="str">
        <f aca="false">IF(E66="BB",F66,"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37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E67" s="5" t="str">
        <f aca="false">IF(F67&lt;&gt;0,"Enter Code"," ")</f>
        <v> </v>
      </c>
      <c r="G67" s="6" t="str">
        <f aca="false">IF(E67="BB",F67,"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37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E68" s="5" t="str">
        <f aca="false">IF(F68&lt;&gt;0,"Enter Code"," ")</f>
        <v> </v>
      </c>
      <c r="G68" s="6" t="str">
        <f aca="false">IF(E68="BB",F68,"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37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E69" s="5" t="str">
        <f aca="false">IF(F69&lt;&gt;0,"Enter Code"," ")</f>
        <v> </v>
      </c>
      <c r="G69" s="6" t="str">
        <f aca="false">IF(E69="BB",F69,"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37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37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37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37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37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37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37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37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37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37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37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37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37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37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37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37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37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37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37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37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37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37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37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37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37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37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37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37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37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37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37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37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37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37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37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37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37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37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37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37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37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37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37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37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37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37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37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37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37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37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37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37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37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37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37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37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37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37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37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37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37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37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37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37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37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37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37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37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37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37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37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37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37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37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37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37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37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37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37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37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37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37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37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37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37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37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37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37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37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37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37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37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37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37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37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37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37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37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37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37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37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37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37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37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37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6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38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37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37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37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37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37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37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37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37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37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37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37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37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37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37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37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37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37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37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37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37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37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37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37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37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39"/>
      <c r="B200" s="40"/>
      <c r="C200" s="4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IF(E200="BD",F200," ")</f>
        <v> </v>
      </c>
      <c r="I200" s="44" t="str">
        <f aca="false">IF(E200="BC",F200," ")</f>
        <v> </v>
      </c>
      <c r="J200" s="44" t="str">
        <f aca="false">IF(E200="DR",F200," ")</f>
        <v> </v>
      </c>
      <c r="K200" s="44" t="str">
        <f aca="false">IF(E200="K",F200," ")</f>
        <v> </v>
      </c>
      <c r="L200" s="44" t="str">
        <f aca="false">IF(E200="LDR",F200," ")</f>
        <v> </v>
      </c>
      <c r="M200" s="44" t="str">
        <f aca="false">IF(E200="LCR",F200," ")</f>
        <v> </v>
      </c>
      <c r="N200" s="44" t="str">
        <f aca="false">IF(E200="RV",F200," ")</f>
        <v> </v>
      </c>
      <c r="O200" s="44" t="str">
        <f aca="false">IF(E200="RC",F200," ")</f>
        <v> </v>
      </c>
      <c r="P200" s="44" t="str">
        <f aca="false">IF(E200="DL",F200," ")</f>
        <v> </v>
      </c>
      <c r="Q200" s="44" t="str">
        <f aca="false">IF(E200="X",F200," ")</f>
        <v> </v>
      </c>
      <c r="R200" s="38"/>
      <c r="S200" s="39"/>
      <c r="T200" s="42"/>
      <c r="U200" s="41"/>
      <c r="V200" s="41"/>
      <c r="W200" s="44" t="str">
        <f aca="false">IF(X200&lt;&gt;0,"Enter Code"," ")</f>
        <v> </v>
      </c>
      <c r="X200" s="44"/>
      <c r="Y200" s="44" t="str">
        <f aca="false">IF(W200="BB",X200," ")</f>
        <v> </v>
      </c>
      <c r="Z200" s="44" t="str">
        <f aca="false">IF(W200="BD",X200," ")</f>
        <v> </v>
      </c>
      <c r="AA200" s="44" t="str">
        <f aca="false">IF(W200="BC",X200," ")</f>
        <v> </v>
      </c>
      <c r="AB200" s="44" t="str">
        <f aca="false">IF(W200="CR",X200," ")</f>
        <v> </v>
      </c>
      <c r="AC200" s="44" t="str">
        <f aca="false">IF(W200="W",X200," ")</f>
        <v> </v>
      </c>
      <c r="AD200" s="44" t="str">
        <f aca="false">IF(W200="B",X200," ")</f>
        <v> </v>
      </c>
      <c r="AE200" s="44" t="str">
        <f aca="false">IF(W200="J",X200," ")</f>
        <v> </v>
      </c>
      <c r="AF200" s="44" t="str">
        <f aca="false">IF(W200="LDR",X200," ")</f>
        <v> </v>
      </c>
      <c r="AG200" s="44" t="str">
        <f aca="false">IF(W200="LCR",X200," ")</f>
        <v> </v>
      </c>
      <c r="AH200" s="44" t="str">
        <f aca="false">IF(W200="RP",X200," ")</f>
        <v> </v>
      </c>
      <c r="AI200" s="44" t="str">
        <f aca="false">IF(W200="RV",X200," ")</f>
        <v> </v>
      </c>
      <c r="AJ200" s="44" t="str">
        <f aca="false">IF(W200="RC",X200," ")</f>
        <v> </v>
      </c>
      <c r="AK200" s="44" t="str">
        <f aca="false">IF(W200="RT",X200," ")</f>
        <v> </v>
      </c>
      <c r="AL200" s="44" t="str">
        <f aca="false">IF(W200="DV",X200," ")</f>
        <v> </v>
      </c>
      <c r="AM200" s="44" t="str">
        <f aca="false">IF(W200="DL",X200," ")</f>
        <v> </v>
      </c>
      <c r="AN200" s="44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&amp;N&amp;R&amp;F  &amp;A</oddFooter>
  </headerFooter>
  <colBreaks count="1" manualBreakCount="1">
    <brk id="17" man="true" max="65535" min="0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2" zeroHeight="false" outlineLevelRow="0" outlineLevelCol="0"/>
  <cols>
    <col collapsed="false" customWidth="false" hidden="false" outlineLevel="0" max="1" min="1" style="1" width="9.15"/>
    <col collapsed="false" customWidth="true" hidden="false" outlineLevel="0" max="2" min="2" style="2" width="21.99"/>
    <col collapsed="false" customWidth="true" hidden="false" outlineLevel="0" max="3" min="3" style="3" width="10.66"/>
    <col collapsed="false" customWidth="true" hidden="false" outlineLevel="0" max="4" min="4" style="4" width="7.66"/>
    <col collapsed="false" customWidth="true" hidden="false" outlineLevel="0" max="5" min="5" style="5" width="8.66"/>
    <col collapsed="false" customWidth="true" hidden="false" outlineLevel="0" max="17" min="6" style="6" width="8.66"/>
    <col collapsed="false" customWidth="true" hidden="false" outlineLevel="0" max="18" min="18" style="6" width="0.82"/>
    <col collapsed="false" customWidth="true" hidden="false" outlineLevel="0" max="19" min="19" style="1" width="8.66"/>
    <col collapsed="false" customWidth="true" hidden="false" outlineLevel="0" max="20" min="20" style="4" width="25.15"/>
    <col collapsed="false" customWidth="true" hidden="false" outlineLevel="0" max="21" min="21" style="3" width="11.82"/>
    <col collapsed="false" customWidth="true" hidden="false" outlineLevel="0" max="22" min="22" style="3" width="8.66"/>
    <col collapsed="false" customWidth="true" hidden="false" outlineLevel="0" max="40" min="23" style="6" width="8.66"/>
    <col collapsed="false" customWidth="false" hidden="false" outlineLevel="0" max="257" min="41" style="6" width="9.15"/>
  </cols>
  <sheetData>
    <row r="1" customFormat="false" ht="15" hidden="false" customHeight="true" outlineLevel="0" collapsed="false">
      <c r="A1" s="45" t="n">
        <f aca="false">Apr!A2</f>
        <v>5125</v>
      </c>
      <c r="B1" s="46" t="s">
        <v>57</v>
      </c>
      <c r="C1" s="8" t="n">
        <f aca="false">[1]Admin!$B$31</f>
        <v>46082</v>
      </c>
      <c r="D1" s="9" t="s">
        <v>0</v>
      </c>
      <c r="E1" s="10" t="n">
        <f aca="false">F1-SUM(G1:Q1)</f>
        <v>0</v>
      </c>
      <c r="F1" s="11" t="n">
        <f aca="false">SUM(F6:F200)</f>
        <v>5150</v>
      </c>
      <c r="G1" s="11" t="n">
        <f aca="false">SUM(G6:G200)</f>
        <v>0</v>
      </c>
      <c r="H1" s="11" t="n">
        <f aca="false">SUM(H6:H200)</f>
        <v>0</v>
      </c>
      <c r="I1" s="11" t="n">
        <f aca="false">SUM(I6:I200)</f>
        <v>0</v>
      </c>
      <c r="J1" s="11" t="n">
        <f aca="false">SUM(J6:J200)</f>
        <v>0</v>
      </c>
      <c r="K1" s="11" t="n">
        <f aca="false">SUM(K6:K200)</f>
        <v>0</v>
      </c>
      <c r="L1" s="11" t="n">
        <f aca="false">SUM(L6:L200)</f>
        <v>0</v>
      </c>
      <c r="M1" s="11" t="n">
        <f aca="false">SUM(M6:M200)</f>
        <v>0</v>
      </c>
      <c r="N1" s="11" t="n">
        <f aca="false">SUM(N6:N200)</f>
        <v>150</v>
      </c>
      <c r="O1" s="11" t="n">
        <f aca="false">SUM(O6:O200)</f>
        <v>0</v>
      </c>
      <c r="P1" s="11" t="n">
        <f aca="false">SUM(P6:P200)</f>
        <v>0</v>
      </c>
      <c r="Q1" s="11" t="n">
        <f aca="false">SUM(Q6:Q200)</f>
        <v>5000</v>
      </c>
      <c r="R1" s="12"/>
      <c r="S1" s="13" t="str">
        <f aca="false">IF(W1=0," ","Check all payment code letters entered")</f>
        <v> </v>
      </c>
      <c r="T1" s="13"/>
      <c r="U1" s="14"/>
      <c r="V1" s="15" t="s">
        <v>0</v>
      </c>
      <c r="W1" s="10" t="n">
        <f aca="false">X1-SUM(Y1:AN1)</f>
        <v>0</v>
      </c>
      <c r="X1" s="11" t="n">
        <f aca="false">SUM(X6:X200)</f>
        <v>0</v>
      </c>
      <c r="Y1" s="11" t="n">
        <f aca="false">SUM(Y6:Y200)</f>
        <v>0</v>
      </c>
      <c r="Z1" s="11" t="n">
        <f aca="false">SUM(Z6:Z200)</f>
        <v>0</v>
      </c>
      <c r="AA1" s="11" t="n">
        <f aca="false">SUM(AA6:AA200)</f>
        <v>0</v>
      </c>
      <c r="AB1" s="11" t="n">
        <f aca="false">SUM(AB6:AB200)</f>
        <v>0</v>
      </c>
      <c r="AC1" s="11" t="n">
        <f aca="false">SUM(AC6:AC200)</f>
        <v>0</v>
      </c>
      <c r="AD1" s="11" t="n">
        <f aca="false">SUM(AD6:AD200)</f>
        <v>0</v>
      </c>
      <c r="AE1" s="11" t="n">
        <f aca="false">SUM(AE6:AE200)</f>
        <v>0</v>
      </c>
      <c r="AF1" s="11" t="n">
        <f aca="false">SUM(AF6:AF200)</f>
        <v>0</v>
      </c>
      <c r="AG1" s="11" t="n">
        <f aca="false">SUM(AG6:AG200)</f>
        <v>0</v>
      </c>
      <c r="AH1" s="11" t="n">
        <f aca="false">SUM(AH6:AH200)</f>
        <v>0</v>
      </c>
      <c r="AI1" s="11" t="n">
        <f aca="false">SUM(AI6:AI200)</f>
        <v>0</v>
      </c>
      <c r="AJ1" s="11" t="n">
        <f aca="false">SUM(AJ6:AJ200)</f>
        <v>0</v>
      </c>
      <c r="AK1" s="11" t="n">
        <f aca="false">SUM(AK6:AK200)</f>
        <v>0</v>
      </c>
      <c r="AL1" s="11" t="n">
        <f aca="false">SUM(AL6:AL200)</f>
        <v>0</v>
      </c>
      <c r="AM1" s="11" t="n">
        <f aca="false">SUM(AM6:AM200)</f>
        <v>0</v>
      </c>
      <c r="AN1" s="11" t="n">
        <f aca="false">SUM(AN6:AN200)</f>
        <v>0</v>
      </c>
    </row>
    <row r="2" customFormat="false" ht="15" hidden="false" customHeight="true" outlineLevel="0" collapsed="false">
      <c r="A2" s="16" t="n">
        <f aca="false">A1+F1-X1</f>
        <v>10275</v>
      </c>
      <c r="B2" s="17" t="s">
        <v>1</v>
      </c>
      <c r="C2" s="8" t="n">
        <f aca="false">[1]Admin!$B$32</f>
        <v>46112</v>
      </c>
      <c r="D2" s="18" t="s">
        <v>2</v>
      </c>
      <c r="E2" s="19" t="s">
        <v>3</v>
      </c>
      <c r="F2" s="20" t="s">
        <v>4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12"/>
      <c r="S2" s="13" t="str">
        <f aca="false">IF(E1=0," ","Check all Receipts Code Letters entered")</f>
        <v> </v>
      </c>
      <c r="T2" s="13"/>
      <c r="U2" s="21" t="s">
        <v>5</v>
      </c>
      <c r="V2" s="22" t="s">
        <v>6</v>
      </c>
      <c r="W2" s="19" t="s">
        <v>3</v>
      </c>
      <c r="X2" s="20" t="s">
        <v>7</v>
      </c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</row>
    <row r="3" customFormat="false" ht="19.5" hidden="false" customHeight="true" outlineLevel="0" collapsed="false">
      <c r="A3" s="7"/>
      <c r="B3" s="23" t="s">
        <v>8</v>
      </c>
      <c r="C3" s="24" t="n">
        <f aca="false">C2</f>
        <v>46112</v>
      </c>
      <c r="D3" s="18"/>
      <c r="E3" s="19"/>
      <c r="F3" s="25" t="s">
        <v>9</v>
      </c>
      <c r="G3" s="25" t="s">
        <v>10</v>
      </c>
      <c r="H3" s="25" t="s">
        <v>11</v>
      </c>
      <c r="I3" s="25" t="s">
        <v>12</v>
      </c>
      <c r="J3" s="25" t="s">
        <v>13</v>
      </c>
      <c r="K3" s="25" t="s">
        <v>14</v>
      </c>
      <c r="L3" s="25" t="s">
        <v>15</v>
      </c>
      <c r="M3" s="25" t="s">
        <v>16</v>
      </c>
      <c r="N3" s="25" t="s">
        <v>17</v>
      </c>
      <c r="O3" s="25" t="s">
        <v>18</v>
      </c>
      <c r="P3" s="25" t="s">
        <v>19</v>
      </c>
      <c r="Q3" s="25" t="s">
        <v>20</v>
      </c>
      <c r="R3" s="12"/>
      <c r="S3" s="26"/>
      <c r="T3" s="27"/>
      <c r="U3" s="21"/>
      <c r="V3" s="22"/>
      <c r="W3" s="19"/>
      <c r="X3" s="25" t="s">
        <v>21</v>
      </c>
      <c r="Y3" s="25" t="s">
        <v>22</v>
      </c>
      <c r="Z3" s="25" t="s">
        <v>23</v>
      </c>
      <c r="AA3" s="25" t="s">
        <v>24</v>
      </c>
      <c r="AB3" s="25" t="s">
        <v>25</v>
      </c>
      <c r="AC3" s="25" t="s">
        <v>26</v>
      </c>
      <c r="AD3" s="25" t="s">
        <v>27</v>
      </c>
      <c r="AE3" s="25" t="s">
        <v>28</v>
      </c>
      <c r="AF3" s="25" t="s">
        <v>15</v>
      </c>
      <c r="AG3" s="25" t="s">
        <v>16</v>
      </c>
      <c r="AH3" s="25" t="s">
        <v>29</v>
      </c>
      <c r="AI3" s="25" t="s">
        <v>30</v>
      </c>
      <c r="AJ3" s="25" t="s">
        <v>31</v>
      </c>
      <c r="AK3" s="25" t="s">
        <v>32</v>
      </c>
      <c r="AL3" s="25" t="s">
        <v>33</v>
      </c>
      <c r="AM3" s="25" t="s">
        <v>19</v>
      </c>
      <c r="AN3" s="25" t="s">
        <v>20</v>
      </c>
    </row>
    <row r="4" s="5" customFormat="true" ht="19.5" hidden="false" customHeight="true" outlineLevel="0" collapsed="false">
      <c r="A4" s="28" t="n">
        <f aca="false">A2-A3</f>
        <v>10275</v>
      </c>
      <c r="B4" s="29" t="str">
        <f aca="false">IF(A4=0,"&lt;  Bank  - Statement Balance","  Reconcile Bank Statement")</f>
        <v>  Reconcile Bank Statement</v>
      </c>
      <c r="C4" s="29"/>
      <c r="D4" s="18"/>
      <c r="E4" s="19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12"/>
      <c r="S4" s="30" t="s">
        <v>34</v>
      </c>
      <c r="T4" s="31" t="s">
        <v>35</v>
      </c>
      <c r="U4" s="21"/>
      <c r="V4" s="22"/>
      <c r="W4" s="19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</row>
    <row r="5" s="5" customFormat="true" ht="15" hidden="false" customHeight="true" outlineLevel="0" collapsed="false">
      <c r="A5" s="32" t="s">
        <v>36</v>
      </c>
      <c r="B5" s="33" t="s">
        <v>37</v>
      </c>
      <c r="C5" s="34" t="s">
        <v>38</v>
      </c>
      <c r="D5" s="18"/>
      <c r="E5" s="19"/>
      <c r="F5" s="25"/>
      <c r="G5" s="35" t="s">
        <v>39</v>
      </c>
      <c r="H5" s="35" t="s">
        <v>40</v>
      </c>
      <c r="I5" s="35" t="s">
        <v>41</v>
      </c>
      <c r="J5" s="35" t="s">
        <v>42</v>
      </c>
      <c r="K5" s="35" t="s">
        <v>43</v>
      </c>
      <c r="L5" s="35" t="s">
        <v>44</v>
      </c>
      <c r="M5" s="35" t="s">
        <v>45</v>
      </c>
      <c r="N5" s="35" t="s">
        <v>46</v>
      </c>
      <c r="O5" s="35" t="s">
        <v>47</v>
      </c>
      <c r="P5" s="35" t="s">
        <v>48</v>
      </c>
      <c r="Q5" s="35" t="s">
        <v>49</v>
      </c>
      <c r="R5" s="12"/>
      <c r="S5" s="30"/>
      <c r="T5" s="31"/>
      <c r="U5" s="21"/>
      <c r="V5" s="22"/>
      <c r="W5" s="19"/>
      <c r="X5" s="25"/>
      <c r="Y5" s="35" t="s">
        <v>39</v>
      </c>
      <c r="Z5" s="35" t="s">
        <v>40</v>
      </c>
      <c r="AA5" s="35" t="s">
        <v>41</v>
      </c>
      <c r="AB5" s="35" t="s">
        <v>50</v>
      </c>
      <c r="AC5" s="35" t="s">
        <v>51</v>
      </c>
      <c r="AD5" s="35" t="s">
        <v>52</v>
      </c>
      <c r="AE5" s="35" t="s">
        <v>53</v>
      </c>
      <c r="AF5" s="35" t="s">
        <v>44</v>
      </c>
      <c r="AG5" s="35" t="s">
        <v>45</v>
      </c>
      <c r="AH5" s="35" t="s">
        <v>54</v>
      </c>
      <c r="AI5" s="35" t="s">
        <v>46</v>
      </c>
      <c r="AJ5" s="35" t="s">
        <v>47</v>
      </c>
      <c r="AK5" s="35" t="s">
        <v>55</v>
      </c>
      <c r="AL5" s="35" t="s">
        <v>56</v>
      </c>
      <c r="AM5" s="35" t="s">
        <v>48</v>
      </c>
      <c r="AN5" s="35" t="s">
        <v>49</v>
      </c>
    </row>
    <row r="6" customFormat="false" ht="12" hidden="false" customHeight="false" outlineLevel="0" collapsed="false">
      <c r="A6" s="1" t="n">
        <v>46157</v>
      </c>
      <c r="B6" s="2" t="s">
        <v>59</v>
      </c>
      <c r="E6" s="5" t="s">
        <v>49</v>
      </c>
      <c r="F6" s="6" t="n">
        <v>5000</v>
      </c>
      <c r="G6" s="6" t="str">
        <f aca="false">IF(E6="BB",F6," ")</f>
        <v> </v>
      </c>
      <c r="H6" s="6" t="str">
        <f aca="false">IF(E6="BD",F6," ")</f>
        <v> </v>
      </c>
      <c r="I6" s="6" t="str">
        <f aca="false">IF(E6="BC",F6," ")</f>
        <v> </v>
      </c>
      <c r="J6" s="6" t="str">
        <f aca="false">IF(E6="DR",F6," ")</f>
        <v> </v>
      </c>
      <c r="K6" s="6" t="str">
        <f aca="false">IF(E6="K",F6," ")</f>
        <v> </v>
      </c>
      <c r="L6" s="6" t="str">
        <f aca="false">IF(E6="LDR",F6," ")</f>
        <v> </v>
      </c>
      <c r="M6" s="6" t="str">
        <f aca="false">IF(E6="LCR",F6," ")</f>
        <v> </v>
      </c>
      <c r="N6" s="6" t="str">
        <f aca="false">IF(E6="RV",F6," ")</f>
        <v> </v>
      </c>
      <c r="O6" s="6" t="str">
        <f aca="false">IF(E6="RC",F6," ")</f>
        <v> </v>
      </c>
      <c r="P6" s="6" t="str">
        <f aca="false">IF(E6="DL",F6," ")</f>
        <v> </v>
      </c>
      <c r="Q6" s="6" t="n">
        <f aca="false">IF(E6="X",F6," ")</f>
        <v>5000</v>
      </c>
      <c r="R6" s="36"/>
      <c r="W6" s="6" t="str">
        <f aca="false">IF(X6&lt;&gt;0,"Enter Code"," ")</f>
        <v> </v>
      </c>
      <c r="Y6" s="6" t="str">
        <f aca="false">IF(W6="BB",X6," ")</f>
        <v> </v>
      </c>
      <c r="Z6" s="6" t="str">
        <f aca="false">IF(W6="BD",X6," ")</f>
        <v> </v>
      </c>
      <c r="AA6" s="6" t="str">
        <f aca="false">IF(W6="BC",X6," ")</f>
        <v> </v>
      </c>
      <c r="AB6" s="6" t="str">
        <f aca="false">IF(W6="CR",X6," ")</f>
        <v> </v>
      </c>
      <c r="AC6" s="6" t="str">
        <f aca="false">IF(W6="W",X6," ")</f>
        <v> </v>
      </c>
      <c r="AD6" s="6" t="str">
        <f aca="false">IF(W6="B",X6," ")</f>
        <v> </v>
      </c>
      <c r="AE6" s="6" t="str">
        <f aca="false">IF(W6="J",X6," ")</f>
        <v> </v>
      </c>
      <c r="AF6" s="6" t="str">
        <f aca="false">IF(W6="LDR",X6," ")</f>
        <v> </v>
      </c>
      <c r="AG6" s="6" t="str">
        <f aca="false">IF(W6="LCR",X6," ")</f>
        <v> </v>
      </c>
      <c r="AH6" s="6" t="str">
        <f aca="false">IF(W6="RP",X6," ")</f>
        <v> </v>
      </c>
      <c r="AI6" s="6" t="str">
        <f aca="false">IF(W6="RV",X6," ")</f>
        <v> </v>
      </c>
      <c r="AJ6" s="6" t="str">
        <f aca="false">IF(W6="RC",X6," ")</f>
        <v> </v>
      </c>
      <c r="AK6" s="6" t="str">
        <f aca="false">IF(W6="RT",X6," ")</f>
        <v> </v>
      </c>
      <c r="AL6" s="6" t="str">
        <f aca="false">IF(W6="DV",X6," ")</f>
        <v> </v>
      </c>
      <c r="AM6" s="6" t="str">
        <f aca="false">IF(W6="DL",X6," ")</f>
        <v> </v>
      </c>
      <c r="AN6" s="6" t="str">
        <f aca="false">IF(W6="X",X6," ")</f>
        <v> </v>
      </c>
    </row>
    <row r="7" customFormat="false" ht="12" hidden="false" customHeight="false" outlineLevel="0" collapsed="false">
      <c r="A7" s="1" t="n">
        <v>46173</v>
      </c>
      <c r="B7" s="2" t="s">
        <v>58</v>
      </c>
      <c r="E7" s="5" t="s">
        <v>46</v>
      </c>
      <c r="F7" s="6" t="n">
        <v>150</v>
      </c>
      <c r="G7" s="6" t="str">
        <f aca="false">IF(E7="BB",F7," ")</f>
        <v> </v>
      </c>
      <c r="H7" s="6" t="str">
        <f aca="false">IF(E7="BD",F7," ")</f>
        <v> </v>
      </c>
      <c r="I7" s="6" t="str">
        <f aca="false">IF(E7="BC",F7," ")</f>
        <v> </v>
      </c>
      <c r="J7" s="6" t="str">
        <f aca="false">IF(E7="DR",F7," ")</f>
        <v> </v>
      </c>
      <c r="K7" s="6" t="str">
        <f aca="false">IF(E7="K",F7," ")</f>
        <v> </v>
      </c>
      <c r="L7" s="6" t="str">
        <f aca="false">IF(E7="LDR",F7," ")</f>
        <v> </v>
      </c>
      <c r="M7" s="6" t="str">
        <f aca="false">IF(E7="LCR",F7," ")</f>
        <v> </v>
      </c>
      <c r="N7" s="6" t="n">
        <f aca="false">IF(E7="RV",F7," ")</f>
        <v>150</v>
      </c>
      <c r="O7" s="6" t="str">
        <f aca="false">IF(E7="RC",F7," ")</f>
        <v> </v>
      </c>
      <c r="P7" s="6" t="str">
        <f aca="false">IF(E7="DL",F7," ")</f>
        <v> </v>
      </c>
      <c r="Q7" s="6" t="str">
        <f aca="false">IF(E7="X",F7," ")</f>
        <v> </v>
      </c>
      <c r="R7" s="37"/>
      <c r="W7" s="6" t="str">
        <f aca="false">IF(X7&lt;&gt;0,"Enter Code"," ")</f>
        <v> </v>
      </c>
      <c r="Y7" s="6" t="str">
        <f aca="false">IF(W7="BB",X7," ")</f>
        <v> </v>
      </c>
      <c r="Z7" s="6" t="str">
        <f aca="false">IF(W7="BD",X7," ")</f>
        <v> </v>
      </c>
      <c r="AA7" s="6" t="str">
        <f aca="false">IF(W7="BC",X7," ")</f>
        <v> </v>
      </c>
      <c r="AB7" s="6" t="str">
        <f aca="false">IF(W7="CR",X7," ")</f>
        <v> </v>
      </c>
      <c r="AC7" s="6" t="str">
        <f aca="false">IF(W7="W",X7," ")</f>
        <v> </v>
      </c>
      <c r="AD7" s="6" t="str">
        <f aca="false">IF(W7="B",X7," ")</f>
        <v> </v>
      </c>
      <c r="AE7" s="6" t="str">
        <f aca="false">IF(W7="J",X7," ")</f>
        <v> </v>
      </c>
      <c r="AF7" s="6" t="str">
        <f aca="false">IF(W7="LDR",X7," ")</f>
        <v> </v>
      </c>
      <c r="AG7" s="6" t="str">
        <f aca="false">IF(W7="LCR",X7," ")</f>
        <v> </v>
      </c>
      <c r="AH7" s="6" t="str">
        <f aca="false">IF(W7="RP",X7," ")</f>
        <v> </v>
      </c>
      <c r="AI7" s="6" t="str">
        <f aca="false">IF(W7="RV",X7," ")</f>
        <v> </v>
      </c>
      <c r="AJ7" s="6" t="str">
        <f aca="false">IF(W7="RC",X7," ")</f>
        <v> </v>
      </c>
      <c r="AK7" s="6" t="str">
        <f aca="false">IF(W7="RT",X7," ")</f>
        <v> </v>
      </c>
      <c r="AL7" s="6" t="str">
        <f aca="false">IF(W7="DV",X7," ")</f>
        <v> </v>
      </c>
      <c r="AM7" s="6" t="str">
        <f aca="false">IF(W7="DL",X7," ")</f>
        <v> </v>
      </c>
      <c r="AN7" s="6" t="str">
        <f aca="false">IF(W7="X",X7," ")</f>
        <v> </v>
      </c>
    </row>
    <row r="8" customFormat="false" ht="12" hidden="false" customHeight="false" outlineLevel="0" collapsed="false">
      <c r="G8" s="6" t="str">
        <f aca="false">IF(E8="BB",F8," ")</f>
        <v> </v>
      </c>
      <c r="H8" s="6" t="str">
        <f aca="false">IF(E8="BD",F8," ")</f>
        <v> </v>
      </c>
      <c r="I8" s="6" t="str">
        <f aca="false">IF(E8="BC",F8," ")</f>
        <v> </v>
      </c>
      <c r="J8" s="6" t="str">
        <f aca="false">IF(E8="DR",F8," ")</f>
        <v> </v>
      </c>
      <c r="K8" s="6" t="str">
        <f aca="false">IF(E8="K",F8," ")</f>
        <v> </v>
      </c>
      <c r="L8" s="6" t="str">
        <f aca="false">IF(E8="LDR",F8," ")</f>
        <v> </v>
      </c>
      <c r="M8" s="6" t="str">
        <f aca="false">IF(E8="LCR",F8," ")</f>
        <v> </v>
      </c>
      <c r="N8" s="6" t="str">
        <f aca="false">IF(E8="RV",F8," ")</f>
        <v> </v>
      </c>
      <c r="O8" s="6" t="str">
        <f aca="false">IF(E8="RC",F8," ")</f>
        <v> </v>
      </c>
      <c r="P8" s="6" t="str">
        <f aca="false">IF(E8="DL",F8," ")</f>
        <v> </v>
      </c>
      <c r="Q8" s="6" t="str">
        <f aca="false">IF(E8="X",F8," ")</f>
        <v> </v>
      </c>
      <c r="R8" s="37"/>
      <c r="W8" s="6" t="str">
        <f aca="false">IF(X8&lt;&gt;0,"Enter Code"," ")</f>
        <v> </v>
      </c>
      <c r="Y8" s="6" t="str">
        <f aca="false">IF(W8="BB",X8," ")</f>
        <v> </v>
      </c>
      <c r="Z8" s="6" t="str">
        <f aca="false">IF(W8="BD",X8," ")</f>
        <v> </v>
      </c>
      <c r="AA8" s="6" t="str">
        <f aca="false">IF(W8="BC",X8," ")</f>
        <v> </v>
      </c>
      <c r="AB8" s="6" t="str">
        <f aca="false">IF(W8="CR",X8," ")</f>
        <v> </v>
      </c>
      <c r="AC8" s="6" t="str">
        <f aca="false">IF(W8="W",X8," ")</f>
        <v> </v>
      </c>
      <c r="AD8" s="6" t="str">
        <f aca="false">IF(W8="B",X8," ")</f>
        <v> </v>
      </c>
      <c r="AE8" s="6" t="str">
        <f aca="false">IF(W8="J",X8," ")</f>
        <v> </v>
      </c>
      <c r="AF8" s="6" t="str">
        <f aca="false">IF(W8="LDR",X8," ")</f>
        <v> </v>
      </c>
      <c r="AG8" s="6" t="str">
        <f aca="false">IF(W8="LCR",X8," ")</f>
        <v> </v>
      </c>
      <c r="AH8" s="6" t="str">
        <f aca="false">IF(W8="RP",X8," ")</f>
        <v> </v>
      </c>
      <c r="AI8" s="6" t="str">
        <f aca="false">IF(W8="RV",X8," ")</f>
        <v> </v>
      </c>
      <c r="AJ8" s="6" t="str">
        <f aca="false">IF(W8="RC",X8," ")</f>
        <v> </v>
      </c>
      <c r="AK8" s="6" t="str">
        <f aca="false">IF(W8="RT",X8," ")</f>
        <v> </v>
      </c>
      <c r="AL8" s="6" t="str">
        <f aca="false">IF(W8="DV",X8," ")</f>
        <v> </v>
      </c>
      <c r="AM8" s="6" t="str">
        <f aca="false">IF(W8="DL",X8," ")</f>
        <v> </v>
      </c>
      <c r="AN8" s="6" t="str">
        <f aca="false">IF(W8="X",X8," ")</f>
        <v> </v>
      </c>
    </row>
    <row r="9" customFormat="false" ht="12" hidden="false" customHeight="false" outlineLevel="0" collapsed="false">
      <c r="G9" s="6" t="str">
        <f aca="false">IF(E9="BB",F9," ")</f>
        <v> </v>
      </c>
      <c r="H9" s="6" t="str">
        <f aca="false">IF(E9="BD",F9," ")</f>
        <v> </v>
      </c>
      <c r="I9" s="6" t="str">
        <f aca="false">IF(E9="BC",F9," ")</f>
        <v> </v>
      </c>
      <c r="J9" s="6" t="str">
        <f aca="false">IF(E9="DR",F9," ")</f>
        <v> </v>
      </c>
      <c r="K9" s="6" t="str">
        <f aca="false">IF(E9="K",F9," ")</f>
        <v> </v>
      </c>
      <c r="L9" s="6" t="str">
        <f aca="false">IF(E9="LDR",F9," ")</f>
        <v> </v>
      </c>
      <c r="M9" s="6" t="str">
        <f aca="false">IF(E9="LCR",F9," ")</f>
        <v> </v>
      </c>
      <c r="N9" s="6" t="str">
        <f aca="false">IF(E9="RV",F9," ")</f>
        <v> </v>
      </c>
      <c r="O9" s="6" t="str">
        <f aca="false">IF(E9="RC",F9," ")</f>
        <v> </v>
      </c>
      <c r="P9" s="6" t="str">
        <f aca="false">IF(E9="DL",F9," ")</f>
        <v> </v>
      </c>
      <c r="Q9" s="6" t="str">
        <f aca="false">IF(E9="X",F9," ")</f>
        <v> </v>
      </c>
      <c r="R9" s="37"/>
      <c r="W9" s="6" t="str">
        <f aca="false">IF(X9&lt;&gt;0,"Enter Code"," ")</f>
        <v> </v>
      </c>
      <c r="Y9" s="6" t="str">
        <f aca="false">IF(W9="BB",X9," ")</f>
        <v> </v>
      </c>
      <c r="Z9" s="6" t="str">
        <f aca="false">IF(W9="BD",X9," ")</f>
        <v> </v>
      </c>
      <c r="AA9" s="6" t="str">
        <f aca="false">IF(W9="BC",X9," ")</f>
        <v> </v>
      </c>
      <c r="AB9" s="6" t="str">
        <f aca="false">IF(W9="CR",X9," ")</f>
        <v> </v>
      </c>
      <c r="AC9" s="6" t="str">
        <f aca="false">IF(W9="W",X9," ")</f>
        <v> </v>
      </c>
      <c r="AD9" s="6" t="str">
        <f aca="false">IF(W9="B",X9," ")</f>
        <v> </v>
      </c>
      <c r="AE9" s="6" t="str">
        <f aca="false">IF(W9="J",X9," ")</f>
        <v> </v>
      </c>
      <c r="AF9" s="6" t="str">
        <f aca="false">IF(W9="LDR",X9," ")</f>
        <v> </v>
      </c>
      <c r="AG9" s="6" t="str">
        <f aca="false">IF(W9="LCR",X9," ")</f>
        <v> </v>
      </c>
      <c r="AH9" s="6" t="str">
        <f aca="false">IF(W9="RP",X9," ")</f>
        <v> </v>
      </c>
      <c r="AI9" s="6" t="str">
        <f aca="false">IF(W9="RV",X9," ")</f>
        <v> </v>
      </c>
      <c r="AJ9" s="6" t="str">
        <f aca="false">IF(W9="RC",X9," ")</f>
        <v> </v>
      </c>
      <c r="AK9" s="6" t="str">
        <f aca="false">IF(W9="RT",X9," ")</f>
        <v> </v>
      </c>
      <c r="AL9" s="6" t="str">
        <f aca="false">IF(W9="DV",X9," ")</f>
        <v> </v>
      </c>
      <c r="AM9" s="6" t="str">
        <f aca="false">IF(W9="DL",X9," ")</f>
        <v> </v>
      </c>
      <c r="AN9" s="6" t="str">
        <f aca="false">IF(W9="X",X9," ")</f>
        <v> </v>
      </c>
    </row>
    <row r="10" customFormat="false" ht="12" hidden="false" customHeight="false" outlineLevel="0" collapsed="false">
      <c r="G10" s="6" t="str">
        <f aca="false">IF(E10="BB",F10," ")</f>
        <v> </v>
      </c>
      <c r="H10" s="6" t="str">
        <f aca="false">IF(E10="BD",F10," ")</f>
        <v> </v>
      </c>
      <c r="I10" s="6" t="str">
        <f aca="false">IF(E10="BC",F10," ")</f>
        <v> </v>
      </c>
      <c r="J10" s="6" t="str">
        <f aca="false">IF(E10="DR",F10," ")</f>
        <v> </v>
      </c>
      <c r="K10" s="6" t="str">
        <f aca="false">IF(E10="K",F10," ")</f>
        <v> </v>
      </c>
      <c r="L10" s="6" t="str">
        <f aca="false">IF(E10="LDR",F10," ")</f>
        <v> </v>
      </c>
      <c r="M10" s="6" t="str">
        <f aca="false">IF(E10="LCR",F10," ")</f>
        <v> </v>
      </c>
      <c r="N10" s="6" t="str">
        <f aca="false">IF(E10="RV",F10," ")</f>
        <v> </v>
      </c>
      <c r="O10" s="6" t="str">
        <f aca="false">IF(E10="RC",F10," ")</f>
        <v> </v>
      </c>
      <c r="P10" s="6" t="str">
        <f aca="false">IF(E10="DL",F10," ")</f>
        <v> </v>
      </c>
      <c r="Q10" s="6" t="str">
        <f aca="false">IF(E10="X",F10," ")</f>
        <v> </v>
      </c>
      <c r="R10" s="37"/>
      <c r="W10" s="6" t="str">
        <f aca="false">IF(X10&lt;&gt;0,"Enter Code"," ")</f>
        <v> </v>
      </c>
      <c r="Y10" s="6" t="str">
        <f aca="false">IF(W10="BB",X10," ")</f>
        <v> </v>
      </c>
      <c r="Z10" s="6" t="str">
        <f aca="false">IF(W10="BD",X10," ")</f>
        <v> </v>
      </c>
      <c r="AA10" s="6" t="str">
        <f aca="false">IF(W10="BC",X10," ")</f>
        <v> </v>
      </c>
      <c r="AB10" s="6" t="str">
        <f aca="false">IF(W10="CR",X10," ")</f>
        <v> </v>
      </c>
      <c r="AC10" s="6" t="str">
        <f aca="false">IF(W10="W",X10," ")</f>
        <v> </v>
      </c>
      <c r="AD10" s="6" t="str">
        <f aca="false">IF(W10="B",X10," ")</f>
        <v> </v>
      </c>
      <c r="AE10" s="6" t="str">
        <f aca="false">IF(W10="J",X10," ")</f>
        <v> </v>
      </c>
      <c r="AF10" s="6" t="str">
        <f aca="false">IF(W10="LDR",X10," ")</f>
        <v> </v>
      </c>
      <c r="AG10" s="6" t="str">
        <f aca="false">IF(W10="LCR",X10," ")</f>
        <v> </v>
      </c>
      <c r="AH10" s="6" t="str">
        <f aca="false">IF(W10="RP",X10," ")</f>
        <v> </v>
      </c>
      <c r="AI10" s="6" t="str">
        <f aca="false">IF(W10="RV",X10," ")</f>
        <v> </v>
      </c>
      <c r="AJ10" s="6" t="str">
        <f aca="false">IF(W10="RC",X10," ")</f>
        <v> </v>
      </c>
      <c r="AK10" s="6" t="str">
        <f aca="false">IF(W10="RT",X10," ")</f>
        <v> </v>
      </c>
      <c r="AL10" s="6" t="str">
        <f aca="false">IF(W10="DV",X10," ")</f>
        <v> </v>
      </c>
      <c r="AM10" s="6" t="str">
        <f aca="false">IF(W10="DL",X10," ")</f>
        <v> </v>
      </c>
      <c r="AN10" s="6" t="str">
        <f aca="false">IF(W10="X",X10," ")</f>
        <v> </v>
      </c>
    </row>
    <row r="11" customFormat="false" ht="12" hidden="false" customHeight="false" outlineLevel="0" collapsed="false">
      <c r="G11" s="6" t="str">
        <f aca="false">IF(E11="BB",F11," ")</f>
        <v> </v>
      </c>
      <c r="H11" s="6" t="str">
        <f aca="false">IF(E11="BD",F11," ")</f>
        <v> </v>
      </c>
      <c r="I11" s="6" t="str">
        <f aca="false">IF(E11="BC",F11," ")</f>
        <v> </v>
      </c>
      <c r="J11" s="6" t="str">
        <f aca="false">IF(E11="DR",F11," ")</f>
        <v> </v>
      </c>
      <c r="K11" s="6" t="str">
        <f aca="false">IF(E11="K",F11," ")</f>
        <v> </v>
      </c>
      <c r="L11" s="6" t="str">
        <f aca="false">IF(E11="LDR",F11," ")</f>
        <v> </v>
      </c>
      <c r="M11" s="6" t="str">
        <f aca="false">IF(E11="LCR",F11," ")</f>
        <v> </v>
      </c>
      <c r="N11" s="6" t="str">
        <f aca="false">IF(E11="RV",F11," ")</f>
        <v> </v>
      </c>
      <c r="O11" s="6" t="str">
        <f aca="false">IF(E11="RC",F11," ")</f>
        <v> </v>
      </c>
      <c r="P11" s="6" t="str">
        <f aca="false">IF(E11="DL",F11," ")</f>
        <v> </v>
      </c>
      <c r="Q11" s="6" t="str">
        <f aca="false">IF(E11="X",F11," ")</f>
        <v> </v>
      </c>
      <c r="R11" s="37"/>
      <c r="W11" s="6" t="str">
        <f aca="false">IF(X11&lt;&gt;0,"Enter Code"," ")</f>
        <v> </v>
      </c>
      <c r="Y11" s="6" t="str">
        <f aca="false">IF(W11="BB",X11," ")</f>
        <v> </v>
      </c>
      <c r="Z11" s="6" t="str">
        <f aca="false">IF(W11="BD",X11," ")</f>
        <v> </v>
      </c>
      <c r="AA11" s="6" t="str">
        <f aca="false">IF(W11="BC",X11," ")</f>
        <v> </v>
      </c>
      <c r="AB11" s="6" t="str">
        <f aca="false">IF(W11="CR",X11," ")</f>
        <v> </v>
      </c>
      <c r="AC11" s="6" t="str">
        <f aca="false">IF(W11="W",X11," ")</f>
        <v> </v>
      </c>
      <c r="AD11" s="6" t="str">
        <f aca="false">IF(W11="B",X11," ")</f>
        <v> </v>
      </c>
      <c r="AE11" s="6" t="str">
        <f aca="false">IF(W11="J",X11," ")</f>
        <v> </v>
      </c>
      <c r="AF11" s="6" t="str">
        <f aca="false">IF(W11="LDR",X11," ")</f>
        <v> </v>
      </c>
      <c r="AG11" s="6" t="str">
        <f aca="false">IF(W11="LCR",X11," ")</f>
        <v> </v>
      </c>
      <c r="AH11" s="6" t="str">
        <f aca="false">IF(W11="RP",X11," ")</f>
        <v> </v>
      </c>
      <c r="AI11" s="6" t="str">
        <f aca="false">IF(W11="RV",X11," ")</f>
        <v> </v>
      </c>
      <c r="AJ11" s="6" t="str">
        <f aca="false">IF(W11="RC",X11," ")</f>
        <v> </v>
      </c>
      <c r="AK11" s="6" t="str">
        <f aca="false">IF(W11="RT",X11," ")</f>
        <v> </v>
      </c>
      <c r="AL11" s="6" t="str">
        <f aca="false">IF(W11="DV",X11," ")</f>
        <v> </v>
      </c>
      <c r="AM11" s="6" t="str">
        <f aca="false">IF(W11="DL",X11," ")</f>
        <v> </v>
      </c>
      <c r="AN11" s="6" t="str">
        <f aca="false">IF(W11="X",X11," ")</f>
        <v> </v>
      </c>
    </row>
    <row r="12" customFormat="false" ht="12" hidden="false" customHeight="false" outlineLevel="0" collapsed="false">
      <c r="G12" s="6" t="str">
        <f aca="false">IF(E12="BB",F12," ")</f>
        <v> </v>
      </c>
      <c r="H12" s="6" t="str">
        <f aca="false">IF(E12="BD",F12," ")</f>
        <v> </v>
      </c>
      <c r="I12" s="6" t="str">
        <f aca="false">IF(E12="BC",F12," ")</f>
        <v> </v>
      </c>
      <c r="J12" s="6" t="str">
        <f aca="false">IF(E12="DR",F12," ")</f>
        <v> </v>
      </c>
      <c r="K12" s="6" t="str">
        <f aca="false">IF(E12="K",F12," ")</f>
        <v> </v>
      </c>
      <c r="L12" s="6" t="str">
        <f aca="false">IF(E12="LDR",F12," ")</f>
        <v> </v>
      </c>
      <c r="M12" s="6" t="str">
        <f aca="false">IF(E12="LCR",F12," ")</f>
        <v> </v>
      </c>
      <c r="N12" s="6" t="str">
        <f aca="false">IF(E12="RV",F12," ")</f>
        <v> </v>
      </c>
      <c r="O12" s="6" t="str">
        <f aca="false">IF(E12="RC",F12," ")</f>
        <v> </v>
      </c>
      <c r="P12" s="6" t="str">
        <f aca="false">IF(E12="DL",F12," ")</f>
        <v> </v>
      </c>
      <c r="Q12" s="6" t="str">
        <f aca="false">IF(E12="X",F12," ")</f>
        <v> </v>
      </c>
      <c r="R12" s="37"/>
      <c r="W12" s="6" t="str">
        <f aca="false">IF(X12&lt;&gt;0,"Enter Code"," ")</f>
        <v> </v>
      </c>
      <c r="Y12" s="6" t="str">
        <f aca="false">IF(W12="BB",X12," ")</f>
        <v> </v>
      </c>
      <c r="Z12" s="6" t="str">
        <f aca="false">IF(W12="BD",X12," ")</f>
        <v> </v>
      </c>
      <c r="AA12" s="6" t="str">
        <f aca="false">IF(W12="BC",X12," ")</f>
        <v> </v>
      </c>
      <c r="AB12" s="6" t="str">
        <f aca="false">IF(W12="CR",X12," ")</f>
        <v> </v>
      </c>
      <c r="AC12" s="6" t="str">
        <f aca="false">IF(W12="W",X12," ")</f>
        <v> </v>
      </c>
      <c r="AD12" s="6" t="str">
        <f aca="false">IF(W12="B",X12," ")</f>
        <v> </v>
      </c>
      <c r="AE12" s="6" t="str">
        <f aca="false">IF(W12="J",X12," ")</f>
        <v> </v>
      </c>
      <c r="AF12" s="6" t="str">
        <f aca="false">IF(W12="LDR",X12," ")</f>
        <v> </v>
      </c>
      <c r="AG12" s="6" t="str">
        <f aca="false">IF(W12="LCR",X12," ")</f>
        <v> </v>
      </c>
      <c r="AH12" s="6" t="str">
        <f aca="false">IF(W12="RP",X12," ")</f>
        <v> </v>
      </c>
      <c r="AI12" s="6" t="str">
        <f aca="false">IF(W12="RV",X12," ")</f>
        <v> </v>
      </c>
      <c r="AJ12" s="6" t="str">
        <f aca="false">IF(W12="RC",X12," ")</f>
        <v> </v>
      </c>
      <c r="AK12" s="6" t="str">
        <f aca="false">IF(W12="RT",X12," ")</f>
        <v> </v>
      </c>
      <c r="AL12" s="6" t="str">
        <f aca="false">IF(W12="DV",X12," ")</f>
        <v> </v>
      </c>
      <c r="AM12" s="6" t="str">
        <f aca="false">IF(W12="DL",X12," ")</f>
        <v> </v>
      </c>
      <c r="AN12" s="6" t="str">
        <f aca="false">IF(W12="X",X12," ")</f>
        <v> </v>
      </c>
    </row>
    <row r="13" customFormat="false" ht="12" hidden="false" customHeight="false" outlineLevel="0" collapsed="false">
      <c r="G13" s="6" t="str">
        <f aca="false">IF(E13="BB",F13," ")</f>
        <v> </v>
      </c>
      <c r="H13" s="6" t="str">
        <f aca="false">IF(E13="BD",F13," ")</f>
        <v> </v>
      </c>
      <c r="I13" s="6" t="str">
        <f aca="false">IF(E13="BC",F13," ")</f>
        <v> </v>
      </c>
      <c r="J13" s="6" t="str">
        <f aca="false">IF(E13="DR",F13," ")</f>
        <v> </v>
      </c>
      <c r="K13" s="6" t="str">
        <f aca="false">IF(E13="K",F13," ")</f>
        <v> </v>
      </c>
      <c r="L13" s="6" t="str">
        <f aca="false">IF(E13="LDR",F13," ")</f>
        <v> </v>
      </c>
      <c r="M13" s="6" t="str">
        <f aca="false">IF(E13="LCR",F13," ")</f>
        <v> </v>
      </c>
      <c r="N13" s="6" t="str">
        <f aca="false">IF(E13="RV",F13," ")</f>
        <v> </v>
      </c>
      <c r="O13" s="6" t="str">
        <f aca="false">IF(E13="RC",F13," ")</f>
        <v> </v>
      </c>
      <c r="P13" s="6" t="str">
        <f aca="false">IF(E13="DL",F13," ")</f>
        <v> </v>
      </c>
      <c r="Q13" s="6" t="str">
        <f aca="false">IF(E13="X",F13," ")</f>
        <v> </v>
      </c>
      <c r="R13" s="37"/>
      <c r="W13" s="6" t="str">
        <f aca="false">IF(X13&lt;&gt;0,"Enter Code"," ")</f>
        <v> </v>
      </c>
      <c r="Y13" s="6" t="str">
        <f aca="false">IF(W13="BB",X13," ")</f>
        <v> </v>
      </c>
      <c r="Z13" s="6" t="str">
        <f aca="false">IF(W13="BD",X13," ")</f>
        <v> </v>
      </c>
      <c r="AA13" s="6" t="str">
        <f aca="false">IF(W13="BC",X13," ")</f>
        <v> </v>
      </c>
      <c r="AB13" s="6" t="str">
        <f aca="false">IF(W13="CR",X13," ")</f>
        <v> </v>
      </c>
      <c r="AC13" s="6" t="str">
        <f aca="false">IF(W13="W",X13," ")</f>
        <v> </v>
      </c>
      <c r="AD13" s="6" t="str">
        <f aca="false">IF(W13="B",X13," ")</f>
        <v> </v>
      </c>
      <c r="AE13" s="6" t="str">
        <f aca="false">IF(W13="J",X13," ")</f>
        <v> </v>
      </c>
      <c r="AF13" s="6" t="str">
        <f aca="false">IF(W13="LDR",X13," ")</f>
        <v> </v>
      </c>
      <c r="AG13" s="6" t="str">
        <f aca="false">IF(W13="LCR",X13," ")</f>
        <v> </v>
      </c>
      <c r="AH13" s="6" t="str">
        <f aca="false">IF(W13="RP",X13," ")</f>
        <v> </v>
      </c>
      <c r="AI13" s="6" t="str">
        <f aca="false">IF(W13="RV",X13," ")</f>
        <v> </v>
      </c>
      <c r="AJ13" s="6" t="str">
        <f aca="false">IF(W13="RC",X13," ")</f>
        <v> </v>
      </c>
      <c r="AK13" s="6" t="str">
        <f aca="false">IF(W13="RT",X13," ")</f>
        <v> </v>
      </c>
      <c r="AL13" s="6" t="str">
        <f aca="false">IF(W13="DV",X13," ")</f>
        <v> </v>
      </c>
      <c r="AM13" s="6" t="str">
        <f aca="false">IF(W13="DL",X13," ")</f>
        <v> </v>
      </c>
      <c r="AN13" s="6" t="str">
        <f aca="false">IF(W13="X",X13," ")</f>
        <v> </v>
      </c>
    </row>
    <row r="14" customFormat="false" ht="12" hidden="false" customHeight="false" outlineLevel="0" collapsed="false">
      <c r="G14" s="6" t="str">
        <f aca="false">IF(E14="BB",F14," ")</f>
        <v> </v>
      </c>
      <c r="H14" s="6" t="str">
        <f aca="false">IF(E14="BD",F14," ")</f>
        <v> </v>
      </c>
      <c r="I14" s="6" t="str">
        <f aca="false">IF(E14="BC",F14," ")</f>
        <v> </v>
      </c>
      <c r="J14" s="6" t="str">
        <f aca="false">IF(E14="DR",F14," ")</f>
        <v> </v>
      </c>
      <c r="K14" s="6" t="str">
        <f aca="false">IF(E14="K",F14," ")</f>
        <v> </v>
      </c>
      <c r="L14" s="6" t="str">
        <f aca="false">IF(E14="LDR",F14," ")</f>
        <v> </v>
      </c>
      <c r="M14" s="6" t="str">
        <f aca="false">IF(E14="LCR",F14," ")</f>
        <v> </v>
      </c>
      <c r="N14" s="6" t="str">
        <f aca="false">IF(E14="RV",F14," ")</f>
        <v> </v>
      </c>
      <c r="O14" s="6" t="str">
        <f aca="false">IF(E14="RC",F14," ")</f>
        <v> </v>
      </c>
      <c r="P14" s="6" t="str">
        <f aca="false">IF(E14="DL",F14," ")</f>
        <v> </v>
      </c>
      <c r="Q14" s="6" t="str">
        <f aca="false">IF(E14="X",F14," ")</f>
        <v> </v>
      </c>
      <c r="R14" s="37"/>
      <c r="W14" s="6" t="str">
        <f aca="false">IF(X14&lt;&gt;0,"Enter Code"," ")</f>
        <v> </v>
      </c>
      <c r="Y14" s="6" t="str">
        <f aca="false">IF(W14="BB",X14," ")</f>
        <v> </v>
      </c>
      <c r="Z14" s="6" t="str">
        <f aca="false">IF(W14="BD",X14," ")</f>
        <v> </v>
      </c>
      <c r="AA14" s="6" t="str">
        <f aca="false">IF(W14="BC",X14," ")</f>
        <v> </v>
      </c>
      <c r="AB14" s="6" t="str">
        <f aca="false">IF(W14="CR",X14," ")</f>
        <v> </v>
      </c>
      <c r="AC14" s="6" t="str">
        <f aca="false">IF(W14="W",X14," ")</f>
        <v> </v>
      </c>
      <c r="AD14" s="6" t="str">
        <f aca="false">IF(W14="B",X14," ")</f>
        <v> </v>
      </c>
      <c r="AE14" s="6" t="str">
        <f aca="false">IF(W14="J",X14," ")</f>
        <v> </v>
      </c>
      <c r="AF14" s="6" t="str">
        <f aca="false">IF(W14="LDR",X14," ")</f>
        <v> </v>
      </c>
      <c r="AG14" s="6" t="str">
        <f aca="false">IF(W14="LCR",X14," ")</f>
        <v> </v>
      </c>
      <c r="AH14" s="6" t="str">
        <f aca="false">IF(W14="RP",X14," ")</f>
        <v> </v>
      </c>
      <c r="AI14" s="6" t="str">
        <f aca="false">IF(W14="RV",X14," ")</f>
        <v> </v>
      </c>
      <c r="AJ14" s="6" t="str">
        <f aca="false">IF(W14="RC",X14," ")</f>
        <v> </v>
      </c>
      <c r="AK14" s="6" t="str">
        <f aca="false">IF(W14="RT",X14," ")</f>
        <v> </v>
      </c>
      <c r="AL14" s="6" t="str">
        <f aca="false">IF(W14="DV",X14," ")</f>
        <v> </v>
      </c>
      <c r="AM14" s="6" t="str">
        <f aca="false">IF(W14="DL",X14," ")</f>
        <v> </v>
      </c>
      <c r="AN14" s="6" t="str">
        <f aca="false">IF(W14="X",X14," ")</f>
        <v> </v>
      </c>
    </row>
    <row r="15" customFormat="false" ht="12" hidden="false" customHeight="false" outlineLevel="0" collapsed="false">
      <c r="G15" s="6" t="str">
        <f aca="false">IF(E15="BB",F15," ")</f>
        <v> </v>
      </c>
      <c r="H15" s="6" t="str">
        <f aca="false">IF(E15="BD",F15," ")</f>
        <v> </v>
      </c>
      <c r="I15" s="6" t="str">
        <f aca="false">IF(E15="BC",F15," ")</f>
        <v> </v>
      </c>
      <c r="J15" s="6" t="str">
        <f aca="false">IF(E15="DR",F15," ")</f>
        <v> </v>
      </c>
      <c r="K15" s="6" t="str">
        <f aca="false">IF(E15="K",F15," ")</f>
        <v> </v>
      </c>
      <c r="L15" s="6" t="str">
        <f aca="false">IF(E15="LDR",F15," ")</f>
        <v> </v>
      </c>
      <c r="M15" s="6" t="str">
        <f aca="false">IF(E15="LCR",F15," ")</f>
        <v> </v>
      </c>
      <c r="N15" s="6" t="str">
        <f aca="false">IF(E15="RV",F15," ")</f>
        <v> </v>
      </c>
      <c r="O15" s="6" t="str">
        <f aca="false">IF(E15="RC",F15," ")</f>
        <v> </v>
      </c>
      <c r="P15" s="6" t="str">
        <f aca="false">IF(E15="DL",F15," ")</f>
        <v> </v>
      </c>
      <c r="Q15" s="6" t="str">
        <f aca="false">IF(E15="X",F15," ")</f>
        <v> </v>
      </c>
      <c r="R15" s="37"/>
      <c r="W15" s="6" t="str">
        <f aca="false">IF(X15&lt;&gt;0,"Enter Code"," ")</f>
        <v> </v>
      </c>
      <c r="Y15" s="6" t="str">
        <f aca="false">IF(W15="BB",X15," ")</f>
        <v> </v>
      </c>
      <c r="Z15" s="6" t="str">
        <f aca="false">IF(W15="BD",X15," ")</f>
        <v> </v>
      </c>
      <c r="AA15" s="6" t="str">
        <f aca="false">IF(W15="BC",X15," ")</f>
        <v> </v>
      </c>
      <c r="AB15" s="6" t="str">
        <f aca="false">IF(W15="CR",X15," ")</f>
        <v> </v>
      </c>
      <c r="AC15" s="6" t="str">
        <f aca="false">IF(W15="W",X15," ")</f>
        <v> </v>
      </c>
      <c r="AD15" s="6" t="str">
        <f aca="false">IF(W15="B",X15," ")</f>
        <v> </v>
      </c>
      <c r="AE15" s="6" t="str">
        <f aca="false">IF(W15="J",X15," ")</f>
        <v> </v>
      </c>
      <c r="AF15" s="6" t="str">
        <f aca="false">IF(W15="LDR",X15," ")</f>
        <v> </v>
      </c>
      <c r="AG15" s="6" t="str">
        <f aca="false">IF(W15="LCR",X15," ")</f>
        <v> </v>
      </c>
      <c r="AH15" s="6" t="str">
        <f aca="false">IF(W15="RP",X15," ")</f>
        <v> </v>
      </c>
      <c r="AI15" s="6" t="str">
        <f aca="false">IF(W15="RV",X15," ")</f>
        <v> </v>
      </c>
      <c r="AJ15" s="6" t="str">
        <f aca="false">IF(W15="RC",X15," ")</f>
        <v> </v>
      </c>
      <c r="AK15" s="6" t="str">
        <f aca="false">IF(W15="RT",X15," ")</f>
        <v> </v>
      </c>
      <c r="AL15" s="6" t="str">
        <f aca="false">IF(W15="DV",X15," ")</f>
        <v> </v>
      </c>
      <c r="AM15" s="6" t="str">
        <f aca="false">IF(W15="DL",X15," ")</f>
        <v> </v>
      </c>
      <c r="AN15" s="6" t="str">
        <f aca="false">IF(W15="X",X15," ")</f>
        <v> </v>
      </c>
    </row>
    <row r="16" customFormat="false" ht="12" hidden="false" customHeight="false" outlineLevel="0" collapsed="false">
      <c r="G16" s="6" t="str">
        <f aca="false">IF(E16="BB",F16," ")</f>
        <v> </v>
      </c>
      <c r="H16" s="6" t="str">
        <f aca="false">IF(E16="BD",F16," ")</f>
        <v> </v>
      </c>
      <c r="I16" s="6" t="str">
        <f aca="false">IF(E16="BC",F16," ")</f>
        <v> </v>
      </c>
      <c r="J16" s="6" t="str">
        <f aca="false">IF(E16="DR",F16," ")</f>
        <v> </v>
      </c>
      <c r="K16" s="6" t="str">
        <f aca="false">IF(E16="K",F16," ")</f>
        <v> </v>
      </c>
      <c r="L16" s="6" t="str">
        <f aca="false">IF(E16="LDR",F16," ")</f>
        <v> </v>
      </c>
      <c r="M16" s="6" t="str">
        <f aca="false">IF(E16="LCR",F16," ")</f>
        <v> </v>
      </c>
      <c r="N16" s="6" t="str">
        <f aca="false">IF(E16="RV",F16," ")</f>
        <v> </v>
      </c>
      <c r="O16" s="6" t="str">
        <f aca="false">IF(E16="RC",F16," ")</f>
        <v> </v>
      </c>
      <c r="P16" s="6" t="str">
        <f aca="false">IF(E16="DL",F16," ")</f>
        <v> </v>
      </c>
      <c r="Q16" s="6" t="str">
        <f aca="false">IF(E16="X",F16," ")</f>
        <v> </v>
      </c>
      <c r="R16" s="37"/>
      <c r="W16" s="6" t="str">
        <f aca="false">IF(X16&lt;&gt;0,"Enter Code"," ")</f>
        <v> </v>
      </c>
      <c r="Y16" s="6" t="str">
        <f aca="false">IF(W16="BB",X16," ")</f>
        <v> </v>
      </c>
      <c r="Z16" s="6" t="str">
        <f aca="false">IF(W16="BD",X16," ")</f>
        <v> </v>
      </c>
      <c r="AA16" s="6" t="str">
        <f aca="false">IF(W16="BC",X16," ")</f>
        <v> </v>
      </c>
      <c r="AB16" s="6" t="str">
        <f aca="false">IF(W16="CR",X16," ")</f>
        <v> </v>
      </c>
      <c r="AC16" s="6" t="str">
        <f aca="false">IF(W16="W",X16," ")</f>
        <v> </v>
      </c>
      <c r="AD16" s="6" t="str">
        <f aca="false">IF(W16="B",X16," ")</f>
        <v> </v>
      </c>
      <c r="AE16" s="6" t="str">
        <f aca="false">IF(W16="J",X16," ")</f>
        <v> </v>
      </c>
      <c r="AF16" s="6" t="str">
        <f aca="false">IF(W16="LDR",X16," ")</f>
        <v> </v>
      </c>
      <c r="AG16" s="6" t="str">
        <f aca="false">IF(W16="LCR",X16," ")</f>
        <v> </v>
      </c>
      <c r="AH16" s="6" t="str">
        <f aca="false">IF(W16="RP",X16," ")</f>
        <v> </v>
      </c>
      <c r="AI16" s="6" t="str">
        <f aca="false">IF(W16="RV",X16," ")</f>
        <v> </v>
      </c>
      <c r="AJ16" s="6" t="str">
        <f aca="false">IF(W16="RC",X16," ")</f>
        <v> </v>
      </c>
      <c r="AK16" s="6" t="str">
        <f aca="false">IF(W16="RT",X16," ")</f>
        <v> </v>
      </c>
      <c r="AL16" s="6" t="str">
        <f aca="false">IF(W16="DV",X16," ")</f>
        <v> </v>
      </c>
      <c r="AM16" s="6" t="str">
        <f aca="false">IF(W16="DL",X16," ")</f>
        <v> </v>
      </c>
      <c r="AN16" s="6" t="str">
        <f aca="false">IF(W16="X",X16," ")</f>
        <v> </v>
      </c>
    </row>
    <row r="17" customFormat="false" ht="12" hidden="false" customHeight="false" outlineLevel="0" collapsed="false">
      <c r="G17" s="6" t="str">
        <f aca="false">IF(E17="BB",F17," ")</f>
        <v> </v>
      </c>
      <c r="H17" s="6" t="str">
        <f aca="false">IF(E17="BD",F17," ")</f>
        <v> </v>
      </c>
      <c r="I17" s="6" t="str">
        <f aca="false">IF(E17="BC",F17," ")</f>
        <v> </v>
      </c>
      <c r="J17" s="6" t="str">
        <f aca="false">IF(E17="DR",F17," ")</f>
        <v> </v>
      </c>
      <c r="K17" s="6" t="str">
        <f aca="false">IF(E17="K",F17," ")</f>
        <v> </v>
      </c>
      <c r="L17" s="6" t="str">
        <f aca="false">IF(E17="LDR",F17," ")</f>
        <v> </v>
      </c>
      <c r="M17" s="6" t="str">
        <f aca="false">IF(E17="LCR",F17," ")</f>
        <v> </v>
      </c>
      <c r="N17" s="6" t="str">
        <f aca="false">IF(E17="RV",F17," ")</f>
        <v> </v>
      </c>
      <c r="O17" s="6" t="str">
        <f aca="false">IF(E17="RC",F17," ")</f>
        <v> </v>
      </c>
      <c r="P17" s="6" t="str">
        <f aca="false">IF(E17="DL",F17," ")</f>
        <v> </v>
      </c>
      <c r="Q17" s="6" t="str">
        <f aca="false">IF(E17="X",F17," ")</f>
        <v> </v>
      </c>
      <c r="R17" s="37"/>
      <c r="W17" s="6" t="str">
        <f aca="false">IF(X17&lt;&gt;0,"Enter Code"," ")</f>
        <v> </v>
      </c>
      <c r="Y17" s="6" t="str">
        <f aca="false">IF(W17="BB",X17," ")</f>
        <v> </v>
      </c>
      <c r="Z17" s="6" t="str">
        <f aca="false">IF(W17="BD",X17," ")</f>
        <v> </v>
      </c>
      <c r="AA17" s="6" t="str">
        <f aca="false">IF(W17="BC",X17," ")</f>
        <v> </v>
      </c>
      <c r="AB17" s="6" t="str">
        <f aca="false">IF(W17="CR",X17," ")</f>
        <v> </v>
      </c>
      <c r="AC17" s="6" t="str">
        <f aca="false">IF(W17="W",X17," ")</f>
        <v> </v>
      </c>
      <c r="AD17" s="6" t="str">
        <f aca="false">IF(W17="B",X17," ")</f>
        <v> </v>
      </c>
      <c r="AE17" s="6" t="str">
        <f aca="false">IF(W17="J",X17," ")</f>
        <v> </v>
      </c>
      <c r="AF17" s="6" t="str">
        <f aca="false">IF(W17="LDR",X17," ")</f>
        <v> </v>
      </c>
      <c r="AG17" s="6" t="str">
        <f aca="false">IF(W17="LCR",X17," ")</f>
        <v> </v>
      </c>
      <c r="AH17" s="6" t="str">
        <f aca="false">IF(W17="RP",X17," ")</f>
        <v> </v>
      </c>
      <c r="AI17" s="6" t="str">
        <f aca="false">IF(W17="RV",X17," ")</f>
        <v> </v>
      </c>
      <c r="AJ17" s="6" t="str">
        <f aca="false">IF(W17="RC",X17," ")</f>
        <v> </v>
      </c>
      <c r="AK17" s="6" t="str">
        <f aca="false">IF(W17="RT",X17," ")</f>
        <v> </v>
      </c>
      <c r="AL17" s="6" t="str">
        <f aca="false">IF(W17="DV",X17," ")</f>
        <v> </v>
      </c>
      <c r="AM17" s="6" t="str">
        <f aca="false">IF(W17="DL",X17," ")</f>
        <v> </v>
      </c>
      <c r="AN17" s="6" t="str">
        <f aca="false">IF(W17="X",X17," ")</f>
        <v> </v>
      </c>
    </row>
    <row r="18" customFormat="false" ht="12" hidden="false" customHeight="false" outlineLevel="0" collapsed="false">
      <c r="G18" s="6" t="str">
        <f aca="false">IF(E18="BB",F18," ")</f>
        <v> </v>
      </c>
      <c r="H18" s="6" t="str">
        <f aca="false">IF(E18="BD",F18," ")</f>
        <v> </v>
      </c>
      <c r="I18" s="6" t="str">
        <f aca="false">IF(E18="BC",F18," ")</f>
        <v> </v>
      </c>
      <c r="J18" s="6" t="str">
        <f aca="false">IF(E18="DR",F18," ")</f>
        <v> </v>
      </c>
      <c r="K18" s="6" t="str">
        <f aca="false">IF(E18="K",F18," ")</f>
        <v> </v>
      </c>
      <c r="L18" s="6" t="str">
        <f aca="false">IF(E18="LDR",F18," ")</f>
        <v> </v>
      </c>
      <c r="M18" s="6" t="str">
        <f aca="false">IF(E18="LCR",F18," ")</f>
        <v> </v>
      </c>
      <c r="N18" s="6" t="str">
        <f aca="false">IF(E18="RV",F18," ")</f>
        <v> </v>
      </c>
      <c r="O18" s="6" t="str">
        <f aca="false">IF(E18="RC",F18," ")</f>
        <v> </v>
      </c>
      <c r="P18" s="6" t="str">
        <f aca="false">IF(E18="DL",F18," ")</f>
        <v> </v>
      </c>
      <c r="Q18" s="6" t="str">
        <f aca="false">IF(E18="X",F18," ")</f>
        <v> </v>
      </c>
      <c r="R18" s="37"/>
      <c r="W18" s="6" t="str">
        <f aca="false">IF(X18&lt;&gt;0,"Enter Code"," ")</f>
        <v> </v>
      </c>
      <c r="Y18" s="6" t="str">
        <f aca="false">IF(W18="BB",X18," ")</f>
        <v> </v>
      </c>
      <c r="Z18" s="6" t="str">
        <f aca="false">IF(W18="BD",X18," ")</f>
        <v> </v>
      </c>
      <c r="AA18" s="6" t="str">
        <f aca="false">IF(W18="BC",X18," ")</f>
        <v> </v>
      </c>
      <c r="AB18" s="6" t="str">
        <f aca="false">IF(W18="CR",X18," ")</f>
        <v> </v>
      </c>
      <c r="AC18" s="6" t="str">
        <f aca="false">IF(W18="W",X18," ")</f>
        <v> </v>
      </c>
      <c r="AD18" s="6" t="str">
        <f aca="false">IF(W18="B",X18," ")</f>
        <v> </v>
      </c>
      <c r="AE18" s="6" t="str">
        <f aca="false">IF(W18="J",X18," ")</f>
        <v> </v>
      </c>
      <c r="AF18" s="6" t="str">
        <f aca="false">IF(W18="LDR",X18," ")</f>
        <v> </v>
      </c>
      <c r="AG18" s="6" t="str">
        <f aca="false">IF(W18="LCR",X18," ")</f>
        <v> </v>
      </c>
      <c r="AH18" s="6" t="str">
        <f aca="false">IF(W18="RP",X18," ")</f>
        <v> </v>
      </c>
      <c r="AI18" s="6" t="str">
        <f aca="false">IF(W18="RV",X18," ")</f>
        <v> </v>
      </c>
      <c r="AJ18" s="6" t="str">
        <f aca="false">IF(W18="RC",X18," ")</f>
        <v> </v>
      </c>
      <c r="AK18" s="6" t="str">
        <f aca="false">IF(W18="RT",X18," ")</f>
        <v> </v>
      </c>
      <c r="AL18" s="6" t="str">
        <f aca="false">IF(W18="DV",X18," ")</f>
        <v> </v>
      </c>
      <c r="AM18" s="6" t="str">
        <f aca="false">IF(W18="DL",X18," ")</f>
        <v> </v>
      </c>
      <c r="AN18" s="6" t="str">
        <f aca="false">IF(W18="X",X18," ")</f>
        <v> </v>
      </c>
    </row>
    <row r="19" customFormat="false" ht="12" hidden="false" customHeight="false" outlineLevel="0" collapsed="false">
      <c r="G19" s="6" t="str">
        <f aca="false">IF(E19="BB",F19," ")</f>
        <v> </v>
      </c>
      <c r="H19" s="6" t="str">
        <f aca="false">IF(E19="BD",F19," ")</f>
        <v> </v>
      </c>
      <c r="I19" s="6" t="str">
        <f aca="false">IF(E19="BC",F19," ")</f>
        <v> </v>
      </c>
      <c r="J19" s="6" t="str">
        <f aca="false">IF(E19="DR",F19," ")</f>
        <v> </v>
      </c>
      <c r="K19" s="6" t="str">
        <f aca="false">IF(E19="K",F19," ")</f>
        <v> </v>
      </c>
      <c r="L19" s="6" t="str">
        <f aca="false">IF(E19="LDR",F19," ")</f>
        <v> </v>
      </c>
      <c r="M19" s="6" t="str">
        <f aca="false">IF(E19="LCR",F19," ")</f>
        <v> </v>
      </c>
      <c r="N19" s="6" t="str">
        <f aca="false">IF(E19="RV",F19," ")</f>
        <v> </v>
      </c>
      <c r="O19" s="6" t="str">
        <f aca="false">IF(E19="RC",F19," ")</f>
        <v> </v>
      </c>
      <c r="P19" s="6" t="str">
        <f aca="false">IF(E19="DL",F19," ")</f>
        <v> </v>
      </c>
      <c r="Q19" s="6" t="str">
        <f aca="false">IF(E19="X",F19," ")</f>
        <v> </v>
      </c>
      <c r="R19" s="37"/>
      <c r="W19" s="6" t="str">
        <f aca="false">IF(X19&lt;&gt;0,"Enter Code"," ")</f>
        <v> </v>
      </c>
      <c r="Y19" s="6" t="str">
        <f aca="false">IF(W19="BB",X19," ")</f>
        <v> </v>
      </c>
      <c r="Z19" s="6" t="str">
        <f aca="false">IF(W19="BD",X19," ")</f>
        <v> </v>
      </c>
      <c r="AA19" s="6" t="str">
        <f aca="false">IF(W19="BC",X19," ")</f>
        <v> </v>
      </c>
      <c r="AB19" s="6" t="str">
        <f aca="false">IF(W19="CR",X19," ")</f>
        <v> </v>
      </c>
      <c r="AC19" s="6" t="str">
        <f aca="false">IF(W19="W",X19," ")</f>
        <v> </v>
      </c>
      <c r="AD19" s="6" t="str">
        <f aca="false">IF(W19="B",X19," ")</f>
        <v> </v>
      </c>
      <c r="AE19" s="6" t="str">
        <f aca="false">IF(W19="J",X19," ")</f>
        <v> </v>
      </c>
      <c r="AF19" s="6" t="str">
        <f aca="false">IF(W19="LDR",X19," ")</f>
        <v> </v>
      </c>
      <c r="AG19" s="6" t="str">
        <f aca="false">IF(W19="LCR",X19," ")</f>
        <v> </v>
      </c>
      <c r="AH19" s="6" t="str">
        <f aca="false">IF(W19="RP",X19," ")</f>
        <v> </v>
      </c>
      <c r="AI19" s="6" t="str">
        <f aca="false">IF(W19="RV",X19," ")</f>
        <v> </v>
      </c>
      <c r="AJ19" s="6" t="str">
        <f aca="false">IF(W19="RC",X19," ")</f>
        <v> </v>
      </c>
      <c r="AK19" s="6" t="str">
        <f aca="false">IF(W19="RT",X19," ")</f>
        <v> </v>
      </c>
      <c r="AL19" s="6" t="str">
        <f aca="false">IF(W19="DV",X19," ")</f>
        <v> </v>
      </c>
      <c r="AM19" s="6" t="str">
        <f aca="false">IF(W19="DL",X19," ")</f>
        <v> </v>
      </c>
      <c r="AN19" s="6" t="str">
        <f aca="false">IF(W19="X",X19," ")</f>
        <v> </v>
      </c>
    </row>
    <row r="20" customFormat="false" ht="12" hidden="false" customHeight="false" outlineLevel="0" collapsed="false">
      <c r="G20" s="6" t="str">
        <f aca="false">IF(E20="BB",F20," ")</f>
        <v> </v>
      </c>
      <c r="H20" s="6" t="str">
        <f aca="false">IF(E20="BD",F20," ")</f>
        <v> </v>
      </c>
      <c r="I20" s="6" t="str">
        <f aca="false">IF(E20="BC",F20," ")</f>
        <v> </v>
      </c>
      <c r="J20" s="6" t="str">
        <f aca="false">IF(E20="DR",F20," ")</f>
        <v> </v>
      </c>
      <c r="K20" s="6" t="str">
        <f aca="false">IF(E20="K",F20," ")</f>
        <v> </v>
      </c>
      <c r="L20" s="6" t="str">
        <f aca="false">IF(E20="LDR",F20," ")</f>
        <v> </v>
      </c>
      <c r="M20" s="6" t="str">
        <f aca="false">IF(E20="LCR",F20," ")</f>
        <v> </v>
      </c>
      <c r="N20" s="6" t="str">
        <f aca="false">IF(E20="RV",F20," ")</f>
        <v> </v>
      </c>
      <c r="O20" s="6" t="str">
        <f aca="false">IF(E20="RC",F20," ")</f>
        <v> </v>
      </c>
      <c r="P20" s="6" t="str">
        <f aca="false">IF(E20="DL",F20," ")</f>
        <v> </v>
      </c>
      <c r="Q20" s="6" t="str">
        <f aca="false">IF(E20="X",F20," ")</f>
        <v> </v>
      </c>
      <c r="R20" s="37"/>
      <c r="W20" s="6" t="str">
        <f aca="false">IF(X20&lt;&gt;0,"Enter Code"," ")</f>
        <v> </v>
      </c>
      <c r="Y20" s="6" t="str">
        <f aca="false">IF(W20="BB",X20," ")</f>
        <v> </v>
      </c>
      <c r="Z20" s="6" t="str">
        <f aca="false">IF(W20="BD",X20," ")</f>
        <v> </v>
      </c>
      <c r="AA20" s="6" t="str">
        <f aca="false">IF(W20="BC",X20," ")</f>
        <v> </v>
      </c>
      <c r="AB20" s="6" t="str">
        <f aca="false">IF(W20="CR",X20," ")</f>
        <v> </v>
      </c>
      <c r="AC20" s="6" t="str">
        <f aca="false">IF(W20="W",X20," ")</f>
        <v> </v>
      </c>
      <c r="AD20" s="6" t="str">
        <f aca="false">IF(W20="B",X20," ")</f>
        <v> </v>
      </c>
      <c r="AE20" s="6" t="str">
        <f aca="false">IF(W20="J",X20," ")</f>
        <v> </v>
      </c>
      <c r="AF20" s="6" t="str">
        <f aca="false">IF(W20="LDR",X20," ")</f>
        <v> </v>
      </c>
      <c r="AG20" s="6" t="str">
        <f aca="false">IF(W20="LCR",X20," ")</f>
        <v> </v>
      </c>
      <c r="AH20" s="6" t="str">
        <f aca="false">IF(W20="RP",X20," ")</f>
        <v> </v>
      </c>
      <c r="AI20" s="6" t="str">
        <f aca="false">IF(W20="RV",X20," ")</f>
        <v> </v>
      </c>
      <c r="AJ20" s="6" t="str">
        <f aca="false">IF(W20="RC",X20," ")</f>
        <v> </v>
      </c>
      <c r="AK20" s="6" t="str">
        <f aca="false">IF(W20="RT",X20," ")</f>
        <v> </v>
      </c>
      <c r="AL20" s="6" t="str">
        <f aca="false">IF(W20="DV",X20," ")</f>
        <v> </v>
      </c>
      <c r="AM20" s="6" t="str">
        <f aca="false">IF(W20="DL",X20," ")</f>
        <v> </v>
      </c>
      <c r="AN20" s="6" t="str">
        <f aca="false">IF(W20="X",X20," ")</f>
        <v> </v>
      </c>
    </row>
    <row r="21" customFormat="false" ht="12" hidden="false" customHeight="false" outlineLevel="0" collapsed="false">
      <c r="G21" s="6" t="str">
        <f aca="false">IF(E21="BB",F21," ")</f>
        <v> </v>
      </c>
      <c r="H21" s="6" t="str">
        <f aca="false">IF(E21="BD",F21," ")</f>
        <v> </v>
      </c>
      <c r="I21" s="6" t="str">
        <f aca="false">IF(E21="BC",F21," ")</f>
        <v> </v>
      </c>
      <c r="J21" s="6" t="str">
        <f aca="false">IF(E21="DR",F21," ")</f>
        <v> </v>
      </c>
      <c r="K21" s="6" t="str">
        <f aca="false">IF(E21="K",F21," ")</f>
        <v> </v>
      </c>
      <c r="L21" s="6" t="str">
        <f aca="false">IF(E21="LDR",F21," ")</f>
        <v> </v>
      </c>
      <c r="M21" s="6" t="str">
        <f aca="false">IF(E21="LCR",F21," ")</f>
        <v> </v>
      </c>
      <c r="N21" s="6" t="str">
        <f aca="false">IF(E21="RV",F21," ")</f>
        <v> </v>
      </c>
      <c r="O21" s="6" t="str">
        <f aca="false">IF(E21="RC",F21," ")</f>
        <v> </v>
      </c>
      <c r="P21" s="6" t="str">
        <f aca="false">IF(E21="DL",F21," ")</f>
        <v> </v>
      </c>
      <c r="Q21" s="6" t="str">
        <f aca="false">IF(E21="X",F21," ")</f>
        <v> </v>
      </c>
      <c r="R21" s="37"/>
      <c r="W21" s="6" t="str">
        <f aca="false">IF(X21&lt;&gt;0,"Enter Code"," ")</f>
        <v> </v>
      </c>
      <c r="Y21" s="6" t="str">
        <f aca="false">IF(W21="BB",X21," ")</f>
        <v> </v>
      </c>
      <c r="Z21" s="6" t="str">
        <f aca="false">IF(W21="BD",X21," ")</f>
        <v> </v>
      </c>
      <c r="AA21" s="6" t="str">
        <f aca="false">IF(W21="BC",X21," ")</f>
        <v> </v>
      </c>
      <c r="AB21" s="6" t="str">
        <f aca="false">IF(W21="CR",X21," ")</f>
        <v> </v>
      </c>
      <c r="AC21" s="6" t="str">
        <f aca="false">IF(W21="W",X21," ")</f>
        <v> </v>
      </c>
      <c r="AD21" s="6" t="str">
        <f aca="false">IF(W21="B",X21," ")</f>
        <v> </v>
      </c>
      <c r="AE21" s="6" t="str">
        <f aca="false">IF(W21="J",X21," ")</f>
        <v> </v>
      </c>
      <c r="AF21" s="6" t="str">
        <f aca="false">IF(W21="LDR",X21," ")</f>
        <v> </v>
      </c>
      <c r="AG21" s="6" t="str">
        <f aca="false">IF(W21="LCR",X21," ")</f>
        <v> </v>
      </c>
      <c r="AH21" s="6" t="str">
        <f aca="false">IF(W21="RP",X21," ")</f>
        <v> </v>
      </c>
      <c r="AI21" s="6" t="str">
        <f aca="false">IF(W21="RV",X21," ")</f>
        <v> </v>
      </c>
      <c r="AJ21" s="6" t="str">
        <f aca="false">IF(W21="RC",X21," ")</f>
        <v> </v>
      </c>
      <c r="AK21" s="6" t="str">
        <f aca="false">IF(W21="RT",X21," ")</f>
        <v> </v>
      </c>
      <c r="AL21" s="6" t="str">
        <f aca="false">IF(W21="DV",X21," ")</f>
        <v> </v>
      </c>
      <c r="AM21" s="6" t="str">
        <f aca="false">IF(W21="DL",X21," ")</f>
        <v> </v>
      </c>
      <c r="AN21" s="6" t="str">
        <f aca="false">IF(W21="X",X21," ")</f>
        <v> </v>
      </c>
    </row>
    <row r="22" customFormat="false" ht="12" hidden="false" customHeight="false" outlineLevel="0" collapsed="false">
      <c r="G22" s="6" t="str">
        <f aca="false">IF(E22="BB",F22," ")</f>
        <v> </v>
      </c>
      <c r="H22" s="6" t="str">
        <f aca="false">IF(E22="BD",F22," ")</f>
        <v> </v>
      </c>
      <c r="I22" s="6" t="str">
        <f aca="false">IF(E22="BC",F22," ")</f>
        <v> </v>
      </c>
      <c r="J22" s="6" t="str">
        <f aca="false">IF(E22="DR",F22," ")</f>
        <v> </v>
      </c>
      <c r="K22" s="6" t="str">
        <f aca="false">IF(E22="K",F22," ")</f>
        <v> </v>
      </c>
      <c r="L22" s="6" t="str">
        <f aca="false">IF(E22="LDR",F22," ")</f>
        <v> </v>
      </c>
      <c r="M22" s="6" t="str">
        <f aca="false">IF(E22="LCR",F22," ")</f>
        <v> </v>
      </c>
      <c r="N22" s="6" t="str">
        <f aca="false">IF(E22="RV",F22," ")</f>
        <v> </v>
      </c>
      <c r="O22" s="6" t="str">
        <f aca="false">IF(E22="RC",F22," ")</f>
        <v> </v>
      </c>
      <c r="P22" s="6" t="str">
        <f aca="false">IF(E22="DL",F22," ")</f>
        <v> </v>
      </c>
      <c r="Q22" s="6" t="str">
        <f aca="false">IF(E22="X",F22," ")</f>
        <v> </v>
      </c>
      <c r="R22" s="37"/>
      <c r="W22" s="6" t="str">
        <f aca="false">IF(X22&lt;&gt;0,"Enter Code"," ")</f>
        <v> </v>
      </c>
      <c r="Y22" s="6" t="str">
        <f aca="false">IF(W22="BB",X22," ")</f>
        <v> </v>
      </c>
      <c r="Z22" s="6" t="str">
        <f aca="false">IF(W22="BD",X22," ")</f>
        <v> </v>
      </c>
      <c r="AA22" s="6" t="str">
        <f aca="false">IF(W22="BC",X22," ")</f>
        <v> </v>
      </c>
      <c r="AB22" s="6" t="str">
        <f aca="false">IF(W22="CR",X22," ")</f>
        <v> </v>
      </c>
      <c r="AC22" s="6" t="str">
        <f aca="false">IF(W22="W",X22," ")</f>
        <v> </v>
      </c>
      <c r="AD22" s="6" t="str">
        <f aca="false">IF(W22="B",X22," ")</f>
        <v> </v>
      </c>
      <c r="AE22" s="6" t="str">
        <f aca="false">IF(W22="J",X22," ")</f>
        <v> </v>
      </c>
      <c r="AF22" s="6" t="str">
        <f aca="false">IF(W22="LDR",X22," ")</f>
        <v> </v>
      </c>
      <c r="AG22" s="6" t="str">
        <f aca="false">IF(W22="LCR",X22," ")</f>
        <v> </v>
      </c>
      <c r="AH22" s="6" t="str">
        <f aca="false">IF(W22="RP",X22," ")</f>
        <v> </v>
      </c>
      <c r="AI22" s="6" t="str">
        <f aca="false">IF(W22="RV",X22," ")</f>
        <v> </v>
      </c>
      <c r="AJ22" s="6" t="str">
        <f aca="false">IF(W22="RC",X22," ")</f>
        <v> </v>
      </c>
      <c r="AK22" s="6" t="str">
        <f aca="false">IF(W22="RT",X22," ")</f>
        <v> </v>
      </c>
      <c r="AL22" s="6" t="str">
        <f aca="false">IF(W22="DV",X22," ")</f>
        <v> </v>
      </c>
      <c r="AM22" s="6" t="str">
        <f aca="false">IF(W22="DL",X22," ")</f>
        <v> </v>
      </c>
      <c r="AN22" s="6" t="str">
        <f aca="false">IF(W22="X",X22," ")</f>
        <v> </v>
      </c>
    </row>
    <row r="23" customFormat="false" ht="12" hidden="false" customHeight="false" outlineLevel="0" collapsed="false">
      <c r="G23" s="6" t="str">
        <f aca="false">IF(E23="BB",F23," ")</f>
        <v> </v>
      </c>
      <c r="H23" s="6" t="str">
        <f aca="false">IF(E23="BD",F23," ")</f>
        <v> </v>
      </c>
      <c r="I23" s="6" t="str">
        <f aca="false">IF(E23="BC",F23," ")</f>
        <v> </v>
      </c>
      <c r="J23" s="6" t="str">
        <f aca="false">IF(E23="DR",F23," ")</f>
        <v> </v>
      </c>
      <c r="K23" s="6" t="str">
        <f aca="false">IF(E23="K",F23," ")</f>
        <v> </v>
      </c>
      <c r="L23" s="6" t="str">
        <f aca="false">IF(E23="LDR",F23," ")</f>
        <v> </v>
      </c>
      <c r="M23" s="6" t="str">
        <f aca="false">IF(E23="LCR",F23," ")</f>
        <v> </v>
      </c>
      <c r="N23" s="6" t="str">
        <f aca="false">IF(E23="RV",F23," ")</f>
        <v> </v>
      </c>
      <c r="O23" s="6" t="str">
        <f aca="false">IF(E23="RC",F23," ")</f>
        <v> </v>
      </c>
      <c r="P23" s="6" t="str">
        <f aca="false">IF(E23="DL",F23," ")</f>
        <v> </v>
      </c>
      <c r="Q23" s="6" t="str">
        <f aca="false">IF(E23="X",F23," ")</f>
        <v> </v>
      </c>
      <c r="R23" s="37"/>
      <c r="W23" s="6" t="str">
        <f aca="false">IF(X23&lt;&gt;0,"Enter Code"," ")</f>
        <v> </v>
      </c>
      <c r="Y23" s="6" t="str">
        <f aca="false">IF(W23="BB",X23," ")</f>
        <v> </v>
      </c>
      <c r="Z23" s="6" t="str">
        <f aca="false">IF(W23="BD",X23," ")</f>
        <v> </v>
      </c>
      <c r="AA23" s="6" t="str">
        <f aca="false">IF(W23="BC",X23," ")</f>
        <v> </v>
      </c>
      <c r="AB23" s="6" t="str">
        <f aca="false">IF(W23="CR",X23," ")</f>
        <v> </v>
      </c>
      <c r="AC23" s="6" t="str">
        <f aca="false">IF(W23="W",X23," ")</f>
        <v> </v>
      </c>
      <c r="AD23" s="6" t="str">
        <f aca="false">IF(W23="B",X23," ")</f>
        <v> </v>
      </c>
      <c r="AE23" s="6" t="str">
        <f aca="false">IF(W23="J",X23," ")</f>
        <v> </v>
      </c>
      <c r="AF23" s="6" t="str">
        <f aca="false">IF(W23="LDR",X23," ")</f>
        <v> </v>
      </c>
      <c r="AG23" s="6" t="str">
        <f aca="false">IF(W23="LCR",X23," ")</f>
        <v> </v>
      </c>
      <c r="AH23" s="6" t="str">
        <f aca="false">IF(W23="RP",X23," ")</f>
        <v> </v>
      </c>
      <c r="AI23" s="6" t="str">
        <f aca="false">IF(W23="RV",X23," ")</f>
        <v> </v>
      </c>
      <c r="AJ23" s="6" t="str">
        <f aca="false">IF(W23="RC",X23," ")</f>
        <v> </v>
      </c>
      <c r="AK23" s="6" t="str">
        <f aca="false">IF(W23="RT",X23," ")</f>
        <v> </v>
      </c>
      <c r="AL23" s="6" t="str">
        <f aca="false">IF(W23="DV",X23," ")</f>
        <v> </v>
      </c>
      <c r="AM23" s="6" t="str">
        <f aca="false">IF(W23="DL",X23," ")</f>
        <v> </v>
      </c>
      <c r="AN23" s="6" t="str">
        <f aca="false">IF(W23="X",X23," ")</f>
        <v> </v>
      </c>
    </row>
    <row r="24" customFormat="false" ht="12" hidden="false" customHeight="false" outlineLevel="0" collapsed="false">
      <c r="G24" s="6" t="str">
        <f aca="false">IF(E24="BB",F24," ")</f>
        <v> </v>
      </c>
      <c r="H24" s="6" t="str">
        <f aca="false">IF(E24="BD",F24," ")</f>
        <v> </v>
      </c>
      <c r="I24" s="6" t="str">
        <f aca="false">IF(E24="BC",F24," ")</f>
        <v> </v>
      </c>
      <c r="J24" s="6" t="str">
        <f aca="false">IF(E24="DR",F24," ")</f>
        <v> </v>
      </c>
      <c r="K24" s="6" t="str">
        <f aca="false">IF(E24="K",F24," ")</f>
        <v> </v>
      </c>
      <c r="L24" s="6" t="str">
        <f aca="false">IF(E24="LDR",F24," ")</f>
        <v> </v>
      </c>
      <c r="M24" s="6" t="str">
        <f aca="false">IF(E24="LCR",F24," ")</f>
        <v> </v>
      </c>
      <c r="N24" s="6" t="str">
        <f aca="false">IF(E24="RV",F24," ")</f>
        <v> </v>
      </c>
      <c r="O24" s="6" t="str">
        <f aca="false">IF(E24="RC",F24," ")</f>
        <v> </v>
      </c>
      <c r="P24" s="6" t="str">
        <f aca="false">IF(E24="DL",F24," ")</f>
        <v> </v>
      </c>
      <c r="Q24" s="6" t="str">
        <f aca="false">IF(E24="X",F24," ")</f>
        <v> </v>
      </c>
      <c r="R24" s="37"/>
      <c r="W24" s="6" t="str">
        <f aca="false">IF(X24&lt;&gt;0,"Enter Code"," ")</f>
        <v> </v>
      </c>
      <c r="Y24" s="6" t="str">
        <f aca="false">IF(W24="BB",X24," ")</f>
        <v> </v>
      </c>
      <c r="Z24" s="6" t="str">
        <f aca="false">IF(W24="BD",X24," ")</f>
        <v> </v>
      </c>
      <c r="AA24" s="6" t="str">
        <f aca="false">IF(W24="BC",X24," ")</f>
        <v> </v>
      </c>
      <c r="AB24" s="6" t="str">
        <f aca="false">IF(W24="CR",X24," ")</f>
        <v> </v>
      </c>
      <c r="AC24" s="6" t="str">
        <f aca="false">IF(W24="W",X24," ")</f>
        <v> </v>
      </c>
      <c r="AD24" s="6" t="str">
        <f aca="false">IF(W24="B",X24," ")</f>
        <v> </v>
      </c>
      <c r="AE24" s="6" t="str">
        <f aca="false">IF(W24="J",X24," ")</f>
        <v> </v>
      </c>
      <c r="AF24" s="6" t="str">
        <f aca="false">IF(W24="LDR",X24," ")</f>
        <v> </v>
      </c>
      <c r="AG24" s="6" t="str">
        <f aca="false">IF(W24="LCR",X24," ")</f>
        <v> </v>
      </c>
      <c r="AH24" s="6" t="str">
        <f aca="false">IF(W24="RP",X24," ")</f>
        <v> </v>
      </c>
      <c r="AI24" s="6" t="str">
        <f aca="false">IF(W24="RV",X24," ")</f>
        <v> </v>
      </c>
      <c r="AJ24" s="6" t="str">
        <f aca="false">IF(W24="RC",X24," ")</f>
        <v> </v>
      </c>
      <c r="AK24" s="6" t="str">
        <f aca="false">IF(W24="RT",X24," ")</f>
        <v> </v>
      </c>
      <c r="AL24" s="6" t="str">
        <f aca="false">IF(W24="DV",X24," ")</f>
        <v> </v>
      </c>
      <c r="AM24" s="6" t="str">
        <f aca="false">IF(W24="DL",X24," ")</f>
        <v> </v>
      </c>
      <c r="AN24" s="6" t="str">
        <f aca="false">IF(W24="X",X24," ")</f>
        <v> </v>
      </c>
    </row>
    <row r="25" customFormat="false" ht="12" hidden="false" customHeight="false" outlineLevel="0" collapsed="false">
      <c r="G25" s="6" t="str">
        <f aca="false">IF(E25="BB",F25," ")</f>
        <v> </v>
      </c>
      <c r="H25" s="6" t="str">
        <f aca="false">IF(E25="BD",F25," ")</f>
        <v> </v>
      </c>
      <c r="I25" s="6" t="str">
        <f aca="false">IF(E25="BC",F25," ")</f>
        <v> </v>
      </c>
      <c r="J25" s="6" t="str">
        <f aca="false">IF(E25="DR",F25," ")</f>
        <v> </v>
      </c>
      <c r="K25" s="6" t="str">
        <f aca="false">IF(E25="K",F25," ")</f>
        <v> </v>
      </c>
      <c r="L25" s="6" t="str">
        <f aca="false">IF(E25="LDR",F25," ")</f>
        <v> </v>
      </c>
      <c r="M25" s="6" t="str">
        <f aca="false">IF(E25="LCR",F25," ")</f>
        <v> </v>
      </c>
      <c r="N25" s="6" t="str">
        <f aca="false">IF(E25="RV",F25," ")</f>
        <v> </v>
      </c>
      <c r="O25" s="6" t="str">
        <f aca="false">IF(E25="RC",F25," ")</f>
        <v> </v>
      </c>
      <c r="P25" s="6" t="str">
        <f aca="false">IF(E25="DL",F25," ")</f>
        <v> </v>
      </c>
      <c r="Q25" s="6" t="str">
        <f aca="false">IF(E25="X",F25," ")</f>
        <v> </v>
      </c>
      <c r="R25" s="37"/>
      <c r="W25" s="6" t="str">
        <f aca="false">IF(X25&lt;&gt;0,"Enter Code"," ")</f>
        <v> </v>
      </c>
      <c r="Y25" s="6" t="str">
        <f aca="false">IF(W25="BB",X25," ")</f>
        <v> </v>
      </c>
      <c r="Z25" s="6" t="str">
        <f aca="false">IF(W25="BD",X25," ")</f>
        <v> </v>
      </c>
      <c r="AA25" s="6" t="str">
        <f aca="false">IF(W25="BC",X25," ")</f>
        <v> </v>
      </c>
      <c r="AB25" s="6" t="str">
        <f aca="false">IF(W25="CR",X25," ")</f>
        <v> </v>
      </c>
      <c r="AC25" s="6" t="str">
        <f aca="false">IF(W25="W",X25," ")</f>
        <v> </v>
      </c>
      <c r="AD25" s="6" t="str">
        <f aca="false">IF(W25="B",X25," ")</f>
        <v> </v>
      </c>
      <c r="AE25" s="6" t="str">
        <f aca="false">IF(W25="J",X25," ")</f>
        <v> </v>
      </c>
      <c r="AF25" s="6" t="str">
        <f aca="false">IF(W25="LDR",X25," ")</f>
        <v> </v>
      </c>
      <c r="AG25" s="6" t="str">
        <f aca="false">IF(W25="LCR",X25," ")</f>
        <v> </v>
      </c>
      <c r="AH25" s="6" t="str">
        <f aca="false">IF(W25="RP",X25," ")</f>
        <v> </v>
      </c>
      <c r="AI25" s="6" t="str">
        <f aca="false">IF(W25="RV",X25," ")</f>
        <v> </v>
      </c>
      <c r="AJ25" s="6" t="str">
        <f aca="false">IF(W25="RC",X25," ")</f>
        <v> </v>
      </c>
      <c r="AK25" s="6" t="str">
        <f aca="false">IF(W25="RT",X25," ")</f>
        <v> </v>
      </c>
      <c r="AL25" s="6" t="str">
        <f aca="false">IF(W25="DV",X25," ")</f>
        <v> </v>
      </c>
      <c r="AM25" s="6" t="str">
        <f aca="false">IF(W25="DL",X25," ")</f>
        <v> </v>
      </c>
      <c r="AN25" s="6" t="str">
        <f aca="false">IF(W25="X",X25," ")</f>
        <v> </v>
      </c>
    </row>
    <row r="26" customFormat="false" ht="12" hidden="false" customHeight="false" outlineLevel="0" collapsed="false">
      <c r="G26" s="6" t="str">
        <f aca="false">IF(E26="BB",F26," ")</f>
        <v> </v>
      </c>
      <c r="H26" s="6" t="str">
        <f aca="false">IF(E26="BD",F26," ")</f>
        <v> </v>
      </c>
      <c r="I26" s="6" t="str">
        <f aca="false">IF(E26="BC",F26," ")</f>
        <v> </v>
      </c>
      <c r="J26" s="6" t="str">
        <f aca="false">IF(E26="DR",F26," ")</f>
        <v> </v>
      </c>
      <c r="K26" s="6" t="str">
        <f aca="false">IF(E26="K",F26," ")</f>
        <v> </v>
      </c>
      <c r="L26" s="6" t="str">
        <f aca="false">IF(E26="LDR",F26," ")</f>
        <v> </v>
      </c>
      <c r="M26" s="6" t="str">
        <f aca="false">IF(E26="LCR",F26," ")</f>
        <v> </v>
      </c>
      <c r="N26" s="6" t="str">
        <f aca="false">IF(E26="RV",F26," ")</f>
        <v> </v>
      </c>
      <c r="O26" s="6" t="str">
        <f aca="false">IF(E26="RC",F26," ")</f>
        <v> </v>
      </c>
      <c r="P26" s="6" t="str">
        <f aca="false">IF(E26="DL",F26," ")</f>
        <v> </v>
      </c>
      <c r="Q26" s="6" t="str">
        <f aca="false">IF(E26="X",F26," ")</f>
        <v> </v>
      </c>
      <c r="R26" s="37"/>
      <c r="W26" s="6" t="str">
        <f aca="false">IF(X26&lt;&gt;0,"Enter Code"," ")</f>
        <v> </v>
      </c>
      <c r="Y26" s="6" t="str">
        <f aca="false">IF(W26="BB",X26," ")</f>
        <v> </v>
      </c>
      <c r="Z26" s="6" t="str">
        <f aca="false">IF(W26="BD",X26," ")</f>
        <v> </v>
      </c>
      <c r="AA26" s="6" t="str">
        <f aca="false">IF(W26="BC",X26," ")</f>
        <v> </v>
      </c>
      <c r="AB26" s="6" t="str">
        <f aca="false">IF(W26="CR",X26," ")</f>
        <v> </v>
      </c>
      <c r="AC26" s="6" t="str">
        <f aca="false">IF(W26="W",X26," ")</f>
        <v> </v>
      </c>
      <c r="AD26" s="6" t="str">
        <f aca="false">IF(W26="B",X26," ")</f>
        <v> </v>
      </c>
      <c r="AE26" s="6" t="str">
        <f aca="false">IF(W26="J",X26," ")</f>
        <v> </v>
      </c>
      <c r="AF26" s="6" t="str">
        <f aca="false">IF(W26="LDR",X26," ")</f>
        <v> </v>
      </c>
      <c r="AG26" s="6" t="str">
        <f aca="false">IF(W26="LCR",X26," ")</f>
        <v> </v>
      </c>
      <c r="AH26" s="6" t="str">
        <f aca="false">IF(W26="RP",X26," ")</f>
        <v> </v>
      </c>
      <c r="AI26" s="6" t="str">
        <f aca="false">IF(W26="RV",X26," ")</f>
        <v> </v>
      </c>
      <c r="AJ26" s="6" t="str">
        <f aca="false">IF(W26="RC",X26," ")</f>
        <v> </v>
      </c>
      <c r="AK26" s="6" t="str">
        <f aca="false">IF(W26="RT",X26," ")</f>
        <v> </v>
      </c>
      <c r="AL26" s="6" t="str">
        <f aca="false">IF(W26="DV",X26," ")</f>
        <v> </v>
      </c>
      <c r="AM26" s="6" t="str">
        <f aca="false">IF(W26="DL",X26," ")</f>
        <v> </v>
      </c>
      <c r="AN26" s="6" t="str">
        <f aca="false">IF(W26="X",X26," ")</f>
        <v> </v>
      </c>
    </row>
    <row r="27" customFormat="false" ht="12" hidden="false" customHeight="false" outlineLevel="0" collapsed="false">
      <c r="G27" s="6" t="str">
        <f aca="false">IF(E27="BB",F27," ")</f>
        <v> </v>
      </c>
      <c r="H27" s="6" t="str">
        <f aca="false">IF(E27="BD",F27," ")</f>
        <v> </v>
      </c>
      <c r="I27" s="6" t="str">
        <f aca="false">IF(E27="BC",F27," ")</f>
        <v> </v>
      </c>
      <c r="J27" s="6" t="str">
        <f aca="false">IF(E27="DR",F27," ")</f>
        <v> </v>
      </c>
      <c r="K27" s="6" t="str">
        <f aca="false">IF(E27="K",F27," ")</f>
        <v> </v>
      </c>
      <c r="L27" s="6" t="str">
        <f aca="false">IF(E27="LDR",F27," ")</f>
        <v> </v>
      </c>
      <c r="M27" s="6" t="str">
        <f aca="false">IF(E27="LCR",F27," ")</f>
        <v> </v>
      </c>
      <c r="N27" s="6" t="str">
        <f aca="false">IF(E27="RV",F27," ")</f>
        <v> </v>
      </c>
      <c r="O27" s="6" t="str">
        <f aca="false">IF(E27="RC",F27," ")</f>
        <v> </v>
      </c>
      <c r="P27" s="6" t="str">
        <f aca="false">IF(E27="DL",F27," ")</f>
        <v> </v>
      </c>
      <c r="Q27" s="6" t="str">
        <f aca="false">IF(E27="X",F27," ")</f>
        <v> </v>
      </c>
      <c r="R27" s="37"/>
      <c r="W27" s="6" t="str">
        <f aca="false">IF(X27&lt;&gt;0,"Enter Code"," ")</f>
        <v> </v>
      </c>
      <c r="Y27" s="6" t="str">
        <f aca="false">IF(W27="BB",X27," ")</f>
        <v> </v>
      </c>
      <c r="Z27" s="6" t="str">
        <f aca="false">IF(W27="BD",X27," ")</f>
        <v> </v>
      </c>
      <c r="AA27" s="6" t="str">
        <f aca="false">IF(W27="BC",X27," ")</f>
        <v> </v>
      </c>
      <c r="AB27" s="6" t="str">
        <f aca="false">IF(W27="CR",X27," ")</f>
        <v> </v>
      </c>
      <c r="AC27" s="6" t="str">
        <f aca="false">IF(W27="W",X27," ")</f>
        <v> </v>
      </c>
      <c r="AD27" s="6" t="str">
        <f aca="false">IF(W27="B",X27," ")</f>
        <v> </v>
      </c>
      <c r="AE27" s="6" t="str">
        <f aca="false">IF(W27="J",X27," ")</f>
        <v> </v>
      </c>
      <c r="AF27" s="6" t="str">
        <f aca="false">IF(W27="LDR",X27," ")</f>
        <v> </v>
      </c>
      <c r="AG27" s="6" t="str">
        <f aca="false">IF(W27="LCR",X27," ")</f>
        <v> </v>
      </c>
      <c r="AH27" s="6" t="str">
        <f aca="false">IF(W27="RP",X27," ")</f>
        <v> </v>
      </c>
      <c r="AI27" s="6" t="str">
        <f aca="false">IF(W27="RV",X27," ")</f>
        <v> </v>
      </c>
      <c r="AJ27" s="6" t="str">
        <f aca="false">IF(W27="RC",X27," ")</f>
        <v> </v>
      </c>
      <c r="AK27" s="6" t="str">
        <f aca="false">IF(W27="RT",X27," ")</f>
        <v> </v>
      </c>
      <c r="AL27" s="6" t="str">
        <f aca="false">IF(W27="DV",X27," ")</f>
        <v> </v>
      </c>
      <c r="AM27" s="6" t="str">
        <f aca="false">IF(W27="DL",X27," ")</f>
        <v> </v>
      </c>
      <c r="AN27" s="6" t="str">
        <f aca="false">IF(W27="X",X27," ")</f>
        <v> </v>
      </c>
    </row>
    <row r="28" customFormat="false" ht="12" hidden="false" customHeight="false" outlineLevel="0" collapsed="false">
      <c r="G28" s="6" t="str">
        <f aca="false">IF(E28="BB",F28," ")</f>
        <v> </v>
      </c>
      <c r="H28" s="6" t="str">
        <f aca="false">IF(E28="BD",F28," ")</f>
        <v> </v>
      </c>
      <c r="I28" s="6" t="str">
        <f aca="false">IF(E28="BC",F28," ")</f>
        <v> </v>
      </c>
      <c r="J28" s="6" t="str">
        <f aca="false">IF(E28="DR",F28," ")</f>
        <v> </v>
      </c>
      <c r="K28" s="6" t="str">
        <f aca="false">IF(E28="K",F28," ")</f>
        <v> </v>
      </c>
      <c r="L28" s="6" t="str">
        <f aca="false">IF(E28="LDR",F28," ")</f>
        <v> </v>
      </c>
      <c r="M28" s="6" t="str">
        <f aca="false">IF(E28="LCR",F28," ")</f>
        <v> </v>
      </c>
      <c r="N28" s="6" t="str">
        <f aca="false">IF(E28="RV",F28," ")</f>
        <v> </v>
      </c>
      <c r="O28" s="6" t="str">
        <f aca="false">IF(E28="RC",F28," ")</f>
        <v> </v>
      </c>
      <c r="P28" s="6" t="str">
        <f aca="false">IF(E28="DL",F28," ")</f>
        <v> </v>
      </c>
      <c r="Q28" s="6" t="str">
        <f aca="false">IF(E28="X",F28," ")</f>
        <v> </v>
      </c>
      <c r="R28" s="37"/>
      <c r="W28" s="6" t="str">
        <f aca="false">IF(X28&lt;&gt;0,"Enter Code"," ")</f>
        <v> </v>
      </c>
      <c r="Y28" s="6" t="str">
        <f aca="false">IF(W28="BB",X28," ")</f>
        <v> </v>
      </c>
      <c r="Z28" s="6" t="str">
        <f aca="false">IF(W28="BD",X28," ")</f>
        <v> </v>
      </c>
      <c r="AA28" s="6" t="str">
        <f aca="false">IF(W28="BC",X28," ")</f>
        <v> </v>
      </c>
      <c r="AB28" s="6" t="str">
        <f aca="false">IF(W28="CR",X28," ")</f>
        <v> </v>
      </c>
      <c r="AC28" s="6" t="str">
        <f aca="false">IF(W28="W",X28," ")</f>
        <v> </v>
      </c>
      <c r="AD28" s="6" t="str">
        <f aca="false">IF(W28="B",X28," ")</f>
        <v> </v>
      </c>
      <c r="AE28" s="6" t="str">
        <f aca="false">IF(W28="J",X28," ")</f>
        <v> </v>
      </c>
      <c r="AF28" s="6" t="str">
        <f aca="false">IF(W28="LDR",X28," ")</f>
        <v> </v>
      </c>
      <c r="AG28" s="6" t="str">
        <f aca="false">IF(W28="LCR",X28," ")</f>
        <v> </v>
      </c>
      <c r="AH28" s="6" t="str">
        <f aca="false">IF(W28="RP",X28," ")</f>
        <v> </v>
      </c>
      <c r="AI28" s="6" t="str">
        <f aca="false">IF(W28="RV",X28," ")</f>
        <v> </v>
      </c>
      <c r="AJ28" s="6" t="str">
        <f aca="false">IF(W28="RC",X28," ")</f>
        <v> </v>
      </c>
      <c r="AK28" s="6" t="str">
        <f aca="false">IF(W28="RT",X28," ")</f>
        <v> </v>
      </c>
      <c r="AL28" s="6" t="str">
        <f aca="false">IF(W28="DV",X28," ")</f>
        <v> </v>
      </c>
      <c r="AM28" s="6" t="str">
        <f aca="false">IF(W28="DL",X28," ")</f>
        <v> </v>
      </c>
      <c r="AN28" s="6" t="str">
        <f aca="false">IF(W28="X",X28," ")</f>
        <v> </v>
      </c>
    </row>
    <row r="29" customFormat="false" ht="12" hidden="false" customHeight="false" outlineLevel="0" collapsed="false">
      <c r="G29" s="6" t="str">
        <f aca="false">IF(E29="BB",F29," ")</f>
        <v> </v>
      </c>
      <c r="H29" s="6" t="str">
        <f aca="false">IF(E29="BD",F29," ")</f>
        <v> </v>
      </c>
      <c r="I29" s="6" t="str">
        <f aca="false">IF(E29="BC",F29," ")</f>
        <v> </v>
      </c>
      <c r="J29" s="6" t="str">
        <f aca="false">IF(E29="DR",F29," ")</f>
        <v> </v>
      </c>
      <c r="K29" s="6" t="str">
        <f aca="false">IF(E29="K",F29," ")</f>
        <v> </v>
      </c>
      <c r="L29" s="6" t="str">
        <f aca="false">IF(E29="LDR",F29," ")</f>
        <v> </v>
      </c>
      <c r="M29" s="6" t="str">
        <f aca="false">IF(E29="LCR",F29," ")</f>
        <v> </v>
      </c>
      <c r="N29" s="6" t="str">
        <f aca="false">IF(E29="RV",F29," ")</f>
        <v> </v>
      </c>
      <c r="O29" s="6" t="str">
        <f aca="false">IF(E29="RC",F29," ")</f>
        <v> </v>
      </c>
      <c r="P29" s="6" t="str">
        <f aca="false">IF(E29="DL",F29," ")</f>
        <v> </v>
      </c>
      <c r="Q29" s="6" t="str">
        <f aca="false">IF(E29="X",F29," ")</f>
        <v> </v>
      </c>
      <c r="R29" s="37"/>
      <c r="W29" s="6" t="str">
        <f aca="false">IF(X29&lt;&gt;0,"Enter Code"," ")</f>
        <v> </v>
      </c>
      <c r="Y29" s="6" t="str">
        <f aca="false">IF(W29="BB",X29," ")</f>
        <v> </v>
      </c>
      <c r="Z29" s="6" t="str">
        <f aca="false">IF(W29="BD",X29," ")</f>
        <v> </v>
      </c>
      <c r="AA29" s="6" t="str">
        <f aca="false">IF(W29="BC",X29," ")</f>
        <v> </v>
      </c>
      <c r="AB29" s="6" t="str">
        <f aca="false">IF(W29="CR",X29," ")</f>
        <v> </v>
      </c>
      <c r="AC29" s="6" t="str">
        <f aca="false">IF(W29="W",X29," ")</f>
        <v> </v>
      </c>
      <c r="AD29" s="6" t="str">
        <f aca="false">IF(W29="B",X29," ")</f>
        <v> </v>
      </c>
      <c r="AE29" s="6" t="str">
        <f aca="false">IF(W29="J",X29," ")</f>
        <v> </v>
      </c>
      <c r="AF29" s="6" t="str">
        <f aca="false">IF(W29="LDR",X29," ")</f>
        <v> </v>
      </c>
      <c r="AG29" s="6" t="str">
        <f aca="false">IF(W29="LCR",X29," ")</f>
        <v> </v>
      </c>
      <c r="AH29" s="6" t="str">
        <f aca="false">IF(W29="RP",X29," ")</f>
        <v> </v>
      </c>
      <c r="AI29" s="6" t="str">
        <f aca="false">IF(W29="RV",X29," ")</f>
        <v> </v>
      </c>
      <c r="AJ29" s="6" t="str">
        <f aca="false">IF(W29="RC",X29," ")</f>
        <v> </v>
      </c>
      <c r="AK29" s="6" t="str">
        <f aca="false">IF(W29="RT",X29," ")</f>
        <v> </v>
      </c>
      <c r="AL29" s="6" t="str">
        <f aca="false">IF(W29="DV",X29," ")</f>
        <v> </v>
      </c>
      <c r="AM29" s="6" t="str">
        <f aca="false">IF(W29="DL",X29," ")</f>
        <v> </v>
      </c>
      <c r="AN29" s="6" t="str">
        <f aca="false">IF(W29="X",X29," ")</f>
        <v> </v>
      </c>
    </row>
    <row r="30" customFormat="false" ht="12" hidden="false" customHeight="false" outlineLevel="0" collapsed="false">
      <c r="G30" s="6" t="str">
        <f aca="false">IF(E30="BB",F30," ")</f>
        <v> </v>
      </c>
      <c r="H30" s="6" t="str">
        <f aca="false">IF(E30="BD",F30," ")</f>
        <v> </v>
      </c>
      <c r="I30" s="6" t="str">
        <f aca="false">IF(E30="BC",F30," ")</f>
        <v> </v>
      </c>
      <c r="J30" s="6" t="str">
        <f aca="false">IF(E30="DR",F30," ")</f>
        <v> </v>
      </c>
      <c r="K30" s="6" t="str">
        <f aca="false">IF(E30="K",F30," ")</f>
        <v> </v>
      </c>
      <c r="L30" s="6" t="str">
        <f aca="false">IF(E30="LDR",F30," ")</f>
        <v> </v>
      </c>
      <c r="M30" s="6" t="str">
        <f aca="false">IF(E30="LCR",F30," ")</f>
        <v> </v>
      </c>
      <c r="N30" s="6" t="str">
        <f aca="false">IF(E30="RV",F30," ")</f>
        <v> </v>
      </c>
      <c r="O30" s="6" t="str">
        <f aca="false">IF(E30="RC",F30," ")</f>
        <v> </v>
      </c>
      <c r="P30" s="6" t="str">
        <f aca="false">IF(E30="DL",F30," ")</f>
        <v> </v>
      </c>
      <c r="Q30" s="6" t="str">
        <f aca="false">IF(E30="X",F30," ")</f>
        <v> </v>
      </c>
      <c r="R30" s="37"/>
      <c r="W30" s="6" t="str">
        <f aca="false">IF(X30&lt;&gt;0,"Enter Code"," ")</f>
        <v> </v>
      </c>
      <c r="Y30" s="6" t="str">
        <f aca="false">IF(W30="BB",X30," ")</f>
        <v> </v>
      </c>
      <c r="Z30" s="6" t="str">
        <f aca="false">IF(W30="BD",X30," ")</f>
        <v> </v>
      </c>
      <c r="AA30" s="6" t="str">
        <f aca="false">IF(W30="BC",X30," ")</f>
        <v> </v>
      </c>
      <c r="AB30" s="6" t="str">
        <f aca="false">IF(W30="CR",X30," ")</f>
        <v> </v>
      </c>
      <c r="AC30" s="6" t="str">
        <f aca="false">IF(W30="W",X30," ")</f>
        <v> </v>
      </c>
      <c r="AD30" s="6" t="str">
        <f aca="false">IF(W30="B",X30," ")</f>
        <v> </v>
      </c>
      <c r="AE30" s="6" t="str">
        <f aca="false">IF(W30="J",X30," ")</f>
        <v> </v>
      </c>
      <c r="AF30" s="6" t="str">
        <f aca="false">IF(W30="LDR",X30," ")</f>
        <v> </v>
      </c>
      <c r="AG30" s="6" t="str">
        <f aca="false">IF(W30="LCR",X30," ")</f>
        <v> </v>
      </c>
      <c r="AH30" s="6" t="str">
        <f aca="false">IF(W30="RP",X30," ")</f>
        <v> </v>
      </c>
      <c r="AI30" s="6" t="str">
        <f aca="false">IF(W30="RV",X30," ")</f>
        <v> </v>
      </c>
      <c r="AJ30" s="6" t="str">
        <f aca="false">IF(W30="RC",X30," ")</f>
        <v> </v>
      </c>
      <c r="AK30" s="6" t="str">
        <f aca="false">IF(W30="RT",X30," ")</f>
        <v> </v>
      </c>
      <c r="AL30" s="6" t="str">
        <f aca="false">IF(W30="DV",X30," ")</f>
        <v> </v>
      </c>
      <c r="AM30" s="6" t="str">
        <f aca="false">IF(W30="DL",X30," ")</f>
        <v> </v>
      </c>
      <c r="AN30" s="6" t="str">
        <f aca="false">IF(W30="X",X30," ")</f>
        <v> </v>
      </c>
    </row>
    <row r="31" customFormat="false" ht="12" hidden="false" customHeight="false" outlineLevel="0" collapsed="false">
      <c r="G31" s="6" t="str">
        <f aca="false">IF(E31="BB",F31," ")</f>
        <v> </v>
      </c>
      <c r="H31" s="6" t="str">
        <f aca="false">IF(E31="BD",F31," ")</f>
        <v> </v>
      </c>
      <c r="I31" s="6" t="str">
        <f aca="false">IF(E31="BC",F31," ")</f>
        <v> </v>
      </c>
      <c r="J31" s="6" t="str">
        <f aca="false">IF(E31="DR",F31," ")</f>
        <v> </v>
      </c>
      <c r="K31" s="6" t="str">
        <f aca="false">IF(E31="K",F31," ")</f>
        <v> </v>
      </c>
      <c r="L31" s="6" t="str">
        <f aca="false">IF(E31="LDR",F31," ")</f>
        <v> </v>
      </c>
      <c r="M31" s="6" t="str">
        <f aca="false">IF(E31="LCR",F31," ")</f>
        <v> </v>
      </c>
      <c r="N31" s="6" t="str">
        <f aca="false">IF(E31="RV",F31," ")</f>
        <v> </v>
      </c>
      <c r="O31" s="6" t="str">
        <f aca="false">IF(E31="RC",F31," ")</f>
        <v> </v>
      </c>
      <c r="P31" s="6" t="str">
        <f aca="false">IF(E31="DL",F31," ")</f>
        <v> </v>
      </c>
      <c r="Q31" s="6" t="str">
        <f aca="false">IF(E31="X",F31," ")</f>
        <v> </v>
      </c>
      <c r="R31" s="37"/>
      <c r="W31" s="6" t="str">
        <f aca="false">IF(X31&lt;&gt;0,"Enter Code"," ")</f>
        <v> </v>
      </c>
      <c r="Y31" s="6" t="str">
        <f aca="false">IF(W31="BB",X31," ")</f>
        <v> </v>
      </c>
      <c r="Z31" s="6" t="str">
        <f aca="false">IF(W31="BD",X31," ")</f>
        <v> </v>
      </c>
      <c r="AA31" s="6" t="str">
        <f aca="false">IF(W31="BC",X31," ")</f>
        <v> </v>
      </c>
      <c r="AB31" s="6" t="str">
        <f aca="false">IF(W31="CR",X31," ")</f>
        <v> </v>
      </c>
      <c r="AC31" s="6" t="str">
        <f aca="false">IF(W31="W",X31," ")</f>
        <v> </v>
      </c>
      <c r="AD31" s="6" t="str">
        <f aca="false">IF(W31="B",X31," ")</f>
        <v> </v>
      </c>
      <c r="AE31" s="6" t="str">
        <f aca="false">IF(W31="J",X31," ")</f>
        <v> </v>
      </c>
      <c r="AF31" s="6" t="str">
        <f aca="false">IF(W31="LDR",X31," ")</f>
        <v> </v>
      </c>
      <c r="AG31" s="6" t="str">
        <f aca="false">IF(W31="LCR",X31," ")</f>
        <v> </v>
      </c>
      <c r="AH31" s="6" t="str">
        <f aca="false">IF(W31="RP",X31," ")</f>
        <v> </v>
      </c>
      <c r="AI31" s="6" t="str">
        <f aca="false">IF(W31="RV",X31," ")</f>
        <v> </v>
      </c>
      <c r="AJ31" s="6" t="str">
        <f aca="false">IF(W31="RC",X31," ")</f>
        <v> </v>
      </c>
      <c r="AK31" s="6" t="str">
        <f aca="false">IF(W31="RT",X31," ")</f>
        <v> </v>
      </c>
      <c r="AL31" s="6" t="str">
        <f aca="false">IF(W31="DV",X31," ")</f>
        <v> </v>
      </c>
      <c r="AM31" s="6" t="str">
        <f aca="false">IF(W31="DL",X31," ")</f>
        <v> </v>
      </c>
      <c r="AN31" s="6" t="str">
        <f aca="false">IF(W31="X",X31," ")</f>
        <v> </v>
      </c>
    </row>
    <row r="32" customFormat="false" ht="12" hidden="false" customHeight="false" outlineLevel="0" collapsed="false">
      <c r="G32" s="6" t="str">
        <f aca="false">IF(E32="BB",F32," ")</f>
        <v> </v>
      </c>
      <c r="H32" s="6" t="str">
        <f aca="false">IF(E32="BD",F32," ")</f>
        <v> </v>
      </c>
      <c r="I32" s="6" t="str">
        <f aca="false">IF(E32="BC",F32," ")</f>
        <v> </v>
      </c>
      <c r="J32" s="6" t="str">
        <f aca="false">IF(E32="DR",F32," ")</f>
        <v> </v>
      </c>
      <c r="K32" s="6" t="str">
        <f aca="false">IF(E32="K",F32," ")</f>
        <v> </v>
      </c>
      <c r="L32" s="6" t="str">
        <f aca="false">IF(E32="LDR",F32," ")</f>
        <v> </v>
      </c>
      <c r="M32" s="6" t="str">
        <f aca="false">IF(E32="LCR",F32," ")</f>
        <v> </v>
      </c>
      <c r="N32" s="6" t="str">
        <f aca="false">IF(E32="RV",F32," ")</f>
        <v> </v>
      </c>
      <c r="O32" s="6" t="str">
        <f aca="false">IF(E32="RC",F32," ")</f>
        <v> </v>
      </c>
      <c r="P32" s="6" t="str">
        <f aca="false">IF(E32="DL",F32," ")</f>
        <v> </v>
      </c>
      <c r="Q32" s="6" t="str">
        <f aca="false">IF(E32="X",F32," ")</f>
        <v> </v>
      </c>
      <c r="R32" s="37"/>
      <c r="W32" s="6" t="str">
        <f aca="false">IF(X32&lt;&gt;0,"Enter Code"," ")</f>
        <v> </v>
      </c>
      <c r="Y32" s="6" t="str">
        <f aca="false">IF(W32="BB",X32," ")</f>
        <v> </v>
      </c>
      <c r="Z32" s="6" t="str">
        <f aca="false">IF(W32="BD",X32," ")</f>
        <v> </v>
      </c>
      <c r="AA32" s="6" t="str">
        <f aca="false">IF(W32="BC",X32," ")</f>
        <v> </v>
      </c>
      <c r="AB32" s="6" t="str">
        <f aca="false">IF(W32="CR",X32," ")</f>
        <v> </v>
      </c>
      <c r="AC32" s="6" t="str">
        <f aca="false">IF(W32="W",X32," ")</f>
        <v> </v>
      </c>
      <c r="AD32" s="6" t="str">
        <f aca="false">IF(W32="B",X32," ")</f>
        <v> </v>
      </c>
      <c r="AE32" s="6" t="str">
        <f aca="false">IF(W32="J",X32," ")</f>
        <v> </v>
      </c>
      <c r="AF32" s="6" t="str">
        <f aca="false">IF(W32="LDR",X32," ")</f>
        <v> </v>
      </c>
      <c r="AG32" s="6" t="str">
        <f aca="false">IF(W32="LCR",X32," ")</f>
        <v> </v>
      </c>
      <c r="AH32" s="6" t="str">
        <f aca="false">IF(W32="RP",X32," ")</f>
        <v> </v>
      </c>
      <c r="AI32" s="6" t="str">
        <f aca="false">IF(W32="RV",X32," ")</f>
        <v> </v>
      </c>
      <c r="AJ32" s="6" t="str">
        <f aca="false">IF(W32="RC",X32," ")</f>
        <v> </v>
      </c>
      <c r="AK32" s="6" t="str">
        <f aca="false">IF(W32="RT",X32," ")</f>
        <v> </v>
      </c>
      <c r="AL32" s="6" t="str">
        <f aca="false">IF(W32="DV",X32," ")</f>
        <v> </v>
      </c>
      <c r="AM32" s="6" t="str">
        <f aca="false">IF(W32="DL",X32," ")</f>
        <v> </v>
      </c>
      <c r="AN32" s="6" t="str">
        <f aca="false">IF(W32="X",X32," ")</f>
        <v> </v>
      </c>
    </row>
    <row r="33" customFormat="false" ht="12" hidden="false" customHeight="false" outlineLevel="0" collapsed="false">
      <c r="G33" s="6" t="str">
        <f aca="false">IF(E33="BB",F33," ")</f>
        <v> </v>
      </c>
      <c r="H33" s="6" t="str">
        <f aca="false">IF(E33="BD",F33," ")</f>
        <v> </v>
      </c>
      <c r="I33" s="6" t="str">
        <f aca="false">IF(E33="BC",F33," ")</f>
        <v> </v>
      </c>
      <c r="J33" s="6" t="str">
        <f aca="false">IF(E33="DR",F33," ")</f>
        <v> </v>
      </c>
      <c r="K33" s="6" t="str">
        <f aca="false">IF(E33="K",F33," ")</f>
        <v> </v>
      </c>
      <c r="L33" s="6" t="str">
        <f aca="false">IF(E33="LDR",F33," ")</f>
        <v> </v>
      </c>
      <c r="M33" s="6" t="str">
        <f aca="false">IF(E33="LCR",F33," ")</f>
        <v> </v>
      </c>
      <c r="N33" s="6" t="str">
        <f aca="false">IF(E33="RV",F33," ")</f>
        <v> </v>
      </c>
      <c r="O33" s="6" t="str">
        <f aca="false">IF(E33="RC",F33," ")</f>
        <v> </v>
      </c>
      <c r="P33" s="6" t="str">
        <f aca="false">IF(E33="DL",F33," ")</f>
        <v> </v>
      </c>
      <c r="Q33" s="6" t="str">
        <f aca="false">IF(E33="X",F33," ")</f>
        <v> </v>
      </c>
      <c r="R33" s="37"/>
      <c r="W33" s="6" t="str">
        <f aca="false">IF(X33&lt;&gt;0,"Enter Code"," ")</f>
        <v> </v>
      </c>
      <c r="Y33" s="6" t="str">
        <f aca="false">IF(W33="BB",X33," ")</f>
        <v> </v>
      </c>
      <c r="Z33" s="6" t="str">
        <f aca="false">IF(W33="BD",X33," ")</f>
        <v> </v>
      </c>
      <c r="AA33" s="6" t="str">
        <f aca="false">IF(W33="BC",X33," ")</f>
        <v> </v>
      </c>
      <c r="AB33" s="6" t="str">
        <f aca="false">IF(W33="CR",X33," ")</f>
        <v> </v>
      </c>
      <c r="AC33" s="6" t="str">
        <f aca="false">IF(W33="W",X33," ")</f>
        <v> </v>
      </c>
      <c r="AD33" s="6" t="str">
        <f aca="false">IF(W33="B",X33," ")</f>
        <v> </v>
      </c>
      <c r="AE33" s="6" t="str">
        <f aca="false">IF(W33="J",X33," ")</f>
        <v> </v>
      </c>
      <c r="AF33" s="6" t="str">
        <f aca="false">IF(W33="LDR",X33," ")</f>
        <v> </v>
      </c>
      <c r="AG33" s="6" t="str">
        <f aca="false">IF(W33="LCR",X33," ")</f>
        <v> </v>
      </c>
      <c r="AH33" s="6" t="str">
        <f aca="false">IF(W33="RP",X33," ")</f>
        <v> </v>
      </c>
      <c r="AI33" s="6" t="str">
        <f aca="false">IF(W33="RV",X33," ")</f>
        <v> </v>
      </c>
      <c r="AJ33" s="6" t="str">
        <f aca="false">IF(W33="RC",X33," ")</f>
        <v> </v>
      </c>
      <c r="AK33" s="6" t="str">
        <f aca="false">IF(W33="RT",X33," ")</f>
        <v> </v>
      </c>
      <c r="AL33" s="6" t="str">
        <f aca="false">IF(W33="DV",X33," ")</f>
        <v> </v>
      </c>
      <c r="AM33" s="6" t="str">
        <f aca="false">IF(W33="DL",X33," ")</f>
        <v> </v>
      </c>
      <c r="AN33" s="6" t="str">
        <f aca="false">IF(W33="X",X33," ")</f>
        <v> </v>
      </c>
    </row>
    <row r="34" customFormat="false" ht="12" hidden="false" customHeight="false" outlineLevel="0" collapsed="false">
      <c r="G34" s="6" t="str">
        <f aca="false">IF(E34="BB",F34," ")</f>
        <v> </v>
      </c>
      <c r="H34" s="6" t="str">
        <f aca="false">IF(E34="BD",F34," ")</f>
        <v> </v>
      </c>
      <c r="I34" s="6" t="str">
        <f aca="false">IF(E34="BC",F34," ")</f>
        <v> </v>
      </c>
      <c r="J34" s="6" t="str">
        <f aca="false">IF(E34="DR",F34," ")</f>
        <v> </v>
      </c>
      <c r="K34" s="6" t="str">
        <f aca="false">IF(E34="K",F34," ")</f>
        <v> </v>
      </c>
      <c r="L34" s="6" t="str">
        <f aca="false">IF(E34="LDR",F34," ")</f>
        <v> </v>
      </c>
      <c r="M34" s="6" t="str">
        <f aca="false">IF(E34="LCR",F34," ")</f>
        <v> </v>
      </c>
      <c r="N34" s="6" t="str">
        <f aca="false">IF(E34="RV",F34," ")</f>
        <v> </v>
      </c>
      <c r="O34" s="6" t="str">
        <f aca="false">IF(E34="RC",F34," ")</f>
        <v> </v>
      </c>
      <c r="P34" s="6" t="str">
        <f aca="false">IF(E34="DL",F34," ")</f>
        <v> </v>
      </c>
      <c r="Q34" s="6" t="str">
        <f aca="false">IF(E34="X",F34," ")</f>
        <v> </v>
      </c>
      <c r="R34" s="37"/>
      <c r="W34" s="6" t="str">
        <f aca="false">IF(X34&lt;&gt;0,"Enter Code"," ")</f>
        <v> </v>
      </c>
      <c r="Y34" s="6" t="str">
        <f aca="false">IF(W34="BB",X34," ")</f>
        <v> </v>
      </c>
      <c r="Z34" s="6" t="str">
        <f aca="false">IF(W34="BD",X34," ")</f>
        <v> </v>
      </c>
      <c r="AA34" s="6" t="str">
        <f aca="false">IF(W34="BC",X34," ")</f>
        <v> </v>
      </c>
      <c r="AB34" s="6" t="str">
        <f aca="false">IF(W34="CR",X34," ")</f>
        <v> </v>
      </c>
      <c r="AC34" s="6" t="str">
        <f aca="false">IF(W34="W",X34," ")</f>
        <v> </v>
      </c>
      <c r="AD34" s="6" t="str">
        <f aca="false">IF(W34="B",X34," ")</f>
        <v> </v>
      </c>
      <c r="AE34" s="6" t="str">
        <f aca="false">IF(W34="J",X34," ")</f>
        <v> </v>
      </c>
      <c r="AF34" s="6" t="str">
        <f aca="false">IF(W34="LDR",X34," ")</f>
        <v> </v>
      </c>
      <c r="AG34" s="6" t="str">
        <f aca="false">IF(W34="LCR",X34," ")</f>
        <v> </v>
      </c>
      <c r="AH34" s="6" t="str">
        <f aca="false">IF(W34="RP",X34," ")</f>
        <v> </v>
      </c>
      <c r="AI34" s="6" t="str">
        <f aca="false">IF(W34="RV",X34," ")</f>
        <v> </v>
      </c>
      <c r="AJ34" s="6" t="str">
        <f aca="false">IF(W34="RC",X34," ")</f>
        <v> </v>
      </c>
      <c r="AK34" s="6" t="str">
        <f aca="false">IF(W34="RT",X34," ")</f>
        <v> </v>
      </c>
      <c r="AL34" s="6" t="str">
        <f aca="false">IF(W34="DV",X34," ")</f>
        <v> </v>
      </c>
      <c r="AM34" s="6" t="str">
        <f aca="false">IF(W34="DL",X34," ")</f>
        <v> </v>
      </c>
      <c r="AN34" s="6" t="str">
        <f aca="false">IF(W34="X",X34," ")</f>
        <v> </v>
      </c>
    </row>
    <row r="35" customFormat="false" ht="12" hidden="false" customHeight="false" outlineLevel="0" collapsed="false">
      <c r="G35" s="6" t="str">
        <f aca="false">IF(E35="BB",F35," ")</f>
        <v> </v>
      </c>
      <c r="H35" s="6" t="str">
        <f aca="false">IF(E35="BD",F35," ")</f>
        <v> </v>
      </c>
      <c r="I35" s="6" t="str">
        <f aca="false">IF(E35="BC",F35," ")</f>
        <v> </v>
      </c>
      <c r="J35" s="6" t="str">
        <f aca="false">IF(E35="DR",F35," ")</f>
        <v> </v>
      </c>
      <c r="K35" s="6" t="str">
        <f aca="false">IF(E35="K",F35," ")</f>
        <v> </v>
      </c>
      <c r="L35" s="6" t="str">
        <f aca="false">IF(E35="LDR",F35," ")</f>
        <v> </v>
      </c>
      <c r="M35" s="6" t="str">
        <f aca="false">IF(E35="LCR",F35," ")</f>
        <v> </v>
      </c>
      <c r="N35" s="6" t="str">
        <f aca="false">IF(E35="RV",F35," ")</f>
        <v> </v>
      </c>
      <c r="O35" s="6" t="str">
        <f aca="false">IF(E35="RC",F35," ")</f>
        <v> </v>
      </c>
      <c r="P35" s="6" t="str">
        <f aca="false">IF(E35="DL",F35," ")</f>
        <v> </v>
      </c>
      <c r="Q35" s="6" t="str">
        <f aca="false">IF(E35="X",F35," ")</f>
        <v> </v>
      </c>
      <c r="R35" s="37"/>
      <c r="W35" s="6" t="str">
        <f aca="false">IF(X35&lt;&gt;0,"Enter Code"," ")</f>
        <v> </v>
      </c>
      <c r="Y35" s="6" t="str">
        <f aca="false">IF(W35="BB",X35," ")</f>
        <v> </v>
      </c>
      <c r="Z35" s="6" t="str">
        <f aca="false">IF(W35="BD",X35," ")</f>
        <v> </v>
      </c>
      <c r="AA35" s="6" t="str">
        <f aca="false">IF(W35="BC",X35," ")</f>
        <v> </v>
      </c>
      <c r="AB35" s="6" t="str">
        <f aca="false">IF(W35="CR",X35," ")</f>
        <v> </v>
      </c>
      <c r="AC35" s="6" t="str">
        <f aca="false">IF(W35="W",X35," ")</f>
        <v> </v>
      </c>
      <c r="AD35" s="6" t="str">
        <f aca="false">IF(W35="B",X35," ")</f>
        <v> </v>
      </c>
      <c r="AE35" s="6" t="str">
        <f aca="false">IF(W35="J",X35," ")</f>
        <v> </v>
      </c>
      <c r="AF35" s="6" t="str">
        <f aca="false">IF(W35="LDR",X35," ")</f>
        <v> </v>
      </c>
      <c r="AG35" s="6" t="str">
        <f aca="false">IF(W35="LCR",X35," ")</f>
        <v> </v>
      </c>
      <c r="AH35" s="6" t="str">
        <f aca="false">IF(W35="RP",X35," ")</f>
        <v> </v>
      </c>
      <c r="AI35" s="6" t="str">
        <f aca="false">IF(W35="RV",X35," ")</f>
        <v> </v>
      </c>
      <c r="AJ35" s="6" t="str">
        <f aca="false">IF(W35="RC",X35," ")</f>
        <v> </v>
      </c>
      <c r="AK35" s="6" t="str">
        <f aca="false">IF(W35="RT",X35," ")</f>
        <v> </v>
      </c>
      <c r="AL35" s="6" t="str">
        <f aca="false">IF(W35="DV",X35," ")</f>
        <v> </v>
      </c>
      <c r="AM35" s="6" t="str">
        <f aca="false">IF(W35="DL",X35," ")</f>
        <v> </v>
      </c>
      <c r="AN35" s="6" t="str">
        <f aca="false">IF(W35="X",X35," ")</f>
        <v> </v>
      </c>
    </row>
    <row r="36" customFormat="false" ht="12" hidden="false" customHeight="false" outlineLevel="0" collapsed="false">
      <c r="G36" s="6" t="str">
        <f aca="false">IF(E36="BB",F36," ")</f>
        <v> </v>
      </c>
      <c r="H36" s="6" t="str">
        <f aca="false">IF(E36="BD",F36," ")</f>
        <v> </v>
      </c>
      <c r="I36" s="6" t="str">
        <f aca="false">IF(E36="BC",F36," ")</f>
        <v> </v>
      </c>
      <c r="J36" s="6" t="str">
        <f aca="false">IF(E36="DR",F36," ")</f>
        <v> </v>
      </c>
      <c r="K36" s="6" t="str">
        <f aca="false">IF(E36="K",F36," ")</f>
        <v> </v>
      </c>
      <c r="L36" s="6" t="str">
        <f aca="false">IF(E36="LDR",F36," ")</f>
        <v> </v>
      </c>
      <c r="M36" s="6" t="str">
        <f aca="false">IF(E36="LCR",F36," ")</f>
        <v> </v>
      </c>
      <c r="N36" s="6" t="str">
        <f aca="false">IF(E36="RV",F36," ")</f>
        <v> </v>
      </c>
      <c r="O36" s="6" t="str">
        <f aca="false">IF(E36="RC",F36," ")</f>
        <v> </v>
      </c>
      <c r="P36" s="6" t="str">
        <f aca="false">IF(E36="DL",F36," ")</f>
        <v> </v>
      </c>
      <c r="Q36" s="6" t="str">
        <f aca="false">IF(E36="X",F36," ")</f>
        <v> </v>
      </c>
      <c r="R36" s="37"/>
      <c r="W36" s="6" t="str">
        <f aca="false">IF(X36&lt;&gt;0,"Enter Code"," ")</f>
        <v> </v>
      </c>
      <c r="Y36" s="6" t="str">
        <f aca="false">IF(W36="BB",X36," ")</f>
        <v> </v>
      </c>
      <c r="Z36" s="6" t="str">
        <f aca="false">IF(W36="BD",X36," ")</f>
        <v> </v>
      </c>
      <c r="AA36" s="6" t="str">
        <f aca="false">IF(W36="BC",X36," ")</f>
        <v> </v>
      </c>
      <c r="AB36" s="6" t="str">
        <f aca="false">IF(W36="CR",X36," ")</f>
        <v> </v>
      </c>
      <c r="AC36" s="6" t="str">
        <f aca="false">IF(W36="W",X36," ")</f>
        <v> </v>
      </c>
      <c r="AD36" s="6" t="str">
        <f aca="false">IF(W36="B",X36," ")</f>
        <v> </v>
      </c>
      <c r="AE36" s="6" t="str">
        <f aca="false">IF(W36="J",X36," ")</f>
        <v> </v>
      </c>
      <c r="AF36" s="6" t="str">
        <f aca="false">IF(W36="LDR",X36," ")</f>
        <v> </v>
      </c>
      <c r="AG36" s="6" t="str">
        <f aca="false">IF(W36="LCR",X36," ")</f>
        <v> </v>
      </c>
      <c r="AH36" s="6" t="str">
        <f aca="false">IF(W36="RP",X36," ")</f>
        <v> </v>
      </c>
      <c r="AI36" s="6" t="str">
        <f aca="false">IF(W36="RV",X36," ")</f>
        <v> </v>
      </c>
      <c r="AJ36" s="6" t="str">
        <f aca="false">IF(W36="RC",X36," ")</f>
        <v> </v>
      </c>
      <c r="AK36" s="6" t="str">
        <f aca="false">IF(W36="RT",X36," ")</f>
        <v> </v>
      </c>
      <c r="AL36" s="6" t="str">
        <f aca="false">IF(W36="DV",X36," ")</f>
        <v> </v>
      </c>
      <c r="AM36" s="6" t="str">
        <f aca="false">IF(W36="DL",X36," ")</f>
        <v> </v>
      </c>
      <c r="AN36" s="6" t="str">
        <f aca="false">IF(W36="X",X36," ")</f>
        <v> </v>
      </c>
    </row>
    <row r="37" customFormat="false" ht="12" hidden="false" customHeight="false" outlineLevel="0" collapsed="false">
      <c r="G37" s="6" t="str">
        <f aca="false">IF(E37="BB",F37," ")</f>
        <v> </v>
      </c>
      <c r="H37" s="6" t="str">
        <f aca="false">IF(E37="BD",F37," ")</f>
        <v> </v>
      </c>
      <c r="I37" s="6" t="str">
        <f aca="false">IF(E37="BC",F37," ")</f>
        <v> </v>
      </c>
      <c r="J37" s="6" t="str">
        <f aca="false">IF(E37="DR",F37," ")</f>
        <v> </v>
      </c>
      <c r="K37" s="6" t="str">
        <f aca="false">IF(E37="K",F37," ")</f>
        <v> </v>
      </c>
      <c r="L37" s="6" t="str">
        <f aca="false">IF(E37="LDR",F37," ")</f>
        <v> </v>
      </c>
      <c r="M37" s="6" t="str">
        <f aca="false">IF(E37="LCR",F37," ")</f>
        <v> </v>
      </c>
      <c r="N37" s="6" t="str">
        <f aca="false">IF(E37="RV",F37," ")</f>
        <v> </v>
      </c>
      <c r="O37" s="6" t="str">
        <f aca="false">IF(E37="RC",F37," ")</f>
        <v> </v>
      </c>
      <c r="P37" s="6" t="str">
        <f aca="false">IF(E37="DL",F37," ")</f>
        <v> </v>
      </c>
      <c r="Q37" s="6" t="str">
        <f aca="false">IF(E37="X",F37," ")</f>
        <v> </v>
      </c>
      <c r="R37" s="37"/>
      <c r="W37" s="6" t="str">
        <f aca="false">IF(X37&lt;&gt;0,"Enter Code"," ")</f>
        <v> </v>
      </c>
      <c r="Y37" s="6" t="str">
        <f aca="false">IF(W37="BB",X37," ")</f>
        <v> </v>
      </c>
      <c r="Z37" s="6" t="str">
        <f aca="false">IF(W37="BD",X37," ")</f>
        <v> </v>
      </c>
      <c r="AA37" s="6" t="str">
        <f aca="false">IF(W37="BC",X37," ")</f>
        <v> </v>
      </c>
      <c r="AB37" s="6" t="str">
        <f aca="false">IF(W37="CR",X37," ")</f>
        <v> </v>
      </c>
      <c r="AC37" s="6" t="str">
        <f aca="false">IF(W37="W",X37," ")</f>
        <v> </v>
      </c>
      <c r="AD37" s="6" t="str">
        <f aca="false">IF(W37="B",X37," ")</f>
        <v> </v>
      </c>
      <c r="AE37" s="6" t="str">
        <f aca="false">IF(W37="J",X37," ")</f>
        <v> </v>
      </c>
      <c r="AF37" s="6" t="str">
        <f aca="false">IF(W37="LDR",X37," ")</f>
        <v> </v>
      </c>
      <c r="AG37" s="6" t="str">
        <f aca="false">IF(W37="LCR",X37," ")</f>
        <v> </v>
      </c>
      <c r="AH37" s="6" t="str">
        <f aca="false">IF(W37="RP",X37," ")</f>
        <v> </v>
      </c>
      <c r="AI37" s="6" t="str">
        <f aca="false">IF(W37="RV",X37," ")</f>
        <v> </v>
      </c>
      <c r="AJ37" s="6" t="str">
        <f aca="false">IF(W37="RC",X37," ")</f>
        <v> </v>
      </c>
      <c r="AK37" s="6" t="str">
        <f aca="false">IF(W37="RT",X37," ")</f>
        <v> </v>
      </c>
      <c r="AL37" s="6" t="str">
        <f aca="false">IF(W37="DV",X37," ")</f>
        <v> </v>
      </c>
      <c r="AM37" s="6" t="str">
        <f aca="false">IF(W37="DL",X37," ")</f>
        <v> </v>
      </c>
      <c r="AN37" s="6" t="str">
        <f aca="false">IF(W37="X",X37," ")</f>
        <v> </v>
      </c>
    </row>
    <row r="38" customFormat="false" ht="12" hidden="false" customHeight="false" outlineLevel="0" collapsed="false">
      <c r="G38" s="6" t="str">
        <f aca="false">IF(E38="BB",F38," ")</f>
        <v> </v>
      </c>
      <c r="H38" s="6" t="str">
        <f aca="false">IF(E38="BD",F38," ")</f>
        <v> </v>
      </c>
      <c r="I38" s="6" t="str">
        <f aca="false">IF(E38="BC",F38," ")</f>
        <v> </v>
      </c>
      <c r="J38" s="6" t="str">
        <f aca="false">IF(E38="DR",F38," ")</f>
        <v> </v>
      </c>
      <c r="K38" s="6" t="str">
        <f aca="false">IF(E38="K",F38," ")</f>
        <v> </v>
      </c>
      <c r="L38" s="6" t="str">
        <f aca="false">IF(E38="LDR",F38," ")</f>
        <v> </v>
      </c>
      <c r="M38" s="6" t="str">
        <f aca="false">IF(E38="LCR",F38," ")</f>
        <v> </v>
      </c>
      <c r="N38" s="6" t="str">
        <f aca="false">IF(E38="RV",F38," ")</f>
        <v> </v>
      </c>
      <c r="O38" s="6" t="str">
        <f aca="false">IF(E38="RC",F38," ")</f>
        <v> </v>
      </c>
      <c r="P38" s="6" t="str">
        <f aca="false">IF(E38="DL",F38," ")</f>
        <v> </v>
      </c>
      <c r="Q38" s="6" t="str">
        <f aca="false">IF(E38="X",F38," ")</f>
        <v> </v>
      </c>
      <c r="R38" s="37"/>
      <c r="W38" s="6" t="str">
        <f aca="false">IF(X38&lt;&gt;0,"Enter Code"," ")</f>
        <v> </v>
      </c>
      <c r="Y38" s="6" t="str">
        <f aca="false">IF(W38="BB",X38," ")</f>
        <v> </v>
      </c>
      <c r="Z38" s="6" t="str">
        <f aca="false">IF(W38="BD",X38," ")</f>
        <v> </v>
      </c>
      <c r="AA38" s="6" t="str">
        <f aca="false">IF(W38="BC",X38," ")</f>
        <v> </v>
      </c>
      <c r="AB38" s="6" t="str">
        <f aca="false">IF(W38="CR",X38," ")</f>
        <v> </v>
      </c>
      <c r="AC38" s="6" t="str">
        <f aca="false">IF(W38="W",X38," ")</f>
        <v> </v>
      </c>
      <c r="AD38" s="6" t="str">
        <f aca="false">IF(W38="B",X38," ")</f>
        <v> </v>
      </c>
      <c r="AE38" s="6" t="str">
        <f aca="false">IF(W38="J",X38," ")</f>
        <v> </v>
      </c>
      <c r="AF38" s="6" t="str">
        <f aca="false">IF(W38="LDR",X38," ")</f>
        <v> </v>
      </c>
      <c r="AG38" s="6" t="str">
        <f aca="false">IF(W38="LCR",X38," ")</f>
        <v> </v>
      </c>
      <c r="AH38" s="6" t="str">
        <f aca="false">IF(W38="RP",X38," ")</f>
        <v> </v>
      </c>
      <c r="AI38" s="6" t="str">
        <f aca="false">IF(W38="RV",X38," ")</f>
        <v> </v>
      </c>
      <c r="AJ38" s="6" t="str">
        <f aca="false">IF(W38="RC",X38," ")</f>
        <v> </v>
      </c>
      <c r="AK38" s="6" t="str">
        <f aca="false">IF(W38="RT",X38," ")</f>
        <v> </v>
      </c>
      <c r="AL38" s="6" t="str">
        <f aca="false">IF(W38="DV",X38," ")</f>
        <v> </v>
      </c>
      <c r="AM38" s="6" t="str">
        <f aca="false">IF(W38="DL",X38," ")</f>
        <v> </v>
      </c>
      <c r="AN38" s="6" t="str">
        <f aca="false">IF(W38="X",X38," ")</f>
        <v> </v>
      </c>
    </row>
    <row r="39" customFormat="false" ht="12" hidden="false" customHeight="false" outlineLevel="0" collapsed="false">
      <c r="G39" s="6" t="str">
        <f aca="false">IF(E39="BB",F39," ")</f>
        <v> </v>
      </c>
      <c r="H39" s="6" t="str">
        <f aca="false">IF(E39="BD",F39," ")</f>
        <v> </v>
      </c>
      <c r="I39" s="6" t="str">
        <f aca="false">IF(E39="BC",F39," ")</f>
        <v> </v>
      </c>
      <c r="J39" s="6" t="str">
        <f aca="false">IF(E39="DR",F39," ")</f>
        <v> </v>
      </c>
      <c r="K39" s="6" t="str">
        <f aca="false">IF(E39="K",F39," ")</f>
        <v> </v>
      </c>
      <c r="L39" s="6" t="str">
        <f aca="false">IF(E39="LDR",F39," ")</f>
        <v> </v>
      </c>
      <c r="M39" s="6" t="str">
        <f aca="false">IF(E39="LCR",F39," ")</f>
        <v> </v>
      </c>
      <c r="N39" s="6" t="str">
        <f aca="false">IF(E39="RV",F39," ")</f>
        <v> </v>
      </c>
      <c r="O39" s="6" t="str">
        <f aca="false">IF(E39="RC",F39," ")</f>
        <v> </v>
      </c>
      <c r="P39" s="6" t="str">
        <f aca="false">IF(E39="DL",F39," ")</f>
        <v> </v>
      </c>
      <c r="Q39" s="6" t="str">
        <f aca="false">IF(E39="X",F39," ")</f>
        <v> </v>
      </c>
      <c r="R39" s="37"/>
      <c r="W39" s="6" t="str">
        <f aca="false">IF(X39&lt;&gt;0,"Enter Code"," ")</f>
        <v> </v>
      </c>
      <c r="Y39" s="6" t="str">
        <f aca="false">IF(W39="BB",X39," ")</f>
        <v> </v>
      </c>
      <c r="Z39" s="6" t="str">
        <f aca="false">IF(W39="BD",X39," ")</f>
        <v> </v>
      </c>
      <c r="AA39" s="6" t="str">
        <f aca="false">IF(W39="BC",X39," ")</f>
        <v> </v>
      </c>
      <c r="AB39" s="6" t="str">
        <f aca="false">IF(W39="CR",X39," ")</f>
        <v> </v>
      </c>
      <c r="AC39" s="6" t="str">
        <f aca="false">IF(W39="W",X39," ")</f>
        <v> </v>
      </c>
      <c r="AD39" s="6" t="str">
        <f aca="false">IF(W39="B",X39," ")</f>
        <v> </v>
      </c>
      <c r="AE39" s="6" t="str">
        <f aca="false">IF(W39="J",X39," ")</f>
        <v> </v>
      </c>
      <c r="AF39" s="6" t="str">
        <f aca="false">IF(W39="LDR",X39," ")</f>
        <v> </v>
      </c>
      <c r="AG39" s="6" t="str">
        <f aca="false">IF(W39="LCR",X39," ")</f>
        <v> </v>
      </c>
      <c r="AH39" s="6" t="str">
        <f aca="false">IF(W39="RP",X39," ")</f>
        <v> </v>
      </c>
      <c r="AI39" s="6" t="str">
        <f aca="false">IF(W39="RV",X39," ")</f>
        <v> </v>
      </c>
      <c r="AJ39" s="6" t="str">
        <f aca="false">IF(W39="RC",X39," ")</f>
        <v> </v>
      </c>
      <c r="AK39" s="6" t="str">
        <f aca="false">IF(W39="RT",X39," ")</f>
        <v> </v>
      </c>
      <c r="AL39" s="6" t="str">
        <f aca="false">IF(W39="DV",X39," ")</f>
        <v> </v>
      </c>
      <c r="AM39" s="6" t="str">
        <f aca="false">IF(W39="DL",X39," ")</f>
        <v> </v>
      </c>
      <c r="AN39" s="6" t="str">
        <f aca="false">IF(W39="X",X39," ")</f>
        <v> </v>
      </c>
    </row>
    <row r="40" customFormat="false" ht="12" hidden="false" customHeight="false" outlineLevel="0" collapsed="false">
      <c r="G40" s="6" t="str">
        <f aca="false">IF(E40="BB",F40," ")</f>
        <v> </v>
      </c>
      <c r="H40" s="6" t="str">
        <f aca="false">IF(E40="BD",F40," ")</f>
        <v> </v>
      </c>
      <c r="I40" s="6" t="str">
        <f aca="false">IF(E40="BC",F40," ")</f>
        <v> </v>
      </c>
      <c r="J40" s="6" t="str">
        <f aca="false">IF(E40="DR",F40," ")</f>
        <v> </v>
      </c>
      <c r="K40" s="6" t="str">
        <f aca="false">IF(E40="K",F40," ")</f>
        <v> </v>
      </c>
      <c r="L40" s="6" t="str">
        <f aca="false">IF(E40="LDR",F40," ")</f>
        <v> </v>
      </c>
      <c r="M40" s="6" t="str">
        <f aca="false">IF(E40="LCR",F40," ")</f>
        <v> </v>
      </c>
      <c r="N40" s="6" t="str">
        <f aca="false">IF(E40="RV",F40," ")</f>
        <v> </v>
      </c>
      <c r="O40" s="6" t="str">
        <f aca="false">IF(E40="RC",F40," ")</f>
        <v> </v>
      </c>
      <c r="P40" s="6" t="str">
        <f aca="false">IF(E40="DL",F40," ")</f>
        <v> </v>
      </c>
      <c r="Q40" s="6" t="str">
        <f aca="false">IF(E40="X",F40," ")</f>
        <v> </v>
      </c>
      <c r="R40" s="37"/>
      <c r="W40" s="6" t="str">
        <f aca="false">IF(X40&lt;&gt;0,"Enter Code"," ")</f>
        <v> </v>
      </c>
      <c r="Y40" s="6" t="str">
        <f aca="false">IF(W40="BB",X40," ")</f>
        <v> </v>
      </c>
      <c r="Z40" s="6" t="str">
        <f aca="false">IF(W40="BD",X40," ")</f>
        <v> </v>
      </c>
      <c r="AA40" s="6" t="str">
        <f aca="false">IF(W40="BC",X40," ")</f>
        <v> </v>
      </c>
      <c r="AB40" s="6" t="str">
        <f aca="false">IF(W40="CR",X40," ")</f>
        <v> </v>
      </c>
      <c r="AC40" s="6" t="str">
        <f aca="false">IF(W40="W",X40," ")</f>
        <v> </v>
      </c>
      <c r="AD40" s="6" t="str">
        <f aca="false">IF(W40="B",X40," ")</f>
        <v> </v>
      </c>
      <c r="AE40" s="6" t="str">
        <f aca="false">IF(W40="J",X40," ")</f>
        <v> </v>
      </c>
      <c r="AF40" s="6" t="str">
        <f aca="false">IF(W40="LDR",X40," ")</f>
        <v> </v>
      </c>
      <c r="AG40" s="6" t="str">
        <f aca="false">IF(W40="LCR",X40," ")</f>
        <v> </v>
      </c>
      <c r="AH40" s="6" t="str">
        <f aca="false">IF(W40="RP",X40," ")</f>
        <v> </v>
      </c>
      <c r="AI40" s="6" t="str">
        <f aca="false">IF(W40="RV",X40," ")</f>
        <v> </v>
      </c>
      <c r="AJ40" s="6" t="str">
        <f aca="false">IF(W40="RC",X40," ")</f>
        <v> </v>
      </c>
      <c r="AK40" s="6" t="str">
        <f aca="false">IF(W40="RT",X40," ")</f>
        <v> </v>
      </c>
      <c r="AL40" s="6" t="str">
        <f aca="false">IF(W40="DV",X40," ")</f>
        <v> </v>
      </c>
      <c r="AM40" s="6" t="str">
        <f aca="false">IF(W40="DL",X40," ")</f>
        <v> </v>
      </c>
      <c r="AN40" s="6" t="str">
        <f aca="false">IF(W40="X",X40," ")</f>
        <v> </v>
      </c>
    </row>
    <row r="41" customFormat="false" ht="12" hidden="false" customHeight="false" outlineLevel="0" collapsed="false">
      <c r="G41" s="6" t="str">
        <f aca="false">IF(E41="BB",F41," ")</f>
        <v> </v>
      </c>
      <c r="H41" s="6" t="str">
        <f aca="false">IF(E41="BD",F41," ")</f>
        <v> </v>
      </c>
      <c r="I41" s="6" t="str">
        <f aca="false">IF(E41="BC",F41," ")</f>
        <v> </v>
      </c>
      <c r="J41" s="6" t="str">
        <f aca="false">IF(E41="DR",F41," ")</f>
        <v> </v>
      </c>
      <c r="K41" s="6" t="str">
        <f aca="false">IF(E41="K",F41," ")</f>
        <v> </v>
      </c>
      <c r="L41" s="6" t="str">
        <f aca="false">IF(E41="LDR",F41," ")</f>
        <v> </v>
      </c>
      <c r="M41" s="6" t="str">
        <f aca="false">IF(E41="LCR",F41," ")</f>
        <v> </v>
      </c>
      <c r="N41" s="6" t="str">
        <f aca="false">IF(E41="RV",F41," ")</f>
        <v> </v>
      </c>
      <c r="O41" s="6" t="str">
        <f aca="false">IF(E41="RC",F41," ")</f>
        <v> </v>
      </c>
      <c r="P41" s="6" t="str">
        <f aca="false">IF(E41="DL",F41," ")</f>
        <v> </v>
      </c>
      <c r="Q41" s="6" t="str">
        <f aca="false">IF(E41="X",F41," ")</f>
        <v> </v>
      </c>
      <c r="R41" s="37"/>
      <c r="W41" s="6" t="str">
        <f aca="false">IF(X41&lt;&gt;0,"Enter Code"," ")</f>
        <v> </v>
      </c>
      <c r="Y41" s="6" t="str">
        <f aca="false">IF(W41="BB",X41," ")</f>
        <v> </v>
      </c>
      <c r="Z41" s="6" t="str">
        <f aca="false">IF(W41="BD",X41," ")</f>
        <v> </v>
      </c>
      <c r="AA41" s="6" t="str">
        <f aca="false">IF(W41="BC",X41," ")</f>
        <v> </v>
      </c>
      <c r="AB41" s="6" t="str">
        <f aca="false">IF(W41="CR",X41," ")</f>
        <v> </v>
      </c>
      <c r="AC41" s="6" t="str">
        <f aca="false">IF(W41="W",X41," ")</f>
        <v> </v>
      </c>
      <c r="AD41" s="6" t="str">
        <f aca="false">IF(W41="B",X41," ")</f>
        <v> </v>
      </c>
      <c r="AE41" s="6" t="str">
        <f aca="false">IF(W41="J",X41," ")</f>
        <v> </v>
      </c>
      <c r="AF41" s="6" t="str">
        <f aca="false">IF(W41="LDR",X41," ")</f>
        <v> </v>
      </c>
      <c r="AG41" s="6" t="str">
        <f aca="false">IF(W41="LCR",X41," ")</f>
        <v> </v>
      </c>
      <c r="AH41" s="6" t="str">
        <f aca="false">IF(W41="RP",X41," ")</f>
        <v> </v>
      </c>
      <c r="AI41" s="6" t="str">
        <f aca="false">IF(W41="RV",X41," ")</f>
        <v> </v>
      </c>
      <c r="AJ41" s="6" t="str">
        <f aca="false">IF(W41="RC",X41," ")</f>
        <v> </v>
      </c>
      <c r="AK41" s="6" t="str">
        <f aca="false">IF(W41="RT",X41," ")</f>
        <v> </v>
      </c>
      <c r="AL41" s="6" t="str">
        <f aca="false">IF(W41="DV",X41," ")</f>
        <v> </v>
      </c>
      <c r="AM41" s="6" t="str">
        <f aca="false">IF(W41="DL",X41," ")</f>
        <v> </v>
      </c>
      <c r="AN41" s="6" t="str">
        <f aca="false">IF(W41="X",X41," ")</f>
        <v> </v>
      </c>
    </row>
    <row r="42" customFormat="false" ht="12" hidden="false" customHeight="false" outlineLevel="0" collapsed="false">
      <c r="G42" s="6" t="str">
        <f aca="false">IF(E42="BB",F42," ")</f>
        <v> </v>
      </c>
      <c r="H42" s="6" t="str">
        <f aca="false">IF(E42="BD",F42," ")</f>
        <v> </v>
      </c>
      <c r="I42" s="6" t="str">
        <f aca="false">IF(E42="BC",F42," ")</f>
        <v> </v>
      </c>
      <c r="J42" s="6" t="str">
        <f aca="false">IF(E42="DR",F42," ")</f>
        <v> </v>
      </c>
      <c r="K42" s="6" t="str">
        <f aca="false">IF(E42="K",F42," ")</f>
        <v> </v>
      </c>
      <c r="L42" s="6" t="str">
        <f aca="false">IF(E42="LDR",F42," ")</f>
        <v> </v>
      </c>
      <c r="M42" s="6" t="str">
        <f aca="false">IF(E42="LCR",F42," ")</f>
        <v> </v>
      </c>
      <c r="N42" s="6" t="str">
        <f aca="false">IF(E42="RV",F42," ")</f>
        <v> </v>
      </c>
      <c r="O42" s="6" t="str">
        <f aca="false">IF(E42="RC",F42," ")</f>
        <v> </v>
      </c>
      <c r="P42" s="6" t="str">
        <f aca="false">IF(E42="DL",F42," ")</f>
        <v> </v>
      </c>
      <c r="Q42" s="6" t="str">
        <f aca="false">IF(E42="X",F42," ")</f>
        <v> </v>
      </c>
      <c r="R42" s="37"/>
      <c r="W42" s="6" t="str">
        <f aca="false">IF(X42&lt;&gt;0,"Enter Code"," ")</f>
        <v> </v>
      </c>
      <c r="Y42" s="6" t="str">
        <f aca="false">IF(W42="BB",X42," ")</f>
        <v> </v>
      </c>
      <c r="Z42" s="6" t="str">
        <f aca="false">IF(W42="BD",X42," ")</f>
        <v> </v>
      </c>
      <c r="AA42" s="6" t="str">
        <f aca="false">IF(W42="BC",X42," ")</f>
        <v> </v>
      </c>
      <c r="AB42" s="6" t="str">
        <f aca="false">IF(W42="CR",X42," ")</f>
        <v> </v>
      </c>
      <c r="AC42" s="6" t="str">
        <f aca="false">IF(W42="W",X42," ")</f>
        <v> </v>
      </c>
      <c r="AD42" s="6" t="str">
        <f aca="false">IF(W42="B",X42," ")</f>
        <v> </v>
      </c>
      <c r="AE42" s="6" t="str">
        <f aca="false">IF(W42="J",X42," ")</f>
        <v> </v>
      </c>
      <c r="AF42" s="6" t="str">
        <f aca="false">IF(W42="LDR",X42," ")</f>
        <v> </v>
      </c>
      <c r="AG42" s="6" t="str">
        <f aca="false">IF(W42="LCR",X42," ")</f>
        <v> </v>
      </c>
      <c r="AH42" s="6" t="str">
        <f aca="false">IF(W42="RP",X42," ")</f>
        <v> </v>
      </c>
      <c r="AI42" s="6" t="str">
        <f aca="false">IF(W42="RV",X42," ")</f>
        <v> </v>
      </c>
      <c r="AJ42" s="6" t="str">
        <f aca="false">IF(W42="RC",X42," ")</f>
        <v> </v>
      </c>
      <c r="AK42" s="6" t="str">
        <f aca="false">IF(W42="RT",X42," ")</f>
        <v> </v>
      </c>
      <c r="AL42" s="6" t="str">
        <f aca="false">IF(W42="DV",X42," ")</f>
        <v> </v>
      </c>
      <c r="AM42" s="6" t="str">
        <f aca="false">IF(W42="DL",X42," ")</f>
        <v> </v>
      </c>
      <c r="AN42" s="6" t="str">
        <f aca="false">IF(W42="X",X42," ")</f>
        <v> </v>
      </c>
    </row>
    <row r="43" customFormat="false" ht="12" hidden="false" customHeight="false" outlineLevel="0" collapsed="false">
      <c r="G43" s="6" t="str">
        <f aca="false">IF(E43="BB",F43," ")</f>
        <v> </v>
      </c>
      <c r="H43" s="6" t="str">
        <f aca="false">IF(E43="BD",F43," ")</f>
        <v> </v>
      </c>
      <c r="I43" s="6" t="str">
        <f aca="false">IF(E43="BC",F43," ")</f>
        <v> </v>
      </c>
      <c r="J43" s="6" t="str">
        <f aca="false">IF(E43="DR",F43," ")</f>
        <v> </v>
      </c>
      <c r="K43" s="6" t="str">
        <f aca="false">IF(E43="K",F43," ")</f>
        <v> </v>
      </c>
      <c r="L43" s="6" t="str">
        <f aca="false">IF(E43="LDR",F43," ")</f>
        <v> </v>
      </c>
      <c r="M43" s="6" t="str">
        <f aca="false">IF(E43="LCR",F43," ")</f>
        <v> </v>
      </c>
      <c r="N43" s="6" t="str">
        <f aca="false">IF(E43="RV",F43," ")</f>
        <v> </v>
      </c>
      <c r="O43" s="6" t="str">
        <f aca="false">IF(E43="RC",F43," ")</f>
        <v> </v>
      </c>
      <c r="P43" s="6" t="str">
        <f aca="false">IF(E43="DL",F43," ")</f>
        <v> </v>
      </c>
      <c r="Q43" s="6" t="str">
        <f aca="false">IF(E43="X",F43," ")</f>
        <v> </v>
      </c>
      <c r="R43" s="37"/>
      <c r="W43" s="6" t="str">
        <f aca="false">IF(X43&lt;&gt;0,"Enter Code"," ")</f>
        <v> </v>
      </c>
      <c r="Y43" s="6" t="str">
        <f aca="false">IF(W43="BB",X43," ")</f>
        <v> </v>
      </c>
      <c r="Z43" s="6" t="str">
        <f aca="false">IF(W43="BD",X43," ")</f>
        <v> </v>
      </c>
      <c r="AA43" s="6" t="str">
        <f aca="false">IF(W43="BC",X43," ")</f>
        <v> </v>
      </c>
      <c r="AB43" s="6" t="str">
        <f aca="false">IF(W43="CR",X43," ")</f>
        <v> </v>
      </c>
      <c r="AC43" s="6" t="str">
        <f aca="false">IF(W43="W",X43," ")</f>
        <v> </v>
      </c>
      <c r="AD43" s="6" t="str">
        <f aca="false">IF(W43="B",X43," ")</f>
        <v> </v>
      </c>
      <c r="AE43" s="6" t="str">
        <f aca="false">IF(W43="J",X43," ")</f>
        <v> </v>
      </c>
      <c r="AF43" s="6" t="str">
        <f aca="false">IF(W43="LDR",X43," ")</f>
        <v> </v>
      </c>
      <c r="AG43" s="6" t="str">
        <f aca="false">IF(W43="LCR",X43," ")</f>
        <v> </v>
      </c>
      <c r="AH43" s="6" t="str">
        <f aca="false">IF(W43="RP",X43," ")</f>
        <v> </v>
      </c>
      <c r="AI43" s="6" t="str">
        <f aca="false">IF(W43="RV",X43," ")</f>
        <v> </v>
      </c>
      <c r="AJ43" s="6" t="str">
        <f aca="false">IF(W43="RC",X43," ")</f>
        <v> </v>
      </c>
      <c r="AK43" s="6" t="str">
        <f aca="false">IF(W43="RT",X43," ")</f>
        <v> </v>
      </c>
      <c r="AL43" s="6" t="str">
        <f aca="false">IF(W43="DV",X43," ")</f>
        <v> </v>
      </c>
      <c r="AM43" s="6" t="str">
        <f aca="false">IF(W43="DL",X43," ")</f>
        <v> </v>
      </c>
      <c r="AN43" s="6" t="str">
        <f aca="false">IF(W43="X",X43," ")</f>
        <v> </v>
      </c>
    </row>
    <row r="44" customFormat="false" ht="12" hidden="false" customHeight="false" outlineLevel="0" collapsed="false">
      <c r="G44" s="6" t="str">
        <f aca="false">IF(E44="BB",F44," ")</f>
        <v> </v>
      </c>
      <c r="H44" s="6" t="str">
        <f aca="false">IF(E44="BD",F44," ")</f>
        <v> </v>
      </c>
      <c r="I44" s="6" t="str">
        <f aca="false">IF(E44="BC",F44," ")</f>
        <v> </v>
      </c>
      <c r="J44" s="6" t="str">
        <f aca="false">IF(E44="DR",F44," ")</f>
        <v> </v>
      </c>
      <c r="K44" s="6" t="str">
        <f aca="false">IF(E44="K",F44," ")</f>
        <v> </v>
      </c>
      <c r="L44" s="6" t="str">
        <f aca="false">IF(E44="LDR",F44," ")</f>
        <v> </v>
      </c>
      <c r="M44" s="6" t="str">
        <f aca="false">IF(E44="LCR",F44," ")</f>
        <v> </v>
      </c>
      <c r="N44" s="6" t="str">
        <f aca="false">IF(E44="RV",F44," ")</f>
        <v> </v>
      </c>
      <c r="O44" s="6" t="str">
        <f aca="false">IF(E44="RC",F44," ")</f>
        <v> </v>
      </c>
      <c r="P44" s="6" t="str">
        <f aca="false">IF(E44="DL",F44," ")</f>
        <v> </v>
      </c>
      <c r="Q44" s="6" t="str">
        <f aca="false">IF(E44="X",F44," ")</f>
        <v> </v>
      </c>
      <c r="R44" s="37"/>
      <c r="W44" s="6" t="str">
        <f aca="false">IF(X44&lt;&gt;0,"Enter Code"," ")</f>
        <v> </v>
      </c>
      <c r="Y44" s="6" t="str">
        <f aca="false">IF(W44="BB",X44," ")</f>
        <v> </v>
      </c>
      <c r="Z44" s="6" t="str">
        <f aca="false">IF(W44="BD",X44," ")</f>
        <v> </v>
      </c>
      <c r="AA44" s="6" t="str">
        <f aca="false">IF(W44="BC",X44," ")</f>
        <v> </v>
      </c>
      <c r="AB44" s="6" t="str">
        <f aca="false">IF(W44="CR",X44," ")</f>
        <v> </v>
      </c>
      <c r="AC44" s="6" t="str">
        <f aca="false">IF(W44="W",X44," ")</f>
        <v> </v>
      </c>
      <c r="AD44" s="6" t="str">
        <f aca="false">IF(W44="B",X44," ")</f>
        <v> </v>
      </c>
      <c r="AE44" s="6" t="str">
        <f aca="false">IF(W44="J",X44," ")</f>
        <v> </v>
      </c>
      <c r="AF44" s="6" t="str">
        <f aca="false">IF(W44="LDR",X44," ")</f>
        <v> </v>
      </c>
      <c r="AG44" s="6" t="str">
        <f aca="false">IF(W44="LCR",X44," ")</f>
        <v> </v>
      </c>
      <c r="AH44" s="6" t="str">
        <f aca="false">IF(W44="RP",X44," ")</f>
        <v> </v>
      </c>
      <c r="AI44" s="6" t="str">
        <f aca="false">IF(W44="RV",X44," ")</f>
        <v> </v>
      </c>
      <c r="AJ44" s="6" t="str">
        <f aca="false">IF(W44="RC",X44," ")</f>
        <v> </v>
      </c>
      <c r="AK44" s="6" t="str">
        <f aca="false">IF(W44="RT",X44," ")</f>
        <v> </v>
      </c>
      <c r="AL44" s="6" t="str">
        <f aca="false">IF(W44="DV",X44," ")</f>
        <v> </v>
      </c>
      <c r="AM44" s="6" t="str">
        <f aca="false">IF(W44="DL",X44," ")</f>
        <v> </v>
      </c>
      <c r="AN44" s="6" t="str">
        <f aca="false">IF(W44="X",X44," ")</f>
        <v> </v>
      </c>
    </row>
    <row r="45" customFormat="false" ht="12" hidden="false" customHeight="false" outlineLevel="0" collapsed="false">
      <c r="G45" s="6" t="str">
        <f aca="false">IF(E45="BB",F45," ")</f>
        <v> </v>
      </c>
      <c r="H45" s="6" t="str">
        <f aca="false">IF(E45="BD",F45," ")</f>
        <v> </v>
      </c>
      <c r="I45" s="6" t="str">
        <f aca="false">IF(E45="BC",F45," ")</f>
        <v> </v>
      </c>
      <c r="J45" s="6" t="str">
        <f aca="false">IF(E45="DR",F45," ")</f>
        <v> </v>
      </c>
      <c r="K45" s="6" t="str">
        <f aca="false">IF(E45="K",F45," ")</f>
        <v> </v>
      </c>
      <c r="L45" s="6" t="str">
        <f aca="false">IF(E45="LDR",F45," ")</f>
        <v> </v>
      </c>
      <c r="M45" s="6" t="str">
        <f aca="false">IF(E45="LCR",F45," ")</f>
        <v> </v>
      </c>
      <c r="N45" s="6" t="str">
        <f aca="false">IF(E45="RV",F45," ")</f>
        <v> </v>
      </c>
      <c r="O45" s="6" t="str">
        <f aca="false">IF(E45="RC",F45," ")</f>
        <v> </v>
      </c>
      <c r="P45" s="6" t="str">
        <f aca="false">IF(E45="DL",F45," ")</f>
        <v> </v>
      </c>
      <c r="Q45" s="6" t="str">
        <f aca="false">IF(E45="X",F45," ")</f>
        <v> </v>
      </c>
      <c r="R45" s="37"/>
      <c r="W45" s="6" t="str">
        <f aca="false">IF(X45&lt;&gt;0,"Enter Code"," ")</f>
        <v> </v>
      </c>
      <c r="Y45" s="6" t="str">
        <f aca="false">IF(W45="BB",X45," ")</f>
        <v> </v>
      </c>
      <c r="Z45" s="6" t="str">
        <f aca="false">IF(W45="BD",X45," ")</f>
        <v> </v>
      </c>
      <c r="AA45" s="6" t="str">
        <f aca="false">IF(W45="BC",X45," ")</f>
        <v> </v>
      </c>
      <c r="AB45" s="6" t="str">
        <f aca="false">IF(W45="CR",X45," ")</f>
        <v> </v>
      </c>
      <c r="AC45" s="6" t="str">
        <f aca="false">IF(W45="W",X45," ")</f>
        <v> </v>
      </c>
      <c r="AD45" s="6" t="str">
        <f aca="false">IF(W45="B",X45," ")</f>
        <v> </v>
      </c>
      <c r="AE45" s="6" t="str">
        <f aca="false">IF(W45="J",X45," ")</f>
        <v> </v>
      </c>
      <c r="AF45" s="6" t="str">
        <f aca="false">IF(W45="LDR",X45," ")</f>
        <v> </v>
      </c>
      <c r="AG45" s="6" t="str">
        <f aca="false">IF(W45="LCR",X45," ")</f>
        <v> </v>
      </c>
      <c r="AH45" s="6" t="str">
        <f aca="false">IF(W45="RP",X45," ")</f>
        <v> </v>
      </c>
      <c r="AI45" s="6" t="str">
        <f aca="false">IF(W45="RV",X45," ")</f>
        <v> </v>
      </c>
      <c r="AJ45" s="6" t="str">
        <f aca="false">IF(W45="RC",X45," ")</f>
        <v> </v>
      </c>
      <c r="AK45" s="6" t="str">
        <f aca="false">IF(W45="RT",X45," ")</f>
        <v> </v>
      </c>
      <c r="AL45" s="6" t="str">
        <f aca="false">IF(W45="DV",X45," ")</f>
        <v> </v>
      </c>
      <c r="AM45" s="6" t="str">
        <f aca="false">IF(W45="DL",X45," ")</f>
        <v> </v>
      </c>
      <c r="AN45" s="6" t="str">
        <f aca="false">IF(W45="X",X45," ")</f>
        <v> </v>
      </c>
    </row>
    <row r="46" customFormat="false" ht="12" hidden="false" customHeight="false" outlineLevel="0" collapsed="false">
      <c r="G46" s="6" t="str">
        <f aca="false">IF(E46="BB",F46," ")</f>
        <v> </v>
      </c>
      <c r="H46" s="6" t="str">
        <f aca="false">IF(E46="BD",F46," ")</f>
        <v> </v>
      </c>
      <c r="I46" s="6" t="str">
        <f aca="false">IF(E46="BC",F46," ")</f>
        <v> </v>
      </c>
      <c r="J46" s="6" t="str">
        <f aca="false">IF(E46="DR",F46," ")</f>
        <v> </v>
      </c>
      <c r="K46" s="6" t="str">
        <f aca="false">IF(E46="K",F46," ")</f>
        <v> </v>
      </c>
      <c r="L46" s="6" t="str">
        <f aca="false">IF(E46="LDR",F46," ")</f>
        <v> </v>
      </c>
      <c r="M46" s="6" t="str">
        <f aca="false">IF(E46="LCR",F46," ")</f>
        <v> </v>
      </c>
      <c r="N46" s="6" t="str">
        <f aca="false">IF(E46="RV",F46," ")</f>
        <v> </v>
      </c>
      <c r="O46" s="6" t="str">
        <f aca="false">IF(E46="RC",F46," ")</f>
        <v> </v>
      </c>
      <c r="P46" s="6" t="str">
        <f aca="false">IF(E46="DL",F46," ")</f>
        <v> </v>
      </c>
      <c r="Q46" s="6" t="str">
        <f aca="false">IF(E46="X",F46," ")</f>
        <v> </v>
      </c>
      <c r="R46" s="37"/>
      <c r="W46" s="6" t="str">
        <f aca="false">IF(X46&lt;&gt;0,"Enter Code"," ")</f>
        <v> </v>
      </c>
      <c r="Y46" s="6" t="str">
        <f aca="false">IF(W46="BB",X46," ")</f>
        <v> </v>
      </c>
      <c r="Z46" s="6" t="str">
        <f aca="false">IF(W46="BD",X46," ")</f>
        <v> </v>
      </c>
      <c r="AA46" s="6" t="str">
        <f aca="false">IF(W46="BC",X46," ")</f>
        <v> </v>
      </c>
      <c r="AB46" s="6" t="str">
        <f aca="false">IF(W46="CR",X46," ")</f>
        <v> </v>
      </c>
      <c r="AC46" s="6" t="str">
        <f aca="false">IF(W46="W",X46," ")</f>
        <v> </v>
      </c>
      <c r="AD46" s="6" t="str">
        <f aca="false">IF(W46="B",X46," ")</f>
        <v> </v>
      </c>
      <c r="AE46" s="6" t="str">
        <f aca="false">IF(W46="J",X46," ")</f>
        <v> </v>
      </c>
      <c r="AF46" s="6" t="str">
        <f aca="false">IF(W46="LDR",X46," ")</f>
        <v> </v>
      </c>
      <c r="AG46" s="6" t="str">
        <f aca="false">IF(W46="LCR",X46," ")</f>
        <v> </v>
      </c>
      <c r="AH46" s="6" t="str">
        <f aca="false">IF(W46="RP",X46," ")</f>
        <v> </v>
      </c>
      <c r="AI46" s="6" t="str">
        <f aca="false">IF(W46="RV",X46," ")</f>
        <v> </v>
      </c>
      <c r="AJ46" s="6" t="str">
        <f aca="false">IF(W46="RC",X46," ")</f>
        <v> </v>
      </c>
      <c r="AK46" s="6" t="str">
        <f aca="false">IF(W46="RT",X46," ")</f>
        <v> </v>
      </c>
      <c r="AL46" s="6" t="str">
        <f aca="false">IF(W46="DV",X46," ")</f>
        <v> </v>
      </c>
      <c r="AM46" s="6" t="str">
        <f aca="false">IF(W46="DL",X46," ")</f>
        <v> </v>
      </c>
      <c r="AN46" s="6" t="str">
        <f aca="false">IF(W46="X",X46," ")</f>
        <v> </v>
      </c>
    </row>
    <row r="47" customFormat="false" ht="12" hidden="false" customHeight="false" outlineLevel="0" collapsed="false">
      <c r="G47" s="6" t="str">
        <f aca="false">IF(E47="BB",F47," ")</f>
        <v> </v>
      </c>
      <c r="H47" s="6" t="str">
        <f aca="false">IF(E47="BD",F47," ")</f>
        <v> </v>
      </c>
      <c r="I47" s="6" t="str">
        <f aca="false">IF(E47="BC",F47," ")</f>
        <v> </v>
      </c>
      <c r="J47" s="6" t="str">
        <f aca="false">IF(E47="DR",F47," ")</f>
        <v> </v>
      </c>
      <c r="K47" s="6" t="str">
        <f aca="false">IF(E47="K",F47," ")</f>
        <v> </v>
      </c>
      <c r="L47" s="6" t="str">
        <f aca="false">IF(E47="LDR",F47," ")</f>
        <v> </v>
      </c>
      <c r="M47" s="6" t="str">
        <f aca="false">IF(E47="LCR",F47," ")</f>
        <v> </v>
      </c>
      <c r="N47" s="6" t="str">
        <f aca="false">IF(E47="RV",F47," ")</f>
        <v> </v>
      </c>
      <c r="O47" s="6" t="str">
        <f aca="false">IF(E47="RC",F47," ")</f>
        <v> </v>
      </c>
      <c r="P47" s="6" t="str">
        <f aca="false">IF(E47="DL",F47," ")</f>
        <v> </v>
      </c>
      <c r="Q47" s="6" t="str">
        <f aca="false">IF(E47="X",F47," ")</f>
        <v> </v>
      </c>
      <c r="R47" s="37"/>
      <c r="W47" s="6" t="str">
        <f aca="false">IF(X47&lt;&gt;0,"Enter Code"," ")</f>
        <v> </v>
      </c>
      <c r="Y47" s="6" t="str">
        <f aca="false">IF(W47="BB",X47," ")</f>
        <v> </v>
      </c>
      <c r="Z47" s="6" t="str">
        <f aca="false">IF(W47="BD",X47," ")</f>
        <v> </v>
      </c>
      <c r="AA47" s="6" t="str">
        <f aca="false">IF(W47="BC",X47," ")</f>
        <v> </v>
      </c>
      <c r="AB47" s="6" t="str">
        <f aca="false">IF(W47="CR",X47," ")</f>
        <v> </v>
      </c>
      <c r="AC47" s="6" t="str">
        <f aca="false">IF(W47="W",X47," ")</f>
        <v> </v>
      </c>
      <c r="AD47" s="6" t="str">
        <f aca="false">IF(W47="B",X47," ")</f>
        <v> </v>
      </c>
      <c r="AE47" s="6" t="str">
        <f aca="false">IF(W47="J",X47," ")</f>
        <v> </v>
      </c>
      <c r="AF47" s="6" t="str">
        <f aca="false">IF(W47="LDR",X47," ")</f>
        <v> </v>
      </c>
      <c r="AG47" s="6" t="str">
        <f aca="false">IF(W47="LCR",X47," ")</f>
        <v> </v>
      </c>
      <c r="AH47" s="6" t="str">
        <f aca="false">IF(W47="RP",X47," ")</f>
        <v> </v>
      </c>
      <c r="AI47" s="6" t="str">
        <f aca="false">IF(W47="RV",X47," ")</f>
        <v> </v>
      </c>
      <c r="AJ47" s="6" t="str">
        <f aca="false">IF(W47="RC",X47," ")</f>
        <v> </v>
      </c>
      <c r="AK47" s="6" t="str">
        <f aca="false">IF(W47="RT",X47," ")</f>
        <v> </v>
      </c>
      <c r="AL47" s="6" t="str">
        <f aca="false">IF(W47="DV",X47," ")</f>
        <v> </v>
      </c>
      <c r="AM47" s="6" t="str">
        <f aca="false">IF(W47="DL",X47," ")</f>
        <v> </v>
      </c>
      <c r="AN47" s="6" t="str">
        <f aca="false">IF(W47="X",X47," ")</f>
        <v> </v>
      </c>
    </row>
    <row r="48" customFormat="false" ht="12" hidden="false" customHeight="false" outlineLevel="0" collapsed="false">
      <c r="G48" s="6" t="str">
        <f aca="false">IF(E48="BB",F48," ")</f>
        <v> </v>
      </c>
      <c r="H48" s="6" t="str">
        <f aca="false">IF(E48="BD",F48," ")</f>
        <v> </v>
      </c>
      <c r="I48" s="6" t="str">
        <f aca="false">IF(E48="BC",F48," ")</f>
        <v> </v>
      </c>
      <c r="J48" s="6" t="str">
        <f aca="false">IF(E48="DR",F48," ")</f>
        <v> </v>
      </c>
      <c r="K48" s="6" t="str">
        <f aca="false">IF(E48="K",F48," ")</f>
        <v> </v>
      </c>
      <c r="L48" s="6" t="str">
        <f aca="false">IF(E48="LDR",F48," ")</f>
        <v> </v>
      </c>
      <c r="M48" s="6" t="str">
        <f aca="false">IF(E48="LCR",F48," ")</f>
        <v> </v>
      </c>
      <c r="N48" s="6" t="str">
        <f aca="false">IF(E48="RV",F48," ")</f>
        <v> </v>
      </c>
      <c r="O48" s="6" t="str">
        <f aca="false">IF(E48="RC",F48," ")</f>
        <v> </v>
      </c>
      <c r="P48" s="6" t="str">
        <f aca="false">IF(E48="DL",F48," ")</f>
        <v> </v>
      </c>
      <c r="Q48" s="6" t="str">
        <f aca="false">IF(E48="X",F48," ")</f>
        <v> </v>
      </c>
      <c r="R48" s="37"/>
      <c r="W48" s="6" t="str">
        <f aca="false">IF(X48&lt;&gt;0,"Enter Code"," ")</f>
        <v> </v>
      </c>
      <c r="Y48" s="6" t="str">
        <f aca="false">IF(W48="BB",X48," ")</f>
        <v> </v>
      </c>
      <c r="Z48" s="6" t="str">
        <f aca="false">IF(W48="BD",X48," ")</f>
        <v> </v>
      </c>
      <c r="AA48" s="6" t="str">
        <f aca="false">IF(W48="BC",X48," ")</f>
        <v> </v>
      </c>
      <c r="AB48" s="6" t="str">
        <f aca="false">IF(W48="CR",X48," ")</f>
        <v> </v>
      </c>
      <c r="AC48" s="6" t="str">
        <f aca="false">IF(W48="W",X48," ")</f>
        <v> </v>
      </c>
      <c r="AD48" s="6" t="str">
        <f aca="false">IF(W48="B",X48," ")</f>
        <v> </v>
      </c>
      <c r="AE48" s="6" t="str">
        <f aca="false">IF(W48="J",X48," ")</f>
        <v> </v>
      </c>
      <c r="AF48" s="6" t="str">
        <f aca="false">IF(W48="LDR",X48," ")</f>
        <v> </v>
      </c>
      <c r="AG48" s="6" t="str">
        <f aca="false">IF(W48="LCR",X48," ")</f>
        <v> </v>
      </c>
      <c r="AH48" s="6" t="str">
        <f aca="false">IF(W48="RP",X48," ")</f>
        <v> </v>
      </c>
      <c r="AI48" s="6" t="str">
        <f aca="false">IF(W48="RV",X48," ")</f>
        <v> </v>
      </c>
      <c r="AJ48" s="6" t="str">
        <f aca="false">IF(W48="RC",X48," ")</f>
        <v> </v>
      </c>
      <c r="AK48" s="6" t="str">
        <f aca="false">IF(W48="RT",X48," ")</f>
        <v> </v>
      </c>
      <c r="AL48" s="6" t="str">
        <f aca="false">IF(W48="DV",X48," ")</f>
        <v> </v>
      </c>
      <c r="AM48" s="6" t="str">
        <f aca="false">IF(W48="DL",X48," ")</f>
        <v> </v>
      </c>
      <c r="AN48" s="6" t="str">
        <f aca="false">IF(W48="X",X48," ")</f>
        <v> </v>
      </c>
    </row>
    <row r="49" customFormat="false" ht="12" hidden="false" customHeight="false" outlineLevel="0" collapsed="false">
      <c r="G49" s="6" t="str">
        <f aca="false">IF(E49="BB",F49," ")</f>
        <v> </v>
      </c>
      <c r="H49" s="6" t="str">
        <f aca="false">IF(E49="BD",F49," ")</f>
        <v> </v>
      </c>
      <c r="I49" s="6" t="str">
        <f aca="false">IF(E49="BC",F49," ")</f>
        <v> </v>
      </c>
      <c r="J49" s="6" t="str">
        <f aca="false">IF(E49="DR",F49," ")</f>
        <v> </v>
      </c>
      <c r="K49" s="6" t="str">
        <f aca="false">IF(E49="K",F49," ")</f>
        <v> </v>
      </c>
      <c r="L49" s="6" t="str">
        <f aca="false">IF(E49="LDR",F49," ")</f>
        <v> </v>
      </c>
      <c r="M49" s="6" t="str">
        <f aca="false">IF(E49="LCR",F49," ")</f>
        <v> </v>
      </c>
      <c r="N49" s="6" t="str">
        <f aca="false">IF(E49="RV",F49," ")</f>
        <v> </v>
      </c>
      <c r="O49" s="6" t="str">
        <f aca="false">IF(E49="RC",F49," ")</f>
        <v> </v>
      </c>
      <c r="P49" s="6" t="str">
        <f aca="false">IF(E49="DL",F49," ")</f>
        <v> </v>
      </c>
      <c r="Q49" s="6" t="str">
        <f aca="false">IF(E49="X",F49," ")</f>
        <v> </v>
      </c>
      <c r="R49" s="37"/>
      <c r="W49" s="6" t="str">
        <f aca="false">IF(X49&lt;&gt;0,"Enter Code"," ")</f>
        <v> </v>
      </c>
      <c r="Y49" s="6" t="str">
        <f aca="false">IF(W49="BB",X49," ")</f>
        <v> </v>
      </c>
      <c r="Z49" s="6" t="str">
        <f aca="false">IF(W49="BD",X49," ")</f>
        <v> </v>
      </c>
      <c r="AA49" s="6" t="str">
        <f aca="false">IF(W49="BC",X49," ")</f>
        <v> </v>
      </c>
      <c r="AB49" s="6" t="str">
        <f aca="false">IF(W49="CR",X49," ")</f>
        <v> </v>
      </c>
      <c r="AC49" s="6" t="str">
        <f aca="false">IF(W49="W",X49," ")</f>
        <v> </v>
      </c>
      <c r="AD49" s="6" t="str">
        <f aca="false">IF(W49="B",X49," ")</f>
        <v> </v>
      </c>
      <c r="AE49" s="6" t="str">
        <f aca="false">IF(W49="J",X49," ")</f>
        <v> </v>
      </c>
      <c r="AF49" s="6" t="str">
        <f aca="false">IF(W49="LDR",X49," ")</f>
        <v> </v>
      </c>
      <c r="AG49" s="6" t="str">
        <f aca="false">IF(W49="LCR",X49," ")</f>
        <v> </v>
      </c>
      <c r="AH49" s="6" t="str">
        <f aca="false">IF(W49="RP",X49," ")</f>
        <v> </v>
      </c>
      <c r="AI49" s="6" t="str">
        <f aca="false">IF(W49="RV",X49," ")</f>
        <v> </v>
      </c>
      <c r="AJ49" s="6" t="str">
        <f aca="false">IF(W49="RC",X49," ")</f>
        <v> </v>
      </c>
      <c r="AK49" s="6" t="str">
        <f aca="false">IF(W49="RT",X49," ")</f>
        <v> </v>
      </c>
      <c r="AL49" s="6" t="str">
        <f aca="false">IF(W49="DV",X49," ")</f>
        <v> </v>
      </c>
      <c r="AM49" s="6" t="str">
        <f aca="false">IF(W49="DL",X49," ")</f>
        <v> </v>
      </c>
      <c r="AN49" s="6" t="str">
        <f aca="false">IF(W49="X",X49," ")</f>
        <v> </v>
      </c>
    </row>
    <row r="50" customFormat="false" ht="12" hidden="false" customHeight="false" outlineLevel="0" collapsed="false">
      <c r="G50" s="6" t="str">
        <f aca="false">IF(E50="BB",F50," ")</f>
        <v> </v>
      </c>
      <c r="H50" s="6" t="str">
        <f aca="false">IF(E50="BD",F50," ")</f>
        <v> </v>
      </c>
      <c r="I50" s="6" t="str">
        <f aca="false">IF(E50="BC",F50," ")</f>
        <v> </v>
      </c>
      <c r="J50" s="6" t="str">
        <f aca="false">IF(E50="DR",F50," ")</f>
        <v> </v>
      </c>
      <c r="K50" s="6" t="str">
        <f aca="false">IF(E50="K",F50," ")</f>
        <v> </v>
      </c>
      <c r="L50" s="6" t="str">
        <f aca="false">IF(E50="LDR",F50," ")</f>
        <v> </v>
      </c>
      <c r="M50" s="6" t="str">
        <f aca="false">IF(E50="LCR",F50," ")</f>
        <v> </v>
      </c>
      <c r="N50" s="6" t="str">
        <f aca="false">IF(E50="RV",F50," ")</f>
        <v> </v>
      </c>
      <c r="O50" s="6" t="str">
        <f aca="false">IF(E50="RC",F50," ")</f>
        <v> </v>
      </c>
      <c r="P50" s="6" t="str">
        <f aca="false">IF(E50="DL",F50," ")</f>
        <v> </v>
      </c>
      <c r="Q50" s="6" t="str">
        <f aca="false">IF(E50="X",F50," ")</f>
        <v> </v>
      </c>
      <c r="R50" s="37"/>
      <c r="W50" s="6" t="str">
        <f aca="false">IF(X50&lt;&gt;0,"Enter Code"," ")</f>
        <v> </v>
      </c>
      <c r="Y50" s="6" t="str">
        <f aca="false">IF(W50="BB",X50," ")</f>
        <v> </v>
      </c>
      <c r="Z50" s="6" t="str">
        <f aca="false">IF(W50="BD",X50," ")</f>
        <v> </v>
      </c>
      <c r="AA50" s="6" t="str">
        <f aca="false">IF(W50="BC",X50," ")</f>
        <v> </v>
      </c>
      <c r="AB50" s="6" t="str">
        <f aca="false">IF(W50="CR",X50," ")</f>
        <v> </v>
      </c>
      <c r="AC50" s="6" t="str">
        <f aca="false">IF(W50="W",X50," ")</f>
        <v> </v>
      </c>
      <c r="AD50" s="6" t="str">
        <f aca="false">IF(W50="B",X50," ")</f>
        <v> </v>
      </c>
      <c r="AE50" s="6" t="str">
        <f aca="false">IF(W50="J",X50," ")</f>
        <v> </v>
      </c>
      <c r="AF50" s="6" t="str">
        <f aca="false">IF(W50="LDR",X50," ")</f>
        <v> </v>
      </c>
      <c r="AG50" s="6" t="str">
        <f aca="false">IF(W50="LCR",X50," ")</f>
        <v> </v>
      </c>
      <c r="AH50" s="6" t="str">
        <f aca="false">IF(W50="RP",X50," ")</f>
        <v> </v>
      </c>
      <c r="AI50" s="6" t="str">
        <f aca="false">IF(W50="RV",X50," ")</f>
        <v> </v>
      </c>
      <c r="AJ50" s="6" t="str">
        <f aca="false">IF(W50="RC",X50," ")</f>
        <v> </v>
      </c>
      <c r="AK50" s="6" t="str">
        <f aca="false">IF(W50="RT",X50," ")</f>
        <v> </v>
      </c>
      <c r="AL50" s="6" t="str">
        <f aca="false">IF(W50="DV",X50," ")</f>
        <v> </v>
      </c>
      <c r="AM50" s="6" t="str">
        <f aca="false">IF(W50="DL",X50," ")</f>
        <v> </v>
      </c>
      <c r="AN50" s="6" t="str">
        <f aca="false">IF(W50="X",X50," ")</f>
        <v> </v>
      </c>
    </row>
    <row r="51" customFormat="false" ht="12" hidden="false" customHeight="false" outlineLevel="0" collapsed="false">
      <c r="G51" s="6" t="str">
        <f aca="false">IF(E51="BB",F51," ")</f>
        <v> </v>
      </c>
      <c r="H51" s="6" t="str">
        <f aca="false">IF(E51="BD",F51," ")</f>
        <v> </v>
      </c>
      <c r="I51" s="6" t="str">
        <f aca="false">IF(E51="BC",F51," ")</f>
        <v> </v>
      </c>
      <c r="J51" s="6" t="str">
        <f aca="false">IF(E51="DR",F51," ")</f>
        <v> </v>
      </c>
      <c r="K51" s="6" t="str">
        <f aca="false">IF(E51="K",F51," ")</f>
        <v> </v>
      </c>
      <c r="L51" s="6" t="str">
        <f aca="false">IF(E51="LDR",F51," ")</f>
        <v> </v>
      </c>
      <c r="M51" s="6" t="str">
        <f aca="false">IF(E51="LCR",F51," ")</f>
        <v> </v>
      </c>
      <c r="N51" s="6" t="str">
        <f aca="false">IF(E51="RV",F51," ")</f>
        <v> </v>
      </c>
      <c r="O51" s="6" t="str">
        <f aca="false">IF(E51="RC",F51," ")</f>
        <v> </v>
      </c>
      <c r="P51" s="6" t="str">
        <f aca="false">IF(E51="DL",F51," ")</f>
        <v> </v>
      </c>
      <c r="Q51" s="6" t="str">
        <f aca="false">IF(E51="X",F51," ")</f>
        <v> </v>
      </c>
      <c r="R51" s="37"/>
      <c r="W51" s="6" t="str">
        <f aca="false">IF(X51&lt;&gt;0,"Enter Code"," ")</f>
        <v> </v>
      </c>
      <c r="Y51" s="6" t="str">
        <f aca="false">IF(W51="BB",X51," ")</f>
        <v> </v>
      </c>
      <c r="Z51" s="6" t="str">
        <f aca="false">IF(W51="BD",X51," ")</f>
        <v> </v>
      </c>
      <c r="AA51" s="6" t="str">
        <f aca="false">IF(W51="BC",X51," ")</f>
        <v> </v>
      </c>
      <c r="AB51" s="6" t="str">
        <f aca="false">IF(W51="CR",X51," ")</f>
        <v> </v>
      </c>
      <c r="AC51" s="6" t="str">
        <f aca="false">IF(W51="W",X51," ")</f>
        <v> </v>
      </c>
      <c r="AD51" s="6" t="str">
        <f aca="false">IF(W51="B",X51," ")</f>
        <v> </v>
      </c>
      <c r="AE51" s="6" t="str">
        <f aca="false">IF(W51="J",X51," ")</f>
        <v> </v>
      </c>
      <c r="AF51" s="6" t="str">
        <f aca="false">IF(W51="LDR",X51," ")</f>
        <v> </v>
      </c>
      <c r="AG51" s="6" t="str">
        <f aca="false">IF(W51="LCR",X51," ")</f>
        <v> </v>
      </c>
      <c r="AH51" s="6" t="str">
        <f aca="false">IF(W51="RP",X51," ")</f>
        <v> </v>
      </c>
      <c r="AI51" s="6" t="str">
        <f aca="false">IF(W51="RV",X51," ")</f>
        <v> </v>
      </c>
      <c r="AJ51" s="6" t="str">
        <f aca="false">IF(W51="RC",X51," ")</f>
        <v> </v>
      </c>
      <c r="AK51" s="6" t="str">
        <f aca="false">IF(W51="RT",X51," ")</f>
        <v> </v>
      </c>
      <c r="AL51" s="6" t="str">
        <f aca="false">IF(W51="DV",X51," ")</f>
        <v> </v>
      </c>
      <c r="AM51" s="6" t="str">
        <f aca="false">IF(W51="DL",X51," ")</f>
        <v> </v>
      </c>
      <c r="AN51" s="6" t="str">
        <f aca="false">IF(W51="X",X51," ")</f>
        <v> </v>
      </c>
    </row>
    <row r="52" customFormat="false" ht="12" hidden="false" customHeight="false" outlineLevel="0" collapsed="false">
      <c r="G52" s="6" t="str">
        <f aca="false">IF(E52="BB",F52," ")</f>
        <v> </v>
      </c>
      <c r="H52" s="6" t="str">
        <f aca="false">IF(E52="BD",F52," ")</f>
        <v> </v>
      </c>
      <c r="I52" s="6" t="str">
        <f aca="false">IF(E52="BC",F52," ")</f>
        <v> </v>
      </c>
      <c r="J52" s="6" t="str">
        <f aca="false">IF(E52="DR",F52," ")</f>
        <v> </v>
      </c>
      <c r="K52" s="6" t="str">
        <f aca="false">IF(E52="K",F52," ")</f>
        <v> </v>
      </c>
      <c r="L52" s="6" t="str">
        <f aca="false">IF(E52="LDR",F52," ")</f>
        <v> </v>
      </c>
      <c r="M52" s="6" t="str">
        <f aca="false">IF(E52="LCR",F52," ")</f>
        <v> </v>
      </c>
      <c r="N52" s="6" t="str">
        <f aca="false">IF(E52="RV",F52," ")</f>
        <v> </v>
      </c>
      <c r="O52" s="6" t="str">
        <f aca="false">IF(E52="RC",F52," ")</f>
        <v> </v>
      </c>
      <c r="P52" s="6" t="str">
        <f aca="false">IF(E52="DL",F52," ")</f>
        <v> </v>
      </c>
      <c r="Q52" s="6" t="str">
        <f aca="false">IF(E52="X",F52," ")</f>
        <v> </v>
      </c>
      <c r="R52" s="37"/>
      <c r="W52" s="6" t="str">
        <f aca="false">IF(X52&lt;&gt;0,"Enter Code"," ")</f>
        <v> </v>
      </c>
      <c r="Y52" s="6" t="str">
        <f aca="false">IF(W52="BB",X52," ")</f>
        <v> </v>
      </c>
      <c r="Z52" s="6" t="str">
        <f aca="false">IF(W52="BD",X52," ")</f>
        <v> </v>
      </c>
      <c r="AA52" s="6" t="str">
        <f aca="false">IF(W52="BC",X52," ")</f>
        <v> </v>
      </c>
      <c r="AB52" s="6" t="str">
        <f aca="false">IF(W52="CR",X52," ")</f>
        <v> </v>
      </c>
      <c r="AC52" s="6" t="str">
        <f aca="false">IF(W52="W",X52," ")</f>
        <v> </v>
      </c>
      <c r="AD52" s="6" t="str">
        <f aca="false">IF(W52="B",X52," ")</f>
        <v> </v>
      </c>
      <c r="AE52" s="6" t="str">
        <f aca="false">IF(W52="J",X52," ")</f>
        <v> </v>
      </c>
      <c r="AF52" s="6" t="str">
        <f aca="false">IF(W52="LDR",X52," ")</f>
        <v> </v>
      </c>
      <c r="AG52" s="6" t="str">
        <f aca="false">IF(W52="LCR",X52," ")</f>
        <v> </v>
      </c>
      <c r="AH52" s="6" t="str">
        <f aca="false">IF(W52="RP",X52," ")</f>
        <v> </v>
      </c>
      <c r="AI52" s="6" t="str">
        <f aca="false">IF(W52="RV",X52," ")</f>
        <v> </v>
      </c>
      <c r="AJ52" s="6" t="str">
        <f aca="false">IF(W52="RC",X52," ")</f>
        <v> </v>
      </c>
      <c r="AK52" s="6" t="str">
        <f aca="false">IF(W52="RT",X52," ")</f>
        <v> </v>
      </c>
      <c r="AL52" s="6" t="str">
        <f aca="false">IF(W52="DV",X52," ")</f>
        <v> </v>
      </c>
      <c r="AM52" s="6" t="str">
        <f aca="false">IF(W52="DL",X52," ")</f>
        <v> </v>
      </c>
      <c r="AN52" s="6" t="str">
        <f aca="false">IF(W52="X",X52," ")</f>
        <v> </v>
      </c>
    </row>
    <row r="53" customFormat="false" ht="12" hidden="false" customHeight="false" outlineLevel="0" collapsed="false">
      <c r="G53" s="6" t="str">
        <f aca="false">IF(E53="BB",F53," ")</f>
        <v> </v>
      </c>
      <c r="H53" s="6" t="str">
        <f aca="false">IF(E53="BD",F53," ")</f>
        <v> </v>
      </c>
      <c r="I53" s="6" t="str">
        <f aca="false">IF(E53="BC",F53," ")</f>
        <v> </v>
      </c>
      <c r="J53" s="6" t="str">
        <f aca="false">IF(E53="DR",F53," ")</f>
        <v> </v>
      </c>
      <c r="K53" s="6" t="str">
        <f aca="false">IF(E53="K",F53," ")</f>
        <v> </v>
      </c>
      <c r="L53" s="6" t="str">
        <f aca="false">IF(E53="LDR",F53," ")</f>
        <v> </v>
      </c>
      <c r="M53" s="6" t="str">
        <f aca="false">IF(E53="LCR",F53," ")</f>
        <v> </v>
      </c>
      <c r="N53" s="6" t="str">
        <f aca="false">IF(E53="RV",F53," ")</f>
        <v> </v>
      </c>
      <c r="O53" s="6" t="str">
        <f aca="false">IF(E53="RC",F53," ")</f>
        <v> </v>
      </c>
      <c r="P53" s="6" t="str">
        <f aca="false">IF(E53="DL",F53," ")</f>
        <v> </v>
      </c>
      <c r="Q53" s="6" t="str">
        <f aca="false">IF(E53="X",F53," ")</f>
        <v> </v>
      </c>
      <c r="R53" s="37"/>
      <c r="W53" s="6" t="str">
        <f aca="false">IF(X53&lt;&gt;0,"Enter Code"," ")</f>
        <v> </v>
      </c>
      <c r="Y53" s="6" t="str">
        <f aca="false">IF(W53="BB",X53," ")</f>
        <v> </v>
      </c>
      <c r="Z53" s="6" t="str">
        <f aca="false">IF(W53="BD",X53," ")</f>
        <v> </v>
      </c>
      <c r="AA53" s="6" t="str">
        <f aca="false">IF(W53="BC",X53," ")</f>
        <v> </v>
      </c>
      <c r="AB53" s="6" t="str">
        <f aca="false">IF(W53="CR",X53," ")</f>
        <v> </v>
      </c>
      <c r="AC53" s="6" t="str">
        <f aca="false">IF(W53="W",X53," ")</f>
        <v> </v>
      </c>
      <c r="AD53" s="6" t="str">
        <f aca="false">IF(W53="B",X53," ")</f>
        <v> </v>
      </c>
      <c r="AE53" s="6" t="str">
        <f aca="false">IF(W53="J",X53," ")</f>
        <v> </v>
      </c>
      <c r="AF53" s="6" t="str">
        <f aca="false">IF(W53="LDR",X53," ")</f>
        <v> </v>
      </c>
      <c r="AG53" s="6" t="str">
        <f aca="false">IF(W53="LCR",X53," ")</f>
        <v> </v>
      </c>
      <c r="AH53" s="6" t="str">
        <f aca="false">IF(W53="RP",X53," ")</f>
        <v> </v>
      </c>
      <c r="AI53" s="6" t="str">
        <f aca="false">IF(W53="RV",X53," ")</f>
        <v> </v>
      </c>
      <c r="AJ53" s="6" t="str">
        <f aca="false">IF(W53="RC",X53," ")</f>
        <v> </v>
      </c>
      <c r="AK53" s="6" t="str">
        <f aca="false">IF(W53="RT",X53," ")</f>
        <v> </v>
      </c>
      <c r="AL53" s="6" t="str">
        <f aca="false">IF(W53="DV",X53," ")</f>
        <v> </v>
      </c>
      <c r="AM53" s="6" t="str">
        <f aca="false">IF(W53="DL",X53," ")</f>
        <v> </v>
      </c>
      <c r="AN53" s="6" t="str">
        <f aca="false">IF(W53="X",X53," ")</f>
        <v> </v>
      </c>
    </row>
    <row r="54" customFormat="false" ht="12" hidden="false" customHeight="false" outlineLevel="0" collapsed="false">
      <c r="G54" s="6" t="str">
        <f aca="false">IF(E54="BB",F54," ")</f>
        <v> </v>
      </c>
      <c r="H54" s="6" t="str">
        <f aca="false">IF(E54="BD",F54," ")</f>
        <v> </v>
      </c>
      <c r="I54" s="6" t="str">
        <f aca="false">IF(E54="BC",F54," ")</f>
        <v> </v>
      </c>
      <c r="J54" s="6" t="str">
        <f aca="false">IF(E54="DR",F54," ")</f>
        <v> </v>
      </c>
      <c r="K54" s="6" t="str">
        <f aca="false">IF(E54="K",F54," ")</f>
        <v> </v>
      </c>
      <c r="L54" s="6" t="str">
        <f aca="false">IF(E54="LDR",F54," ")</f>
        <v> </v>
      </c>
      <c r="M54" s="6" t="str">
        <f aca="false">IF(E54="LCR",F54," ")</f>
        <v> </v>
      </c>
      <c r="N54" s="6" t="str">
        <f aca="false">IF(E54="RV",F54," ")</f>
        <v> </v>
      </c>
      <c r="O54" s="6" t="str">
        <f aca="false">IF(E54="RC",F54," ")</f>
        <v> </v>
      </c>
      <c r="P54" s="6" t="str">
        <f aca="false">IF(E54="DL",F54," ")</f>
        <v> </v>
      </c>
      <c r="Q54" s="6" t="str">
        <f aca="false">IF(E54="X",F54," ")</f>
        <v> </v>
      </c>
      <c r="R54" s="37"/>
      <c r="W54" s="6" t="str">
        <f aca="false">IF(X54&lt;&gt;0,"Enter Code"," ")</f>
        <v> </v>
      </c>
      <c r="Y54" s="6" t="str">
        <f aca="false">IF(W54="BB",X54," ")</f>
        <v> </v>
      </c>
      <c r="Z54" s="6" t="str">
        <f aca="false">IF(W54="BD",X54," ")</f>
        <v> </v>
      </c>
      <c r="AA54" s="6" t="str">
        <f aca="false">IF(W54="BC",X54," ")</f>
        <v> </v>
      </c>
      <c r="AB54" s="6" t="str">
        <f aca="false">IF(W54="CR",X54," ")</f>
        <v> </v>
      </c>
      <c r="AC54" s="6" t="str">
        <f aca="false">IF(W54="W",X54," ")</f>
        <v> </v>
      </c>
      <c r="AD54" s="6" t="str">
        <f aca="false">IF(W54="B",X54," ")</f>
        <v> </v>
      </c>
      <c r="AE54" s="6" t="str">
        <f aca="false">IF(W54="J",X54," ")</f>
        <v> </v>
      </c>
      <c r="AF54" s="6" t="str">
        <f aca="false">IF(W54="LDR",X54," ")</f>
        <v> </v>
      </c>
      <c r="AG54" s="6" t="str">
        <f aca="false">IF(W54="LCR",X54," ")</f>
        <v> </v>
      </c>
      <c r="AH54" s="6" t="str">
        <f aca="false">IF(W54="RP",X54," ")</f>
        <v> </v>
      </c>
      <c r="AI54" s="6" t="str">
        <f aca="false">IF(W54="RV",X54," ")</f>
        <v> </v>
      </c>
      <c r="AJ54" s="6" t="str">
        <f aca="false">IF(W54="RC",X54," ")</f>
        <v> </v>
      </c>
      <c r="AK54" s="6" t="str">
        <f aca="false">IF(W54="RT",X54," ")</f>
        <v> </v>
      </c>
      <c r="AL54" s="6" t="str">
        <f aca="false">IF(W54="DV",X54," ")</f>
        <v> </v>
      </c>
      <c r="AM54" s="6" t="str">
        <f aca="false">IF(W54="DL",X54," ")</f>
        <v> </v>
      </c>
      <c r="AN54" s="6" t="str">
        <f aca="false">IF(W54="X",X54," ")</f>
        <v> </v>
      </c>
    </row>
    <row r="55" customFormat="false" ht="12" hidden="false" customHeight="false" outlineLevel="0" collapsed="false">
      <c r="G55" s="6" t="str">
        <f aca="false">IF(E55="BB",F55," ")</f>
        <v> </v>
      </c>
      <c r="H55" s="6" t="str">
        <f aca="false">IF(E55="BD",F55," ")</f>
        <v> </v>
      </c>
      <c r="I55" s="6" t="str">
        <f aca="false">IF(E55="BC",F55," ")</f>
        <v> </v>
      </c>
      <c r="J55" s="6" t="str">
        <f aca="false">IF(E55="DR",F55," ")</f>
        <v> </v>
      </c>
      <c r="K55" s="6" t="str">
        <f aca="false">IF(E55="K",F55," ")</f>
        <v> </v>
      </c>
      <c r="L55" s="6" t="str">
        <f aca="false">IF(E55="LDR",F55," ")</f>
        <v> </v>
      </c>
      <c r="M55" s="6" t="str">
        <f aca="false">IF(E55="LCR",F55," ")</f>
        <v> </v>
      </c>
      <c r="N55" s="6" t="str">
        <f aca="false">IF(E55="RV",F55," ")</f>
        <v> </v>
      </c>
      <c r="O55" s="6" t="str">
        <f aca="false">IF(E55="RC",F55," ")</f>
        <v> </v>
      </c>
      <c r="P55" s="6" t="str">
        <f aca="false">IF(E55="DL",F55," ")</f>
        <v> </v>
      </c>
      <c r="Q55" s="6" t="str">
        <f aca="false">IF(E55="X",F55," ")</f>
        <v> </v>
      </c>
      <c r="R55" s="37"/>
      <c r="W55" s="6" t="str">
        <f aca="false">IF(X55&lt;&gt;0,"Enter Code"," ")</f>
        <v> </v>
      </c>
      <c r="Y55" s="6" t="str">
        <f aca="false">IF(W55="BB",X55," ")</f>
        <v> </v>
      </c>
      <c r="Z55" s="6" t="str">
        <f aca="false">IF(W55="BD",X55," ")</f>
        <v> </v>
      </c>
      <c r="AA55" s="6" t="str">
        <f aca="false">IF(W55="BC",X55," ")</f>
        <v> </v>
      </c>
      <c r="AB55" s="6" t="str">
        <f aca="false">IF(W55="CR",X55," ")</f>
        <v> </v>
      </c>
      <c r="AC55" s="6" t="str">
        <f aca="false">IF(W55="W",X55," ")</f>
        <v> </v>
      </c>
      <c r="AD55" s="6" t="str">
        <f aca="false">IF(W55="B",X55," ")</f>
        <v> </v>
      </c>
      <c r="AE55" s="6" t="str">
        <f aca="false">IF(W55="J",X55," ")</f>
        <v> </v>
      </c>
      <c r="AF55" s="6" t="str">
        <f aca="false">IF(W55="LDR",X55," ")</f>
        <v> </v>
      </c>
      <c r="AG55" s="6" t="str">
        <f aca="false">IF(W55="LCR",X55," ")</f>
        <v> </v>
      </c>
      <c r="AH55" s="6" t="str">
        <f aca="false">IF(W55="RP",X55," ")</f>
        <v> </v>
      </c>
      <c r="AI55" s="6" t="str">
        <f aca="false">IF(W55="RV",X55," ")</f>
        <v> </v>
      </c>
      <c r="AJ55" s="6" t="str">
        <f aca="false">IF(W55="RC",X55," ")</f>
        <v> </v>
      </c>
      <c r="AK55" s="6" t="str">
        <f aca="false">IF(W55="RT",X55," ")</f>
        <v> </v>
      </c>
      <c r="AL55" s="6" t="str">
        <f aca="false">IF(W55="DV",X55," ")</f>
        <v> </v>
      </c>
      <c r="AM55" s="6" t="str">
        <f aca="false">IF(W55="DL",X55," ")</f>
        <v> </v>
      </c>
      <c r="AN55" s="6" t="str">
        <f aca="false">IF(W55="X",X55," ")</f>
        <v> </v>
      </c>
    </row>
    <row r="56" customFormat="false" ht="12" hidden="false" customHeight="false" outlineLevel="0" collapsed="false">
      <c r="G56" s="6" t="str">
        <f aca="false">IF(E56="BB",F56," ")</f>
        <v> </v>
      </c>
      <c r="H56" s="6" t="str">
        <f aca="false">IF(E56="BD",F56," ")</f>
        <v> </v>
      </c>
      <c r="I56" s="6" t="str">
        <f aca="false">IF(E56="BC",F56," ")</f>
        <v> </v>
      </c>
      <c r="J56" s="6" t="str">
        <f aca="false">IF(E56="DR",F56," ")</f>
        <v> </v>
      </c>
      <c r="K56" s="6" t="str">
        <f aca="false">IF(E56="K",F56," ")</f>
        <v> </v>
      </c>
      <c r="L56" s="6" t="str">
        <f aca="false">IF(E56="LDR",F56," ")</f>
        <v> </v>
      </c>
      <c r="M56" s="6" t="str">
        <f aca="false">IF(E56="LCR",F56," ")</f>
        <v> </v>
      </c>
      <c r="N56" s="6" t="str">
        <f aca="false">IF(E56="RV",F56," ")</f>
        <v> </v>
      </c>
      <c r="O56" s="6" t="str">
        <f aca="false">IF(E56="RC",F56," ")</f>
        <v> </v>
      </c>
      <c r="P56" s="6" t="str">
        <f aca="false">IF(E56="DL",F56," ")</f>
        <v> </v>
      </c>
      <c r="Q56" s="6" t="str">
        <f aca="false">IF(E56="X",F56," ")</f>
        <v> </v>
      </c>
      <c r="R56" s="37"/>
      <c r="W56" s="6" t="str">
        <f aca="false">IF(X56&lt;&gt;0,"Enter Code"," ")</f>
        <v> </v>
      </c>
      <c r="Y56" s="6" t="str">
        <f aca="false">IF(W56="BB",X56," ")</f>
        <v> </v>
      </c>
      <c r="Z56" s="6" t="str">
        <f aca="false">IF(W56="BD",X56," ")</f>
        <v> </v>
      </c>
      <c r="AA56" s="6" t="str">
        <f aca="false">IF(W56="BC",X56," ")</f>
        <v> </v>
      </c>
      <c r="AB56" s="6" t="str">
        <f aca="false">IF(W56="CR",X56," ")</f>
        <v> </v>
      </c>
      <c r="AC56" s="6" t="str">
        <f aca="false">IF(W56="W",X56," ")</f>
        <v> </v>
      </c>
      <c r="AD56" s="6" t="str">
        <f aca="false">IF(W56="B",X56," ")</f>
        <v> </v>
      </c>
      <c r="AE56" s="6" t="str">
        <f aca="false">IF(W56="J",X56," ")</f>
        <v> </v>
      </c>
      <c r="AF56" s="6" t="str">
        <f aca="false">IF(W56="LDR",X56," ")</f>
        <v> </v>
      </c>
      <c r="AG56" s="6" t="str">
        <f aca="false">IF(W56="LCR",X56," ")</f>
        <v> </v>
      </c>
      <c r="AH56" s="6" t="str">
        <f aca="false">IF(W56="RP",X56," ")</f>
        <v> </v>
      </c>
      <c r="AI56" s="6" t="str">
        <f aca="false">IF(W56="RV",X56," ")</f>
        <v> </v>
      </c>
      <c r="AJ56" s="6" t="str">
        <f aca="false">IF(W56="RC",X56," ")</f>
        <v> </v>
      </c>
      <c r="AK56" s="6" t="str">
        <f aca="false">IF(W56="RT",X56," ")</f>
        <v> </v>
      </c>
      <c r="AL56" s="6" t="str">
        <f aca="false">IF(W56="DV",X56," ")</f>
        <v> </v>
      </c>
      <c r="AM56" s="6" t="str">
        <f aca="false">IF(W56="DL",X56," ")</f>
        <v> </v>
      </c>
      <c r="AN56" s="6" t="str">
        <f aca="false">IF(W56="X",X56," ")</f>
        <v> </v>
      </c>
    </row>
    <row r="57" customFormat="false" ht="12" hidden="false" customHeight="false" outlineLevel="0" collapsed="false">
      <c r="G57" s="6" t="str">
        <f aca="false">IF(E57="BB",F57," ")</f>
        <v> </v>
      </c>
      <c r="H57" s="6" t="str">
        <f aca="false">IF(E57="BD",F57," ")</f>
        <v> </v>
      </c>
      <c r="I57" s="6" t="str">
        <f aca="false">IF(E57="BC",F57," ")</f>
        <v> </v>
      </c>
      <c r="J57" s="6" t="str">
        <f aca="false">IF(E57="DR",F57," ")</f>
        <v> </v>
      </c>
      <c r="K57" s="6" t="str">
        <f aca="false">IF(E57="K",F57," ")</f>
        <v> </v>
      </c>
      <c r="L57" s="6" t="str">
        <f aca="false">IF(E57="LDR",F57," ")</f>
        <v> </v>
      </c>
      <c r="M57" s="6" t="str">
        <f aca="false">IF(E57="LCR",F57," ")</f>
        <v> </v>
      </c>
      <c r="N57" s="6" t="str">
        <f aca="false">IF(E57="RV",F57," ")</f>
        <v> </v>
      </c>
      <c r="O57" s="6" t="str">
        <f aca="false">IF(E57="RC",F57," ")</f>
        <v> </v>
      </c>
      <c r="P57" s="6" t="str">
        <f aca="false">IF(E57="DL",F57," ")</f>
        <v> </v>
      </c>
      <c r="Q57" s="6" t="str">
        <f aca="false">IF(E57="X",F57," ")</f>
        <v> </v>
      </c>
      <c r="R57" s="37"/>
      <c r="W57" s="6" t="str">
        <f aca="false">IF(X57&lt;&gt;0,"Enter Code"," ")</f>
        <v> </v>
      </c>
      <c r="Y57" s="6" t="str">
        <f aca="false">IF(W57="BB",X57," ")</f>
        <v> </v>
      </c>
      <c r="Z57" s="6" t="str">
        <f aca="false">IF(W57="BD",X57," ")</f>
        <v> </v>
      </c>
      <c r="AA57" s="6" t="str">
        <f aca="false">IF(W57="BC",X57," ")</f>
        <v> </v>
      </c>
      <c r="AB57" s="6" t="str">
        <f aca="false">IF(W57="CR",X57," ")</f>
        <v> </v>
      </c>
      <c r="AC57" s="6" t="str">
        <f aca="false">IF(W57="W",X57," ")</f>
        <v> </v>
      </c>
      <c r="AD57" s="6" t="str">
        <f aca="false">IF(W57="B",X57," ")</f>
        <v> </v>
      </c>
      <c r="AE57" s="6" t="str">
        <f aca="false">IF(W57="J",X57," ")</f>
        <v> </v>
      </c>
      <c r="AF57" s="6" t="str">
        <f aca="false">IF(W57="LDR",X57," ")</f>
        <v> </v>
      </c>
      <c r="AG57" s="6" t="str">
        <f aca="false">IF(W57="LCR",X57," ")</f>
        <v> </v>
      </c>
      <c r="AH57" s="6" t="str">
        <f aca="false">IF(W57="RP",X57," ")</f>
        <v> </v>
      </c>
      <c r="AI57" s="6" t="str">
        <f aca="false">IF(W57="RV",X57," ")</f>
        <v> </v>
      </c>
      <c r="AJ57" s="6" t="str">
        <f aca="false">IF(W57="RC",X57," ")</f>
        <v> </v>
      </c>
      <c r="AK57" s="6" t="str">
        <f aca="false">IF(W57="RT",X57," ")</f>
        <v> </v>
      </c>
      <c r="AL57" s="6" t="str">
        <f aca="false">IF(W57="DV",X57," ")</f>
        <v> </v>
      </c>
      <c r="AM57" s="6" t="str">
        <f aca="false">IF(W57="DL",X57," ")</f>
        <v> </v>
      </c>
      <c r="AN57" s="6" t="str">
        <f aca="false">IF(W57="X",X57," ")</f>
        <v> </v>
      </c>
    </row>
    <row r="58" customFormat="false" ht="12" hidden="false" customHeight="false" outlineLevel="0" collapsed="false">
      <c r="G58" s="6" t="str">
        <f aca="false">IF(E58="BB",F58," ")</f>
        <v> </v>
      </c>
      <c r="H58" s="6" t="str">
        <f aca="false">IF(E58="BD",F58," ")</f>
        <v> </v>
      </c>
      <c r="I58" s="6" t="str">
        <f aca="false">IF(E58="BC",F58," ")</f>
        <v> </v>
      </c>
      <c r="J58" s="6" t="str">
        <f aca="false">IF(E58="DR",F58," ")</f>
        <v> </v>
      </c>
      <c r="K58" s="6" t="str">
        <f aca="false">IF(E58="K",F58," ")</f>
        <v> </v>
      </c>
      <c r="L58" s="6" t="str">
        <f aca="false">IF(E58="LDR",F58," ")</f>
        <v> </v>
      </c>
      <c r="M58" s="6" t="str">
        <f aca="false">IF(E58="LCR",F58," ")</f>
        <v> </v>
      </c>
      <c r="N58" s="6" t="str">
        <f aca="false">IF(E58="RV",F58," ")</f>
        <v> </v>
      </c>
      <c r="O58" s="6" t="str">
        <f aca="false">IF(E58="RC",F58," ")</f>
        <v> </v>
      </c>
      <c r="P58" s="6" t="str">
        <f aca="false">IF(E58="DL",F58," ")</f>
        <v> </v>
      </c>
      <c r="Q58" s="6" t="str">
        <f aca="false">IF(E58="X",F58," ")</f>
        <v> </v>
      </c>
      <c r="R58" s="37"/>
      <c r="W58" s="6" t="str">
        <f aca="false">IF(X58&lt;&gt;0,"Enter Code"," ")</f>
        <v> </v>
      </c>
      <c r="Y58" s="6" t="str">
        <f aca="false">IF(W58="BB",X58," ")</f>
        <v> </v>
      </c>
      <c r="Z58" s="6" t="str">
        <f aca="false">IF(W58="BD",X58," ")</f>
        <v> </v>
      </c>
      <c r="AA58" s="6" t="str">
        <f aca="false">IF(W58="BC",X58," ")</f>
        <v> </v>
      </c>
      <c r="AB58" s="6" t="str">
        <f aca="false">IF(W58="CR",X58," ")</f>
        <v> </v>
      </c>
      <c r="AC58" s="6" t="str">
        <f aca="false">IF(W58="W",X58," ")</f>
        <v> </v>
      </c>
      <c r="AD58" s="6" t="str">
        <f aca="false">IF(W58="B",X58," ")</f>
        <v> </v>
      </c>
      <c r="AE58" s="6" t="str">
        <f aca="false">IF(W58="J",X58," ")</f>
        <v> </v>
      </c>
      <c r="AF58" s="6" t="str">
        <f aca="false">IF(W58="LDR",X58," ")</f>
        <v> </v>
      </c>
      <c r="AG58" s="6" t="str">
        <f aca="false">IF(W58="LCR",X58," ")</f>
        <v> </v>
      </c>
      <c r="AH58" s="6" t="str">
        <f aca="false">IF(W58="RP",X58," ")</f>
        <v> </v>
      </c>
      <c r="AI58" s="6" t="str">
        <f aca="false">IF(W58="RV",X58," ")</f>
        <v> </v>
      </c>
      <c r="AJ58" s="6" t="str">
        <f aca="false">IF(W58="RC",X58," ")</f>
        <v> </v>
      </c>
      <c r="AK58" s="6" t="str">
        <f aca="false">IF(W58="RT",X58," ")</f>
        <v> </v>
      </c>
      <c r="AL58" s="6" t="str">
        <f aca="false">IF(W58="DV",X58," ")</f>
        <v> </v>
      </c>
      <c r="AM58" s="6" t="str">
        <f aca="false">IF(W58="DL",X58," ")</f>
        <v> </v>
      </c>
      <c r="AN58" s="6" t="str">
        <f aca="false">IF(W58="X",X58," ")</f>
        <v> </v>
      </c>
    </row>
    <row r="59" customFormat="false" ht="12" hidden="false" customHeight="false" outlineLevel="0" collapsed="false">
      <c r="G59" s="6" t="str">
        <f aca="false">IF(E59="BB",F59," ")</f>
        <v> </v>
      </c>
      <c r="H59" s="6" t="str">
        <f aca="false">IF(E59="BD",F59," ")</f>
        <v> </v>
      </c>
      <c r="I59" s="6" t="str">
        <f aca="false">IF(E59="BC",F59," ")</f>
        <v> </v>
      </c>
      <c r="J59" s="6" t="str">
        <f aca="false">IF(E59="DR",F59," ")</f>
        <v> </v>
      </c>
      <c r="K59" s="6" t="str">
        <f aca="false">IF(E59="K",F59," ")</f>
        <v> </v>
      </c>
      <c r="L59" s="6" t="str">
        <f aca="false">IF(E59="LDR",F59," ")</f>
        <v> </v>
      </c>
      <c r="M59" s="6" t="str">
        <f aca="false">IF(E59="LCR",F59," ")</f>
        <v> </v>
      </c>
      <c r="N59" s="6" t="str">
        <f aca="false">IF(E59="RV",F59," ")</f>
        <v> </v>
      </c>
      <c r="O59" s="6" t="str">
        <f aca="false">IF(E59="RC",F59," ")</f>
        <v> </v>
      </c>
      <c r="P59" s="6" t="str">
        <f aca="false">IF(E59="DL",F59," ")</f>
        <v> </v>
      </c>
      <c r="Q59" s="6" t="str">
        <f aca="false">IF(E59="X",F59," ")</f>
        <v> </v>
      </c>
      <c r="R59" s="37"/>
      <c r="W59" s="6" t="str">
        <f aca="false">IF(X59&lt;&gt;0,"Enter Code"," ")</f>
        <v> </v>
      </c>
      <c r="Y59" s="6" t="str">
        <f aca="false">IF(W59="BB",X59," ")</f>
        <v> </v>
      </c>
      <c r="Z59" s="6" t="str">
        <f aca="false">IF(W59="BD",X59," ")</f>
        <v> </v>
      </c>
      <c r="AA59" s="6" t="str">
        <f aca="false">IF(W59="BC",X59," ")</f>
        <v> </v>
      </c>
      <c r="AB59" s="6" t="str">
        <f aca="false">IF(W59="CR",X59," ")</f>
        <v> </v>
      </c>
      <c r="AC59" s="6" t="str">
        <f aca="false">IF(W59="W",X59," ")</f>
        <v> </v>
      </c>
      <c r="AD59" s="6" t="str">
        <f aca="false">IF(W59="B",X59," ")</f>
        <v> </v>
      </c>
      <c r="AE59" s="6" t="str">
        <f aca="false">IF(W59="J",X59," ")</f>
        <v> </v>
      </c>
      <c r="AF59" s="6" t="str">
        <f aca="false">IF(W59="LDR",X59," ")</f>
        <v> </v>
      </c>
      <c r="AG59" s="6" t="str">
        <f aca="false">IF(W59="LCR",X59," ")</f>
        <v> </v>
      </c>
      <c r="AH59" s="6" t="str">
        <f aca="false">IF(W59="RP",X59," ")</f>
        <v> </v>
      </c>
      <c r="AI59" s="6" t="str">
        <f aca="false">IF(W59="RV",X59," ")</f>
        <v> </v>
      </c>
      <c r="AJ59" s="6" t="str">
        <f aca="false">IF(W59="RC",X59," ")</f>
        <v> </v>
      </c>
      <c r="AK59" s="6" t="str">
        <f aca="false">IF(W59="RT",X59," ")</f>
        <v> </v>
      </c>
      <c r="AL59" s="6" t="str">
        <f aca="false">IF(W59="DV",X59," ")</f>
        <v> </v>
      </c>
      <c r="AM59" s="6" t="str">
        <f aca="false">IF(W59="DL",X59," ")</f>
        <v> </v>
      </c>
      <c r="AN59" s="6" t="str">
        <f aca="false">IF(W59="X",X59," ")</f>
        <v> </v>
      </c>
    </row>
    <row r="60" customFormat="false" ht="12" hidden="false" customHeight="false" outlineLevel="0" collapsed="false">
      <c r="G60" s="6" t="str">
        <f aca="false">IF(E60="BB",F60," ")</f>
        <v> </v>
      </c>
      <c r="H60" s="6" t="str">
        <f aca="false">IF(E60="BD",F60," ")</f>
        <v> </v>
      </c>
      <c r="I60" s="6" t="str">
        <f aca="false">IF(E60="BC",F60," ")</f>
        <v> </v>
      </c>
      <c r="J60" s="6" t="str">
        <f aca="false">IF(E60="DR",F60," ")</f>
        <v> </v>
      </c>
      <c r="K60" s="6" t="str">
        <f aca="false">IF(E60="K",F60," ")</f>
        <v> </v>
      </c>
      <c r="L60" s="6" t="str">
        <f aca="false">IF(E60="LDR",F60," ")</f>
        <v> </v>
      </c>
      <c r="M60" s="6" t="str">
        <f aca="false">IF(E60="LCR",F60," ")</f>
        <v> </v>
      </c>
      <c r="N60" s="6" t="str">
        <f aca="false">IF(E60="RV",F60," ")</f>
        <v> </v>
      </c>
      <c r="O60" s="6" t="str">
        <f aca="false">IF(E60="RC",F60," ")</f>
        <v> </v>
      </c>
      <c r="P60" s="6" t="str">
        <f aca="false">IF(E60="DL",F60," ")</f>
        <v> </v>
      </c>
      <c r="Q60" s="6" t="str">
        <f aca="false">IF(E60="X",F60," ")</f>
        <v> </v>
      </c>
      <c r="R60" s="37"/>
      <c r="W60" s="6" t="str">
        <f aca="false">IF(X60&lt;&gt;0,"Enter Code"," ")</f>
        <v> </v>
      </c>
      <c r="Y60" s="6" t="str">
        <f aca="false">IF(W60="BB",X60," ")</f>
        <v> </v>
      </c>
      <c r="Z60" s="6" t="str">
        <f aca="false">IF(W60="BD",X60," ")</f>
        <v> </v>
      </c>
      <c r="AA60" s="6" t="str">
        <f aca="false">IF(W60="BC",X60," ")</f>
        <v> </v>
      </c>
      <c r="AB60" s="6" t="str">
        <f aca="false">IF(W60="CR",X60," ")</f>
        <v> </v>
      </c>
      <c r="AC60" s="6" t="str">
        <f aca="false">IF(W60="W",X60," ")</f>
        <v> </v>
      </c>
      <c r="AD60" s="6" t="str">
        <f aca="false">IF(W60="B",X60," ")</f>
        <v> </v>
      </c>
      <c r="AE60" s="6" t="str">
        <f aca="false">IF(W60="J",X60," ")</f>
        <v> </v>
      </c>
      <c r="AF60" s="6" t="str">
        <f aca="false">IF(W60="LDR",X60," ")</f>
        <v> </v>
      </c>
      <c r="AG60" s="6" t="str">
        <f aca="false">IF(W60="LCR",X60," ")</f>
        <v> </v>
      </c>
      <c r="AH60" s="6" t="str">
        <f aca="false">IF(W60="RP",X60," ")</f>
        <v> </v>
      </c>
      <c r="AI60" s="6" t="str">
        <f aca="false">IF(W60="RV",X60," ")</f>
        <v> </v>
      </c>
      <c r="AJ60" s="6" t="str">
        <f aca="false">IF(W60="RC",X60," ")</f>
        <v> </v>
      </c>
      <c r="AK60" s="6" t="str">
        <f aca="false">IF(W60="RT",X60," ")</f>
        <v> </v>
      </c>
      <c r="AL60" s="6" t="str">
        <f aca="false">IF(W60="DV",X60," ")</f>
        <v> </v>
      </c>
      <c r="AM60" s="6" t="str">
        <f aca="false">IF(W60="DL",X60," ")</f>
        <v> </v>
      </c>
      <c r="AN60" s="6" t="str">
        <f aca="false">IF(W60="X",X60," ")</f>
        <v> </v>
      </c>
    </row>
    <row r="61" customFormat="false" ht="12" hidden="false" customHeight="false" outlineLevel="0" collapsed="false">
      <c r="G61" s="6" t="str">
        <f aca="false">IF(E61="BB",F61," ")</f>
        <v> </v>
      </c>
      <c r="H61" s="6" t="str">
        <f aca="false">IF(E61="BD",F61," ")</f>
        <v> </v>
      </c>
      <c r="I61" s="6" t="str">
        <f aca="false">IF(E61="BC",F61," ")</f>
        <v> </v>
      </c>
      <c r="J61" s="6" t="str">
        <f aca="false">IF(E61="DR",F61," ")</f>
        <v> </v>
      </c>
      <c r="K61" s="6" t="str">
        <f aca="false">IF(E61="K",F61," ")</f>
        <v> </v>
      </c>
      <c r="L61" s="6" t="str">
        <f aca="false">IF(E61="LDR",F61," ")</f>
        <v> </v>
      </c>
      <c r="M61" s="6" t="str">
        <f aca="false">IF(E61="LCR",F61," ")</f>
        <v> </v>
      </c>
      <c r="N61" s="6" t="str">
        <f aca="false">IF(E61="RV",F61," ")</f>
        <v> </v>
      </c>
      <c r="O61" s="6" t="str">
        <f aca="false">IF(E61="RC",F61," ")</f>
        <v> </v>
      </c>
      <c r="P61" s="6" t="str">
        <f aca="false">IF(E61="DL",F61," ")</f>
        <v> </v>
      </c>
      <c r="Q61" s="6" t="str">
        <f aca="false">IF(E61="X",F61," ")</f>
        <v> </v>
      </c>
      <c r="R61" s="37"/>
      <c r="W61" s="6" t="str">
        <f aca="false">IF(X61&lt;&gt;0,"Enter Code"," ")</f>
        <v> </v>
      </c>
      <c r="Y61" s="6" t="str">
        <f aca="false">IF(W61="BB",X61," ")</f>
        <v> </v>
      </c>
      <c r="Z61" s="6" t="str">
        <f aca="false">IF(W61="BD",X61," ")</f>
        <v> </v>
      </c>
      <c r="AA61" s="6" t="str">
        <f aca="false">IF(W61="BC",X61," ")</f>
        <v> </v>
      </c>
      <c r="AB61" s="6" t="str">
        <f aca="false">IF(W61="CR",X61," ")</f>
        <v> </v>
      </c>
      <c r="AC61" s="6" t="str">
        <f aca="false">IF(W61="W",X61," ")</f>
        <v> </v>
      </c>
      <c r="AD61" s="6" t="str">
        <f aca="false">IF(W61="B",X61," ")</f>
        <v> </v>
      </c>
      <c r="AE61" s="6" t="str">
        <f aca="false">IF(W61="J",X61," ")</f>
        <v> </v>
      </c>
      <c r="AF61" s="6" t="str">
        <f aca="false">IF(W61="LDR",X61," ")</f>
        <v> </v>
      </c>
      <c r="AG61" s="6" t="str">
        <f aca="false">IF(W61="LCR",X61," ")</f>
        <v> </v>
      </c>
      <c r="AH61" s="6" t="str">
        <f aca="false">IF(W61="RP",X61," ")</f>
        <v> </v>
      </c>
      <c r="AI61" s="6" t="str">
        <f aca="false">IF(W61="RV",X61," ")</f>
        <v> </v>
      </c>
      <c r="AJ61" s="6" t="str">
        <f aca="false">IF(W61="RC",X61," ")</f>
        <v> </v>
      </c>
      <c r="AK61" s="6" t="str">
        <f aca="false">IF(W61="RT",X61," ")</f>
        <v> </v>
      </c>
      <c r="AL61" s="6" t="str">
        <f aca="false">IF(W61="DV",X61," ")</f>
        <v> </v>
      </c>
      <c r="AM61" s="6" t="str">
        <f aca="false">IF(W61="DL",X61," ")</f>
        <v> </v>
      </c>
      <c r="AN61" s="6" t="str">
        <f aca="false">IF(W61="X",X61," ")</f>
        <v> </v>
      </c>
    </row>
    <row r="62" customFormat="false" ht="12" hidden="false" customHeight="false" outlineLevel="0" collapsed="false">
      <c r="G62" s="6" t="str">
        <f aca="false">IF(E62="BB",F62," ")</f>
        <v> </v>
      </c>
      <c r="H62" s="6" t="str">
        <f aca="false">IF(E62="BD",F62," ")</f>
        <v> </v>
      </c>
      <c r="I62" s="6" t="str">
        <f aca="false">IF(E62="BC",F62," ")</f>
        <v> </v>
      </c>
      <c r="J62" s="6" t="str">
        <f aca="false">IF(E62="DR",F62," ")</f>
        <v> </v>
      </c>
      <c r="K62" s="6" t="str">
        <f aca="false">IF(E62="K",F62," ")</f>
        <v> </v>
      </c>
      <c r="L62" s="6" t="str">
        <f aca="false">IF(E62="LDR",F62," ")</f>
        <v> </v>
      </c>
      <c r="M62" s="6" t="str">
        <f aca="false">IF(E62="LCR",F62," ")</f>
        <v> </v>
      </c>
      <c r="N62" s="6" t="str">
        <f aca="false">IF(E62="RV",F62," ")</f>
        <v> </v>
      </c>
      <c r="O62" s="6" t="str">
        <f aca="false">IF(E62="RC",F62," ")</f>
        <v> </v>
      </c>
      <c r="P62" s="6" t="str">
        <f aca="false">IF(E62="DL",F62," ")</f>
        <v> </v>
      </c>
      <c r="Q62" s="6" t="str">
        <f aca="false">IF(E62="X",F62," ")</f>
        <v> </v>
      </c>
      <c r="R62" s="37"/>
      <c r="W62" s="6" t="str">
        <f aca="false">IF(X62&lt;&gt;0,"Enter Code"," ")</f>
        <v> </v>
      </c>
      <c r="Y62" s="6" t="str">
        <f aca="false">IF(W62="BB",X62," ")</f>
        <v> </v>
      </c>
      <c r="Z62" s="6" t="str">
        <f aca="false">IF(W62="BD",X62," ")</f>
        <v> </v>
      </c>
      <c r="AA62" s="6" t="str">
        <f aca="false">IF(W62="BC",X62," ")</f>
        <v> </v>
      </c>
      <c r="AB62" s="6" t="str">
        <f aca="false">IF(W62="CR",X62," ")</f>
        <v> </v>
      </c>
      <c r="AC62" s="6" t="str">
        <f aca="false">IF(W62="W",X62," ")</f>
        <v> </v>
      </c>
      <c r="AD62" s="6" t="str">
        <f aca="false">IF(W62="B",X62," ")</f>
        <v> </v>
      </c>
      <c r="AE62" s="6" t="str">
        <f aca="false">IF(W62="J",X62," ")</f>
        <v> </v>
      </c>
      <c r="AF62" s="6" t="str">
        <f aca="false">IF(W62="LDR",X62," ")</f>
        <v> </v>
      </c>
      <c r="AG62" s="6" t="str">
        <f aca="false">IF(W62="LCR",X62," ")</f>
        <v> </v>
      </c>
      <c r="AH62" s="6" t="str">
        <f aca="false">IF(W62="RP",X62," ")</f>
        <v> </v>
      </c>
      <c r="AI62" s="6" t="str">
        <f aca="false">IF(W62="RV",X62," ")</f>
        <v> </v>
      </c>
      <c r="AJ62" s="6" t="str">
        <f aca="false">IF(W62="RC",X62," ")</f>
        <v> </v>
      </c>
      <c r="AK62" s="6" t="str">
        <f aca="false">IF(W62="RT",X62," ")</f>
        <v> </v>
      </c>
      <c r="AL62" s="6" t="str">
        <f aca="false">IF(W62="DV",X62," ")</f>
        <v> </v>
      </c>
      <c r="AM62" s="6" t="str">
        <f aca="false">IF(W62="DL",X62," ")</f>
        <v> </v>
      </c>
      <c r="AN62" s="6" t="str">
        <f aca="false">IF(W62="X",X62," ")</f>
        <v> </v>
      </c>
    </row>
    <row r="63" customFormat="false" ht="12" hidden="false" customHeight="false" outlineLevel="0" collapsed="false">
      <c r="G63" s="6" t="str">
        <f aca="false">IF(E63="BB",F63," ")</f>
        <v> </v>
      </c>
      <c r="H63" s="6" t="str">
        <f aca="false">IF(E63="BD",F63," ")</f>
        <v> </v>
      </c>
      <c r="I63" s="6" t="str">
        <f aca="false">IF(E63="BC",F63," ")</f>
        <v> </v>
      </c>
      <c r="J63" s="6" t="str">
        <f aca="false">IF(E63="DR",F63," ")</f>
        <v> </v>
      </c>
      <c r="K63" s="6" t="str">
        <f aca="false">IF(E63="K",F63," ")</f>
        <v> </v>
      </c>
      <c r="L63" s="6" t="str">
        <f aca="false">IF(E63="LDR",F63," ")</f>
        <v> </v>
      </c>
      <c r="M63" s="6" t="str">
        <f aca="false">IF(E63="LCR",F63," ")</f>
        <v> </v>
      </c>
      <c r="N63" s="6" t="str">
        <f aca="false">IF(E63="RV",F63," ")</f>
        <v> </v>
      </c>
      <c r="O63" s="6" t="str">
        <f aca="false">IF(E63="RC",F63," ")</f>
        <v> </v>
      </c>
      <c r="P63" s="6" t="str">
        <f aca="false">IF(E63="DL",F63," ")</f>
        <v> </v>
      </c>
      <c r="Q63" s="6" t="str">
        <f aca="false">IF(E63="X",F63," ")</f>
        <v> </v>
      </c>
      <c r="R63" s="37"/>
      <c r="W63" s="6" t="str">
        <f aca="false">IF(X63&lt;&gt;0,"Enter Code"," ")</f>
        <v> </v>
      </c>
      <c r="Y63" s="6" t="str">
        <f aca="false">IF(W63="BB",X63," ")</f>
        <v> </v>
      </c>
      <c r="Z63" s="6" t="str">
        <f aca="false">IF(W63="BD",X63," ")</f>
        <v> </v>
      </c>
      <c r="AA63" s="6" t="str">
        <f aca="false">IF(W63="BC",X63," ")</f>
        <v> </v>
      </c>
      <c r="AB63" s="6" t="str">
        <f aca="false">IF(W63="CR",X63," ")</f>
        <v> </v>
      </c>
      <c r="AC63" s="6" t="str">
        <f aca="false">IF(W63="W",X63," ")</f>
        <v> </v>
      </c>
      <c r="AD63" s="6" t="str">
        <f aca="false">IF(W63="B",X63," ")</f>
        <v> </v>
      </c>
      <c r="AE63" s="6" t="str">
        <f aca="false">IF(W63="J",X63," ")</f>
        <v> </v>
      </c>
      <c r="AF63" s="6" t="str">
        <f aca="false">IF(W63="LDR",X63," ")</f>
        <v> </v>
      </c>
      <c r="AG63" s="6" t="str">
        <f aca="false">IF(W63="LCR",X63," ")</f>
        <v> </v>
      </c>
      <c r="AH63" s="6" t="str">
        <f aca="false">IF(W63="RP",X63," ")</f>
        <v> </v>
      </c>
      <c r="AI63" s="6" t="str">
        <f aca="false">IF(W63="RV",X63," ")</f>
        <v> </v>
      </c>
      <c r="AJ63" s="6" t="str">
        <f aca="false">IF(W63="RC",X63," ")</f>
        <v> </v>
      </c>
      <c r="AK63" s="6" t="str">
        <f aca="false">IF(W63="RT",X63," ")</f>
        <v> </v>
      </c>
      <c r="AL63" s="6" t="str">
        <f aca="false">IF(W63="DV",X63," ")</f>
        <v> </v>
      </c>
      <c r="AM63" s="6" t="str">
        <f aca="false">IF(W63="DL",X63," ")</f>
        <v> </v>
      </c>
      <c r="AN63" s="6" t="str">
        <f aca="false">IF(W63="X",X63," ")</f>
        <v> </v>
      </c>
    </row>
    <row r="64" customFormat="false" ht="12" hidden="false" customHeight="false" outlineLevel="0" collapsed="false">
      <c r="G64" s="6" t="str">
        <f aca="false">IF(E64="BB",F64," ")</f>
        <v> </v>
      </c>
      <c r="H64" s="6" t="str">
        <f aca="false">IF(E64="BD",F64," ")</f>
        <v> </v>
      </c>
      <c r="I64" s="6" t="str">
        <f aca="false">IF(E64="BC",F64," ")</f>
        <v> </v>
      </c>
      <c r="J64" s="6" t="str">
        <f aca="false">IF(E64="DR",F64," ")</f>
        <v> </v>
      </c>
      <c r="K64" s="6" t="str">
        <f aca="false">IF(E64="K",F64," ")</f>
        <v> </v>
      </c>
      <c r="L64" s="6" t="str">
        <f aca="false">IF(E64="LDR",F64," ")</f>
        <v> </v>
      </c>
      <c r="M64" s="6" t="str">
        <f aca="false">IF(E64="LCR",F64," ")</f>
        <v> </v>
      </c>
      <c r="N64" s="6" t="str">
        <f aca="false">IF(E64="RV",F64," ")</f>
        <v> </v>
      </c>
      <c r="O64" s="6" t="str">
        <f aca="false">IF(E64="RC",F64," ")</f>
        <v> </v>
      </c>
      <c r="P64" s="6" t="str">
        <f aca="false">IF(E64="DL",F64," ")</f>
        <v> </v>
      </c>
      <c r="Q64" s="6" t="str">
        <f aca="false">IF(E64="X",F64," ")</f>
        <v> </v>
      </c>
      <c r="R64" s="37"/>
      <c r="W64" s="6" t="str">
        <f aca="false">IF(X64&lt;&gt;0,"Enter Code"," ")</f>
        <v> </v>
      </c>
      <c r="Y64" s="6" t="str">
        <f aca="false">IF(W64="BB",X64," ")</f>
        <v> </v>
      </c>
      <c r="Z64" s="6" t="str">
        <f aca="false">IF(W64="BD",X64," ")</f>
        <v> </v>
      </c>
      <c r="AA64" s="6" t="str">
        <f aca="false">IF(W64="BC",X64," ")</f>
        <v> </v>
      </c>
      <c r="AB64" s="6" t="str">
        <f aca="false">IF(W64="CR",X64," ")</f>
        <v> </v>
      </c>
      <c r="AC64" s="6" t="str">
        <f aca="false">IF(W64="W",X64," ")</f>
        <v> </v>
      </c>
      <c r="AD64" s="6" t="str">
        <f aca="false">IF(W64="B",X64," ")</f>
        <v> </v>
      </c>
      <c r="AE64" s="6" t="str">
        <f aca="false">IF(W64="J",X64," ")</f>
        <v> </v>
      </c>
      <c r="AF64" s="6" t="str">
        <f aca="false">IF(W64="LDR",X64," ")</f>
        <v> </v>
      </c>
      <c r="AG64" s="6" t="str">
        <f aca="false">IF(W64="LCR",X64," ")</f>
        <v> </v>
      </c>
      <c r="AH64" s="6" t="str">
        <f aca="false">IF(W64="RP",X64," ")</f>
        <v> </v>
      </c>
      <c r="AI64" s="6" t="str">
        <f aca="false">IF(W64="RV",X64," ")</f>
        <v> </v>
      </c>
      <c r="AJ64" s="6" t="str">
        <f aca="false">IF(W64="RC",X64," ")</f>
        <v> </v>
      </c>
      <c r="AK64" s="6" t="str">
        <f aca="false">IF(W64="RT",X64," ")</f>
        <v> </v>
      </c>
      <c r="AL64" s="6" t="str">
        <f aca="false">IF(W64="DV",X64," ")</f>
        <v> </v>
      </c>
      <c r="AM64" s="6" t="str">
        <f aca="false">IF(W64="DL",X64," ")</f>
        <v> </v>
      </c>
      <c r="AN64" s="6" t="str">
        <f aca="false">IF(W64="X",X64," ")</f>
        <v> </v>
      </c>
    </row>
    <row r="65" customFormat="false" ht="12" hidden="false" customHeight="false" outlineLevel="0" collapsed="false">
      <c r="G65" s="6" t="str">
        <f aca="false">IF(E65="BB",F65," ")</f>
        <v> </v>
      </c>
      <c r="H65" s="6" t="str">
        <f aca="false">IF(E65="BD",F65," ")</f>
        <v> </v>
      </c>
      <c r="I65" s="6" t="str">
        <f aca="false">IF(E65="BC",F65," ")</f>
        <v> </v>
      </c>
      <c r="J65" s="6" t="str">
        <f aca="false">IF(E65="DR",F65," ")</f>
        <v> </v>
      </c>
      <c r="K65" s="6" t="str">
        <f aca="false">IF(E65="K",F65," ")</f>
        <v> </v>
      </c>
      <c r="L65" s="6" t="str">
        <f aca="false">IF(E65="LDR",F65," ")</f>
        <v> </v>
      </c>
      <c r="M65" s="6" t="str">
        <f aca="false">IF(E65="LCR",F65," ")</f>
        <v> </v>
      </c>
      <c r="N65" s="6" t="str">
        <f aca="false">IF(E65="RV",F65," ")</f>
        <v> </v>
      </c>
      <c r="O65" s="6" t="str">
        <f aca="false">IF(E65="RC",F65," ")</f>
        <v> </v>
      </c>
      <c r="P65" s="6" t="str">
        <f aca="false">IF(E65="DL",F65," ")</f>
        <v> </v>
      </c>
      <c r="Q65" s="6" t="str">
        <f aca="false">IF(E65="X",F65," ")</f>
        <v> </v>
      </c>
      <c r="R65" s="37"/>
      <c r="W65" s="6" t="str">
        <f aca="false">IF(X65&lt;&gt;0,"Enter Code"," ")</f>
        <v> </v>
      </c>
      <c r="Y65" s="6" t="str">
        <f aca="false">IF(W65="BB",X65," ")</f>
        <v> </v>
      </c>
      <c r="Z65" s="6" t="str">
        <f aca="false">IF(W65="BD",X65," ")</f>
        <v> </v>
      </c>
      <c r="AA65" s="6" t="str">
        <f aca="false">IF(W65="BC",X65," ")</f>
        <v> </v>
      </c>
      <c r="AB65" s="6" t="str">
        <f aca="false">IF(W65="CR",X65," ")</f>
        <v> </v>
      </c>
      <c r="AC65" s="6" t="str">
        <f aca="false">IF(W65="W",X65," ")</f>
        <v> </v>
      </c>
      <c r="AD65" s="6" t="str">
        <f aca="false">IF(W65="B",X65," ")</f>
        <v> </v>
      </c>
      <c r="AE65" s="6" t="str">
        <f aca="false">IF(W65="J",X65," ")</f>
        <v> </v>
      </c>
      <c r="AF65" s="6" t="str">
        <f aca="false">IF(W65="LDR",X65," ")</f>
        <v> </v>
      </c>
      <c r="AG65" s="6" t="str">
        <f aca="false">IF(W65="LCR",X65," ")</f>
        <v> </v>
      </c>
      <c r="AH65" s="6" t="str">
        <f aca="false">IF(W65="RP",X65," ")</f>
        <v> </v>
      </c>
      <c r="AI65" s="6" t="str">
        <f aca="false">IF(W65="RV",X65," ")</f>
        <v> </v>
      </c>
      <c r="AJ65" s="6" t="str">
        <f aca="false">IF(W65="RC",X65," ")</f>
        <v> </v>
      </c>
      <c r="AK65" s="6" t="str">
        <f aca="false">IF(W65="RT",X65," ")</f>
        <v> </v>
      </c>
      <c r="AL65" s="6" t="str">
        <f aca="false">IF(W65="DV",X65," ")</f>
        <v> </v>
      </c>
      <c r="AM65" s="6" t="str">
        <f aca="false">IF(W65="DL",X65," ")</f>
        <v> </v>
      </c>
      <c r="AN65" s="6" t="str">
        <f aca="false">IF(W65="X",X65," ")</f>
        <v> </v>
      </c>
    </row>
    <row r="66" customFormat="false" ht="12" hidden="false" customHeight="false" outlineLevel="0" collapsed="false">
      <c r="G66" s="6" t="str">
        <f aca="false">IF(E66="BB",F66," ")</f>
        <v> </v>
      </c>
      <c r="H66" s="6" t="str">
        <f aca="false">IF(E66="BD",F66," ")</f>
        <v> </v>
      </c>
      <c r="I66" s="6" t="str">
        <f aca="false">IF(E66="BC",F66," ")</f>
        <v> </v>
      </c>
      <c r="J66" s="6" t="str">
        <f aca="false">IF(E66="DR",F66," ")</f>
        <v> </v>
      </c>
      <c r="K66" s="6" t="str">
        <f aca="false">IF(E66="K",F66," ")</f>
        <v> </v>
      </c>
      <c r="L66" s="6" t="str">
        <f aca="false">IF(E66="LDR",F66," ")</f>
        <v> </v>
      </c>
      <c r="M66" s="6" t="str">
        <f aca="false">IF(E66="LCR",F66," ")</f>
        <v> </v>
      </c>
      <c r="N66" s="6" t="str">
        <f aca="false">IF(E66="RV",F66," ")</f>
        <v> </v>
      </c>
      <c r="O66" s="6" t="str">
        <f aca="false">IF(E66="RC",F66," ")</f>
        <v> </v>
      </c>
      <c r="P66" s="6" t="str">
        <f aca="false">IF(E66="DL",F66," ")</f>
        <v> </v>
      </c>
      <c r="Q66" s="6" t="str">
        <f aca="false">IF(E66="X",F66," ")</f>
        <v> </v>
      </c>
      <c r="R66" s="37"/>
      <c r="W66" s="6" t="str">
        <f aca="false">IF(X66&lt;&gt;0,"Enter Code"," ")</f>
        <v> </v>
      </c>
      <c r="Y66" s="6" t="str">
        <f aca="false">IF(W66="BB",X66," ")</f>
        <v> </v>
      </c>
      <c r="Z66" s="6" t="str">
        <f aca="false">IF(W66="BD",X66," ")</f>
        <v> </v>
      </c>
      <c r="AA66" s="6" t="str">
        <f aca="false">IF(W66="BC",X66," ")</f>
        <v> </v>
      </c>
      <c r="AB66" s="6" t="str">
        <f aca="false">IF(W66="CR",X66," ")</f>
        <v> </v>
      </c>
      <c r="AC66" s="6" t="str">
        <f aca="false">IF(W66="W",X66," ")</f>
        <v> </v>
      </c>
      <c r="AD66" s="6" t="str">
        <f aca="false">IF(W66="B",X66," ")</f>
        <v> </v>
      </c>
      <c r="AE66" s="6" t="str">
        <f aca="false">IF(W66="J",X66," ")</f>
        <v> </v>
      </c>
      <c r="AF66" s="6" t="str">
        <f aca="false">IF(W66="LDR",X66," ")</f>
        <v> </v>
      </c>
      <c r="AG66" s="6" t="str">
        <f aca="false">IF(W66="LCR",X66," ")</f>
        <v> </v>
      </c>
      <c r="AH66" s="6" t="str">
        <f aca="false">IF(W66="RP",X66," ")</f>
        <v> </v>
      </c>
      <c r="AI66" s="6" t="str">
        <f aca="false">IF(W66="RV",X66," ")</f>
        <v> </v>
      </c>
      <c r="AJ66" s="6" t="str">
        <f aca="false">IF(W66="RC",X66," ")</f>
        <v> </v>
      </c>
      <c r="AK66" s="6" t="str">
        <f aca="false">IF(W66="RT",X66," ")</f>
        <v> </v>
      </c>
      <c r="AL66" s="6" t="str">
        <f aca="false">IF(W66="DV",X66," ")</f>
        <v> </v>
      </c>
      <c r="AM66" s="6" t="str">
        <f aca="false">IF(W66="DL",X66," ")</f>
        <v> </v>
      </c>
      <c r="AN66" s="6" t="str">
        <f aca="false">IF(W66="X",X66," ")</f>
        <v> </v>
      </c>
    </row>
    <row r="67" customFormat="false" ht="12" hidden="false" customHeight="false" outlineLevel="0" collapsed="false">
      <c r="G67" s="6" t="str">
        <f aca="false">IF(E67="BB",F67," ")</f>
        <v> </v>
      </c>
      <c r="H67" s="6" t="str">
        <f aca="false">IF(E67="BD",F67," ")</f>
        <v> </v>
      </c>
      <c r="I67" s="6" t="str">
        <f aca="false">IF(E67="BC",F67," ")</f>
        <v> </v>
      </c>
      <c r="J67" s="6" t="str">
        <f aca="false">IF(E67="DR",F67," ")</f>
        <v> </v>
      </c>
      <c r="K67" s="6" t="str">
        <f aca="false">IF(E67="K",F67," ")</f>
        <v> </v>
      </c>
      <c r="L67" s="6" t="str">
        <f aca="false">IF(E67="LDR",F67," ")</f>
        <v> </v>
      </c>
      <c r="M67" s="6" t="str">
        <f aca="false">IF(E67="LCR",F67," ")</f>
        <v> </v>
      </c>
      <c r="N67" s="6" t="str">
        <f aca="false">IF(E67="RV",F67," ")</f>
        <v> </v>
      </c>
      <c r="O67" s="6" t="str">
        <f aca="false">IF(E67="RC",F67," ")</f>
        <v> </v>
      </c>
      <c r="P67" s="6" t="str">
        <f aca="false">IF(E67="DL",F67," ")</f>
        <v> </v>
      </c>
      <c r="Q67" s="6" t="str">
        <f aca="false">IF(E67="X",F67," ")</f>
        <v> </v>
      </c>
      <c r="R67" s="37"/>
      <c r="W67" s="6" t="str">
        <f aca="false">IF(X67&lt;&gt;0,"Enter Code"," ")</f>
        <v> </v>
      </c>
      <c r="Y67" s="6" t="str">
        <f aca="false">IF(W67="BB",X67," ")</f>
        <v> </v>
      </c>
      <c r="Z67" s="6" t="str">
        <f aca="false">IF(W67="BD",X67," ")</f>
        <v> </v>
      </c>
      <c r="AA67" s="6" t="str">
        <f aca="false">IF(W67="BC",X67," ")</f>
        <v> </v>
      </c>
      <c r="AB67" s="6" t="str">
        <f aca="false">IF(W67="CR",X67," ")</f>
        <v> </v>
      </c>
      <c r="AC67" s="6" t="str">
        <f aca="false">IF(W67="W",X67," ")</f>
        <v> </v>
      </c>
      <c r="AD67" s="6" t="str">
        <f aca="false">IF(W67="B",X67," ")</f>
        <v> </v>
      </c>
      <c r="AE67" s="6" t="str">
        <f aca="false">IF(W67="J",X67," ")</f>
        <v> </v>
      </c>
      <c r="AF67" s="6" t="str">
        <f aca="false">IF(W67="LDR",X67," ")</f>
        <v> </v>
      </c>
      <c r="AG67" s="6" t="str">
        <f aca="false">IF(W67="LCR",X67," ")</f>
        <v> </v>
      </c>
      <c r="AH67" s="6" t="str">
        <f aca="false">IF(W67="RP",X67," ")</f>
        <v> </v>
      </c>
      <c r="AI67" s="6" t="str">
        <f aca="false">IF(W67="RV",X67," ")</f>
        <v> </v>
      </c>
      <c r="AJ67" s="6" t="str">
        <f aca="false">IF(W67="RC",X67," ")</f>
        <v> </v>
      </c>
      <c r="AK67" s="6" t="str">
        <f aca="false">IF(W67="RT",X67," ")</f>
        <v> </v>
      </c>
      <c r="AL67" s="6" t="str">
        <f aca="false">IF(W67="DV",X67," ")</f>
        <v> </v>
      </c>
      <c r="AM67" s="6" t="str">
        <f aca="false">IF(W67="DL",X67," ")</f>
        <v> </v>
      </c>
      <c r="AN67" s="6" t="str">
        <f aca="false">IF(W67="X",X67," ")</f>
        <v> </v>
      </c>
    </row>
    <row r="68" customFormat="false" ht="12" hidden="false" customHeight="false" outlineLevel="0" collapsed="false">
      <c r="G68" s="6" t="str">
        <f aca="false">IF(E68="BB",F68," ")</f>
        <v> </v>
      </c>
      <c r="H68" s="6" t="str">
        <f aca="false">IF(E68="BD",F68," ")</f>
        <v> </v>
      </c>
      <c r="I68" s="6" t="str">
        <f aca="false">IF(E68="BC",F68," ")</f>
        <v> </v>
      </c>
      <c r="J68" s="6" t="str">
        <f aca="false">IF(E68="DR",F68," ")</f>
        <v> </v>
      </c>
      <c r="K68" s="6" t="str">
        <f aca="false">IF(E68="K",F68," ")</f>
        <v> </v>
      </c>
      <c r="L68" s="6" t="str">
        <f aca="false">IF(E68="LDR",F68," ")</f>
        <v> </v>
      </c>
      <c r="M68" s="6" t="str">
        <f aca="false">IF(E68="LCR",F68," ")</f>
        <v> </v>
      </c>
      <c r="N68" s="6" t="str">
        <f aca="false">IF(E68="RV",F68," ")</f>
        <v> </v>
      </c>
      <c r="O68" s="6" t="str">
        <f aca="false">IF(E68="RC",F68," ")</f>
        <v> </v>
      </c>
      <c r="P68" s="6" t="str">
        <f aca="false">IF(E68="DL",F68," ")</f>
        <v> </v>
      </c>
      <c r="Q68" s="6" t="str">
        <f aca="false">IF(E68="X",F68," ")</f>
        <v> </v>
      </c>
      <c r="R68" s="37"/>
      <c r="W68" s="6" t="str">
        <f aca="false">IF(X68&lt;&gt;0,"Enter Code"," ")</f>
        <v> </v>
      </c>
      <c r="Y68" s="6" t="str">
        <f aca="false">IF(W68="BB",X68," ")</f>
        <v> </v>
      </c>
      <c r="Z68" s="6" t="str">
        <f aca="false">IF(W68="BD",X68," ")</f>
        <v> </v>
      </c>
      <c r="AA68" s="6" t="str">
        <f aca="false">IF(W68="BC",X68," ")</f>
        <v> </v>
      </c>
      <c r="AB68" s="6" t="str">
        <f aca="false">IF(W68="CR",X68," ")</f>
        <v> </v>
      </c>
      <c r="AC68" s="6" t="str">
        <f aca="false">IF(W68="W",X68," ")</f>
        <v> </v>
      </c>
      <c r="AD68" s="6" t="str">
        <f aca="false">IF(W68="B",X68," ")</f>
        <v> </v>
      </c>
      <c r="AE68" s="6" t="str">
        <f aca="false">IF(W68="J",X68," ")</f>
        <v> </v>
      </c>
      <c r="AF68" s="6" t="str">
        <f aca="false">IF(W68="LDR",X68," ")</f>
        <v> </v>
      </c>
      <c r="AG68" s="6" t="str">
        <f aca="false">IF(W68="LCR",X68," ")</f>
        <v> </v>
      </c>
      <c r="AH68" s="6" t="str">
        <f aca="false">IF(W68="RP",X68," ")</f>
        <v> </v>
      </c>
      <c r="AI68" s="6" t="str">
        <f aca="false">IF(W68="RV",X68," ")</f>
        <v> </v>
      </c>
      <c r="AJ68" s="6" t="str">
        <f aca="false">IF(W68="RC",X68," ")</f>
        <v> </v>
      </c>
      <c r="AK68" s="6" t="str">
        <f aca="false">IF(W68="RT",X68," ")</f>
        <v> </v>
      </c>
      <c r="AL68" s="6" t="str">
        <f aca="false">IF(W68="DV",X68," ")</f>
        <v> </v>
      </c>
      <c r="AM68" s="6" t="str">
        <f aca="false">IF(W68="DL",X68," ")</f>
        <v> </v>
      </c>
      <c r="AN68" s="6" t="str">
        <f aca="false">IF(W68="X",X68," ")</f>
        <v> </v>
      </c>
    </row>
    <row r="69" customFormat="false" ht="12" hidden="false" customHeight="false" outlineLevel="0" collapsed="false">
      <c r="G69" s="6" t="str">
        <f aca="false">IF(E69="BB",F69," ")</f>
        <v> </v>
      </c>
      <c r="H69" s="6" t="str">
        <f aca="false">IF(E69="BD",F69," ")</f>
        <v> </v>
      </c>
      <c r="I69" s="6" t="str">
        <f aca="false">IF(E69="BC",F69," ")</f>
        <v> </v>
      </c>
      <c r="J69" s="6" t="str">
        <f aca="false">IF(E69="DR",F69," ")</f>
        <v> </v>
      </c>
      <c r="K69" s="6" t="str">
        <f aca="false">IF(E69="K",F69," ")</f>
        <v> </v>
      </c>
      <c r="L69" s="6" t="str">
        <f aca="false">IF(E69="LDR",F69," ")</f>
        <v> </v>
      </c>
      <c r="M69" s="6" t="str">
        <f aca="false">IF(E69="LCR",F69," ")</f>
        <v> </v>
      </c>
      <c r="N69" s="6" t="str">
        <f aca="false">IF(E69="RV",F69," ")</f>
        <v> </v>
      </c>
      <c r="O69" s="6" t="str">
        <f aca="false">IF(E69="RC",F69," ")</f>
        <v> </v>
      </c>
      <c r="P69" s="6" t="str">
        <f aca="false">IF(E69="DL",F69," ")</f>
        <v> </v>
      </c>
      <c r="Q69" s="6" t="str">
        <f aca="false">IF(E69="X",F69," ")</f>
        <v> </v>
      </c>
      <c r="R69" s="37"/>
      <c r="W69" s="6" t="str">
        <f aca="false">IF(X69&lt;&gt;0,"Enter Code"," ")</f>
        <v> </v>
      </c>
      <c r="Y69" s="6" t="str">
        <f aca="false">IF(W69="BB",X69," ")</f>
        <v> </v>
      </c>
      <c r="Z69" s="6" t="str">
        <f aca="false">IF(W69="BD",X69," ")</f>
        <v> </v>
      </c>
      <c r="AA69" s="6" t="str">
        <f aca="false">IF(W69="BC",X69," ")</f>
        <v> </v>
      </c>
      <c r="AB69" s="6" t="str">
        <f aca="false">IF(W69="CR",X69," ")</f>
        <v> </v>
      </c>
      <c r="AC69" s="6" t="str">
        <f aca="false">IF(W69="W",X69," ")</f>
        <v> </v>
      </c>
      <c r="AD69" s="6" t="str">
        <f aca="false">IF(W69="B",X69," ")</f>
        <v> </v>
      </c>
      <c r="AE69" s="6" t="str">
        <f aca="false">IF(W69="J",X69," ")</f>
        <v> </v>
      </c>
      <c r="AF69" s="6" t="str">
        <f aca="false">IF(W69="LDR",X69," ")</f>
        <v> </v>
      </c>
      <c r="AG69" s="6" t="str">
        <f aca="false">IF(W69="LCR",X69," ")</f>
        <v> </v>
      </c>
      <c r="AH69" s="6" t="str">
        <f aca="false">IF(W69="RP",X69," ")</f>
        <v> </v>
      </c>
      <c r="AI69" s="6" t="str">
        <f aca="false">IF(W69="RV",X69," ")</f>
        <v> </v>
      </c>
      <c r="AJ69" s="6" t="str">
        <f aca="false">IF(W69="RC",X69," ")</f>
        <v> </v>
      </c>
      <c r="AK69" s="6" t="str">
        <f aca="false">IF(W69="RT",X69," ")</f>
        <v> </v>
      </c>
      <c r="AL69" s="6" t="str">
        <f aca="false">IF(W69="DV",X69," ")</f>
        <v> </v>
      </c>
      <c r="AM69" s="6" t="str">
        <f aca="false">IF(W69="DL",X69," ")</f>
        <v> </v>
      </c>
      <c r="AN69" s="6" t="str">
        <f aca="false">IF(W69="X",X69," ")</f>
        <v> </v>
      </c>
    </row>
    <row r="70" customFormat="false" ht="12" hidden="false" customHeight="false" outlineLevel="0" collapsed="false">
      <c r="E70" s="5" t="str">
        <f aca="false">IF(F70&lt;&gt;0,"Enter Code"," ")</f>
        <v> </v>
      </c>
      <c r="G70" s="6" t="str">
        <f aca="false">IF(E70="BB",F70," ")</f>
        <v> </v>
      </c>
      <c r="H70" s="6" t="str">
        <f aca="false">IF(E70="BD",F70," ")</f>
        <v> </v>
      </c>
      <c r="I70" s="6" t="str">
        <f aca="false">IF(E70="BC",F70," ")</f>
        <v> </v>
      </c>
      <c r="J70" s="6" t="str">
        <f aca="false">IF(E70="DR",F70," ")</f>
        <v> </v>
      </c>
      <c r="K70" s="6" t="str">
        <f aca="false">IF(E70="K",F70," ")</f>
        <v> </v>
      </c>
      <c r="L70" s="6" t="str">
        <f aca="false">IF(E70="LDR",F70," ")</f>
        <v> </v>
      </c>
      <c r="M70" s="6" t="str">
        <f aca="false">IF(E70="LCR",F70," ")</f>
        <v> </v>
      </c>
      <c r="N70" s="6" t="str">
        <f aca="false">IF(E70="RV",F70," ")</f>
        <v> </v>
      </c>
      <c r="O70" s="6" t="str">
        <f aca="false">IF(E70="RC",F70," ")</f>
        <v> </v>
      </c>
      <c r="P70" s="6" t="str">
        <f aca="false">IF(E70="DL",F70," ")</f>
        <v> </v>
      </c>
      <c r="Q70" s="6" t="str">
        <f aca="false">IF(E70="X",F70," ")</f>
        <v> </v>
      </c>
      <c r="R70" s="37"/>
      <c r="W70" s="6" t="str">
        <f aca="false">IF(X70&lt;&gt;0,"Enter Code"," ")</f>
        <v> </v>
      </c>
      <c r="Y70" s="6" t="str">
        <f aca="false">IF(W70="BB",X70," ")</f>
        <v> </v>
      </c>
      <c r="Z70" s="6" t="str">
        <f aca="false">IF(W70="BD",X70," ")</f>
        <v> </v>
      </c>
      <c r="AA70" s="6" t="str">
        <f aca="false">IF(W70="BC",X70," ")</f>
        <v> </v>
      </c>
      <c r="AB70" s="6" t="str">
        <f aca="false">IF(W70="CR",X70," ")</f>
        <v> </v>
      </c>
      <c r="AC70" s="6" t="str">
        <f aca="false">IF(W70="W",X70," ")</f>
        <v> </v>
      </c>
      <c r="AD70" s="6" t="str">
        <f aca="false">IF(W70="B",X70," ")</f>
        <v> </v>
      </c>
      <c r="AE70" s="6" t="str">
        <f aca="false">IF(W70="J",X70," ")</f>
        <v> </v>
      </c>
      <c r="AF70" s="6" t="str">
        <f aca="false">IF(W70="LDR",X70," ")</f>
        <v> </v>
      </c>
      <c r="AG70" s="6" t="str">
        <f aca="false">IF(W70="LCR",X70," ")</f>
        <v> </v>
      </c>
      <c r="AH70" s="6" t="str">
        <f aca="false">IF(W70="RP",X70," ")</f>
        <v> </v>
      </c>
      <c r="AI70" s="6" t="str">
        <f aca="false">IF(W70="RV",X70," ")</f>
        <v> </v>
      </c>
      <c r="AJ70" s="6" t="str">
        <f aca="false">IF(W70="RC",X70," ")</f>
        <v> </v>
      </c>
      <c r="AK70" s="6" t="str">
        <f aca="false">IF(W70="RT",X70," ")</f>
        <v> </v>
      </c>
      <c r="AL70" s="6" t="str">
        <f aca="false">IF(W70="DV",X70," ")</f>
        <v> </v>
      </c>
      <c r="AM70" s="6" t="str">
        <f aca="false">IF(W70="DL",X70," ")</f>
        <v> </v>
      </c>
      <c r="AN70" s="6" t="str">
        <f aca="false">IF(W70="X",X70," ")</f>
        <v> </v>
      </c>
    </row>
    <row r="71" customFormat="false" ht="12" hidden="false" customHeight="false" outlineLevel="0" collapsed="false">
      <c r="E71" s="5" t="str">
        <f aca="false">IF(F71&lt;&gt;0,"Enter Code"," ")</f>
        <v> </v>
      </c>
      <c r="G71" s="6" t="str">
        <f aca="false">IF(E71="BB",F71," ")</f>
        <v> </v>
      </c>
      <c r="H71" s="6" t="str">
        <f aca="false">IF(E71="BD",F71," ")</f>
        <v> </v>
      </c>
      <c r="I71" s="6" t="str">
        <f aca="false">IF(E71="BC",F71," ")</f>
        <v> </v>
      </c>
      <c r="J71" s="6" t="str">
        <f aca="false">IF(E71="DR",F71," ")</f>
        <v> </v>
      </c>
      <c r="K71" s="6" t="str">
        <f aca="false">IF(E71="K",F71," ")</f>
        <v> </v>
      </c>
      <c r="L71" s="6" t="str">
        <f aca="false">IF(E71="LDR",F71," ")</f>
        <v> </v>
      </c>
      <c r="M71" s="6" t="str">
        <f aca="false">IF(E71="LCR",F71," ")</f>
        <v> </v>
      </c>
      <c r="N71" s="6" t="str">
        <f aca="false">IF(E71="RV",F71," ")</f>
        <v> </v>
      </c>
      <c r="O71" s="6" t="str">
        <f aca="false">IF(E71="RC",F71," ")</f>
        <v> </v>
      </c>
      <c r="P71" s="6" t="str">
        <f aca="false">IF(E71="DL",F71," ")</f>
        <v> </v>
      </c>
      <c r="Q71" s="6" t="str">
        <f aca="false">IF(E71="X",F71," ")</f>
        <v> </v>
      </c>
      <c r="R71" s="37"/>
      <c r="W71" s="6" t="str">
        <f aca="false">IF(X71&lt;&gt;0,"Enter Code"," ")</f>
        <v> </v>
      </c>
      <c r="Y71" s="6" t="str">
        <f aca="false">IF(W71="BB",X71," ")</f>
        <v> </v>
      </c>
      <c r="Z71" s="6" t="str">
        <f aca="false">IF(W71="BD",X71," ")</f>
        <v> </v>
      </c>
      <c r="AA71" s="6" t="str">
        <f aca="false">IF(W71="BC",X71," ")</f>
        <v> </v>
      </c>
      <c r="AB71" s="6" t="str">
        <f aca="false">IF(W71="CR",X71," ")</f>
        <v> </v>
      </c>
      <c r="AC71" s="6" t="str">
        <f aca="false">IF(W71="W",X71," ")</f>
        <v> </v>
      </c>
      <c r="AD71" s="6" t="str">
        <f aca="false">IF(W71="B",X71," ")</f>
        <v> </v>
      </c>
      <c r="AE71" s="6" t="str">
        <f aca="false">IF(W71="J",X71," ")</f>
        <v> </v>
      </c>
      <c r="AF71" s="6" t="str">
        <f aca="false">IF(W71="LDR",X71," ")</f>
        <v> </v>
      </c>
      <c r="AG71" s="6" t="str">
        <f aca="false">IF(W71="LCR",X71," ")</f>
        <v> </v>
      </c>
      <c r="AH71" s="6" t="str">
        <f aca="false">IF(W71="RP",X71," ")</f>
        <v> </v>
      </c>
      <c r="AI71" s="6" t="str">
        <f aca="false">IF(W71="RV",X71," ")</f>
        <v> </v>
      </c>
      <c r="AJ71" s="6" t="str">
        <f aca="false">IF(W71="RC",X71," ")</f>
        <v> </v>
      </c>
      <c r="AK71" s="6" t="str">
        <f aca="false">IF(W71="RT",X71," ")</f>
        <v> </v>
      </c>
      <c r="AL71" s="6" t="str">
        <f aca="false">IF(W71="DV",X71," ")</f>
        <v> </v>
      </c>
      <c r="AM71" s="6" t="str">
        <f aca="false">IF(W71="DL",X71," ")</f>
        <v> </v>
      </c>
      <c r="AN71" s="6" t="str">
        <f aca="false">IF(W71="X",X71," ")</f>
        <v> </v>
      </c>
    </row>
    <row r="72" customFormat="false" ht="12" hidden="false" customHeight="false" outlineLevel="0" collapsed="false">
      <c r="E72" s="5" t="str">
        <f aca="false">IF(F72&lt;&gt;0,"Enter Code"," ")</f>
        <v> </v>
      </c>
      <c r="G72" s="6" t="str">
        <f aca="false">IF(E72="BB",F72," ")</f>
        <v> </v>
      </c>
      <c r="H72" s="6" t="str">
        <f aca="false">IF(E72="BD",F72," ")</f>
        <v> </v>
      </c>
      <c r="I72" s="6" t="str">
        <f aca="false">IF(E72="BC",F72," ")</f>
        <v> </v>
      </c>
      <c r="J72" s="6" t="str">
        <f aca="false">IF(E72="DR",F72," ")</f>
        <v> </v>
      </c>
      <c r="K72" s="6" t="str">
        <f aca="false">IF(E72="K",F72," ")</f>
        <v> </v>
      </c>
      <c r="L72" s="6" t="str">
        <f aca="false">IF(E72="LDR",F72," ")</f>
        <v> </v>
      </c>
      <c r="M72" s="6" t="str">
        <f aca="false">IF(E72="LCR",F72," ")</f>
        <v> </v>
      </c>
      <c r="N72" s="6" t="str">
        <f aca="false">IF(E72="RV",F72," ")</f>
        <v> </v>
      </c>
      <c r="O72" s="6" t="str">
        <f aca="false">IF(E72="RC",F72," ")</f>
        <v> </v>
      </c>
      <c r="P72" s="6" t="str">
        <f aca="false">IF(E72="DL",F72," ")</f>
        <v> </v>
      </c>
      <c r="Q72" s="6" t="str">
        <f aca="false">IF(E72="X",F72," ")</f>
        <v> </v>
      </c>
      <c r="R72" s="37"/>
      <c r="W72" s="6" t="str">
        <f aca="false">IF(X72&lt;&gt;0,"Enter Code"," ")</f>
        <v> </v>
      </c>
      <c r="Y72" s="6" t="str">
        <f aca="false">IF(W72="BB",X72," ")</f>
        <v> </v>
      </c>
      <c r="Z72" s="6" t="str">
        <f aca="false">IF(W72="BD",X72," ")</f>
        <v> </v>
      </c>
      <c r="AA72" s="6" t="str">
        <f aca="false">IF(W72="BC",X72," ")</f>
        <v> </v>
      </c>
      <c r="AB72" s="6" t="str">
        <f aca="false">IF(W72="CR",X72," ")</f>
        <v> </v>
      </c>
      <c r="AC72" s="6" t="str">
        <f aca="false">IF(W72="W",X72," ")</f>
        <v> </v>
      </c>
      <c r="AD72" s="6" t="str">
        <f aca="false">IF(W72="B",X72," ")</f>
        <v> </v>
      </c>
      <c r="AE72" s="6" t="str">
        <f aca="false">IF(W72="J",X72," ")</f>
        <v> </v>
      </c>
      <c r="AF72" s="6" t="str">
        <f aca="false">IF(W72="LDR",X72," ")</f>
        <v> </v>
      </c>
      <c r="AG72" s="6" t="str">
        <f aca="false">IF(W72="LCR",X72," ")</f>
        <v> </v>
      </c>
      <c r="AH72" s="6" t="str">
        <f aca="false">IF(W72="RP",X72," ")</f>
        <v> </v>
      </c>
      <c r="AI72" s="6" t="str">
        <f aca="false">IF(W72="RV",X72," ")</f>
        <v> </v>
      </c>
      <c r="AJ72" s="6" t="str">
        <f aca="false">IF(W72="RC",X72," ")</f>
        <v> </v>
      </c>
      <c r="AK72" s="6" t="str">
        <f aca="false">IF(W72="RT",X72," ")</f>
        <v> </v>
      </c>
      <c r="AL72" s="6" t="str">
        <f aca="false">IF(W72="DV",X72," ")</f>
        <v> </v>
      </c>
      <c r="AM72" s="6" t="str">
        <f aca="false">IF(W72="DL",X72," ")</f>
        <v> </v>
      </c>
      <c r="AN72" s="6" t="str">
        <f aca="false">IF(W72="X",X72," ")</f>
        <v> </v>
      </c>
    </row>
    <row r="73" customFormat="false" ht="12" hidden="false" customHeight="false" outlineLevel="0" collapsed="false">
      <c r="E73" s="5" t="str">
        <f aca="false">IF(F73&lt;&gt;0,"Enter Code"," ")</f>
        <v> </v>
      </c>
      <c r="G73" s="6" t="str">
        <f aca="false">IF(E73="BB",F73," ")</f>
        <v> </v>
      </c>
      <c r="H73" s="6" t="str">
        <f aca="false">IF(E73="BD",F73," ")</f>
        <v> </v>
      </c>
      <c r="I73" s="6" t="str">
        <f aca="false">IF(E73="BC",F73," ")</f>
        <v> </v>
      </c>
      <c r="J73" s="6" t="str">
        <f aca="false">IF(E73="DR",F73," ")</f>
        <v> </v>
      </c>
      <c r="K73" s="6" t="str">
        <f aca="false">IF(E73="K",F73," ")</f>
        <v> </v>
      </c>
      <c r="L73" s="6" t="str">
        <f aca="false">IF(E73="LDR",F73," ")</f>
        <v> </v>
      </c>
      <c r="M73" s="6" t="str">
        <f aca="false">IF(E73="LCR",F73," ")</f>
        <v> </v>
      </c>
      <c r="N73" s="6" t="str">
        <f aca="false">IF(E73="RV",F73," ")</f>
        <v> </v>
      </c>
      <c r="O73" s="6" t="str">
        <f aca="false">IF(E73="RC",F73," ")</f>
        <v> </v>
      </c>
      <c r="P73" s="6" t="str">
        <f aca="false">IF(E73="DL",F73," ")</f>
        <v> </v>
      </c>
      <c r="Q73" s="6" t="str">
        <f aca="false">IF(E73="X",F73," ")</f>
        <v> </v>
      </c>
      <c r="R73" s="37"/>
      <c r="W73" s="6" t="str">
        <f aca="false">IF(X73&lt;&gt;0,"Enter Code"," ")</f>
        <v> </v>
      </c>
      <c r="Y73" s="6" t="str">
        <f aca="false">IF(W73="BB",X73," ")</f>
        <v> </v>
      </c>
      <c r="Z73" s="6" t="str">
        <f aca="false">IF(W73="BD",X73," ")</f>
        <v> </v>
      </c>
      <c r="AA73" s="6" t="str">
        <f aca="false">IF(W73="BC",X73," ")</f>
        <v> </v>
      </c>
      <c r="AB73" s="6" t="str">
        <f aca="false">IF(W73="CR",X73," ")</f>
        <v> </v>
      </c>
      <c r="AC73" s="6" t="str">
        <f aca="false">IF(W73="W",X73," ")</f>
        <v> </v>
      </c>
      <c r="AD73" s="6" t="str">
        <f aca="false">IF(W73="B",X73," ")</f>
        <v> </v>
      </c>
      <c r="AE73" s="6" t="str">
        <f aca="false">IF(W73="J",X73," ")</f>
        <v> </v>
      </c>
      <c r="AF73" s="6" t="str">
        <f aca="false">IF(W73="LDR",X73," ")</f>
        <v> </v>
      </c>
      <c r="AG73" s="6" t="str">
        <f aca="false">IF(W73="LCR",X73," ")</f>
        <v> </v>
      </c>
      <c r="AH73" s="6" t="str">
        <f aca="false">IF(W73="RP",X73," ")</f>
        <v> </v>
      </c>
      <c r="AI73" s="6" t="str">
        <f aca="false">IF(W73="RV",X73," ")</f>
        <v> </v>
      </c>
      <c r="AJ73" s="6" t="str">
        <f aca="false">IF(W73="RC",X73," ")</f>
        <v> </v>
      </c>
      <c r="AK73" s="6" t="str">
        <f aca="false">IF(W73="RT",X73," ")</f>
        <v> </v>
      </c>
      <c r="AL73" s="6" t="str">
        <f aca="false">IF(W73="DV",X73," ")</f>
        <v> </v>
      </c>
      <c r="AM73" s="6" t="str">
        <f aca="false">IF(W73="DL",X73," ")</f>
        <v> </v>
      </c>
      <c r="AN73" s="6" t="str">
        <f aca="false">IF(W73="X",X73," ")</f>
        <v> </v>
      </c>
    </row>
    <row r="74" customFormat="false" ht="12" hidden="false" customHeight="false" outlineLevel="0" collapsed="false">
      <c r="E74" s="5" t="str">
        <f aca="false">IF(F74&lt;&gt;0,"Enter Code"," ")</f>
        <v> </v>
      </c>
      <c r="G74" s="6" t="str">
        <f aca="false">IF(E74="BB",F74," ")</f>
        <v> </v>
      </c>
      <c r="H74" s="6" t="str">
        <f aca="false">IF(E74="BD",F74," ")</f>
        <v> </v>
      </c>
      <c r="I74" s="6" t="str">
        <f aca="false">IF(E74="BC",F74," ")</f>
        <v> </v>
      </c>
      <c r="J74" s="6" t="str">
        <f aca="false">IF(E74="DR",F74," ")</f>
        <v> </v>
      </c>
      <c r="K74" s="6" t="str">
        <f aca="false">IF(E74="K",F74," ")</f>
        <v> </v>
      </c>
      <c r="L74" s="6" t="str">
        <f aca="false">IF(E74="LDR",F74," ")</f>
        <v> </v>
      </c>
      <c r="M74" s="6" t="str">
        <f aca="false">IF(E74="LCR",F74," ")</f>
        <v> </v>
      </c>
      <c r="N74" s="6" t="str">
        <f aca="false">IF(E74="RV",F74," ")</f>
        <v> </v>
      </c>
      <c r="O74" s="6" t="str">
        <f aca="false">IF(E74="RC",F74," ")</f>
        <v> </v>
      </c>
      <c r="P74" s="6" t="str">
        <f aca="false">IF(E74="DL",F74," ")</f>
        <v> </v>
      </c>
      <c r="Q74" s="6" t="str">
        <f aca="false">IF(E74="X",F74," ")</f>
        <v> </v>
      </c>
      <c r="R74" s="37"/>
      <c r="W74" s="6" t="str">
        <f aca="false">IF(X74&lt;&gt;0,"Enter Code"," ")</f>
        <v> </v>
      </c>
      <c r="Y74" s="6" t="str">
        <f aca="false">IF(W74="BB",X74," ")</f>
        <v> </v>
      </c>
      <c r="Z74" s="6" t="str">
        <f aca="false">IF(W74="BD",X74," ")</f>
        <v> </v>
      </c>
      <c r="AA74" s="6" t="str">
        <f aca="false">IF(W74="BC",X74," ")</f>
        <v> </v>
      </c>
      <c r="AB74" s="6" t="str">
        <f aca="false">IF(W74="CR",X74," ")</f>
        <v> </v>
      </c>
      <c r="AC74" s="6" t="str">
        <f aca="false">IF(W74="W",X74," ")</f>
        <v> </v>
      </c>
      <c r="AD74" s="6" t="str">
        <f aca="false">IF(W74="B",X74," ")</f>
        <v> </v>
      </c>
      <c r="AE74" s="6" t="str">
        <f aca="false">IF(W74="J",X74," ")</f>
        <v> </v>
      </c>
      <c r="AF74" s="6" t="str">
        <f aca="false">IF(W74="LDR",X74," ")</f>
        <v> </v>
      </c>
      <c r="AG74" s="6" t="str">
        <f aca="false">IF(W74="LCR",X74," ")</f>
        <v> </v>
      </c>
      <c r="AH74" s="6" t="str">
        <f aca="false">IF(W74="RP",X74," ")</f>
        <v> </v>
      </c>
      <c r="AI74" s="6" t="str">
        <f aca="false">IF(W74="RV",X74," ")</f>
        <v> </v>
      </c>
      <c r="AJ74" s="6" t="str">
        <f aca="false">IF(W74="RC",X74," ")</f>
        <v> </v>
      </c>
      <c r="AK74" s="6" t="str">
        <f aca="false">IF(W74="RT",X74," ")</f>
        <v> </v>
      </c>
      <c r="AL74" s="6" t="str">
        <f aca="false">IF(W74="DV",X74," ")</f>
        <v> </v>
      </c>
      <c r="AM74" s="6" t="str">
        <f aca="false">IF(W74="DL",X74," ")</f>
        <v> </v>
      </c>
      <c r="AN74" s="6" t="str">
        <f aca="false">IF(W74="X",X74," ")</f>
        <v> </v>
      </c>
    </row>
    <row r="75" customFormat="false" ht="12" hidden="false" customHeight="false" outlineLevel="0" collapsed="false">
      <c r="E75" s="5" t="str">
        <f aca="false">IF(F75&lt;&gt;0,"Enter Code"," ")</f>
        <v> </v>
      </c>
      <c r="G75" s="6" t="str">
        <f aca="false">IF(E75="BB",F75," ")</f>
        <v> </v>
      </c>
      <c r="H75" s="6" t="str">
        <f aca="false">IF(E75="BD",F75," ")</f>
        <v> </v>
      </c>
      <c r="I75" s="6" t="str">
        <f aca="false">IF(E75="BC",F75," ")</f>
        <v> </v>
      </c>
      <c r="J75" s="6" t="str">
        <f aca="false">IF(E75="DR",F75," ")</f>
        <v> </v>
      </c>
      <c r="K75" s="6" t="str">
        <f aca="false">IF(E75="K",F75," ")</f>
        <v> </v>
      </c>
      <c r="L75" s="6" t="str">
        <f aca="false">IF(E75="LDR",F75," ")</f>
        <v> </v>
      </c>
      <c r="M75" s="6" t="str">
        <f aca="false">IF(E75="LCR",F75," ")</f>
        <v> </v>
      </c>
      <c r="N75" s="6" t="str">
        <f aca="false">IF(E75="RV",F75," ")</f>
        <v> </v>
      </c>
      <c r="O75" s="6" t="str">
        <f aca="false">IF(E75="RC",F75," ")</f>
        <v> </v>
      </c>
      <c r="P75" s="6" t="str">
        <f aca="false">IF(E75="DL",F75," ")</f>
        <v> </v>
      </c>
      <c r="Q75" s="6" t="str">
        <f aca="false">IF(E75="X",F75," ")</f>
        <v> </v>
      </c>
      <c r="R75" s="37"/>
      <c r="W75" s="6" t="str">
        <f aca="false">IF(X75&lt;&gt;0,"Enter Code"," ")</f>
        <v> </v>
      </c>
      <c r="Y75" s="6" t="str">
        <f aca="false">IF(W75="BB",X75," ")</f>
        <v> </v>
      </c>
      <c r="Z75" s="6" t="str">
        <f aca="false">IF(W75="BD",X75," ")</f>
        <v> </v>
      </c>
      <c r="AA75" s="6" t="str">
        <f aca="false">IF(W75="BC",X75," ")</f>
        <v> </v>
      </c>
      <c r="AB75" s="6" t="str">
        <f aca="false">IF(W75="CR",X75," ")</f>
        <v> </v>
      </c>
      <c r="AC75" s="6" t="str">
        <f aca="false">IF(W75="W",X75," ")</f>
        <v> </v>
      </c>
      <c r="AD75" s="6" t="str">
        <f aca="false">IF(W75="B",X75," ")</f>
        <v> </v>
      </c>
      <c r="AE75" s="6" t="str">
        <f aca="false">IF(W75="J",X75," ")</f>
        <v> </v>
      </c>
      <c r="AF75" s="6" t="str">
        <f aca="false">IF(W75="LDR",X75," ")</f>
        <v> </v>
      </c>
      <c r="AG75" s="6" t="str">
        <f aca="false">IF(W75="LCR",X75," ")</f>
        <v> </v>
      </c>
      <c r="AH75" s="6" t="str">
        <f aca="false">IF(W75="RP",X75," ")</f>
        <v> </v>
      </c>
      <c r="AI75" s="6" t="str">
        <f aca="false">IF(W75="RV",X75," ")</f>
        <v> </v>
      </c>
      <c r="AJ75" s="6" t="str">
        <f aca="false">IF(W75="RC",X75," ")</f>
        <v> </v>
      </c>
      <c r="AK75" s="6" t="str">
        <f aca="false">IF(W75="RT",X75," ")</f>
        <v> </v>
      </c>
      <c r="AL75" s="6" t="str">
        <f aca="false">IF(W75="DV",X75," ")</f>
        <v> </v>
      </c>
      <c r="AM75" s="6" t="str">
        <f aca="false">IF(W75="DL",X75," ")</f>
        <v> </v>
      </c>
      <c r="AN75" s="6" t="str">
        <f aca="false">IF(W75="X",X75," ")</f>
        <v> </v>
      </c>
    </row>
    <row r="76" customFormat="false" ht="12" hidden="false" customHeight="false" outlineLevel="0" collapsed="false">
      <c r="E76" s="5" t="str">
        <f aca="false">IF(F76&lt;&gt;0,"Enter Code"," ")</f>
        <v> </v>
      </c>
      <c r="G76" s="6" t="str">
        <f aca="false">IF(E76="BB",F76," ")</f>
        <v> </v>
      </c>
      <c r="H76" s="6" t="str">
        <f aca="false">IF(E76="BD",F76," ")</f>
        <v> </v>
      </c>
      <c r="I76" s="6" t="str">
        <f aca="false">IF(E76="BC",F76," ")</f>
        <v> </v>
      </c>
      <c r="J76" s="6" t="str">
        <f aca="false">IF(E76="DR",F76," ")</f>
        <v> </v>
      </c>
      <c r="K76" s="6" t="str">
        <f aca="false">IF(E76="K",F76," ")</f>
        <v> </v>
      </c>
      <c r="L76" s="6" t="str">
        <f aca="false">IF(E76="LDR",F76," ")</f>
        <v> </v>
      </c>
      <c r="M76" s="6" t="str">
        <f aca="false">IF(E76="LCR",F76," ")</f>
        <v> </v>
      </c>
      <c r="N76" s="6" t="str">
        <f aca="false">IF(E76="RV",F76," ")</f>
        <v> </v>
      </c>
      <c r="O76" s="6" t="str">
        <f aca="false">IF(E76="RC",F76," ")</f>
        <v> </v>
      </c>
      <c r="P76" s="6" t="str">
        <f aca="false">IF(E76="DL",F76," ")</f>
        <v> </v>
      </c>
      <c r="Q76" s="6" t="str">
        <f aca="false">IF(E76="X",F76," ")</f>
        <v> </v>
      </c>
      <c r="R76" s="37"/>
      <c r="W76" s="6" t="str">
        <f aca="false">IF(X76&lt;&gt;0,"Enter Code"," ")</f>
        <v> </v>
      </c>
      <c r="Y76" s="6" t="str">
        <f aca="false">IF(W76="BB",X76," ")</f>
        <v> </v>
      </c>
      <c r="Z76" s="6" t="str">
        <f aca="false">IF(W76="BD",X76," ")</f>
        <v> </v>
      </c>
      <c r="AA76" s="6" t="str">
        <f aca="false">IF(W76="BC",X76," ")</f>
        <v> </v>
      </c>
      <c r="AB76" s="6" t="str">
        <f aca="false">IF(W76="CR",X76," ")</f>
        <v> </v>
      </c>
      <c r="AC76" s="6" t="str">
        <f aca="false">IF(W76="W",X76," ")</f>
        <v> </v>
      </c>
      <c r="AD76" s="6" t="str">
        <f aca="false">IF(W76="B",X76," ")</f>
        <v> </v>
      </c>
      <c r="AE76" s="6" t="str">
        <f aca="false">IF(W76="J",X76," ")</f>
        <v> </v>
      </c>
      <c r="AF76" s="6" t="str">
        <f aca="false">IF(W76="LDR",X76," ")</f>
        <v> </v>
      </c>
      <c r="AG76" s="6" t="str">
        <f aca="false">IF(W76="LCR",X76," ")</f>
        <v> </v>
      </c>
      <c r="AH76" s="6" t="str">
        <f aca="false">IF(W76="RP",X76," ")</f>
        <v> </v>
      </c>
      <c r="AI76" s="6" t="str">
        <f aca="false">IF(W76="RV",X76," ")</f>
        <v> </v>
      </c>
      <c r="AJ76" s="6" t="str">
        <f aca="false">IF(W76="RC",X76," ")</f>
        <v> </v>
      </c>
      <c r="AK76" s="6" t="str">
        <f aca="false">IF(W76="RT",X76," ")</f>
        <v> </v>
      </c>
      <c r="AL76" s="6" t="str">
        <f aca="false">IF(W76="DV",X76," ")</f>
        <v> </v>
      </c>
      <c r="AM76" s="6" t="str">
        <f aca="false">IF(W76="DL",X76," ")</f>
        <v> </v>
      </c>
      <c r="AN76" s="6" t="str">
        <f aca="false">IF(W76="X",X76," ")</f>
        <v> </v>
      </c>
    </row>
    <row r="77" customFormat="false" ht="12" hidden="false" customHeight="false" outlineLevel="0" collapsed="false">
      <c r="E77" s="5" t="str">
        <f aca="false">IF(F77&lt;&gt;0,"Enter Code"," ")</f>
        <v> </v>
      </c>
      <c r="G77" s="6" t="str">
        <f aca="false">IF(E77="BB",F77," ")</f>
        <v> </v>
      </c>
      <c r="H77" s="6" t="str">
        <f aca="false">IF(E77="BD",F77," ")</f>
        <v> </v>
      </c>
      <c r="I77" s="6" t="str">
        <f aca="false">IF(E77="BC",F77," ")</f>
        <v> </v>
      </c>
      <c r="J77" s="6" t="str">
        <f aca="false">IF(E77="DR",F77," ")</f>
        <v> </v>
      </c>
      <c r="K77" s="6" t="str">
        <f aca="false">IF(E77="K",F77," ")</f>
        <v> </v>
      </c>
      <c r="L77" s="6" t="str">
        <f aca="false">IF(E77="LDR",F77," ")</f>
        <v> </v>
      </c>
      <c r="M77" s="6" t="str">
        <f aca="false">IF(E77="LCR",F77," ")</f>
        <v> </v>
      </c>
      <c r="N77" s="6" t="str">
        <f aca="false">IF(E77="RV",F77," ")</f>
        <v> </v>
      </c>
      <c r="O77" s="6" t="str">
        <f aca="false">IF(E77="RC",F77," ")</f>
        <v> </v>
      </c>
      <c r="P77" s="6" t="str">
        <f aca="false">IF(E77="DL",F77," ")</f>
        <v> </v>
      </c>
      <c r="Q77" s="6" t="str">
        <f aca="false">IF(E77="X",F77," ")</f>
        <v> </v>
      </c>
      <c r="R77" s="37"/>
      <c r="W77" s="6" t="str">
        <f aca="false">IF(X77&lt;&gt;0,"Enter Code"," ")</f>
        <v> </v>
      </c>
      <c r="Y77" s="6" t="str">
        <f aca="false">IF(W77="BB",X77," ")</f>
        <v> </v>
      </c>
      <c r="Z77" s="6" t="str">
        <f aca="false">IF(W77="BD",X77," ")</f>
        <v> </v>
      </c>
      <c r="AA77" s="6" t="str">
        <f aca="false">IF(W77="BC",X77," ")</f>
        <v> </v>
      </c>
      <c r="AB77" s="6" t="str">
        <f aca="false">IF(W77="CR",X77," ")</f>
        <v> </v>
      </c>
      <c r="AC77" s="6" t="str">
        <f aca="false">IF(W77="W",X77," ")</f>
        <v> </v>
      </c>
      <c r="AD77" s="6" t="str">
        <f aca="false">IF(W77="B",X77," ")</f>
        <v> </v>
      </c>
      <c r="AE77" s="6" t="str">
        <f aca="false">IF(W77="J",X77," ")</f>
        <v> </v>
      </c>
      <c r="AF77" s="6" t="str">
        <f aca="false">IF(W77="LDR",X77," ")</f>
        <v> </v>
      </c>
      <c r="AG77" s="6" t="str">
        <f aca="false">IF(W77="LCR",X77," ")</f>
        <v> </v>
      </c>
      <c r="AH77" s="6" t="str">
        <f aca="false">IF(W77="RP",X77," ")</f>
        <v> </v>
      </c>
      <c r="AI77" s="6" t="str">
        <f aca="false">IF(W77="RV",X77," ")</f>
        <v> </v>
      </c>
      <c r="AJ77" s="6" t="str">
        <f aca="false">IF(W77="RC",X77," ")</f>
        <v> </v>
      </c>
      <c r="AK77" s="6" t="str">
        <f aca="false">IF(W77="RT",X77," ")</f>
        <v> </v>
      </c>
      <c r="AL77" s="6" t="str">
        <f aca="false">IF(W77="DV",X77," ")</f>
        <v> </v>
      </c>
      <c r="AM77" s="6" t="str">
        <f aca="false">IF(W77="DL",X77," ")</f>
        <v> </v>
      </c>
      <c r="AN77" s="6" t="str">
        <f aca="false">IF(W77="X",X77," ")</f>
        <v> </v>
      </c>
    </row>
    <row r="78" customFormat="false" ht="12" hidden="false" customHeight="false" outlineLevel="0" collapsed="false">
      <c r="E78" s="5" t="str">
        <f aca="false">IF(F78&lt;&gt;0,"Enter Code"," ")</f>
        <v> </v>
      </c>
      <c r="G78" s="6" t="str">
        <f aca="false">IF(E78="BB",F78," ")</f>
        <v> </v>
      </c>
      <c r="H78" s="6" t="str">
        <f aca="false">IF(E78="BD",F78," ")</f>
        <v> </v>
      </c>
      <c r="I78" s="6" t="str">
        <f aca="false">IF(E78="BC",F78," ")</f>
        <v> </v>
      </c>
      <c r="J78" s="6" t="str">
        <f aca="false">IF(E78="DR",F78," ")</f>
        <v> </v>
      </c>
      <c r="K78" s="6" t="str">
        <f aca="false">IF(E78="K",F78," ")</f>
        <v> </v>
      </c>
      <c r="L78" s="6" t="str">
        <f aca="false">IF(E78="LDR",F78," ")</f>
        <v> </v>
      </c>
      <c r="M78" s="6" t="str">
        <f aca="false">IF(E78="LCR",F78," ")</f>
        <v> </v>
      </c>
      <c r="N78" s="6" t="str">
        <f aca="false">IF(E78="RV",F78," ")</f>
        <v> </v>
      </c>
      <c r="O78" s="6" t="str">
        <f aca="false">IF(E78="RC",F78," ")</f>
        <v> </v>
      </c>
      <c r="P78" s="6" t="str">
        <f aca="false">IF(E78="DL",F78," ")</f>
        <v> </v>
      </c>
      <c r="Q78" s="6" t="str">
        <f aca="false">IF(E78="X",F78," ")</f>
        <v> </v>
      </c>
      <c r="R78" s="37"/>
      <c r="W78" s="6" t="str">
        <f aca="false">IF(X78&lt;&gt;0,"Enter Code"," ")</f>
        <v> </v>
      </c>
      <c r="Y78" s="6" t="str">
        <f aca="false">IF(W78="BB",X78," ")</f>
        <v> </v>
      </c>
      <c r="Z78" s="6" t="str">
        <f aca="false">IF(W78="BD",X78," ")</f>
        <v> </v>
      </c>
      <c r="AA78" s="6" t="str">
        <f aca="false">IF(W78="BC",X78," ")</f>
        <v> </v>
      </c>
      <c r="AB78" s="6" t="str">
        <f aca="false">IF(W78="CR",X78," ")</f>
        <v> </v>
      </c>
      <c r="AC78" s="6" t="str">
        <f aca="false">IF(W78="W",X78," ")</f>
        <v> </v>
      </c>
      <c r="AD78" s="6" t="str">
        <f aca="false">IF(W78="B",X78," ")</f>
        <v> </v>
      </c>
      <c r="AE78" s="6" t="str">
        <f aca="false">IF(W78="J",X78," ")</f>
        <v> </v>
      </c>
      <c r="AF78" s="6" t="str">
        <f aca="false">IF(W78="LDR",X78," ")</f>
        <v> </v>
      </c>
      <c r="AG78" s="6" t="str">
        <f aca="false">IF(W78="LCR",X78," ")</f>
        <v> </v>
      </c>
      <c r="AH78" s="6" t="str">
        <f aca="false">IF(W78="RP",X78," ")</f>
        <v> </v>
      </c>
      <c r="AI78" s="6" t="str">
        <f aca="false">IF(W78="RV",X78," ")</f>
        <v> </v>
      </c>
      <c r="AJ78" s="6" t="str">
        <f aca="false">IF(W78="RC",X78," ")</f>
        <v> </v>
      </c>
      <c r="AK78" s="6" t="str">
        <f aca="false">IF(W78="RT",X78," ")</f>
        <v> </v>
      </c>
      <c r="AL78" s="6" t="str">
        <f aca="false">IF(W78="DV",X78," ")</f>
        <v> </v>
      </c>
      <c r="AM78" s="6" t="str">
        <f aca="false">IF(W78="DL",X78," ")</f>
        <v> </v>
      </c>
      <c r="AN78" s="6" t="str">
        <f aca="false">IF(W78="X",X78," ")</f>
        <v> </v>
      </c>
    </row>
    <row r="79" customFormat="false" ht="12" hidden="false" customHeight="false" outlineLevel="0" collapsed="false">
      <c r="E79" s="5" t="str">
        <f aca="false">IF(F79&lt;&gt;0,"Enter Code"," ")</f>
        <v> </v>
      </c>
      <c r="G79" s="6" t="str">
        <f aca="false">IF(E79="BB",F79," ")</f>
        <v> </v>
      </c>
      <c r="H79" s="6" t="str">
        <f aca="false">IF(E79="BD",F79," ")</f>
        <v> </v>
      </c>
      <c r="I79" s="6" t="str">
        <f aca="false">IF(E79="BC",F79," ")</f>
        <v> </v>
      </c>
      <c r="J79" s="6" t="str">
        <f aca="false">IF(E79="DR",F79," ")</f>
        <v> </v>
      </c>
      <c r="K79" s="6" t="str">
        <f aca="false">IF(E79="K",F79," ")</f>
        <v> </v>
      </c>
      <c r="L79" s="6" t="str">
        <f aca="false">IF(E79="LDR",F79," ")</f>
        <v> </v>
      </c>
      <c r="M79" s="6" t="str">
        <f aca="false">IF(E79="LCR",F79," ")</f>
        <v> </v>
      </c>
      <c r="N79" s="6" t="str">
        <f aca="false">IF(E79="RV",F79," ")</f>
        <v> </v>
      </c>
      <c r="O79" s="6" t="str">
        <f aca="false">IF(E79="RC",F79," ")</f>
        <v> </v>
      </c>
      <c r="P79" s="6" t="str">
        <f aca="false">IF(E79="DL",F79," ")</f>
        <v> </v>
      </c>
      <c r="Q79" s="6" t="str">
        <f aca="false">IF(E79="X",F79," ")</f>
        <v> </v>
      </c>
      <c r="R79" s="37"/>
      <c r="W79" s="6" t="str">
        <f aca="false">IF(X79&lt;&gt;0,"Enter Code"," ")</f>
        <v> </v>
      </c>
      <c r="Y79" s="6" t="str">
        <f aca="false">IF(W79="BB",X79," ")</f>
        <v> </v>
      </c>
      <c r="Z79" s="6" t="str">
        <f aca="false">IF(W79="BD",X79," ")</f>
        <v> </v>
      </c>
      <c r="AA79" s="6" t="str">
        <f aca="false">IF(W79="BC",X79," ")</f>
        <v> </v>
      </c>
      <c r="AB79" s="6" t="str">
        <f aca="false">IF(W79="CR",X79," ")</f>
        <v> </v>
      </c>
      <c r="AC79" s="6" t="str">
        <f aca="false">IF(W79="W",X79," ")</f>
        <v> </v>
      </c>
      <c r="AD79" s="6" t="str">
        <f aca="false">IF(W79="B",X79," ")</f>
        <v> </v>
      </c>
      <c r="AE79" s="6" t="str">
        <f aca="false">IF(W79="J",X79," ")</f>
        <v> </v>
      </c>
      <c r="AF79" s="6" t="str">
        <f aca="false">IF(W79="LDR",X79," ")</f>
        <v> </v>
      </c>
      <c r="AG79" s="6" t="str">
        <f aca="false">IF(W79="LCR",X79," ")</f>
        <v> </v>
      </c>
      <c r="AH79" s="6" t="str">
        <f aca="false">IF(W79="RP",X79," ")</f>
        <v> </v>
      </c>
      <c r="AI79" s="6" t="str">
        <f aca="false">IF(W79="RV",X79," ")</f>
        <v> </v>
      </c>
      <c r="AJ79" s="6" t="str">
        <f aca="false">IF(W79="RC",X79," ")</f>
        <v> </v>
      </c>
      <c r="AK79" s="6" t="str">
        <f aca="false">IF(W79="RT",X79," ")</f>
        <v> </v>
      </c>
      <c r="AL79" s="6" t="str">
        <f aca="false">IF(W79="DV",X79," ")</f>
        <v> </v>
      </c>
      <c r="AM79" s="6" t="str">
        <f aca="false">IF(W79="DL",X79," ")</f>
        <v> </v>
      </c>
      <c r="AN79" s="6" t="str">
        <f aca="false">IF(W79="X",X79," ")</f>
        <v> </v>
      </c>
    </row>
    <row r="80" customFormat="false" ht="12" hidden="false" customHeight="false" outlineLevel="0" collapsed="false">
      <c r="E80" s="5" t="str">
        <f aca="false">IF(F80&lt;&gt;0,"Enter Code"," ")</f>
        <v> </v>
      </c>
      <c r="G80" s="6" t="str">
        <f aca="false">IF(E80="BB",F80," ")</f>
        <v> </v>
      </c>
      <c r="H80" s="6" t="str">
        <f aca="false">IF(E80="BD",F80," ")</f>
        <v> </v>
      </c>
      <c r="I80" s="6" t="str">
        <f aca="false">IF(E80="BC",F80," ")</f>
        <v> </v>
      </c>
      <c r="J80" s="6" t="str">
        <f aca="false">IF(E80="DR",F80," ")</f>
        <v> </v>
      </c>
      <c r="K80" s="6" t="str">
        <f aca="false">IF(E80="K",F80," ")</f>
        <v> </v>
      </c>
      <c r="L80" s="6" t="str">
        <f aca="false">IF(E80="LDR",F80," ")</f>
        <v> </v>
      </c>
      <c r="M80" s="6" t="str">
        <f aca="false">IF(E80="LCR",F80," ")</f>
        <v> </v>
      </c>
      <c r="N80" s="6" t="str">
        <f aca="false">IF(E80="RV",F80," ")</f>
        <v> </v>
      </c>
      <c r="O80" s="6" t="str">
        <f aca="false">IF(E80="RC",F80," ")</f>
        <v> </v>
      </c>
      <c r="P80" s="6" t="str">
        <f aca="false">IF(E80="DL",F80," ")</f>
        <v> </v>
      </c>
      <c r="Q80" s="6" t="str">
        <f aca="false">IF(E80="X",F80," ")</f>
        <v> </v>
      </c>
      <c r="R80" s="37"/>
      <c r="W80" s="6" t="str">
        <f aca="false">IF(X80&lt;&gt;0,"Enter Code"," ")</f>
        <v> </v>
      </c>
      <c r="Y80" s="6" t="str">
        <f aca="false">IF(W80="BB",X80," ")</f>
        <v> </v>
      </c>
      <c r="Z80" s="6" t="str">
        <f aca="false">IF(W80="BD",X80," ")</f>
        <v> </v>
      </c>
      <c r="AA80" s="6" t="str">
        <f aca="false">IF(W80="BC",X80," ")</f>
        <v> </v>
      </c>
      <c r="AB80" s="6" t="str">
        <f aca="false">IF(W80="CR",X80," ")</f>
        <v> </v>
      </c>
      <c r="AC80" s="6" t="str">
        <f aca="false">IF(W80="W",X80," ")</f>
        <v> </v>
      </c>
      <c r="AD80" s="6" t="str">
        <f aca="false">IF(W80="B",X80," ")</f>
        <v> </v>
      </c>
      <c r="AE80" s="6" t="str">
        <f aca="false">IF(W80="J",X80," ")</f>
        <v> </v>
      </c>
      <c r="AF80" s="6" t="str">
        <f aca="false">IF(W80="LDR",X80," ")</f>
        <v> </v>
      </c>
      <c r="AG80" s="6" t="str">
        <f aca="false">IF(W80="LCR",X80," ")</f>
        <v> </v>
      </c>
      <c r="AH80" s="6" t="str">
        <f aca="false">IF(W80="RP",X80," ")</f>
        <v> </v>
      </c>
      <c r="AI80" s="6" t="str">
        <f aca="false">IF(W80="RV",X80," ")</f>
        <v> </v>
      </c>
      <c r="AJ80" s="6" t="str">
        <f aca="false">IF(W80="RC",X80," ")</f>
        <v> </v>
      </c>
      <c r="AK80" s="6" t="str">
        <f aca="false">IF(W80="RT",X80," ")</f>
        <v> </v>
      </c>
      <c r="AL80" s="6" t="str">
        <f aca="false">IF(W80="DV",X80," ")</f>
        <v> </v>
      </c>
      <c r="AM80" s="6" t="str">
        <f aca="false">IF(W80="DL",X80," ")</f>
        <v> </v>
      </c>
      <c r="AN80" s="6" t="str">
        <f aca="false">IF(W80="X",X80," ")</f>
        <v> </v>
      </c>
    </row>
    <row r="81" customFormat="false" ht="12" hidden="false" customHeight="false" outlineLevel="0" collapsed="false">
      <c r="E81" s="5" t="str">
        <f aca="false">IF(F81&lt;&gt;0,"Enter Code"," ")</f>
        <v> </v>
      </c>
      <c r="G81" s="6" t="str">
        <f aca="false">IF(E81="BB",F81," ")</f>
        <v> </v>
      </c>
      <c r="H81" s="6" t="str">
        <f aca="false">IF(E81="BD",F81," ")</f>
        <v> </v>
      </c>
      <c r="I81" s="6" t="str">
        <f aca="false">IF(E81="BC",F81," ")</f>
        <v> </v>
      </c>
      <c r="J81" s="6" t="str">
        <f aca="false">IF(E81="DR",F81," ")</f>
        <v> </v>
      </c>
      <c r="K81" s="6" t="str">
        <f aca="false">IF(E81="K",F81," ")</f>
        <v> </v>
      </c>
      <c r="L81" s="6" t="str">
        <f aca="false">IF(E81="LDR",F81," ")</f>
        <v> </v>
      </c>
      <c r="M81" s="6" t="str">
        <f aca="false">IF(E81="LCR",F81," ")</f>
        <v> </v>
      </c>
      <c r="N81" s="6" t="str">
        <f aca="false">IF(E81="RV",F81," ")</f>
        <v> </v>
      </c>
      <c r="O81" s="6" t="str">
        <f aca="false">IF(E81="RC",F81," ")</f>
        <v> </v>
      </c>
      <c r="P81" s="6" t="str">
        <f aca="false">IF(E81="DL",F81," ")</f>
        <v> </v>
      </c>
      <c r="Q81" s="6" t="str">
        <f aca="false">IF(E81="X",F81," ")</f>
        <v> </v>
      </c>
      <c r="R81" s="37"/>
      <c r="W81" s="6" t="str">
        <f aca="false">IF(X81&lt;&gt;0,"Enter Code"," ")</f>
        <v> </v>
      </c>
      <c r="Y81" s="6" t="str">
        <f aca="false">IF(W81="BB",X81," ")</f>
        <v> </v>
      </c>
      <c r="Z81" s="6" t="str">
        <f aca="false">IF(W81="BD",X81," ")</f>
        <v> </v>
      </c>
      <c r="AA81" s="6" t="str">
        <f aca="false">IF(W81="BC",X81," ")</f>
        <v> </v>
      </c>
      <c r="AB81" s="6" t="str">
        <f aca="false">IF(W81="CR",X81," ")</f>
        <v> </v>
      </c>
      <c r="AC81" s="6" t="str">
        <f aca="false">IF(W81="W",X81," ")</f>
        <v> </v>
      </c>
      <c r="AD81" s="6" t="str">
        <f aca="false">IF(W81="B",X81," ")</f>
        <v> </v>
      </c>
      <c r="AE81" s="6" t="str">
        <f aca="false">IF(W81="J",X81," ")</f>
        <v> </v>
      </c>
      <c r="AF81" s="6" t="str">
        <f aca="false">IF(W81="LDR",X81," ")</f>
        <v> </v>
      </c>
      <c r="AG81" s="6" t="str">
        <f aca="false">IF(W81="LCR",X81," ")</f>
        <v> </v>
      </c>
      <c r="AH81" s="6" t="str">
        <f aca="false">IF(W81="RP",X81," ")</f>
        <v> </v>
      </c>
      <c r="AI81" s="6" t="str">
        <f aca="false">IF(W81="RV",X81," ")</f>
        <v> </v>
      </c>
      <c r="AJ81" s="6" t="str">
        <f aca="false">IF(W81="RC",X81," ")</f>
        <v> </v>
      </c>
      <c r="AK81" s="6" t="str">
        <f aca="false">IF(W81="RT",X81," ")</f>
        <v> </v>
      </c>
      <c r="AL81" s="6" t="str">
        <f aca="false">IF(W81="DV",X81," ")</f>
        <v> </v>
      </c>
      <c r="AM81" s="6" t="str">
        <f aca="false">IF(W81="DL",X81," ")</f>
        <v> </v>
      </c>
      <c r="AN81" s="6" t="str">
        <f aca="false">IF(W81="X",X81," ")</f>
        <v> </v>
      </c>
    </row>
    <row r="82" customFormat="false" ht="12" hidden="false" customHeight="false" outlineLevel="0" collapsed="false">
      <c r="E82" s="5" t="str">
        <f aca="false">IF(F82&lt;&gt;0,"Enter Code"," ")</f>
        <v> </v>
      </c>
      <c r="G82" s="6" t="str">
        <f aca="false">IF(E82="BB",F82," ")</f>
        <v> </v>
      </c>
      <c r="H82" s="6" t="str">
        <f aca="false">IF(E82="BD",F82," ")</f>
        <v> </v>
      </c>
      <c r="I82" s="6" t="str">
        <f aca="false">IF(E82="BC",F82," ")</f>
        <v> </v>
      </c>
      <c r="J82" s="6" t="str">
        <f aca="false">IF(E82="DR",F82," ")</f>
        <v> </v>
      </c>
      <c r="K82" s="6" t="str">
        <f aca="false">IF(E82="K",F82," ")</f>
        <v> </v>
      </c>
      <c r="L82" s="6" t="str">
        <f aca="false">IF(E82="LDR",F82," ")</f>
        <v> </v>
      </c>
      <c r="M82" s="6" t="str">
        <f aca="false">IF(E82="LCR",F82," ")</f>
        <v> </v>
      </c>
      <c r="N82" s="6" t="str">
        <f aca="false">IF(E82="RV",F82," ")</f>
        <v> </v>
      </c>
      <c r="O82" s="6" t="str">
        <f aca="false">IF(E82="RC",F82," ")</f>
        <v> </v>
      </c>
      <c r="P82" s="6" t="str">
        <f aca="false">IF(E82="DL",F82," ")</f>
        <v> </v>
      </c>
      <c r="Q82" s="6" t="str">
        <f aca="false">IF(E82="X",F82," ")</f>
        <v> </v>
      </c>
      <c r="R82" s="37"/>
      <c r="W82" s="6" t="str">
        <f aca="false">IF(X82&lt;&gt;0,"Enter Code"," ")</f>
        <v> </v>
      </c>
      <c r="Y82" s="6" t="str">
        <f aca="false">IF(W82="BB",X82," ")</f>
        <v> </v>
      </c>
      <c r="Z82" s="6" t="str">
        <f aca="false">IF(W82="BD",X82," ")</f>
        <v> </v>
      </c>
      <c r="AA82" s="6" t="str">
        <f aca="false">IF(W82="BC",X82," ")</f>
        <v> </v>
      </c>
      <c r="AB82" s="6" t="str">
        <f aca="false">IF(W82="CR",X82," ")</f>
        <v> </v>
      </c>
      <c r="AC82" s="6" t="str">
        <f aca="false">IF(W82="W",X82," ")</f>
        <v> </v>
      </c>
      <c r="AD82" s="6" t="str">
        <f aca="false">IF(W82="B",X82," ")</f>
        <v> </v>
      </c>
      <c r="AE82" s="6" t="str">
        <f aca="false">IF(W82="J",X82," ")</f>
        <v> </v>
      </c>
      <c r="AF82" s="6" t="str">
        <f aca="false">IF(W82="LDR",X82," ")</f>
        <v> </v>
      </c>
      <c r="AG82" s="6" t="str">
        <f aca="false">IF(W82="LCR",X82," ")</f>
        <v> </v>
      </c>
      <c r="AH82" s="6" t="str">
        <f aca="false">IF(W82="RP",X82," ")</f>
        <v> </v>
      </c>
      <c r="AI82" s="6" t="str">
        <f aca="false">IF(W82="RV",X82," ")</f>
        <v> </v>
      </c>
      <c r="AJ82" s="6" t="str">
        <f aca="false">IF(W82="RC",X82," ")</f>
        <v> </v>
      </c>
      <c r="AK82" s="6" t="str">
        <f aca="false">IF(W82="RT",X82," ")</f>
        <v> </v>
      </c>
      <c r="AL82" s="6" t="str">
        <f aca="false">IF(W82="DV",X82," ")</f>
        <v> </v>
      </c>
      <c r="AM82" s="6" t="str">
        <f aca="false">IF(W82="DL",X82," ")</f>
        <v> </v>
      </c>
      <c r="AN82" s="6" t="str">
        <f aca="false">IF(W82="X",X82," ")</f>
        <v> </v>
      </c>
    </row>
    <row r="83" customFormat="false" ht="12" hidden="false" customHeight="false" outlineLevel="0" collapsed="false">
      <c r="E83" s="5" t="str">
        <f aca="false">IF(F83&lt;&gt;0,"Enter Code"," ")</f>
        <v> </v>
      </c>
      <c r="G83" s="6" t="str">
        <f aca="false">IF(E83="BB",F83," ")</f>
        <v> </v>
      </c>
      <c r="H83" s="6" t="str">
        <f aca="false">IF(E83="BD",F83," ")</f>
        <v> </v>
      </c>
      <c r="I83" s="6" t="str">
        <f aca="false">IF(E83="BC",F83," ")</f>
        <v> </v>
      </c>
      <c r="J83" s="6" t="str">
        <f aca="false">IF(E83="DR",F83," ")</f>
        <v> </v>
      </c>
      <c r="K83" s="6" t="str">
        <f aca="false">IF(E83="K",F83," ")</f>
        <v> </v>
      </c>
      <c r="L83" s="6" t="str">
        <f aca="false">IF(E83="LDR",F83," ")</f>
        <v> </v>
      </c>
      <c r="M83" s="6" t="str">
        <f aca="false">IF(E83="LCR",F83," ")</f>
        <v> </v>
      </c>
      <c r="N83" s="6" t="str">
        <f aca="false">IF(E83="RV",F83," ")</f>
        <v> </v>
      </c>
      <c r="O83" s="6" t="str">
        <f aca="false">IF(E83="RC",F83," ")</f>
        <v> </v>
      </c>
      <c r="P83" s="6" t="str">
        <f aca="false">IF(E83="DL",F83," ")</f>
        <v> </v>
      </c>
      <c r="Q83" s="6" t="str">
        <f aca="false">IF(E83="X",F83," ")</f>
        <v> </v>
      </c>
      <c r="R83" s="37"/>
      <c r="W83" s="6" t="str">
        <f aca="false">IF(X83&lt;&gt;0,"Enter Code"," ")</f>
        <v> </v>
      </c>
      <c r="Y83" s="6" t="str">
        <f aca="false">IF(W83="BB",X83," ")</f>
        <v> </v>
      </c>
      <c r="Z83" s="6" t="str">
        <f aca="false">IF(W83="BD",X83," ")</f>
        <v> </v>
      </c>
      <c r="AA83" s="6" t="str">
        <f aca="false">IF(W83="BC",X83," ")</f>
        <v> </v>
      </c>
      <c r="AB83" s="6" t="str">
        <f aca="false">IF(W83="CR",X83," ")</f>
        <v> </v>
      </c>
      <c r="AC83" s="6" t="str">
        <f aca="false">IF(W83="W",X83," ")</f>
        <v> </v>
      </c>
      <c r="AD83" s="6" t="str">
        <f aca="false">IF(W83="B",X83," ")</f>
        <v> </v>
      </c>
      <c r="AE83" s="6" t="str">
        <f aca="false">IF(W83="J",X83," ")</f>
        <v> </v>
      </c>
      <c r="AF83" s="6" t="str">
        <f aca="false">IF(W83="LDR",X83," ")</f>
        <v> </v>
      </c>
      <c r="AG83" s="6" t="str">
        <f aca="false">IF(W83="LCR",X83," ")</f>
        <v> </v>
      </c>
      <c r="AH83" s="6" t="str">
        <f aca="false">IF(W83="RP",X83," ")</f>
        <v> </v>
      </c>
      <c r="AI83" s="6" t="str">
        <f aca="false">IF(W83="RV",X83," ")</f>
        <v> </v>
      </c>
      <c r="AJ83" s="6" t="str">
        <f aca="false">IF(W83="RC",X83," ")</f>
        <v> </v>
      </c>
      <c r="AK83" s="6" t="str">
        <f aca="false">IF(W83="RT",X83," ")</f>
        <v> </v>
      </c>
      <c r="AL83" s="6" t="str">
        <f aca="false">IF(W83="DV",X83," ")</f>
        <v> </v>
      </c>
      <c r="AM83" s="6" t="str">
        <f aca="false">IF(W83="DL",X83," ")</f>
        <v> </v>
      </c>
      <c r="AN83" s="6" t="str">
        <f aca="false">IF(W83="X",X83," ")</f>
        <v> </v>
      </c>
    </row>
    <row r="84" customFormat="false" ht="12" hidden="false" customHeight="false" outlineLevel="0" collapsed="false">
      <c r="E84" s="5" t="str">
        <f aca="false">IF(F84&lt;&gt;0,"Enter Code"," ")</f>
        <v> </v>
      </c>
      <c r="G84" s="6" t="str">
        <f aca="false">IF(E84="BB",F84," ")</f>
        <v> </v>
      </c>
      <c r="H84" s="6" t="str">
        <f aca="false">IF(E84="BD",F84," ")</f>
        <v> </v>
      </c>
      <c r="I84" s="6" t="str">
        <f aca="false">IF(E84="BC",F84," ")</f>
        <v> </v>
      </c>
      <c r="J84" s="6" t="str">
        <f aca="false">IF(E84="DR",F84," ")</f>
        <v> </v>
      </c>
      <c r="K84" s="6" t="str">
        <f aca="false">IF(E84="K",F84," ")</f>
        <v> </v>
      </c>
      <c r="L84" s="6" t="str">
        <f aca="false">IF(E84="LDR",F84," ")</f>
        <v> </v>
      </c>
      <c r="M84" s="6" t="str">
        <f aca="false">IF(E84="LCR",F84," ")</f>
        <v> </v>
      </c>
      <c r="N84" s="6" t="str">
        <f aca="false">IF(E84="RV",F84," ")</f>
        <v> </v>
      </c>
      <c r="O84" s="6" t="str">
        <f aca="false">IF(E84="RC",F84," ")</f>
        <v> </v>
      </c>
      <c r="P84" s="6" t="str">
        <f aca="false">IF(E84="DL",F84," ")</f>
        <v> </v>
      </c>
      <c r="Q84" s="6" t="str">
        <f aca="false">IF(E84="X",F84," ")</f>
        <v> </v>
      </c>
      <c r="R84" s="37"/>
      <c r="W84" s="6" t="str">
        <f aca="false">IF(X84&lt;&gt;0,"Enter Code"," ")</f>
        <v> </v>
      </c>
      <c r="Y84" s="6" t="str">
        <f aca="false">IF(W84="BB",X84," ")</f>
        <v> </v>
      </c>
      <c r="Z84" s="6" t="str">
        <f aca="false">IF(W84="BD",X84," ")</f>
        <v> </v>
      </c>
      <c r="AA84" s="6" t="str">
        <f aca="false">IF(W84="BC",X84," ")</f>
        <v> </v>
      </c>
      <c r="AB84" s="6" t="str">
        <f aca="false">IF(W84="CR",X84," ")</f>
        <v> </v>
      </c>
      <c r="AC84" s="6" t="str">
        <f aca="false">IF(W84="W",X84," ")</f>
        <v> </v>
      </c>
      <c r="AD84" s="6" t="str">
        <f aca="false">IF(W84="B",X84," ")</f>
        <v> </v>
      </c>
      <c r="AE84" s="6" t="str">
        <f aca="false">IF(W84="J",X84," ")</f>
        <v> </v>
      </c>
      <c r="AF84" s="6" t="str">
        <f aca="false">IF(W84="LDR",X84," ")</f>
        <v> </v>
      </c>
      <c r="AG84" s="6" t="str">
        <f aca="false">IF(W84="LCR",X84," ")</f>
        <v> </v>
      </c>
      <c r="AH84" s="6" t="str">
        <f aca="false">IF(W84="RP",X84," ")</f>
        <v> </v>
      </c>
      <c r="AI84" s="6" t="str">
        <f aca="false">IF(W84="RV",X84," ")</f>
        <v> </v>
      </c>
      <c r="AJ84" s="6" t="str">
        <f aca="false">IF(W84="RC",X84," ")</f>
        <v> </v>
      </c>
      <c r="AK84" s="6" t="str">
        <f aca="false">IF(W84="RT",X84," ")</f>
        <v> </v>
      </c>
      <c r="AL84" s="6" t="str">
        <f aca="false">IF(W84="DV",X84," ")</f>
        <v> </v>
      </c>
      <c r="AM84" s="6" t="str">
        <f aca="false">IF(W84="DL",X84," ")</f>
        <v> </v>
      </c>
      <c r="AN84" s="6" t="str">
        <f aca="false">IF(W84="X",X84," ")</f>
        <v> </v>
      </c>
    </row>
    <row r="85" customFormat="false" ht="12" hidden="false" customHeight="false" outlineLevel="0" collapsed="false">
      <c r="E85" s="5" t="str">
        <f aca="false">IF(F85&lt;&gt;0,"Enter Code"," ")</f>
        <v> </v>
      </c>
      <c r="G85" s="6" t="str">
        <f aca="false">IF(E85="BB",F85," ")</f>
        <v> </v>
      </c>
      <c r="H85" s="6" t="str">
        <f aca="false">IF(E85="BD",F85," ")</f>
        <v> </v>
      </c>
      <c r="I85" s="6" t="str">
        <f aca="false">IF(E85="BC",F85," ")</f>
        <v> </v>
      </c>
      <c r="J85" s="6" t="str">
        <f aca="false">IF(E85="DR",F85," ")</f>
        <v> </v>
      </c>
      <c r="K85" s="6" t="str">
        <f aca="false">IF(E85="K",F85," ")</f>
        <v> </v>
      </c>
      <c r="L85" s="6" t="str">
        <f aca="false">IF(E85="LDR",F85," ")</f>
        <v> </v>
      </c>
      <c r="M85" s="6" t="str">
        <f aca="false">IF(E85="LCR",F85," ")</f>
        <v> </v>
      </c>
      <c r="N85" s="6" t="str">
        <f aca="false">IF(E85="RV",F85," ")</f>
        <v> </v>
      </c>
      <c r="O85" s="6" t="str">
        <f aca="false">IF(E85="RC",F85," ")</f>
        <v> </v>
      </c>
      <c r="P85" s="6" t="str">
        <f aca="false">IF(E85="DL",F85," ")</f>
        <v> </v>
      </c>
      <c r="Q85" s="6" t="str">
        <f aca="false">IF(E85="X",F85," ")</f>
        <v> </v>
      </c>
      <c r="R85" s="37"/>
      <c r="W85" s="6" t="str">
        <f aca="false">IF(X85&lt;&gt;0,"Enter Code"," ")</f>
        <v> </v>
      </c>
      <c r="Y85" s="6" t="str">
        <f aca="false">IF(W85="BB",X85," ")</f>
        <v> </v>
      </c>
      <c r="Z85" s="6" t="str">
        <f aca="false">IF(W85="BD",X85," ")</f>
        <v> </v>
      </c>
      <c r="AA85" s="6" t="str">
        <f aca="false">IF(W85="BC",X85," ")</f>
        <v> </v>
      </c>
      <c r="AB85" s="6" t="str">
        <f aca="false">IF(W85="CR",X85," ")</f>
        <v> </v>
      </c>
      <c r="AC85" s="6" t="str">
        <f aca="false">IF(W85="W",X85," ")</f>
        <v> </v>
      </c>
      <c r="AD85" s="6" t="str">
        <f aca="false">IF(W85="B",X85," ")</f>
        <v> </v>
      </c>
      <c r="AE85" s="6" t="str">
        <f aca="false">IF(W85="J",X85," ")</f>
        <v> </v>
      </c>
      <c r="AF85" s="6" t="str">
        <f aca="false">IF(W85="LDR",X85," ")</f>
        <v> </v>
      </c>
      <c r="AG85" s="6" t="str">
        <f aca="false">IF(W85="LCR",X85," ")</f>
        <v> </v>
      </c>
      <c r="AH85" s="6" t="str">
        <f aca="false">IF(W85="RP",X85," ")</f>
        <v> </v>
      </c>
      <c r="AI85" s="6" t="str">
        <f aca="false">IF(W85="RV",X85," ")</f>
        <v> </v>
      </c>
      <c r="AJ85" s="6" t="str">
        <f aca="false">IF(W85="RC",X85," ")</f>
        <v> </v>
      </c>
      <c r="AK85" s="6" t="str">
        <f aca="false">IF(W85="RT",X85," ")</f>
        <v> </v>
      </c>
      <c r="AL85" s="6" t="str">
        <f aca="false">IF(W85="DV",X85," ")</f>
        <v> </v>
      </c>
      <c r="AM85" s="6" t="str">
        <f aca="false">IF(W85="DL",X85," ")</f>
        <v> </v>
      </c>
      <c r="AN85" s="6" t="str">
        <f aca="false">IF(W85="X",X85," ")</f>
        <v> </v>
      </c>
    </row>
    <row r="86" customFormat="false" ht="12" hidden="false" customHeight="false" outlineLevel="0" collapsed="false">
      <c r="E86" s="5" t="str">
        <f aca="false">IF(F86&lt;&gt;0,"Enter Code"," ")</f>
        <v> </v>
      </c>
      <c r="G86" s="6" t="str">
        <f aca="false">IF(E86="BB",F86," ")</f>
        <v> </v>
      </c>
      <c r="H86" s="6" t="str">
        <f aca="false">IF(E86="BD",F86," ")</f>
        <v> </v>
      </c>
      <c r="I86" s="6" t="str">
        <f aca="false">IF(E86="BC",F86," ")</f>
        <v> </v>
      </c>
      <c r="J86" s="6" t="str">
        <f aca="false">IF(E86="DR",F86," ")</f>
        <v> </v>
      </c>
      <c r="K86" s="6" t="str">
        <f aca="false">IF(E86="K",F86," ")</f>
        <v> </v>
      </c>
      <c r="L86" s="6" t="str">
        <f aca="false">IF(E86="LDR",F86," ")</f>
        <v> </v>
      </c>
      <c r="M86" s="6" t="str">
        <f aca="false">IF(E86="LCR",F86," ")</f>
        <v> </v>
      </c>
      <c r="N86" s="6" t="str">
        <f aca="false">IF(E86="RV",F86," ")</f>
        <v> </v>
      </c>
      <c r="O86" s="6" t="str">
        <f aca="false">IF(E86="RC",F86," ")</f>
        <v> </v>
      </c>
      <c r="P86" s="6" t="str">
        <f aca="false">IF(E86="DL",F86," ")</f>
        <v> </v>
      </c>
      <c r="Q86" s="6" t="str">
        <f aca="false">IF(E86="X",F86," ")</f>
        <v> </v>
      </c>
      <c r="R86" s="37"/>
      <c r="W86" s="6" t="str">
        <f aca="false">IF(X86&lt;&gt;0,"Enter Code"," ")</f>
        <v> </v>
      </c>
      <c r="Y86" s="6" t="str">
        <f aca="false">IF(W86="BB",X86," ")</f>
        <v> </v>
      </c>
      <c r="Z86" s="6" t="str">
        <f aca="false">IF(W86="BD",X86," ")</f>
        <v> </v>
      </c>
      <c r="AA86" s="6" t="str">
        <f aca="false">IF(W86="BC",X86," ")</f>
        <v> </v>
      </c>
      <c r="AB86" s="6" t="str">
        <f aca="false">IF(W86="CR",X86," ")</f>
        <v> </v>
      </c>
      <c r="AC86" s="6" t="str">
        <f aca="false">IF(W86="W",X86," ")</f>
        <v> </v>
      </c>
      <c r="AD86" s="6" t="str">
        <f aca="false">IF(W86="B",X86," ")</f>
        <v> </v>
      </c>
      <c r="AE86" s="6" t="str">
        <f aca="false">IF(W86="J",X86," ")</f>
        <v> </v>
      </c>
      <c r="AF86" s="6" t="str">
        <f aca="false">IF(W86="LDR",X86," ")</f>
        <v> </v>
      </c>
      <c r="AG86" s="6" t="str">
        <f aca="false">IF(W86="LCR",X86," ")</f>
        <v> </v>
      </c>
      <c r="AH86" s="6" t="str">
        <f aca="false">IF(W86="RP",X86," ")</f>
        <v> </v>
      </c>
      <c r="AI86" s="6" t="str">
        <f aca="false">IF(W86="RV",X86," ")</f>
        <v> </v>
      </c>
      <c r="AJ86" s="6" t="str">
        <f aca="false">IF(W86="RC",X86," ")</f>
        <v> </v>
      </c>
      <c r="AK86" s="6" t="str">
        <f aca="false">IF(W86="RT",X86," ")</f>
        <v> </v>
      </c>
      <c r="AL86" s="6" t="str">
        <f aca="false">IF(W86="DV",X86," ")</f>
        <v> </v>
      </c>
      <c r="AM86" s="6" t="str">
        <f aca="false">IF(W86="DL",X86," ")</f>
        <v> </v>
      </c>
      <c r="AN86" s="6" t="str">
        <f aca="false">IF(W86="X",X86," ")</f>
        <v> </v>
      </c>
    </row>
    <row r="87" customFormat="false" ht="12" hidden="false" customHeight="false" outlineLevel="0" collapsed="false">
      <c r="E87" s="5" t="str">
        <f aca="false">IF(F87&lt;&gt;0,"Enter Code"," ")</f>
        <v> </v>
      </c>
      <c r="G87" s="6" t="str">
        <f aca="false">IF(E87="BB",F87," ")</f>
        <v> </v>
      </c>
      <c r="H87" s="6" t="str">
        <f aca="false">IF(E87="BD",F87," ")</f>
        <v> </v>
      </c>
      <c r="I87" s="6" t="str">
        <f aca="false">IF(E87="BC",F87," ")</f>
        <v> </v>
      </c>
      <c r="J87" s="6" t="str">
        <f aca="false">IF(E87="DR",F87," ")</f>
        <v> </v>
      </c>
      <c r="K87" s="6" t="str">
        <f aca="false">IF(E87="K",F87," ")</f>
        <v> </v>
      </c>
      <c r="L87" s="6" t="str">
        <f aca="false">IF(E87="LDR",F87," ")</f>
        <v> </v>
      </c>
      <c r="M87" s="6" t="str">
        <f aca="false">IF(E87="LCR",F87," ")</f>
        <v> </v>
      </c>
      <c r="N87" s="6" t="str">
        <f aca="false">IF(E87="RV",F87," ")</f>
        <v> </v>
      </c>
      <c r="O87" s="6" t="str">
        <f aca="false">IF(E87="RC",F87," ")</f>
        <v> </v>
      </c>
      <c r="P87" s="6" t="str">
        <f aca="false">IF(E87="DL",F87," ")</f>
        <v> </v>
      </c>
      <c r="Q87" s="6" t="str">
        <f aca="false">IF(E87="X",F87," ")</f>
        <v> </v>
      </c>
      <c r="R87" s="37"/>
      <c r="W87" s="6" t="str">
        <f aca="false">IF(X87&lt;&gt;0,"Enter Code"," ")</f>
        <v> </v>
      </c>
      <c r="Y87" s="6" t="str">
        <f aca="false">IF(W87="BB",X87," ")</f>
        <v> </v>
      </c>
      <c r="Z87" s="6" t="str">
        <f aca="false">IF(W87="BD",X87," ")</f>
        <v> </v>
      </c>
      <c r="AA87" s="6" t="str">
        <f aca="false">IF(W87="BC",X87," ")</f>
        <v> </v>
      </c>
      <c r="AB87" s="6" t="str">
        <f aca="false">IF(W87="CR",X87," ")</f>
        <v> </v>
      </c>
      <c r="AC87" s="6" t="str">
        <f aca="false">IF(W87="W",X87," ")</f>
        <v> </v>
      </c>
      <c r="AD87" s="6" t="str">
        <f aca="false">IF(W87="B",X87," ")</f>
        <v> </v>
      </c>
      <c r="AE87" s="6" t="str">
        <f aca="false">IF(W87="J",X87," ")</f>
        <v> </v>
      </c>
      <c r="AF87" s="6" t="str">
        <f aca="false">IF(W87="LDR",X87," ")</f>
        <v> </v>
      </c>
      <c r="AG87" s="6" t="str">
        <f aca="false">IF(W87="LCR",X87," ")</f>
        <v> </v>
      </c>
      <c r="AH87" s="6" t="str">
        <f aca="false">IF(W87="RP",X87," ")</f>
        <v> </v>
      </c>
      <c r="AI87" s="6" t="str">
        <f aca="false">IF(W87="RV",X87," ")</f>
        <v> </v>
      </c>
      <c r="AJ87" s="6" t="str">
        <f aca="false">IF(W87="RC",X87," ")</f>
        <v> </v>
      </c>
      <c r="AK87" s="6" t="str">
        <f aca="false">IF(W87="RT",X87," ")</f>
        <v> </v>
      </c>
      <c r="AL87" s="6" t="str">
        <f aca="false">IF(W87="DV",X87," ")</f>
        <v> </v>
      </c>
      <c r="AM87" s="6" t="str">
        <f aca="false">IF(W87="DL",X87," ")</f>
        <v> </v>
      </c>
      <c r="AN87" s="6" t="str">
        <f aca="false">IF(W87="X",X87," ")</f>
        <v> </v>
      </c>
    </row>
    <row r="88" customFormat="false" ht="12" hidden="false" customHeight="false" outlineLevel="0" collapsed="false">
      <c r="E88" s="5" t="str">
        <f aca="false">IF(F88&lt;&gt;0,"Enter Code"," ")</f>
        <v> </v>
      </c>
      <c r="G88" s="6" t="str">
        <f aca="false">IF(E88="BB",F88," ")</f>
        <v> </v>
      </c>
      <c r="H88" s="6" t="str">
        <f aca="false">IF(E88="BD",F88," ")</f>
        <v> </v>
      </c>
      <c r="I88" s="6" t="str">
        <f aca="false">IF(E88="BC",F88," ")</f>
        <v> </v>
      </c>
      <c r="J88" s="6" t="str">
        <f aca="false">IF(E88="DR",F88," ")</f>
        <v> </v>
      </c>
      <c r="K88" s="6" t="str">
        <f aca="false">IF(E88="K",F88," ")</f>
        <v> </v>
      </c>
      <c r="L88" s="6" t="str">
        <f aca="false">IF(E88="LDR",F88," ")</f>
        <v> </v>
      </c>
      <c r="M88" s="6" t="str">
        <f aca="false">IF(E88="LCR",F88," ")</f>
        <v> </v>
      </c>
      <c r="N88" s="6" t="str">
        <f aca="false">IF(E88="RV",F88," ")</f>
        <v> </v>
      </c>
      <c r="O88" s="6" t="str">
        <f aca="false">IF(E88="RC",F88," ")</f>
        <v> </v>
      </c>
      <c r="P88" s="6" t="str">
        <f aca="false">IF(E88="DL",F88," ")</f>
        <v> </v>
      </c>
      <c r="Q88" s="6" t="str">
        <f aca="false">IF(E88="X",F88," ")</f>
        <v> </v>
      </c>
      <c r="R88" s="37"/>
      <c r="W88" s="6" t="str">
        <f aca="false">IF(X88&lt;&gt;0,"Enter Code"," ")</f>
        <v> </v>
      </c>
      <c r="Y88" s="6" t="str">
        <f aca="false">IF(W88="BB",X88," ")</f>
        <v> </v>
      </c>
      <c r="Z88" s="6" t="str">
        <f aca="false">IF(W88="BD",X88," ")</f>
        <v> </v>
      </c>
      <c r="AA88" s="6" t="str">
        <f aca="false">IF(W88="BC",X88," ")</f>
        <v> </v>
      </c>
      <c r="AB88" s="6" t="str">
        <f aca="false">IF(W88="CR",X88," ")</f>
        <v> </v>
      </c>
      <c r="AC88" s="6" t="str">
        <f aca="false">IF(W88="W",X88," ")</f>
        <v> </v>
      </c>
      <c r="AD88" s="6" t="str">
        <f aca="false">IF(W88="B",X88," ")</f>
        <v> </v>
      </c>
      <c r="AE88" s="6" t="str">
        <f aca="false">IF(W88="J",X88," ")</f>
        <v> </v>
      </c>
      <c r="AF88" s="6" t="str">
        <f aca="false">IF(W88="LDR",X88," ")</f>
        <v> </v>
      </c>
      <c r="AG88" s="6" t="str">
        <f aca="false">IF(W88="LCR",X88," ")</f>
        <v> </v>
      </c>
      <c r="AH88" s="6" t="str">
        <f aca="false">IF(W88="RP",X88," ")</f>
        <v> </v>
      </c>
      <c r="AI88" s="6" t="str">
        <f aca="false">IF(W88="RV",X88," ")</f>
        <v> </v>
      </c>
      <c r="AJ88" s="6" t="str">
        <f aca="false">IF(W88="RC",X88," ")</f>
        <v> </v>
      </c>
      <c r="AK88" s="6" t="str">
        <f aca="false">IF(W88="RT",X88," ")</f>
        <v> </v>
      </c>
      <c r="AL88" s="6" t="str">
        <f aca="false">IF(W88="DV",X88," ")</f>
        <v> </v>
      </c>
      <c r="AM88" s="6" t="str">
        <f aca="false">IF(W88="DL",X88," ")</f>
        <v> </v>
      </c>
      <c r="AN88" s="6" t="str">
        <f aca="false">IF(W88="X",X88," ")</f>
        <v> </v>
      </c>
    </row>
    <row r="89" customFormat="false" ht="12" hidden="false" customHeight="false" outlineLevel="0" collapsed="false">
      <c r="E89" s="5" t="str">
        <f aca="false">IF(F89&lt;&gt;0,"Enter Code"," ")</f>
        <v> </v>
      </c>
      <c r="G89" s="6" t="str">
        <f aca="false">IF(E89="BB",F89," ")</f>
        <v> </v>
      </c>
      <c r="H89" s="6" t="str">
        <f aca="false">IF(E89="BD",F89," ")</f>
        <v> </v>
      </c>
      <c r="I89" s="6" t="str">
        <f aca="false">IF(E89="BC",F89," ")</f>
        <v> </v>
      </c>
      <c r="J89" s="6" t="str">
        <f aca="false">IF(E89="DR",F89," ")</f>
        <v> </v>
      </c>
      <c r="K89" s="6" t="str">
        <f aca="false">IF(E89="K",F89," ")</f>
        <v> </v>
      </c>
      <c r="L89" s="6" t="str">
        <f aca="false">IF(E89="LDR",F89," ")</f>
        <v> </v>
      </c>
      <c r="M89" s="6" t="str">
        <f aca="false">IF(E89="LCR",F89," ")</f>
        <v> </v>
      </c>
      <c r="N89" s="6" t="str">
        <f aca="false">IF(E89="RV",F89," ")</f>
        <v> </v>
      </c>
      <c r="O89" s="6" t="str">
        <f aca="false">IF(E89="RC",F89," ")</f>
        <v> </v>
      </c>
      <c r="P89" s="6" t="str">
        <f aca="false">IF(E89="DL",F89," ")</f>
        <v> </v>
      </c>
      <c r="Q89" s="6" t="str">
        <f aca="false">IF(E89="X",F89," ")</f>
        <v> </v>
      </c>
      <c r="R89" s="37"/>
      <c r="W89" s="6" t="str">
        <f aca="false">IF(X89&lt;&gt;0,"Enter Code"," ")</f>
        <v> </v>
      </c>
      <c r="Y89" s="6" t="str">
        <f aca="false">IF(W89="BB",X89," ")</f>
        <v> </v>
      </c>
      <c r="Z89" s="6" t="str">
        <f aca="false">IF(W89="BD",X89," ")</f>
        <v> </v>
      </c>
      <c r="AA89" s="6" t="str">
        <f aca="false">IF(W89="BC",X89," ")</f>
        <v> </v>
      </c>
      <c r="AB89" s="6" t="str">
        <f aca="false">IF(W89="CR",X89," ")</f>
        <v> </v>
      </c>
      <c r="AC89" s="6" t="str">
        <f aca="false">IF(W89="W",X89," ")</f>
        <v> </v>
      </c>
      <c r="AD89" s="6" t="str">
        <f aca="false">IF(W89="B",X89," ")</f>
        <v> </v>
      </c>
      <c r="AE89" s="6" t="str">
        <f aca="false">IF(W89="J",X89," ")</f>
        <v> </v>
      </c>
      <c r="AF89" s="6" t="str">
        <f aca="false">IF(W89="LDR",X89," ")</f>
        <v> </v>
      </c>
      <c r="AG89" s="6" t="str">
        <f aca="false">IF(W89="LCR",X89," ")</f>
        <v> </v>
      </c>
      <c r="AH89" s="6" t="str">
        <f aca="false">IF(W89="RP",X89," ")</f>
        <v> </v>
      </c>
      <c r="AI89" s="6" t="str">
        <f aca="false">IF(W89="RV",X89," ")</f>
        <v> </v>
      </c>
      <c r="AJ89" s="6" t="str">
        <f aca="false">IF(W89="RC",X89," ")</f>
        <v> </v>
      </c>
      <c r="AK89" s="6" t="str">
        <f aca="false">IF(W89="RT",X89," ")</f>
        <v> </v>
      </c>
      <c r="AL89" s="6" t="str">
        <f aca="false">IF(W89="DV",X89," ")</f>
        <v> </v>
      </c>
      <c r="AM89" s="6" t="str">
        <f aca="false">IF(W89="DL",X89," ")</f>
        <v> </v>
      </c>
      <c r="AN89" s="6" t="str">
        <f aca="false">IF(W89="X",X89," ")</f>
        <v> </v>
      </c>
    </row>
    <row r="90" customFormat="false" ht="12" hidden="false" customHeight="false" outlineLevel="0" collapsed="false">
      <c r="E90" s="5" t="str">
        <f aca="false">IF(F90&lt;&gt;0,"Enter Code"," ")</f>
        <v> </v>
      </c>
      <c r="G90" s="6" t="str">
        <f aca="false">IF(E90="BB",F90," ")</f>
        <v> </v>
      </c>
      <c r="H90" s="6" t="str">
        <f aca="false">IF(E90="BD",F90," ")</f>
        <v> </v>
      </c>
      <c r="I90" s="6" t="str">
        <f aca="false">IF(E90="BC",F90," ")</f>
        <v> </v>
      </c>
      <c r="J90" s="6" t="str">
        <f aca="false">IF(E90="DR",F90," ")</f>
        <v> </v>
      </c>
      <c r="K90" s="6" t="str">
        <f aca="false">IF(E90="K",F90," ")</f>
        <v> </v>
      </c>
      <c r="L90" s="6" t="str">
        <f aca="false">IF(E90="LDR",F90," ")</f>
        <v> </v>
      </c>
      <c r="M90" s="6" t="str">
        <f aca="false">IF(E90="LCR",F90," ")</f>
        <v> </v>
      </c>
      <c r="N90" s="6" t="str">
        <f aca="false">IF(E90="RV",F90," ")</f>
        <v> </v>
      </c>
      <c r="O90" s="6" t="str">
        <f aca="false">IF(E90="RC",F90," ")</f>
        <v> </v>
      </c>
      <c r="P90" s="6" t="str">
        <f aca="false">IF(E90="DL",F90," ")</f>
        <v> </v>
      </c>
      <c r="Q90" s="6" t="str">
        <f aca="false">IF(E90="X",F90," ")</f>
        <v> </v>
      </c>
      <c r="R90" s="37"/>
      <c r="W90" s="6" t="str">
        <f aca="false">IF(X90&lt;&gt;0,"Enter Code"," ")</f>
        <v> </v>
      </c>
      <c r="Y90" s="6" t="str">
        <f aca="false">IF(W90="BB",X90," ")</f>
        <v> </v>
      </c>
      <c r="Z90" s="6" t="str">
        <f aca="false">IF(W90="BD",X90," ")</f>
        <v> </v>
      </c>
      <c r="AA90" s="6" t="str">
        <f aca="false">IF(W90="BC",X90," ")</f>
        <v> </v>
      </c>
      <c r="AB90" s="6" t="str">
        <f aca="false">IF(W90="CR",X90," ")</f>
        <v> </v>
      </c>
      <c r="AC90" s="6" t="str">
        <f aca="false">IF(W90="W",X90," ")</f>
        <v> </v>
      </c>
      <c r="AD90" s="6" t="str">
        <f aca="false">IF(W90="B",X90," ")</f>
        <v> </v>
      </c>
      <c r="AE90" s="6" t="str">
        <f aca="false">IF(W90="J",X90," ")</f>
        <v> </v>
      </c>
      <c r="AF90" s="6" t="str">
        <f aca="false">IF(W90="LDR",X90," ")</f>
        <v> </v>
      </c>
      <c r="AG90" s="6" t="str">
        <f aca="false">IF(W90="LCR",X90," ")</f>
        <v> </v>
      </c>
      <c r="AH90" s="6" t="str">
        <f aca="false">IF(W90="RP",X90," ")</f>
        <v> </v>
      </c>
      <c r="AI90" s="6" t="str">
        <f aca="false">IF(W90="RV",X90," ")</f>
        <v> </v>
      </c>
      <c r="AJ90" s="6" t="str">
        <f aca="false">IF(W90="RC",X90," ")</f>
        <v> </v>
      </c>
      <c r="AK90" s="6" t="str">
        <f aca="false">IF(W90="RT",X90," ")</f>
        <v> </v>
      </c>
      <c r="AL90" s="6" t="str">
        <f aca="false">IF(W90="DV",X90," ")</f>
        <v> </v>
      </c>
      <c r="AM90" s="6" t="str">
        <f aca="false">IF(W90="DL",X90," ")</f>
        <v> </v>
      </c>
      <c r="AN90" s="6" t="str">
        <f aca="false">IF(W90="X",X90," ")</f>
        <v> </v>
      </c>
    </row>
    <row r="91" customFormat="false" ht="12" hidden="false" customHeight="false" outlineLevel="0" collapsed="false">
      <c r="E91" s="5" t="str">
        <f aca="false">IF(F91&lt;&gt;0,"Enter Code"," ")</f>
        <v> </v>
      </c>
      <c r="G91" s="6" t="str">
        <f aca="false">IF(E91="BB",F91," ")</f>
        <v> </v>
      </c>
      <c r="H91" s="6" t="str">
        <f aca="false">IF(E91="BD",F91," ")</f>
        <v> </v>
      </c>
      <c r="I91" s="6" t="str">
        <f aca="false">IF(E91="BC",F91," ")</f>
        <v> </v>
      </c>
      <c r="J91" s="6" t="str">
        <f aca="false">IF(E91="DR",F91," ")</f>
        <v> </v>
      </c>
      <c r="K91" s="6" t="str">
        <f aca="false">IF(E91="K",F91," ")</f>
        <v> </v>
      </c>
      <c r="L91" s="6" t="str">
        <f aca="false">IF(E91="LDR",F91," ")</f>
        <v> </v>
      </c>
      <c r="M91" s="6" t="str">
        <f aca="false">IF(E91="LCR",F91," ")</f>
        <v> </v>
      </c>
      <c r="N91" s="6" t="str">
        <f aca="false">IF(E91="RV",F91," ")</f>
        <v> </v>
      </c>
      <c r="O91" s="6" t="str">
        <f aca="false">IF(E91="RC",F91," ")</f>
        <v> </v>
      </c>
      <c r="P91" s="6" t="str">
        <f aca="false">IF(E91="DL",F91," ")</f>
        <v> </v>
      </c>
      <c r="Q91" s="6" t="str">
        <f aca="false">IF(E91="X",F91," ")</f>
        <v> </v>
      </c>
      <c r="R91" s="37"/>
      <c r="W91" s="6" t="str">
        <f aca="false">IF(X91&lt;&gt;0,"Enter Code"," ")</f>
        <v> </v>
      </c>
      <c r="Y91" s="6" t="str">
        <f aca="false">IF(W91="BB",X91," ")</f>
        <v> </v>
      </c>
      <c r="Z91" s="6" t="str">
        <f aca="false">IF(W91="BD",X91," ")</f>
        <v> </v>
      </c>
      <c r="AA91" s="6" t="str">
        <f aca="false">IF(W91="BC",X91," ")</f>
        <v> </v>
      </c>
      <c r="AB91" s="6" t="str">
        <f aca="false">IF(W91="CR",X91," ")</f>
        <v> </v>
      </c>
      <c r="AC91" s="6" t="str">
        <f aca="false">IF(W91="W",X91," ")</f>
        <v> </v>
      </c>
      <c r="AD91" s="6" t="str">
        <f aca="false">IF(W91="B",X91," ")</f>
        <v> </v>
      </c>
      <c r="AE91" s="6" t="str">
        <f aca="false">IF(W91="J",X91," ")</f>
        <v> </v>
      </c>
      <c r="AF91" s="6" t="str">
        <f aca="false">IF(W91="LDR",X91," ")</f>
        <v> </v>
      </c>
      <c r="AG91" s="6" t="str">
        <f aca="false">IF(W91="LCR",X91," ")</f>
        <v> </v>
      </c>
      <c r="AH91" s="6" t="str">
        <f aca="false">IF(W91="RP",X91," ")</f>
        <v> </v>
      </c>
      <c r="AI91" s="6" t="str">
        <f aca="false">IF(W91="RV",X91," ")</f>
        <v> </v>
      </c>
      <c r="AJ91" s="6" t="str">
        <f aca="false">IF(W91="RC",X91," ")</f>
        <v> </v>
      </c>
      <c r="AK91" s="6" t="str">
        <f aca="false">IF(W91="RT",X91," ")</f>
        <v> </v>
      </c>
      <c r="AL91" s="6" t="str">
        <f aca="false">IF(W91="DV",X91," ")</f>
        <v> </v>
      </c>
      <c r="AM91" s="6" t="str">
        <f aca="false">IF(W91="DL",X91," ")</f>
        <v> </v>
      </c>
      <c r="AN91" s="6" t="str">
        <f aca="false">IF(W91="X",X91," ")</f>
        <v> </v>
      </c>
    </row>
    <row r="92" customFormat="false" ht="12" hidden="false" customHeight="false" outlineLevel="0" collapsed="false">
      <c r="E92" s="5" t="str">
        <f aca="false">IF(F92&lt;&gt;0,"Enter Code"," ")</f>
        <v> </v>
      </c>
      <c r="G92" s="6" t="str">
        <f aca="false">IF(E92="BB",F92," ")</f>
        <v> </v>
      </c>
      <c r="H92" s="6" t="str">
        <f aca="false">IF(E92="BD",F92," ")</f>
        <v> </v>
      </c>
      <c r="I92" s="6" t="str">
        <f aca="false">IF(E92="BC",F92," ")</f>
        <v> </v>
      </c>
      <c r="J92" s="6" t="str">
        <f aca="false">IF(E92="DR",F92," ")</f>
        <v> </v>
      </c>
      <c r="K92" s="6" t="str">
        <f aca="false">IF(E92="K",F92," ")</f>
        <v> </v>
      </c>
      <c r="L92" s="6" t="str">
        <f aca="false">IF(E92="LDR",F92," ")</f>
        <v> </v>
      </c>
      <c r="M92" s="6" t="str">
        <f aca="false">IF(E92="LCR",F92," ")</f>
        <v> </v>
      </c>
      <c r="N92" s="6" t="str">
        <f aca="false">IF(E92="RV",F92," ")</f>
        <v> </v>
      </c>
      <c r="O92" s="6" t="str">
        <f aca="false">IF(E92="RC",F92," ")</f>
        <v> </v>
      </c>
      <c r="P92" s="6" t="str">
        <f aca="false">IF(E92="DL",F92," ")</f>
        <v> </v>
      </c>
      <c r="Q92" s="6" t="str">
        <f aca="false">IF(E92="X",F92," ")</f>
        <v> </v>
      </c>
      <c r="R92" s="37"/>
      <c r="W92" s="6" t="str">
        <f aca="false">IF(X92&lt;&gt;0,"Enter Code"," ")</f>
        <v> </v>
      </c>
      <c r="Y92" s="6" t="str">
        <f aca="false">IF(W92="BB",X92," ")</f>
        <v> </v>
      </c>
      <c r="Z92" s="6" t="str">
        <f aca="false">IF(W92="BD",X92," ")</f>
        <v> </v>
      </c>
      <c r="AA92" s="6" t="str">
        <f aca="false">IF(W92="BC",X92," ")</f>
        <v> </v>
      </c>
      <c r="AB92" s="6" t="str">
        <f aca="false">IF(W92="CR",X92," ")</f>
        <v> </v>
      </c>
      <c r="AC92" s="6" t="str">
        <f aca="false">IF(W92="W",X92," ")</f>
        <v> </v>
      </c>
      <c r="AD92" s="6" t="str">
        <f aca="false">IF(W92="B",X92," ")</f>
        <v> </v>
      </c>
      <c r="AE92" s="6" t="str">
        <f aca="false">IF(W92="J",X92," ")</f>
        <v> </v>
      </c>
      <c r="AF92" s="6" t="str">
        <f aca="false">IF(W92="LDR",X92," ")</f>
        <v> </v>
      </c>
      <c r="AG92" s="6" t="str">
        <f aca="false">IF(W92="LCR",X92," ")</f>
        <v> </v>
      </c>
      <c r="AH92" s="6" t="str">
        <f aca="false">IF(W92="RP",X92," ")</f>
        <v> </v>
      </c>
      <c r="AI92" s="6" t="str">
        <f aca="false">IF(W92="RV",X92," ")</f>
        <v> </v>
      </c>
      <c r="AJ92" s="6" t="str">
        <f aca="false">IF(W92="RC",X92," ")</f>
        <v> </v>
      </c>
      <c r="AK92" s="6" t="str">
        <f aca="false">IF(W92="RT",X92," ")</f>
        <v> </v>
      </c>
      <c r="AL92" s="6" t="str">
        <f aca="false">IF(W92="DV",X92," ")</f>
        <v> </v>
      </c>
      <c r="AM92" s="6" t="str">
        <f aca="false">IF(W92="DL",X92," ")</f>
        <v> </v>
      </c>
      <c r="AN92" s="6" t="str">
        <f aca="false">IF(W92="X",X92," ")</f>
        <v> </v>
      </c>
    </row>
    <row r="93" customFormat="false" ht="12" hidden="false" customHeight="false" outlineLevel="0" collapsed="false">
      <c r="E93" s="5" t="str">
        <f aca="false">IF(F93&lt;&gt;0,"Enter Code"," ")</f>
        <v> </v>
      </c>
      <c r="G93" s="6" t="str">
        <f aca="false">IF(E93="BB",F93," ")</f>
        <v> </v>
      </c>
      <c r="H93" s="6" t="str">
        <f aca="false">IF(E93="BD",F93," ")</f>
        <v> </v>
      </c>
      <c r="I93" s="6" t="str">
        <f aca="false">IF(E93="BC",F93," ")</f>
        <v> </v>
      </c>
      <c r="J93" s="6" t="str">
        <f aca="false">IF(E93="DR",F93," ")</f>
        <v> </v>
      </c>
      <c r="K93" s="6" t="str">
        <f aca="false">IF(E93="K",F93," ")</f>
        <v> </v>
      </c>
      <c r="L93" s="6" t="str">
        <f aca="false">IF(E93="LDR",F93," ")</f>
        <v> </v>
      </c>
      <c r="M93" s="6" t="str">
        <f aca="false">IF(E93="LCR",F93," ")</f>
        <v> </v>
      </c>
      <c r="N93" s="6" t="str">
        <f aca="false">IF(E93="RV",F93," ")</f>
        <v> </v>
      </c>
      <c r="O93" s="6" t="str">
        <f aca="false">IF(E93="RC",F93," ")</f>
        <v> </v>
      </c>
      <c r="P93" s="6" t="str">
        <f aca="false">IF(E93="DL",F93," ")</f>
        <v> </v>
      </c>
      <c r="Q93" s="6" t="str">
        <f aca="false">IF(E93="X",F93," ")</f>
        <v> </v>
      </c>
      <c r="R93" s="37"/>
      <c r="W93" s="6" t="str">
        <f aca="false">IF(X93&lt;&gt;0,"Enter Code"," ")</f>
        <v> </v>
      </c>
      <c r="Y93" s="6" t="str">
        <f aca="false">IF(W93="BB",X93," ")</f>
        <v> </v>
      </c>
      <c r="Z93" s="6" t="str">
        <f aca="false">IF(W93="BD",X93," ")</f>
        <v> </v>
      </c>
      <c r="AA93" s="6" t="str">
        <f aca="false">IF(W93="BC",X93," ")</f>
        <v> </v>
      </c>
      <c r="AB93" s="6" t="str">
        <f aca="false">IF(W93="CR",X93," ")</f>
        <v> </v>
      </c>
      <c r="AC93" s="6" t="str">
        <f aca="false">IF(W93="W",X93," ")</f>
        <v> </v>
      </c>
      <c r="AD93" s="6" t="str">
        <f aca="false">IF(W93="B",X93," ")</f>
        <v> </v>
      </c>
      <c r="AE93" s="6" t="str">
        <f aca="false">IF(W93="J",X93," ")</f>
        <v> </v>
      </c>
      <c r="AF93" s="6" t="str">
        <f aca="false">IF(W93="LDR",X93," ")</f>
        <v> </v>
      </c>
      <c r="AG93" s="6" t="str">
        <f aca="false">IF(W93="LCR",X93," ")</f>
        <v> </v>
      </c>
      <c r="AH93" s="6" t="str">
        <f aca="false">IF(W93="RP",X93," ")</f>
        <v> </v>
      </c>
      <c r="AI93" s="6" t="str">
        <f aca="false">IF(W93="RV",X93," ")</f>
        <v> </v>
      </c>
      <c r="AJ93" s="6" t="str">
        <f aca="false">IF(W93="RC",X93," ")</f>
        <v> </v>
      </c>
      <c r="AK93" s="6" t="str">
        <f aca="false">IF(W93="RT",X93," ")</f>
        <v> </v>
      </c>
      <c r="AL93" s="6" t="str">
        <f aca="false">IF(W93="DV",X93," ")</f>
        <v> </v>
      </c>
      <c r="AM93" s="6" t="str">
        <f aca="false">IF(W93="DL",X93," ")</f>
        <v> </v>
      </c>
      <c r="AN93" s="6" t="str">
        <f aca="false">IF(W93="X",X93," ")</f>
        <v> </v>
      </c>
    </row>
    <row r="94" customFormat="false" ht="12" hidden="false" customHeight="false" outlineLevel="0" collapsed="false">
      <c r="E94" s="5" t="str">
        <f aca="false">IF(F94&lt;&gt;0,"Enter Code"," ")</f>
        <v> </v>
      </c>
      <c r="G94" s="6" t="str">
        <f aca="false">IF(E94="BB",F94," ")</f>
        <v> </v>
      </c>
      <c r="H94" s="6" t="str">
        <f aca="false">IF(E94="BD",F94," ")</f>
        <v> </v>
      </c>
      <c r="I94" s="6" t="str">
        <f aca="false">IF(E94="BC",F94," ")</f>
        <v> </v>
      </c>
      <c r="J94" s="6" t="str">
        <f aca="false">IF(E94="DR",F94," ")</f>
        <v> </v>
      </c>
      <c r="K94" s="6" t="str">
        <f aca="false">IF(E94="K",F94," ")</f>
        <v> </v>
      </c>
      <c r="L94" s="6" t="str">
        <f aca="false">IF(E94="LDR",F94," ")</f>
        <v> </v>
      </c>
      <c r="M94" s="6" t="str">
        <f aca="false">IF(E94="LCR",F94," ")</f>
        <v> </v>
      </c>
      <c r="N94" s="6" t="str">
        <f aca="false">IF(E94="RV",F94," ")</f>
        <v> </v>
      </c>
      <c r="O94" s="6" t="str">
        <f aca="false">IF(E94="RC",F94," ")</f>
        <v> </v>
      </c>
      <c r="P94" s="6" t="str">
        <f aca="false">IF(E94="DL",F94," ")</f>
        <v> </v>
      </c>
      <c r="Q94" s="6" t="str">
        <f aca="false">IF(E94="X",F94," ")</f>
        <v> </v>
      </c>
      <c r="R94" s="37"/>
      <c r="W94" s="6" t="str">
        <f aca="false">IF(X94&lt;&gt;0,"Enter Code"," ")</f>
        <v> </v>
      </c>
      <c r="Y94" s="6" t="str">
        <f aca="false">IF(W94="BB",X94," ")</f>
        <v> </v>
      </c>
      <c r="Z94" s="6" t="str">
        <f aca="false">IF(W94="BD",X94," ")</f>
        <v> </v>
      </c>
      <c r="AA94" s="6" t="str">
        <f aca="false">IF(W94="BC",X94," ")</f>
        <v> </v>
      </c>
      <c r="AB94" s="6" t="str">
        <f aca="false">IF(W94="CR",X94," ")</f>
        <v> </v>
      </c>
      <c r="AC94" s="6" t="str">
        <f aca="false">IF(W94="W",X94," ")</f>
        <v> </v>
      </c>
      <c r="AD94" s="6" t="str">
        <f aca="false">IF(W94="B",X94," ")</f>
        <v> </v>
      </c>
      <c r="AE94" s="6" t="str">
        <f aca="false">IF(W94="J",X94," ")</f>
        <v> </v>
      </c>
      <c r="AF94" s="6" t="str">
        <f aca="false">IF(W94="LDR",X94," ")</f>
        <v> </v>
      </c>
      <c r="AG94" s="6" t="str">
        <f aca="false">IF(W94="LCR",X94," ")</f>
        <v> </v>
      </c>
      <c r="AH94" s="6" t="str">
        <f aca="false">IF(W94="RP",X94," ")</f>
        <v> </v>
      </c>
      <c r="AI94" s="6" t="str">
        <f aca="false">IF(W94="RV",X94," ")</f>
        <v> </v>
      </c>
      <c r="AJ94" s="6" t="str">
        <f aca="false">IF(W94="RC",X94," ")</f>
        <v> </v>
      </c>
      <c r="AK94" s="6" t="str">
        <f aca="false">IF(W94="RT",X94," ")</f>
        <v> </v>
      </c>
      <c r="AL94" s="6" t="str">
        <f aca="false">IF(W94="DV",X94," ")</f>
        <v> </v>
      </c>
      <c r="AM94" s="6" t="str">
        <f aca="false">IF(W94="DL",X94," ")</f>
        <v> </v>
      </c>
      <c r="AN94" s="6" t="str">
        <f aca="false">IF(W94="X",X94," ")</f>
        <v> </v>
      </c>
    </row>
    <row r="95" customFormat="false" ht="12" hidden="false" customHeight="false" outlineLevel="0" collapsed="false">
      <c r="E95" s="5" t="str">
        <f aca="false">IF(F95&lt;&gt;0,"Enter Code"," ")</f>
        <v> </v>
      </c>
      <c r="G95" s="6" t="str">
        <f aca="false">IF(E95="BB",F95," ")</f>
        <v> </v>
      </c>
      <c r="H95" s="6" t="str">
        <f aca="false">IF(E95="BD",F95," ")</f>
        <v> </v>
      </c>
      <c r="I95" s="6" t="str">
        <f aca="false">IF(E95="BC",F95," ")</f>
        <v> </v>
      </c>
      <c r="J95" s="6" t="str">
        <f aca="false">IF(E95="DR",F95," ")</f>
        <v> </v>
      </c>
      <c r="K95" s="6" t="str">
        <f aca="false">IF(E95="K",F95," ")</f>
        <v> </v>
      </c>
      <c r="L95" s="6" t="str">
        <f aca="false">IF(E95="LDR",F95," ")</f>
        <v> </v>
      </c>
      <c r="M95" s="6" t="str">
        <f aca="false">IF(E95="LCR",F95," ")</f>
        <v> </v>
      </c>
      <c r="N95" s="6" t="str">
        <f aca="false">IF(E95="RV",F95," ")</f>
        <v> </v>
      </c>
      <c r="O95" s="6" t="str">
        <f aca="false">IF(E95="RC",F95," ")</f>
        <v> </v>
      </c>
      <c r="P95" s="6" t="str">
        <f aca="false">IF(E95="DL",F95," ")</f>
        <v> </v>
      </c>
      <c r="Q95" s="6" t="str">
        <f aca="false">IF(E95="X",F95," ")</f>
        <v> </v>
      </c>
      <c r="R95" s="37"/>
      <c r="W95" s="6" t="str">
        <f aca="false">IF(X95&lt;&gt;0,"Enter Code"," ")</f>
        <v> </v>
      </c>
      <c r="Y95" s="6" t="str">
        <f aca="false">IF(W95="BB",X95," ")</f>
        <v> </v>
      </c>
      <c r="Z95" s="6" t="str">
        <f aca="false">IF(W95="BD",X95," ")</f>
        <v> </v>
      </c>
      <c r="AA95" s="6" t="str">
        <f aca="false">IF(W95="BC",X95," ")</f>
        <v> </v>
      </c>
      <c r="AB95" s="6" t="str">
        <f aca="false">IF(W95="CR",X95," ")</f>
        <v> </v>
      </c>
      <c r="AC95" s="6" t="str">
        <f aca="false">IF(W95="W",X95," ")</f>
        <v> </v>
      </c>
      <c r="AD95" s="6" t="str">
        <f aca="false">IF(W95="B",X95," ")</f>
        <v> </v>
      </c>
      <c r="AE95" s="6" t="str">
        <f aca="false">IF(W95="J",X95," ")</f>
        <v> </v>
      </c>
      <c r="AF95" s="6" t="str">
        <f aca="false">IF(W95="LDR",X95," ")</f>
        <v> </v>
      </c>
      <c r="AG95" s="6" t="str">
        <f aca="false">IF(W95="LCR",X95," ")</f>
        <v> </v>
      </c>
      <c r="AH95" s="6" t="str">
        <f aca="false">IF(W95="RP",X95," ")</f>
        <v> </v>
      </c>
      <c r="AI95" s="6" t="str">
        <f aca="false">IF(W95="RV",X95," ")</f>
        <v> </v>
      </c>
      <c r="AJ95" s="6" t="str">
        <f aca="false">IF(W95="RC",X95," ")</f>
        <v> </v>
      </c>
      <c r="AK95" s="6" t="str">
        <f aca="false">IF(W95="RT",X95," ")</f>
        <v> </v>
      </c>
      <c r="AL95" s="6" t="str">
        <f aca="false">IF(W95="DV",X95," ")</f>
        <v> </v>
      </c>
      <c r="AM95" s="6" t="str">
        <f aca="false">IF(W95="DL",X95," ")</f>
        <v> </v>
      </c>
      <c r="AN95" s="6" t="str">
        <f aca="false">IF(W95="X",X95," ")</f>
        <v> </v>
      </c>
    </row>
    <row r="96" customFormat="false" ht="12" hidden="false" customHeight="false" outlineLevel="0" collapsed="false">
      <c r="E96" s="5" t="str">
        <f aca="false">IF(F96&lt;&gt;0,"Enter Code"," ")</f>
        <v> </v>
      </c>
      <c r="G96" s="6" t="str">
        <f aca="false">IF(E96="BB",F96," ")</f>
        <v> </v>
      </c>
      <c r="H96" s="6" t="str">
        <f aca="false">IF(E96="BD",F96," ")</f>
        <v> </v>
      </c>
      <c r="I96" s="6" t="str">
        <f aca="false">IF(E96="BC",F96," ")</f>
        <v> </v>
      </c>
      <c r="J96" s="6" t="str">
        <f aca="false">IF(E96="DR",F96," ")</f>
        <v> </v>
      </c>
      <c r="K96" s="6" t="str">
        <f aca="false">IF(E96="K",F96," ")</f>
        <v> </v>
      </c>
      <c r="L96" s="6" t="str">
        <f aca="false">IF(E96="LDR",F96," ")</f>
        <v> </v>
      </c>
      <c r="M96" s="6" t="str">
        <f aca="false">IF(E96="LCR",F96," ")</f>
        <v> </v>
      </c>
      <c r="N96" s="6" t="str">
        <f aca="false">IF(E96="RV",F96," ")</f>
        <v> </v>
      </c>
      <c r="O96" s="6" t="str">
        <f aca="false">IF(E96="RC",F96," ")</f>
        <v> </v>
      </c>
      <c r="P96" s="6" t="str">
        <f aca="false">IF(E96="DL",F96," ")</f>
        <v> </v>
      </c>
      <c r="Q96" s="6" t="str">
        <f aca="false">IF(E96="X",F96," ")</f>
        <v> </v>
      </c>
      <c r="R96" s="37"/>
      <c r="W96" s="6" t="str">
        <f aca="false">IF(X96&lt;&gt;0,"Enter Code"," ")</f>
        <v> </v>
      </c>
      <c r="Y96" s="6" t="str">
        <f aca="false">IF(W96="BB",X96," ")</f>
        <v> </v>
      </c>
      <c r="Z96" s="6" t="str">
        <f aca="false">IF(W96="BD",X96," ")</f>
        <v> </v>
      </c>
      <c r="AA96" s="6" t="str">
        <f aca="false">IF(W96="BC",X96," ")</f>
        <v> </v>
      </c>
      <c r="AB96" s="6" t="str">
        <f aca="false">IF(W96="CR",X96," ")</f>
        <v> </v>
      </c>
      <c r="AC96" s="6" t="str">
        <f aca="false">IF(W96="W",X96," ")</f>
        <v> </v>
      </c>
      <c r="AD96" s="6" t="str">
        <f aca="false">IF(W96="B",X96," ")</f>
        <v> </v>
      </c>
      <c r="AE96" s="6" t="str">
        <f aca="false">IF(W96="J",X96," ")</f>
        <v> </v>
      </c>
      <c r="AF96" s="6" t="str">
        <f aca="false">IF(W96="LDR",X96," ")</f>
        <v> </v>
      </c>
      <c r="AG96" s="6" t="str">
        <f aca="false">IF(W96="LCR",X96," ")</f>
        <v> </v>
      </c>
      <c r="AH96" s="6" t="str">
        <f aca="false">IF(W96="RP",X96," ")</f>
        <v> </v>
      </c>
      <c r="AI96" s="6" t="str">
        <f aca="false">IF(W96="RV",X96," ")</f>
        <v> </v>
      </c>
      <c r="AJ96" s="6" t="str">
        <f aca="false">IF(W96="RC",X96," ")</f>
        <v> </v>
      </c>
      <c r="AK96" s="6" t="str">
        <f aca="false">IF(W96="RT",X96," ")</f>
        <v> </v>
      </c>
      <c r="AL96" s="6" t="str">
        <f aca="false">IF(W96="DV",X96," ")</f>
        <v> </v>
      </c>
      <c r="AM96" s="6" t="str">
        <f aca="false">IF(W96="DL",X96," ")</f>
        <v> </v>
      </c>
      <c r="AN96" s="6" t="str">
        <f aca="false">IF(W96="X",X96," ")</f>
        <v> </v>
      </c>
    </row>
    <row r="97" customFormat="false" ht="12" hidden="false" customHeight="false" outlineLevel="0" collapsed="false">
      <c r="E97" s="5" t="str">
        <f aca="false">IF(F97&lt;&gt;0,"Enter Code"," ")</f>
        <v> </v>
      </c>
      <c r="G97" s="6" t="str">
        <f aca="false">IF(E97="BB",F97," ")</f>
        <v> </v>
      </c>
      <c r="H97" s="6" t="str">
        <f aca="false">IF(E97="BD",F97," ")</f>
        <v> </v>
      </c>
      <c r="I97" s="6" t="str">
        <f aca="false">IF(E97="BC",F97," ")</f>
        <v> </v>
      </c>
      <c r="J97" s="6" t="str">
        <f aca="false">IF(E97="DR",F97," ")</f>
        <v> </v>
      </c>
      <c r="K97" s="6" t="str">
        <f aca="false">IF(E97="K",F97," ")</f>
        <v> </v>
      </c>
      <c r="L97" s="6" t="str">
        <f aca="false">IF(E97="LDR",F97," ")</f>
        <v> </v>
      </c>
      <c r="M97" s="6" t="str">
        <f aca="false">IF(E97="LCR",F97," ")</f>
        <v> </v>
      </c>
      <c r="N97" s="6" t="str">
        <f aca="false">IF(E97="RV",F97," ")</f>
        <v> </v>
      </c>
      <c r="O97" s="6" t="str">
        <f aca="false">IF(E97="RC",F97," ")</f>
        <v> </v>
      </c>
      <c r="P97" s="6" t="str">
        <f aca="false">IF(E97="DL",F97," ")</f>
        <v> </v>
      </c>
      <c r="Q97" s="6" t="str">
        <f aca="false">IF(E97="X",F97," ")</f>
        <v> </v>
      </c>
      <c r="R97" s="37"/>
      <c r="W97" s="6" t="str">
        <f aca="false">IF(X97&lt;&gt;0,"Enter Code"," ")</f>
        <v> </v>
      </c>
      <c r="Y97" s="6" t="str">
        <f aca="false">IF(W97="BB",X97," ")</f>
        <v> </v>
      </c>
      <c r="Z97" s="6" t="str">
        <f aca="false">IF(W97="BD",X97," ")</f>
        <v> </v>
      </c>
      <c r="AA97" s="6" t="str">
        <f aca="false">IF(W97="BC",X97," ")</f>
        <v> </v>
      </c>
      <c r="AB97" s="6" t="str">
        <f aca="false">IF(W97="CR",X97," ")</f>
        <v> </v>
      </c>
      <c r="AC97" s="6" t="str">
        <f aca="false">IF(W97="W",X97," ")</f>
        <v> </v>
      </c>
      <c r="AD97" s="6" t="str">
        <f aca="false">IF(W97="B",X97," ")</f>
        <v> </v>
      </c>
      <c r="AE97" s="6" t="str">
        <f aca="false">IF(W97="J",X97," ")</f>
        <v> </v>
      </c>
      <c r="AF97" s="6" t="str">
        <f aca="false">IF(W97="LDR",X97," ")</f>
        <v> </v>
      </c>
      <c r="AG97" s="6" t="str">
        <f aca="false">IF(W97="LCR",X97," ")</f>
        <v> </v>
      </c>
      <c r="AH97" s="6" t="str">
        <f aca="false">IF(W97="RP",X97," ")</f>
        <v> </v>
      </c>
      <c r="AI97" s="6" t="str">
        <f aca="false">IF(W97="RV",X97," ")</f>
        <v> </v>
      </c>
      <c r="AJ97" s="6" t="str">
        <f aca="false">IF(W97="RC",X97," ")</f>
        <v> </v>
      </c>
      <c r="AK97" s="6" t="str">
        <f aca="false">IF(W97="RT",X97," ")</f>
        <v> </v>
      </c>
      <c r="AL97" s="6" t="str">
        <f aca="false">IF(W97="DV",X97," ")</f>
        <v> </v>
      </c>
      <c r="AM97" s="6" t="str">
        <f aca="false">IF(W97="DL",X97," ")</f>
        <v> </v>
      </c>
      <c r="AN97" s="6" t="str">
        <f aca="false">IF(W97="X",X97," ")</f>
        <v> </v>
      </c>
    </row>
    <row r="98" customFormat="false" ht="12" hidden="false" customHeight="false" outlineLevel="0" collapsed="false">
      <c r="E98" s="5" t="str">
        <f aca="false">IF(F98&lt;&gt;0,"Enter Code"," ")</f>
        <v> </v>
      </c>
      <c r="G98" s="6" t="str">
        <f aca="false">IF(E98="BB",F98," ")</f>
        <v> </v>
      </c>
      <c r="H98" s="6" t="str">
        <f aca="false">IF(E98="BD",F98," ")</f>
        <v> </v>
      </c>
      <c r="I98" s="6" t="str">
        <f aca="false">IF(E98="BC",F98," ")</f>
        <v> </v>
      </c>
      <c r="J98" s="6" t="str">
        <f aca="false">IF(E98="DR",F98," ")</f>
        <v> </v>
      </c>
      <c r="K98" s="6" t="str">
        <f aca="false">IF(E98="K",F98," ")</f>
        <v> </v>
      </c>
      <c r="L98" s="6" t="str">
        <f aca="false">IF(E98="LDR",F98," ")</f>
        <v> </v>
      </c>
      <c r="M98" s="6" t="str">
        <f aca="false">IF(E98="LCR",F98," ")</f>
        <v> </v>
      </c>
      <c r="N98" s="6" t="str">
        <f aca="false">IF(E98="RV",F98," ")</f>
        <v> </v>
      </c>
      <c r="O98" s="6" t="str">
        <f aca="false">IF(E98="RC",F98," ")</f>
        <v> </v>
      </c>
      <c r="P98" s="6" t="str">
        <f aca="false">IF(E98="DL",F98," ")</f>
        <v> </v>
      </c>
      <c r="Q98" s="6" t="str">
        <f aca="false">IF(E98="X",F98," ")</f>
        <v> </v>
      </c>
      <c r="R98" s="37"/>
      <c r="W98" s="6" t="str">
        <f aca="false">IF(X98&lt;&gt;0,"Enter Code"," ")</f>
        <v> </v>
      </c>
      <c r="Y98" s="6" t="str">
        <f aca="false">IF(W98="BB",X98," ")</f>
        <v> </v>
      </c>
      <c r="Z98" s="6" t="str">
        <f aca="false">IF(W98="BD",X98," ")</f>
        <v> </v>
      </c>
      <c r="AA98" s="6" t="str">
        <f aca="false">IF(W98="BC",X98," ")</f>
        <v> </v>
      </c>
      <c r="AB98" s="6" t="str">
        <f aca="false">IF(W98="CR",X98," ")</f>
        <v> </v>
      </c>
      <c r="AC98" s="6" t="str">
        <f aca="false">IF(W98="W",X98," ")</f>
        <v> </v>
      </c>
      <c r="AD98" s="6" t="str">
        <f aca="false">IF(W98="B",X98," ")</f>
        <v> </v>
      </c>
      <c r="AE98" s="6" t="str">
        <f aca="false">IF(W98="J",X98," ")</f>
        <v> </v>
      </c>
      <c r="AF98" s="6" t="str">
        <f aca="false">IF(W98="LDR",X98," ")</f>
        <v> </v>
      </c>
      <c r="AG98" s="6" t="str">
        <f aca="false">IF(W98="LCR",X98," ")</f>
        <v> </v>
      </c>
      <c r="AH98" s="6" t="str">
        <f aca="false">IF(W98="RP",X98," ")</f>
        <v> </v>
      </c>
      <c r="AI98" s="6" t="str">
        <f aca="false">IF(W98="RV",X98," ")</f>
        <v> </v>
      </c>
      <c r="AJ98" s="6" t="str">
        <f aca="false">IF(W98="RC",X98," ")</f>
        <v> </v>
      </c>
      <c r="AK98" s="6" t="str">
        <f aca="false">IF(W98="RT",X98," ")</f>
        <v> </v>
      </c>
      <c r="AL98" s="6" t="str">
        <f aca="false">IF(W98="DV",X98," ")</f>
        <v> </v>
      </c>
      <c r="AM98" s="6" t="str">
        <f aca="false">IF(W98="DL",X98," ")</f>
        <v> </v>
      </c>
      <c r="AN98" s="6" t="str">
        <f aca="false">IF(W98="X",X98," ")</f>
        <v> </v>
      </c>
    </row>
    <row r="99" customFormat="false" ht="12" hidden="false" customHeight="false" outlineLevel="0" collapsed="false">
      <c r="E99" s="5" t="str">
        <f aca="false">IF(F99&lt;&gt;0,"Enter Code"," ")</f>
        <v> </v>
      </c>
      <c r="G99" s="6" t="str">
        <f aca="false">IF(E99="BB",F99," ")</f>
        <v> </v>
      </c>
      <c r="H99" s="6" t="str">
        <f aca="false">IF(E99="BD",F99," ")</f>
        <v> </v>
      </c>
      <c r="I99" s="6" t="str">
        <f aca="false">IF(E99="BC",F99," ")</f>
        <v> </v>
      </c>
      <c r="J99" s="6" t="str">
        <f aca="false">IF(E99="DR",F99," ")</f>
        <v> </v>
      </c>
      <c r="K99" s="6" t="str">
        <f aca="false">IF(E99="K",F99," ")</f>
        <v> </v>
      </c>
      <c r="L99" s="6" t="str">
        <f aca="false">IF(E99="LDR",F99," ")</f>
        <v> </v>
      </c>
      <c r="M99" s="6" t="str">
        <f aca="false">IF(E99="LCR",F99," ")</f>
        <v> </v>
      </c>
      <c r="N99" s="6" t="str">
        <f aca="false">IF(E99="RV",F99," ")</f>
        <v> </v>
      </c>
      <c r="O99" s="6" t="str">
        <f aca="false">IF(E99="RC",F99," ")</f>
        <v> </v>
      </c>
      <c r="P99" s="6" t="str">
        <f aca="false">IF(E99="DL",F99," ")</f>
        <v> </v>
      </c>
      <c r="Q99" s="6" t="str">
        <f aca="false">IF(E99="X",F99," ")</f>
        <v> </v>
      </c>
      <c r="R99" s="37"/>
      <c r="W99" s="6" t="str">
        <f aca="false">IF(X99&lt;&gt;0,"Enter Code"," ")</f>
        <v> </v>
      </c>
      <c r="Y99" s="6" t="str">
        <f aca="false">IF(W99="BB",X99," ")</f>
        <v> </v>
      </c>
      <c r="Z99" s="6" t="str">
        <f aca="false">IF(W99="BD",X99," ")</f>
        <v> </v>
      </c>
      <c r="AA99" s="6" t="str">
        <f aca="false">IF(W99="BC",X99," ")</f>
        <v> </v>
      </c>
      <c r="AB99" s="6" t="str">
        <f aca="false">IF(W99="CR",X99," ")</f>
        <v> </v>
      </c>
      <c r="AC99" s="6" t="str">
        <f aca="false">IF(W99="W",X99," ")</f>
        <v> </v>
      </c>
      <c r="AD99" s="6" t="str">
        <f aca="false">IF(W99="B",X99," ")</f>
        <v> </v>
      </c>
      <c r="AE99" s="6" t="str">
        <f aca="false">IF(W99="J",X99," ")</f>
        <v> </v>
      </c>
      <c r="AF99" s="6" t="str">
        <f aca="false">IF(W99="LDR",X99," ")</f>
        <v> </v>
      </c>
      <c r="AG99" s="6" t="str">
        <f aca="false">IF(W99="LCR",X99," ")</f>
        <v> </v>
      </c>
      <c r="AH99" s="6" t="str">
        <f aca="false">IF(W99="RP",X99," ")</f>
        <v> </v>
      </c>
      <c r="AI99" s="6" t="str">
        <f aca="false">IF(W99="RV",X99," ")</f>
        <v> </v>
      </c>
      <c r="AJ99" s="6" t="str">
        <f aca="false">IF(W99="RC",X99," ")</f>
        <v> </v>
      </c>
      <c r="AK99" s="6" t="str">
        <f aca="false">IF(W99="RT",X99," ")</f>
        <v> </v>
      </c>
      <c r="AL99" s="6" t="str">
        <f aca="false">IF(W99="DV",X99," ")</f>
        <v> </v>
      </c>
      <c r="AM99" s="6" t="str">
        <f aca="false">IF(W99="DL",X99," ")</f>
        <v> </v>
      </c>
      <c r="AN99" s="6" t="str">
        <f aca="false">IF(W99="X",X99," ")</f>
        <v> </v>
      </c>
    </row>
    <row r="100" customFormat="false" ht="12" hidden="false" customHeight="false" outlineLevel="0" collapsed="false">
      <c r="E100" s="5" t="str">
        <f aca="false">IF(F100&lt;&gt;0,"Enter Code"," ")</f>
        <v> </v>
      </c>
      <c r="G100" s="6" t="str">
        <f aca="false">IF(E100="BB",F100," ")</f>
        <v> </v>
      </c>
      <c r="H100" s="6" t="str">
        <f aca="false">IF(E100="BD",F100," ")</f>
        <v> </v>
      </c>
      <c r="I100" s="6" t="str">
        <f aca="false">IF(E100="BC",F100," ")</f>
        <v> </v>
      </c>
      <c r="J100" s="6" t="str">
        <f aca="false">IF(E100="DR",F100," ")</f>
        <v> </v>
      </c>
      <c r="K100" s="6" t="str">
        <f aca="false">IF(E100="K",F100," ")</f>
        <v> </v>
      </c>
      <c r="L100" s="6" t="str">
        <f aca="false">IF(E100="LDR",F100," ")</f>
        <v> </v>
      </c>
      <c r="M100" s="6" t="str">
        <f aca="false">IF(E100="LCR",F100," ")</f>
        <v> </v>
      </c>
      <c r="N100" s="6" t="str">
        <f aca="false">IF(E100="RV",F100," ")</f>
        <v> </v>
      </c>
      <c r="O100" s="6" t="str">
        <f aca="false">IF(E100="RC",F100," ")</f>
        <v> </v>
      </c>
      <c r="P100" s="6" t="str">
        <f aca="false">IF(E100="DL",F100," ")</f>
        <v> </v>
      </c>
      <c r="Q100" s="6" t="str">
        <f aca="false">IF(E100="X",F100," ")</f>
        <v> </v>
      </c>
      <c r="R100" s="37"/>
      <c r="W100" s="6" t="str">
        <f aca="false">IF(X100&lt;&gt;0,"Enter Code"," ")</f>
        <v> </v>
      </c>
      <c r="Y100" s="6" t="str">
        <f aca="false">IF(W100="BB",X100," ")</f>
        <v> </v>
      </c>
      <c r="Z100" s="6" t="str">
        <f aca="false">IF(W100="BD",X100," ")</f>
        <v> </v>
      </c>
      <c r="AA100" s="6" t="str">
        <f aca="false">IF(W100="BC",X100," ")</f>
        <v> </v>
      </c>
      <c r="AB100" s="6" t="str">
        <f aca="false">IF(W100="CR",X100," ")</f>
        <v> </v>
      </c>
      <c r="AC100" s="6" t="str">
        <f aca="false">IF(W100="W",X100," ")</f>
        <v> </v>
      </c>
      <c r="AD100" s="6" t="str">
        <f aca="false">IF(W100="B",X100," ")</f>
        <v> </v>
      </c>
      <c r="AE100" s="6" t="str">
        <f aca="false">IF(W100="J",X100," ")</f>
        <v> </v>
      </c>
      <c r="AF100" s="6" t="str">
        <f aca="false">IF(W100="LDR",X100," ")</f>
        <v> </v>
      </c>
      <c r="AG100" s="6" t="str">
        <f aca="false">IF(W100="LCR",X100," ")</f>
        <v> </v>
      </c>
      <c r="AH100" s="6" t="str">
        <f aca="false">IF(W100="RP",X100," ")</f>
        <v> </v>
      </c>
      <c r="AI100" s="6" t="str">
        <f aca="false">IF(W100="RV",X100," ")</f>
        <v> </v>
      </c>
      <c r="AJ100" s="6" t="str">
        <f aca="false">IF(W100="RC",X100," ")</f>
        <v> </v>
      </c>
      <c r="AK100" s="6" t="str">
        <f aca="false">IF(W100="RT",X100," ")</f>
        <v> </v>
      </c>
      <c r="AL100" s="6" t="str">
        <f aca="false">IF(W100="DV",X100," ")</f>
        <v> </v>
      </c>
      <c r="AM100" s="6" t="str">
        <f aca="false">IF(W100="DL",X100," ")</f>
        <v> </v>
      </c>
      <c r="AN100" s="6" t="str">
        <f aca="false">IF(W100="X",X100," ")</f>
        <v> </v>
      </c>
    </row>
    <row r="101" customFormat="false" ht="12" hidden="false" customHeight="false" outlineLevel="0" collapsed="false">
      <c r="E101" s="5" t="str">
        <f aca="false">IF(F101&lt;&gt;0,"Enter Code"," ")</f>
        <v> </v>
      </c>
      <c r="G101" s="6" t="str">
        <f aca="false">IF(E101="BB",F101," ")</f>
        <v> </v>
      </c>
      <c r="H101" s="6" t="str">
        <f aca="false">IF(E101="BD",F101," ")</f>
        <v> </v>
      </c>
      <c r="I101" s="6" t="str">
        <f aca="false">IF(E101="BC",F101," ")</f>
        <v> </v>
      </c>
      <c r="J101" s="6" t="str">
        <f aca="false">IF(E101="DR",F101," ")</f>
        <v> </v>
      </c>
      <c r="K101" s="6" t="str">
        <f aca="false">IF(E101="K",F101," ")</f>
        <v> </v>
      </c>
      <c r="L101" s="6" t="str">
        <f aca="false">IF(E101="LDR",F101," ")</f>
        <v> </v>
      </c>
      <c r="M101" s="6" t="str">
        <f aca="false">IF(E101="LCR",F101," ")</f>
        <v> </v>
      </c>
      <c r="N101" s="6" t="str">
        <f aca="false">IF(E101="RV",F101," ")</f>
        <v> </v>
      </c>
      <c r="O101" s="6" t="str">
        <f aca="false">IF(E101="RC",F101," ")</f>
        <v> </v>
      </c>
      <c r="P101" s="6" t="str">
        <f aca="false">IF(E101="DL",F101," ")</f>
        <v> </v>
      </c>
      <c r="Q101" s="6" t="str">
        <f aca="false">IF(E101="X",F101," ")</f>
        <v> </v>
      </c>
      <c r="R101" s="37"/>
      <c r="W101" s="6" t="str">
        <f aca="false">IF(X101&lt;&gt;0,"Enter Code"," ")</f>
        <v> </v>
      </c>
      <c r="Y101" s="6" t="str">
        <f aca="false">IF(W101="BB",X101," ")</f>
        <v> </v>
      </c>
      <c r="Z101" s="6" t="str">
        <f aca="false">IF(W101="BD",X101," ")</f>
        <v> </v>
      </c>
      <c r="AA101" s="6" t="str">
        <f aca="false">IF(W101="BC",X101," ")</f>
        <v> </v>
      </c>
      <c r="AB101" s="6" t="str">
        <f aca="false">IF(W101="CR",X101," ")</f>
        <v> </v>
      </c>
      <c r="AC101" s="6" t="str">
        <f aca="false">IF(W101="W",X101," ")</f>
        <v> </v>
      </c>
      <c r="AD101" s="6" t="str">
        <f aca="false">IF(W101="B",X101," ")</f>
        <v> </v>
      </c>
      <c r="AE101" s="6" t="str">
        <f aca="false">IF(W101="J",X101," ")</f>
        <v> </v>
      </c>
      <c r="AF101" s="6" t="str">
        <f aca="false">IF(W101="LDR",X101," ")</f>
        <v> </v>
      </c>
      <c r="AG101" s="6" t="str">
        <f aca="false">IF(W101="LCR",X101," ")</f>
        <v> </v>
      </c>
      <c r="AH101" s="6" t="str">
        <f aca="false">IF(W101="RP",X101," ")</f>
        <v> </v>
      </c>
      <c r="AI101" s="6" t="str">
        <f aca="false">IF(W101="RV",X101," ")</f>
        <v> </v>
      </c>
      <c r="AJ101" s="6" t="str">
        <f aca="false">IF(W101="RC",X101," ")</f>
        <v> </v>
      </c>
      <c r="AK101" s="6" t="str">
        <f aca="false">IF(W101="RT",X101," ")</f>
        <v> </v>
      </c>
      <c r="AL101" s="6" t="str">
        <f aca="false">IF(W101="DV",X101," ")</f>
        <v> </v>
      </c>
      <c r="AM101" s="6" t="str">
        <f aca="false">IF(W101="DL",X101," ")</f>
        <v> </v>
      </c>
      <c r="AN101" s="6" t="str">
        <f aca="false">IF(W101="X",X101," ")</f>
        <v> </v>
      </c>
    </row>
    <row r="102" customFormat="false" ht="12" hidden="false" customHeight="false" outlineLevel="0" collapsed="false">
      <c r="E102" s="5" t="str">
        <f aca="false">IF(F102&lt;&gt;0,"Enter Code"," ")</f>
        <v> </v>
      </c>
      <c r="G102" s="6" t="str">
        <f aca="false">IF(E102="BB",F102," ")</f>
        <v> </v>
      </c>
      <c r="H102" s="6" t="str">
        <f aca="false">IF(E102="BD",F102," ")</f>
        <v> </v>
      </c>
      <c r="I102" s="6" t="str">
        <f aca="false">IF(E102="BC",F102," ")</f>
        <v> </v>
      </c>
      <c r="J102" s="6" t="str">
        <f aca="false">IF(E102="DR",F102," ")</f>
        <v> </v>
      </c>
      <c r="K102" s="6" t="str">
        <f aca="false">IF(E102="K",F102," ")</f>
        <v> </v>
      </c>
      <c r="L102" s="6" t="str">
        <f aca="false">IF(E102="LDR",F102," ")</f>
        <v> </v>
      </c>
      <c r="M102" s="6" t="str">
        <f aca="false">IF(E102="LCR",F102," ")</f>
        <v> </v>
      </c>
      <c r="N102" s="6" t="str">
        <f aca="false">IF(E102="RV",F102," ")</f>
        <v> </v>
      </c>
      <c r="O102" s="6" t="str">
        <f aca="false">IF(E102="RC",F102," ")</f>
        <v> </v>
      </c>
      <c r="P102" s="6" t="str">
        <f aca="false">IF(E102="DL",F102," ")</f>
        <v> </v>
      </c>
      <c r="Q102" s="6" t="str">
        <f aca="false">IF(E102="X",F102," ")</f>
        <v> </v>
      </c>
      <c r="R102" s="37"/>
      <c r="W102" s="6" t="str">
        <f aca="false">IF(X102&lt;&gt;0,"Enter Code"," ")</f>
        <v> </v>
      </c>
      <c r="Y102" s="6" t="str">
        <f aca="false">IF(W102="BB",X102," ")</f>
        <v> </v>
      </c>
      <c r="Z102" s="6" t="str">
        <f aca="false">IF(W102="BD",X102," ")</f>
        <v> </v>
      </c>
      <c r="AA102" s="6" t="str">
        <f aca="false">IF(W102="BC",X102," ")</f>
        <v> </v>
      </c>
      <c r="AB102" s="6" t="str">
        <f aca="false">IF(W102="CR",X102," ")</f>
        <v> </v>
      </c>
      <c r="AC102" s="6" t="str">
        <f aca="false">IF(W102="W",X102," ")</f>
        <v> </v>
      </c>
      <c r="AD102" s="6" t="str">
        <f aca="false">IF(W102="B",X102," ")</f>
        <v> </v>
      </c>
      <c r="AE102" s="6" t="str">
        <f aca="false">IF(W102="J",X102," ")</f>
        <v> </v>
      </c>
      <c r="AF102" s="6" t="str">
        <f aca="false">IF(W102="LDR",X102," ")</f>
        <v> </v>
      </c>
      <c r="AG102" s="6" t="str">
        <f aca="false">IF(W102="LCR",X102," ")</f>
        <v> </v>
      </c>
      <c r="AH102" s="6" t="str">
        <f aca="false">IF(W102="RP",X102," ")</f>
        <v> </v>
      </c>
      <c r="AI102" s="6" t="str">
        <f aca="false">IF(W102="RV",X102," ")</f>
        <v> </v>
      </c>
      <c r="AJ102" s="6" t="str">
        <f aca="false">IF(W102="RC",X102," ")</f>
        <v> </v>
      </c>
      <c r="AK102" s="6" t="str">
        <f aca="false">IF(W102="RT",X102," ")</f>
        <v> </v>
      </c>
      <c r="AL102" s="6" t="str">
        <f aca="false">IF(W102="DV",X102," ")</f>
        <v> </v>
      </c>
      <c r="AM102" s="6" t="str">
        <f aca="false">IF(W102="DL",X102," ")</f>
        <v> </v>
      </c>
      <c r="AN102" s="6" t="str">
        <f aca="false">IF(W102="X",X102," ")</f>
        <v> </v>
      </c>
    </row>
    <row r="103" customFormat="false" ht="12" hidden="false" customHeight="false" outlineLevel="0" collapsed="false">
      <c r="E103" s="5" t="str">
        <f aca="false">IF(F103&lt;&gt;0,"Enter Code"," ")</f>
        <v> </v>
      </c>
      <c r="G103" s="6" t="str">
        <f aca="false">IF(E103="BB",F103," ")</f>
        <v> </v>
      </c>
      <c r="H103" s="6" t="str">
        <f aca="false">IF(E103="BD",F103," ")</f>
        <v> </v>
      </c>
      <c r="I103" s="6" t="str">
        <f aca="false">IF(E103="BC",F103," ")</f>
        <v> </v>
      </c>
      <c r="J103" s="6" t="str">
        <f aca="false">IF(E103="DR",F103," ")</f>
        <v> </v>
      </c>
      <c r="K103" s="6" t="str">
        <f aca="false">IF(E103="K",F103," ")</f>
        <v> </v>
      </c>
      <c r="L103" s="6" t="str">
        <f aca="false">IF(E103="LDR",F103," ")</f>
        <v> </v>
      </c>
      <c r="M103" s="6" t="str">
        <f aca="false">IF(E103="LCR",F103," ")</f>
        <v> </v>
      </c>
      <c r="N103" s="6" t="str">
        <f aca="false">IF(E103="RV",F103," ")</f>
        <v> </v>
      </c>
      <c r="O103" s="6" t="str">
        <f aca="false">IF(E103="RC",F103," ")</f>
        <v> </v>
      </c>
      <c r="P103" s="6" t="str">
        <f aca="false">IF(E103="DL",F103," ")</f>
        <v> </v>
      </c>
      <c r="Q103" s="6" t="str">
        <f aca="false">IF(E103="X",F103," ")</f>
        <v> </v>
      </c>
      <c r="R103" s="37"/>
      <c r="W103" s="6" t="str">
        <f aca="false">IF(X103&lt;&gt;0,"Enter Code"," ")</f>
        <v> </v>
      </c>
      <c r="Y103" s="6" t="str">
        <f aca="false">IF(W103="BB",X103," ")</f>
        <v> </v>
      </c>
      <c r="Z103" s="6" t="str">
        <f aca="false">IF(W103="BD",X103," ")</f>
        <v> </v>
      </c>
      <c r="AA103" s="6" t="str">
        <f aca="false">IF(W103="BC",X103," ")</f>
        <v> </v>
      </c>
      <c r="AB103" s="6" t="str">
        <f aca="false">IF(W103="CR",X103," ")</f>
        <v> </v>
      </c>
      <c r="AC103" s="6" t="str">
        <f aca="false">IF(W103="W",X103," ")</f>
        <v> </v>
      </c>
      <c r="AD103" s="6" t="str">
        <f aca="false">IF(W103="B",X103," ")</f>
        <v> </v>
      </c>
      <c r="AE103" s="6" t="str">
        <f aca="false">IF(W103="J",X103," ")</f>
        <v> </v>
      </c>
      <c r="AF103" s="6" t="str">
        <f aca="false">IF(W103="LDR",X103," ")</f>
        <v> </v>
      </c>
      <c r="AG103" s="6" t="str">
        <f aca="false">IF(W103="LCR",X103," ")</f>
        <v> </v>
      </c>
      <c r="AH103" s="6" t="str">
        <f aca="false">IF(W103="RP",X103," ")</f>
        <v> </v>
      </c>
      <c r="AI103" s="6" t="str">
        <f aca="false">IF(W103="RV",X103," ")</f>
        <v> </v>
      </c>
      <c r="AJ103" s="6" t="str">
        <f aca="false">IF(W103="RC",X103," ")</f>
        <v> </v>
      </c>
      <c r="AK103" s="6" t="str">
        <f aca="false">IF(W103="RT",X103," ")</f>
        <v> </v>
      </c>
      <c r="AL103" s="6" t="str">
        <f aca="false">IF(W103="DV",X103," ")</f>
        <v> </v>
      </c>
      <c r="AM103" s="6" t="str">
        <f aca="false">IF(W103="DL",X103," ")</f>
        <v> </v>
      </c>
      <c r="AN103" s="6" t="str">
        <f aca="false">IF(W103="X",X103," ")</f>
        <v> </v>
      </c>
    </row>
    <row r="104" customFormat="false" ht="12" hidden="false" customHeight="false" outlineLevel="0" collapsed="false">
      <c r="E104" s="5" t="str">
        <f aca="false">IF(F104&lt;&gt;0,"Enter Code"," ")</f>
        <v> </v>
      </c>
      <c r="G104" s="6" t="str">
        <f aca="false">IF(E104="BB",F104," ")</f>
        <v> </v>
      </c>
      <c r="H104" s="6" t="str">
        <f aca="false">IF(E104="BD",F104," ")</f>
        <v> </v>
      </c>
      <c r="I104" s="6" t="str">
        <f aca="false">IF(E104="BC",F104," ")</f>
        <v> </v>
      </c>
      <c r="J104" s="6" t="str">
        <f aca="false">IF(E104="DR",F104," ")</f>
        <v> </v>
      </c>
      <c r="K104" s="6" t="str">
        <f aca="false">IF(E104="K",F104," ")</f>
        <v> </v>
      </c>
      <c r="L104" s="6" t="str">
        <f aca="false">IF(E104="LDR",F104," ")</f>
        <v> </v>
      </c>
      <c r="M104" s="6" t="str">
        <f aca="false">IF(E104="LCR",F104," ")</f>
        <v> </v>
      </c>
      <c r="N104" s="6" t="str">
        <f aca="false">IF(E104="RV",F104," ")</f>
        <v> </v>
      </c>
      <c r="O104" s="6" t="str">
        <f aca="false">IF(E104="RC",F104," ")</f>
        <v> </v>
      </c>
      <c r="P104" s="6" t="str">
        <f aca="false">IF(E104="DL",F104," ")</f>
        <v> </v>
      </c>
      <c r="Q104" s="6" t="str">
        <f aca="false">IF(E104="X",F104," ")</f>
        <v> </v>
      </c>
      <c r="R104" s="37"/>
      <c r="W104" s="6" t="str">
        <f aca="false">IF(X104&lt;&gt;0,"Enter Code"," ")</f>
        <v> </v>
      </c>
      <c r="Y104" s="6" t="str">
        <f aca="false">IF(W104="BB",X104," ")</f>
        <v> </v>
      </c>
      <c r="Z104" s="6" t="str">
        <f aca="false">IF(W104="BD",X104," ")</f>
        <v> </v>
      </c>
      <c r="AA104" s="6" t="str">
        <f aca="false">IF(W104="BC",X104," ")</f>
        <v> </v>
      </c>
      <c r="AB104" s="6" t="str">
        <f aca="false">IF(W104="CR",X104," ")</f>
        <v> </v>
      </c>
      <c r="AC104" s="6" t="str">
        <f aca="false">IF(W104="W",X104," ")</f>
        <v> </v>
      </c>
      <c r="AD104" s="6" t="str">
        <f aca="false">IF(W104="B",X104," ")</f>
        <v> </v>
      </c>
      <c r="AE104" s="6" t="str">
        <f aca="false">IF(W104="J",X104," ")</f>
        <v> </v>
      </c>
      <c r="AF104" s="6" t="str">
        <f aca="false">IF(W104="LDR",X104," ")</f>
        <v> </v>
      </c>
      <c r="AG104" s="6" t="str">
        <f aca="false">IF(W104="LCR",X104," ")</f>
        <v> </v>
      </c>
      <c r="AH104" s="6" t="str">
        <f aca="false">IF(W104="RP",X104," ")</f>
        <v> </v>
      </c>
      <c r="AI104" s="6" t="str">
        <f aca="false">IF(W104="RV",X104," ")</f>
        <v> </v>
      </c>
      <c r="AJ104" s="6" t="str">
        <f aca="false">IF(W104="RC",X104," ")</f>
        <v> </v>
      </c>
      <c r="AK104" s="6" t="str">
        <f aca="false">IF(W104="RT",X104," ")</f>
        <v> </v>
      </c>
      <c r="AL104" s="6" t="str">
        <f aca="false">IF(W104="DV",X104," ")</f>
        <v> </v>
      </c>
      <c r="AM104" s="6" t="str">
        <f aca="false">IF(W104="DL",X104," ")</f>
        <v> </v>
      </c>
      <c r="AN104" s="6" t="str">
        <f aca="false">IF(W104="X",X104," ")</f>
        <v> </v>
      </c>
    </row>
    <row r="105" customFormat="false" ht="12" hidden="false" customHeight="false" outlineLevel="0" collapsed="false">
      <c r="E105" s="5" t="str">
        <f aca="false">IF(F105&lt;&gt;0,"Enter Code"," ")</f>
        <v> </v>
      </c>
      <c r="G105" s="6" t="str">
        <f aca="false">IF(E105="BB",F105," ")</f>
        <v> </v>
      </c>
      <c r="H105" s="6" t="str">
        <f aca="false">IF(E105="BD",F105," ")</f>
        <v> </v>
      </c>
      <c r="I105" s="6" t="str">
        <f aca="false">IF(E105="BC",F105," ")</f>
        <v> </v>
      </c>
      <c r="J105" s="6" t="str">
        <f aca="false">IF(E105="DR",F105," ")</f>
        <v> </v>
      </c>
      <c r="K105" s="6" t="str">
        <f aca="false">IF(E105="K",F105," ")</f>
        <v> </v>
      </c>
      <c r="L105" s="6" t="str">
        <f aca="false">IF(E105="LDR",F105," ")</f>
        <v> </v>
      </c>
      <c r="M105" s="6" t="str">
        <f aca="false">IF(E105="LCR",F105," ")</f>
        <v> </v>
      </c>
      <c r="N105" s="6" t="str">
        <f aca="false">IF(E105="RV",F105," ")</f>
        <v> </v>
      </c>
      <c r="O105" s="6" t="str">
        <f aca="false">IF(E105="RC",F105," ")</f>
        <v> </v>
      </c>
      <c r="P105" s="6" t="str">
        <f aca="false">IF(E105="DL",F105," ")</f>
        <v> </v>
      </c>
      <c r="Q105" s="6" t="str">
        <f aca="false">IF(E105="X",F105," ")</f>
        <v> </v>
      </c>
      <c r="R105" s="37"/>
      <c r="W105" s="6" t="str">
        <f aca="false">IF(X105&lt;&gt;0,"Enter Code"," ")</f>
        <v> </v>
      </c>
      <c r="Y105" s="6" t="str">
        <f aca="false">IF(W105="BB",X105," ")</f>
        <v> </v>
      </c>
      <c r="Z105" s="6" t="str">
        <f aca="false">IF(W105="BD",X105," ")</f>
        <v> </v>
      </c>
      <c r="AA105" s="6" t="str">
        <f aca="false">IF(W105="BC",X105," ")</f>
        <v> </v>
      </c>
      <c r="AB105" s="6" t="str">
        <f aca="false">IF(W105="CR",X105," ")</f>
        <v> </v>
      </c>
      <c r="AC105" s="6" t="str">
        <f aca="false">IF(W105="W",X105," ")</f>
        <v> </v>
      </c>
      <c r="AD105" s="6" t="str">
        <f aca="false">IF(W105="B",X105," ")</f>
        <v> </v>
      </c>
      <c r="AE105" s="6" t="str">
        <f aca="false">IF(W105="J",X105," ")</f>
        <v> </v>
      </c>
      <c r="AF105" s="6" t="str">
        <f aca="false">IF(W105="LDR",X105," ")</f>
        <v> </v>
      </c>
      <c r="AG105" s="6" t="str">
        <f aca="false">IF(W105="LCR",X105," ")</f>
        <v> </v>
      </c>
      <c r="AH105" s="6" t="str">
        <f aca="false">IF(W105="RP",X105," ")</f>
        <v> </v>
      </c>
      <c r="AI105" s="6" t="str">
        <f aca="false">IF(W105="RV",X105," ")</f>
        <v> </v>
      </c>
      <c r="AJ105" s="6" t="str">
        <f aca="false">IF(W105="RC",X105," ")</f>
        <v> </v>
      </c>
      <c r="AK105" s="6" t="str">
        <f aca="false">IF(W105="RT",X105," ")</f>
        <v> </v>
      </c>
      <c r="AL105" s="6" t="str">
        <f aca="false">IF(W105="DV",X105," ")</f>
        <v> </v>
      </c>
      <c r="AM105" s="6" t="str">
        <f aca="false">IF(W105="DL",X105," ")</f>
        <v> </v>
      </c>
      <c r="AN105" s="6" t="str">
        <f aca="false">IF(W105="X",X105," ")</f>
        <v> </v>
      </c>
    </row>
    <row r="106" customFormat="false" ht="12" hidden="false" customHeight="false" outlineLevel="0" collapsed="false">
      <c r="E106" s="5" t="str">
        <f aca="false">IF(F106&lt;&gt;0,"Enter Code"," ")</f>
        <v> </v>
      </c>
      <c r="G106" s="6" t="str">
        <f aca="false">IF(E106="BB",F106," ")</f>
        <v> </v>
      </c>
      <c r="H106" s="6" t="str">
        <f aca="false">IF(E106="BD",F106," ")</f>
        <v> </v>
      </c>
      <c r="I106" s="6" t="str">
        <f aca="false">IF(E106="BC",F106," ")</f>
        <v> </v>
      </c>
      <c r="J106" s="6" t="str">
        <f aca="false">IF(E106="DR",F106," ")</f>
        <v> </v>
      </c>
      <c r="K106" s="6" t="str">
        <f aca="false">IF(E106="K",F106," ")</f>
        <v> </v>
      </c>
      <c r="L106" s="6" t="str">
        <f aca="false">IF(E106="LDR",F106," ")</f>
        <v> </v>
      </c>
      <c r="M106" s="6" t="str">
        <f aca="false">IF(E106="LCR",F106," ")</f>
        <v> </v>
      </c>
      <c r="N106" s="6" t="str">
        <f aca="false">IF(E106="RV",F106," ")</f>
        <v> </v>
      </c>
      <c r="O106" s="6" t="str">
        <f aca="false">IF(E106="RC",F106," ")</f>
        <v> </v>
      </c>
      <c r="P106" s="6" t="str">
        <f aca="false">IF(E106="DL",F106," ")</f>
        <v> </v>
      </c>
      <c r="Q106" s="6" t="str">
        <f aca="false">IF(E106="X",F106," ")</f>
        <v> </v>
      </c>
      <c r="R106" s="37"/>
      <c r="W106" s="6" t="str">
        <f aca="false">IF(X106&lt;&gt;0,"Enter Code"," ")</f>
        <v> </v>
      </c>
      <c r="Y106" s="6" t="str">
        <f aca="false">IF(W106="BB",X106," ")</f>
        <v> </v>
      </c>
      <c r="Z106" s="6" t="str">
        <f aca="false">IF(W106="BD",X106," ")</f>
        <v> </v>
      </c>
      <c r="AA106" s="6" t="str">
        <f aca="false">IF(W106="BC",X106," ")</f>
        <v> </v>
      </c>
      <c r="AB106" s="6" t="str">
        <f aca="false">IF(W106="CR",X106," ")</f>
        <v> </v>
      </c>
      <c r="AC106" s="6" t="str">
        <f aca="false">IF(W106="W",X106," ")</f>
        <v> </v>
      </c>
      <c r="AD106" s="6" t="str">
        <f aca="false">IF(W106="B",X106," ")</f>
        <v> </v>
      </c>
      <c r="AE106" s="6" t="str">
        <f aca="false">IF(W106="J",X106," ")</f>
        <v> </v>
      </c>
      <c r="AF106" s="6" t="str">
        <f aca="false">IF(W106="LDR",X106," ")</f>
        <v> </v>
      </c>
      <c r="AG106" s="6" t="str">
        <f aca="false">IF(W106="LCR",X106," ")</f>
        <v> </v>
      </c>
      <c r="AH106" s="6" t="str">
        <f aca="false">IF(W106="RP",X106," ")</f>
        <v> </v>
      </c>
      <c r="AI106" s="6" t="str">
        <f aca="false">IF(W106="RV",X106," ")</f>
        <v> </v>
      </c>
      <c r="AJ106" s="6" t="str">
        <f aca="false">IF(W106="RC",X106," ")</f>
        <v> </v>
      </c>
      <c r="AK106" s="6" t="str">
        <f aca="false">IF(W106="RT",X106," ")</f>
        <v> </v>
      </c>
      <c r="AL106" s="6" t="str">
        <f aca="false">IF(W106="DV",X106," ")</f>
        <v> </v>
      </c>
      <c r="AM106" s="6" t="str">
        <f aca="false">IF(W106="DL",X106," ")</f>
        <v> </v>
      </c>
      <c r="AN106" s="6" t="str">
        <f aca="false">IF(W106="X",X106," ")</f>
        <v> </v>
      </c>
    </row>
    <row r="107" customFormat="false" ht="12" hidden="false" customHeight="false" outlineLevel="0" collapsed="false">
      <c r="E107" s="5" t="str">
        <f aca="false">IF(F107&lt;&gt;0,"Enter Code"," ")</f>
        <v> </v>
      </c>
      <c r="G107" s="6" t="str">
        <f aca="false">IF(E107="BB",F107," ")</f>
        <v> </v>
      </c>
      <c r="H107" s="6" t="str">
        <f aca="false">IF(E107="BD",F107," ")</f>
        <v> </v>
      </c>
      <c r="I107" s="6" t="str">
        <f aca="false">IF(E107="BC",F107," ")</f>
        <v> </v>
      </c>
      <c r="J107" s="6" t="str">
        <f aca="false">IF(E107="DR",F107," ")</f>
        <v> </v>
      </c>
      <c r="K107" s="6" t="str">
        <f aca="false">IF(E107="K",F107," ")</f>
        <v> </v>
      </c>
      <c r="L107" s="6" t="str">
        <f aca="false">IF(E107="LDR",F107," ")</f>
        <v> </v>
      </c>
      <c r="M107" s="6" t="str">
        <f aca="false">IF(E107="LCR",F107," ")</f>
        <v> </v>
      </c>
      <c r="N107" s="6" t="str">
        <f aca="false">IF(E107="RV",F107," ")</f>
        <v> </v>
      </c>
      <c r="O107" s="6" t="str">
        <f aca="false">IF(E107="RC",F107," ")</f>
        <v> </v>
      </c>
      <c r="P107" s="6" t="str">
        <f aca="false">IF(E107="DL",F107," ")</f>
        <v> </v>
      </c>
      <c r="Q107" s="6" t="str">
        <f aca="false">IF(E107="X",F107," ")</f>
        <v> </v>
      </c>
      <c r="R107" s="37"/>
      <c r="W107" s="6" t="str">
        <f aca="false">IF(X107&lt;&gt;0,"Enter Code"," ")</f>
        <v> </v>
      </c>
      <c r="Y107" s="6" t="str">
        <f aca="false">IF(W107="BB",X107," ")</f>
        <v> </v>
      </c>
      <c r="Z107" s="6" t="str">
        <f aca="false">IF(W107="BD",X107," ")</f>
        <v> </v>
      </c>
      <c r="AA107" s="6" t="str">
        <f aca="false">IF(W107="BC",X107," ")</f>
        <v> </v>
      </c>
      <c r="AB107" s="6" t="str">
        <f aca="false">IF(W107="CR",X107," ")</f>
        <v> </v>
      </c>
      <c r="AC107" s="6" t="str">
        <f aca="false">IF(W107="W",X107," ")</f>
        <v> </v>
      </c>
      <c r="AD107" s="6" t="str">
        <f aca="false">IF(W107="B",X107," ")</f>
        <v> </v>
      </c>
      <c r="AE107" s="6" t="str">
        <f aca="false">IF(W107="J",X107," ")</f>
        <v> </v>
      </c>
      <c r="AF107" s="6" t="str">
        <f aca="false">IF(W107="LDR",X107," ")</f>
        <v> </v>
      </c>
      <c r="AG107" s="6" t="str">
        <f aca="false">IF(W107="LCR",X107," ")</f>
        <v> </v>
      </c>
      <c r="AH107" s="6" t="str">
        <f aca="false">IF(W107="RP",X107," ")</f>
        <v> </v>
      </c>
      <c r="AI107" s="6" t="str">
        <f aca="false">IF(W107="RV",X107," ")</f>
        <v> </v>
      </c>
      <c r="AJ107" s="6" t="str">
        <f aca="false">IF(W107="RC",X107," ")</f>
        <v> </v>
      </c>
      <c r="AK107" s="6" t="str">
        <f aca="false">IF(W107="RT",X107," ")</f>
        <v> </v>
      </c>
      <c r="AL107" s="6" t="str">
        <f aca="false">IF(W107="DV",X107," ")</f>
        <v> </v>
      </c>
      <c r="AM107" s="6" t="str">
        <f aca="false">IF(W107="DL",X107," ")</f>
        <v> </v>
      </c>
      <c r="AN107" s="6" t="str">
        <f aca="false">IF(W107="X",X107," ")</f>
        <v> </v>
      </c>
    </row>
    <row r="108" customFormat="false" ht="12" hidden="false" customHeight="false" outlineLevel="0" collapsed="false">
      <c r="E108" s="5" t="str">
        <f aca="false">IF(F108&lt;&gt;0,"Enter Code"," ")</f>
        <v> </v>
      </c>
      <c r="G108" s="6" t="str">
        <f aca="false">IF(E108="BB",F108," ")</f>
        <v> </v>
      </c>
      <c r="H108" s="6" t="str">
        <f aca="false">IF(E108="BD",F108," ")</f>
        <v> </v>
      </c>
      <c r="I108" s="6" t="str">
        <f aca="false">IF(E108="BC",F108," ")</f>
        <v> </v>
      </c>
      <c r="J108" s="6" t="str">
        <f aca="false">IF(E108="DR",F108," ")</f>
        <v> </v>
      </c>
      <c r="K108" s="6" t="str">
        <f aca="false">IF(E108="K",F108," ")</f>
        <v> </v>
      </c>
      <c r="L108" s="6" t="str">
        <f aca="false">IF(E108="LDR",F108," ")</f>
        <v> </v>
      </c>
      <c r="M108" s="6" t="str">
        <f aca="false">IF(E108="LCR",F108," ")</f>
        <v> </v>
      </c>
      <c r="N108" s="6" t="str">
        <f aca="false">IF(E108="RV",F108," ")</f>
        <v> </v>
      </c>
      <c r="O108" s="6" t="str">
        <f aca="false">IF(E108="RC",F108," ")</f>
        <v> </v>
      </c>
      <c r="P108" s="6" t="str">
        <f aca="false">IF(E108="DL",F108," ")</f>
        <v> </v>
      </c>
      <c r="Q108" s="6" t="str">
        <f aca="false">IF(E108="X",F108," ")</f>
        <v> </v>
      </c>
      <c r="R108" s="37"/>
      <c r="W108" s="6" t="str">
        <f aca="false">IF(X108&lt;&gt;0,"Enter Code"," ")</f>
        <v> </v>
      </c>
      <c r="Y108" s="6" t="str">
        <f aca="false">IF(W108="BB",X108," ")</f>
        <v> </v>
      </c>
      <c r="Z108" s="6" t="str">
        <f aca="false">IF(W108="BD",X108," ")</f>
        <v> </v>
      </c>
      <c r="AA108" s="6" t="str">
        <f aca="false">IF(W108="BC",X108," ")</f>
        <v> </v>
      </c>
      <c r="AB108" s="6" t="str">
        <f aca="false">IF(W108="CR",X108," ")</f>
        <v> </v>
      </c>
      <c r="AC108" s="6" t="str">
        <f aca="false">IF(W108="W",X108," ")</f>
        <v> </v>
      </c>
      <c r="AD108" s="6" t="str">
        <f aca="false">IF(W108="B",X108," ")</f>
        <v> </v>
      </c>
      <c r="AE108" s="6" t="str">
        <f aca="false">IF(W108="J",X108," ")</f>
        <v> </v>
      </c>
      <c r="AF108" s="6" t="str">
        <f aca="false">IF(W108="LDR",X108," ")</f>
        <v> </v>
      </c>
      <c r="AG108" s="6" t="str">
        <f aca="false">IF(W108="LCR",X108," ")</f>
        <v> </v>
      </c>
      <c r="AH108" s="6" t="str">
        <f aca="false">IF(W108="RP",X108," ")</f>
        <v> </v>
      </c>
      <c r="AI108" s="6" t="str">
        <f aca="false">IF(W108="RV",X108," ")</f>
        <v> </v>
      </c>
      <c r="AJ108" s="6" t="str">
        <f aca="false">IF(W108="RC",X108," ")</f>
        <v> </v>
      </c>
      <c r="AK108" s="6" t="str">
        <f aca="false">IF(W108="RT",X108," ")</f>
        <v> </v>
      </c>
      <c r="AL108" s="6" t="str">
        <f aca="false">IF(W108="DV",X108," ")</f>
        <v> </v>
      </c>
      <c r="AM108" s="6" t="str">
        <f aca="false">IF(W108="DL",X108," ")</f>
        <v> </v>
      </c>
      <c r="AN108" s="6" t="str">
        <f aca="false">IF(W108="X",X108," ")</f>
        <v> </v>
      </c>
    </row>
    <row r="109" customFormat="false" ht="12" hidden="false" customHeight="false" outlineLevel="0" collapsed="false">
      <c r="E109" s="5" t="str">
        <f aca="false">IF(F109&lt;&gt;0,"Enter Code"," ")</f>
        <v> </v>
      </c>
      <c r="G109" s="6" t="str">
        <f aca="false">IF(E109="BB",F109," ")</f>
        <v> </v>
      </c>
      <c r="H109" s="6" t="str">
        <f aca="false">IF(E109="BD",F109," ")</f>
        <v> </v>
      </c>
      <c r="I109" s="6" t="str">
        <f aca="false">IF(E109="BC",F109," ")</f>
        <v> </v>
      </c>
      <c r="J109" s="6" t="str">
        <f aca="false">IF(E109="DR",F109," ")</f>
        <v> </v>
      </c>
      <c r="K109" s="6" t="str">
        <f aca="false">IF(E109="K",F109," ")</f>
        <v> </v>
      </c>
      <c r="L109" s="6" t="str">
        <f aca="false">IF(E109="LDR",F109," ")</f>
        <v> </v>
      </c>
      <c r="M109" s="6" t="str">
        <f aca="false">IF(E109="LCR",F109," ")</f>
        <v> </v>
      </c>
      <c r="N109" s="6" t="str">
        <f aca="false">IF(E109="RV",F109," ")</f>
        <v> </v>
      </c>
      <c r="O109" s="6" t="str">
        <f aca="false">IF(E109="RC",F109," ")</f>
        <v> </v>
      </c>
      <c r="P109" s="6" t="str">
        <f aca="false">IF(E109="DL",F109," ")</f>
        <v> </v>
      </c>
      <c r="Q109" s="6" t="str">
        <f aca="false">IF(E109="X",F109," ")</f>
        <v> </v>
      </c>
      <c r="R109" s="37"/>
      <c r="W109" s="6" t="str">
        <f aca="false">IF(X109&lt;&gt;0,"Enter Code"," ")</f>
        <v> </v>
      </c>
      <c r="Y109" s="6" t="str">
        <f aca="false">IF(W109="BB",X109," ")</f>
        <v> </v>
      </c>
      <c r="Z109" s="6" t="str">
        <f aca="false">IF(W109="BD",X109," ")</f>
        <v> </v>
      </c>
      <c r="AA109" s="6" t="str">
        <f aca="false">IF(W109="BC",X109," ")</f>
        <v> </v>
      </c>
      <c r="AB109" s="6" t="str">
        <f aca="false">IF(W109="CR",X109," ")</f>
        <v> </v>
      </c>
      <c r="AC109" s="6" t="str">
        <f aca="false">IF(W109="W",X109," ")</f>
        <v> </v>
      </c>
      <c r="AD109" s="6" t="str">
        <f aca="false">IF(W109="B",X109," ")</f>
        <v> </v>
      </c>
      <c r="AE109" s="6" t="str">
        <f aca="false">IF(W109="J",X109," ")</f>
        <v> </v>
      </c>
      <c r="AF109" s="6" t="str">
        <f aca="false">IF(W109="LDR",X109," ")</f>
        <v> </v>
      </c>
      <c r="AG109" s="6" t="str">
        <f aca="false">IF(W109="LCR",X109," ")</f>
        <v> </v>
      </c>
      <c r="AH109" s="6" t="str">
        <f aca="false">IF(W109="RP",X109," ")</f>
        <v> </v>
      </c>
      <c r="AI109" s="6" t="str">
        <f aca="false">IF(W109="RV",X109," ")</f>
        <v> </v>
      </c>
      <c r="AJ109" s="6" t="str">
        <f aca="false">IF(W109="RC",X109," ")</f>
        <v> </v>
      </c>
      <c r="AK109" s="6" t="str">
        <f aca="false">IF(W109="RT",X109," ")</f>
        <v> </v>
      </c>
      <c r="AL109" s="6" t="str">
        <f aca="false">IF(W109="DV",X109," ")</f>
        <v> </v>
      </c>
      <c r="AM109" s="6" t="str">
        <f aca="false">IF(W109="DL",X109," ")</f>
        <v> </v>
      </c>
      <c r="AN109" s="6" t="str">
        <f aca="false">IF(W109="X",X109," ")</f>
        <v> </v>
      </c>
    </row>
    <row r="110" customFormat="false" ht="12" hidden="false" customHeight="false" outlineLevel="0" collapsed="false">
      <c r="E110" s="5" t="str">
        <f aca="false">IF(F110&lt;&gt;0,"Enter Code"," ")</f>
        <v> </v>
      </c>
      <c r="G110" s="6" t="str">
        <f aca="false">IF(E110="BB",F110," ")</f>
        <v> </v>
      </c>
      <c r="H110" s="6" t="str">
        <f aca="false">IF(E110="BD",F110," ")</f>
        <v> </v>
      </c>
      <c r="I110" s="6" t="str">
        <f aca="false">IF(E110="BC",F110," ")</f>
        <v> </v>
      </c>
      <c r="J110" s="6" t="str">
        <f aca="false">IF(E110="DR",F110," ")</f>
        <v> </v>
      </c>
      <c r="K110" s="6" t="str">
        <f aca="false">IF(E110="K",F110," ")</f>
        <v> </v>
      </c>
      <c r="L110" s="6" t="str">
        <f aca="false">IF(E110="LDR",F110," ")</f>
        <v> </v>
      </c>
      <c r="M110" s="6" t="str">
        <f aca="false">IF(E110="LCR",F110," ")</f>
        <v> </v>
      </c>
      <c r="N110" s="6" t="str">
        <f aca="false">IF(E110="RV",F110," ")</f>
        <v> </v>
      </c>
      <c r="O110" s="6" t="str">
        <f aca="false">IF(E110="RC",F110," ")</f>
        <v> </v>
      </c>
      <c r="P110" s="6" t="str">
        <f aca="false">IF(E110="DL",F110," ")</f>
        <v> </v>
      </c>
      <c r="Q110" s="6" t="str">
        <f aca="false">IF(E110="X",F110," ")</f>
        <v> </v>
      </c>
      <c r="R110" s="37"/>
      <c r="W110" s="6" t="str">
        <f aca="false">IF(X110&lt;&gt;0,"Enter Code"," ")</f>
        <v> </v>
      </c>
      <c r="Y110" s="6" t="str">
        <f aca="false">IF(W110="BB",X110," ")</f>
        <v> </v>
      </c>
      <c r="Z110" s="6" t="str">
        <f aca="false">IF(W110="BD",X110," ")</f>
        <v> </v>
      </c>
      <c r="AA110" s="6" t="str">
        <f aca="false">IF(W110="BC",X110," ")</f>
        <v> </v>
      </c>
      <c r="AB110" s="6" t="str">
        <f aca="false">IF(W110="CR",X110," ")</f>
        <v> </v>
      </c>
      <c r="AC110" s="6" t="str">
        <f aca="false">IF(W110="W",X110," ")</f>
        <v> </v>
      </c>
      <c r="AD110" s="6" t="str">
        <f aca="false">IF(W110="B",X110," ")</f>
        <v> </v>
      </c>
      <c r="AE110" s="6" t="str">
        <f aca="false">IF(W110="J",X110," ")</f>
        <v> </v>
      </c>
      <c r="AF110" s="6" t="str">
        <f aca="false">IF(W110="LDR",X110," ")</f>
        <v> </v>
      </c>
      <c r="AG110" s="6" t="str">
        <f aca="false">IF(W110="LCR",X110," ")</f>
        <v> </v>
      </c>
      <c r="AH110" s="6" t="str">
        <f aca="false">IF(W110="RP",X110," ")</f>
        <v> </v>
      </c>
      <c r="AI110" s="6" t="str">
        <f aca="false">IF(W110="RV",X110," ")</f>
        <v> </v>
      </c>
      <c r="AJ110" s="6" t="str">
        <f aca="false">IF(W110="RC",X110," ")</f>
        <v> </v>
      </c>
      <c r="AK110" s="6" t="str">
        <f aca="false">IF(W110="RT",X110," ")</f>
        <v> </v>
      </c>
      <c r="AL110" s="6" t="str">
        <f aca="false">IF(W110="DV",X110," ")</f>
        <v> </v>
      </c>
      <c r="AM110" s="6" t="str">
        <f aca="false">IF(W110="DL",X110," ")</f>
        <v> </v>
      </c>
      <c r="AN110" s="6" t="str">
        <f aca="false">IF(W110="X",X110," ")</f>
        <v> </v>
      </c>
    </row>
    <row r="111" customFormat="false" ht="12" hidden="false" customHeight="false" outlineLevel="0" collapsed="false">
      <c r="E111" s="5" t="str">
        <f aca="false">IF(F111&lt;&gt;0,"Enter Code"," ")</f>
        <v> </v>
      </c>
      <c r="G111" s="6" t="str">
        <f aca="false">IF(E111="BB",F111," ")</f>
        <v> </v>
      </c>
      <c r="H111" s="6" t="str">
        <f aca="false">IF(E111="BD",F111," ")</f>
        <v> </v>
      </c>
      <c r="I111" s="6" t="str">
        <f aca="false">IF(E111="BC",F111," ")</f>
        <v> </v>
      </c>
      <c r="J111" s="6" t="str">
        <f aca="false">IF(E111="DR",F111," ")</f>
        <v> </v>
      </c>
      <c r="K111" s="6" t="str">
        <f aca="false">IF(E111="K",F111," ")</f>
        <v> </v>
      </c>
      <c r="L111" s="6" t="str">
        <f aca="false">IF(E111="LDR",F111," ")</f>
        <v> </v>
      </c>
      <c r="M111" s="6" t="str">
        <f aca="false">IF(E111="LCR",F111," ")</f>
        <v> </v>
      </c>
      <c r="N111" s="6" t="str">
        <f aca="false">IF(E111="RV",F111," ")</f>
        <v> </v>
      </c>
      <c r="O111" s="6" t="str">
        <f aca="false">IF(E111="RC",F111," ")</f>
        <v> </v>
      </c>
      <c r="P111" s="6" t="str">
        <f aca="false">IF(E111="DL",F111," ")</f>
        <v> </v>
      </c>
      <c r="Q111" s="6" t="str">
        <f aca="false">IF(E111="X",F111," ")</f>
        <v> </v>
      </c>
      <c r="R111" s="37"/>
      <c r="W111" s="6" t="str">
        <f aca="false">IF(X111&lt;&gt;0,"Enter Code"," ")</f>
        <v> </v>
      </c>
      <c r="Y111" s="6" t="str">
        <f aca="false">IF(W111="BB",X111," ")</f>
        <v> </v>
      </c>
      <c r="Z111" s="6" t="str">
        <f aca="false">IF(W111="BD",X111," ")</f>
        <v> </v>
      </c>
      <c r="AA111" s="6" t="str">
        <f aca="false">IF(W111="BC",X111," ")</f>
        <v> </v>
      </c>
      <c r="AB111" s="6" t="str">
        <f aca="false">IF(W111="CR",X111," ")</f>
        <v> </v>
      </c>
      <c r="AC111" s="6" t="str">
        <f aca="false">IF(W111="W",X111," ")</f>
        <v> </v>
      </c>
      <c r="AD111" s="6" t="str">
        <f aca="false">IF(W111="B",X111," ")</f>
        <v> </v>
      </c>
      <c r="AE111" s="6" t="str">
        <f aca="false">IF(W111="J",X111," ")</f>
        <v> </v>
      </c>
      <c r="AF111" s="6" t="str">
        <f aca="false">IF(W111="LDR",X111," ")</f>
        <v> </v>
      </c>
      <c r="AG111" s="6" t="str">
        <f aca="false">IF(W111="LCR",X111," ")</f>
        <v> </v>
      </c>
      <c r="AH111" s="6" t="str">
        <f aca="false">IF(W111="RP",X111," ")</f>
        <v> </v>
      </c>
      <c r="AI111" s="6" t="str">
        <f aca="false">IF(W111="RV",X111," ")</f>
        <v> </v>
      </c>
      <c r="AJ111" s="6" t="str">
        <f aca="false">IF(W111="RC",X111," ")</f>
        <v> </v>
      </c>
      <c r="AK111" s="6" t="str">
        <f aca="false">IF(W111="RT",X111," ")</f>
        <v> </v>
      </c>
      <c r="AL111" s="6" t="str">
        <f aca="false">IF(W111="DV",X111," ")</f>
        <v> </v>
      </c>
      <c r="AM111" s="6" t="str">
        <f aca="false">IF(W111="DL",X111," ")</f>
        <v> </v>
      </c>
      <c r="AN111" s="6" t="str">
        <f aca="false">IF(W111="X",X111," ")</f>
        <v> </v>
      </c>
    </row>
    <row r="112" customFormat="false" ht="12" hidden="false" customHeight="false" outlineLevel="0" collapsed="false">
      <c r="E112" s="5" t="str">
        <f aca="false">IF(F112&lt;&gt;0,"Enter Code"," ")</f>
        <v> </v>
      </c>
      <c r="G112" s="6" t="str">
        <f aca="false">IF(E112="BB",F112," ")</f>
        <v> </v>
      </c>
      <c r="H112" s="6" t="str">
        <f aca="false">IF(E112="BD",F112," ")</f>
        <v> </v>
      </c>
      <c r="I112" s="6" t="str">
        <f aca="false">IF(E112="BC",F112," ")</f>
        <v> </v>
      </c>
      <c r="J112" s="6" t="str">
        <f aca="false">IF(E112="DR",F112," ")</f>
        <v> </v>
      </c>
      <c r="K112" s="6" t="str">
        <f aca="false">IF(E112="K",F112," ")</f>
        <v> </v>
      </c>
      <c r="L112" s="6" t="str">
        <f aca="false">IF(E112="LDR",F112," ")</f>
        <v> </v>
      </c>
      <c r="M112" s="6" t="str">
        <f aca="false">IF(E112="LCR",F112," ")</f>
        <v> </v>
      </c>
      <c r="N112" s="6" t="str">
        <f aca="false">IF(E112="RV",F112," ")</f>
        <v> </v>
      </c>
      <c r="O112" s="6" t="str">
        <f aca="false">IF(E112="RC",F112," ")</f>
        <v> </v>
      </c>
      <c r="P112" s="6" t="str">
        <f aca="false">IF(E112="DL",F112," ")</f>
        <v> </v>
      </c>
      <c r="Q112" s="6" t="str">
        <f aca="false">IF(E112="X",F112," ")</f>
        <v> </v>
      </c>
      <c r="R112" s="37"/>
      <c r="W112" s="6" t="str">
        <f aca="false">IF(X112&lt;&gt;0,"Enter Code"," ")</f>
        <v> </v>
      </c>
      <c r="Y112" s="6" t="str">
        <f aca="false">IF(W112="BB",X112," ")</f>
        <v> </v>
      </c>
      <c r="Z112" s="6" t="str">
        <f aca="false">IF(W112="BD",X112," ")</f>
        <v> </v>
      </c>
      <c r="AA112" s="6" t="str">
        <f aca="false">IF(W112="BC",X112," ")</f>
        <v> </v>
      </c>
      <c r="AB112" s="6" t="str">
        <f aca="false">IF(W112="CR",X112," ")</f>
        <v> </v>
      </c>
      <c r="AC112" s="6" t="str">
        <f aca="false">IF(W112="W",X112," ")</f>
        <v> </v>
      </c>
      <c r="AD112" s="6" t="str">
        <f aca="false">IF(W112="B",X112," ")</f>
        <v> </v>
      </c>
      <c r="AE112" s="6" t="str">
        <f aca="false">IF(W112="J",X112," ")</f>
        <v> </v>
      </c>
      <c r="AF112" s="6" t="str">
        <f aca="false">IF(W112="LDR",X112," ")</f>
        <v> </v>
      </c>
      <c r="AG112" s="6" t="str">
        <f aca="false">IF(W112="LCR",X112," ")</f>
        <v> </v>
      </c>
      <c r="AH112" s="6" t="str">
        <f aca="false">IF(W112="RP",X112," ")</f>
        <v> </v>
      </c>
      <c r="AI112" s="6" t="str">
        <f aca="false">IF(W112="RV",X112," ")</f>
        <v> </v>
      </c>
      <c r="AJ112" s="6" t="str">
        <f aca="false">IF(W112="RC",X112," ")</f>
        <v> </v>
      </c>
      <c r="AK112" s="6" t="str">
        <f aca="false">IF(W112="RT",X112," ")</f>
        <v> </v>
      </c>
      <c r="AL112" s="6" t="str">
        <f aca="false">IF(W112="DV",X112," ")</f>
        <v> </v>
      </c>
      <c r="AM112" s="6" t="str">
        <f aca="false">IF(W112="DL",X112," ")</f>
        <v> </v>
      </c>
      <c r="AN112" s="6" t="str">
        <f aca="false">IF(W112="X",X112," ")</f>
        <v> </v>
      </c>
    </row>
    <row r="113" customFormat="false" ht="12" hidden="false" customHeight="false" outlineLevel="0" collapsed="false">
      <c r="E113" s="5" t="str">
        <f aca="false">IF(F113&lt;&gt;0,"Enter Code"," ")</f>
        <v> </v>
      </c>
      <c r="G113" s="6" t="str">
        <f aca="false">IF(E113="BB",F113," ")</f>
        <v> </v>
      </c>
      <c r="H113" s="6" t="str">
        <f aca="false">IF(E113="BD",F113," ")</f>
        <v> </v>
      </c>
      <c r="I113" s="6" t="str">
        <f aca="false">IF(E113="BC",F113," ")</f>
        <v> </v>
      </c>
      <c r="J113" s="6" t="str">
        <f aca="false">IF(E113="DR",F113," ")</f>
        <v> </v>
      </c>
      <c r="K113" s="6" t="str">
        <f aca="false">IF(E113="K",F113," ")</f>
        <v> </v>
      </c>
      <c r="L113" s="6" t="str">
        <f aca="false">IF(E113="LDR",F113," ")</f>
        <v> </v>
      </c>
      <c r="M113" s="6" t="str">
        <f aca="false">IF(E113="LCR",F113," ")</f>
        <v> </v>
      </c>
      <c r="N113" s="6" t="str">
        <f aca="false">IF(E113="RV",F113," ")</f>
        <v> </v>
      </c>
      <c r="O113" s="6" t="str">
        <f aca="false">IF(E113="RC",F113," ")</f>
        <v> </v>
      </c>
      <c r="P113" s="6" t="str">
        <f aca="false">IF(E113="DL",F113," ")</f>
        <v> </v>
      </c>
      <c r="Q113" s="6" t="str">
        <f aca="false">IF(E113="X",F113," ")</f>
        <v> </v>
      </c>
      <c r="R113" s="37"/>
      <c r="W113" s="6" t="str">
        <f aca="false">IF(X113&lt;&gt;0,"Enter Code"," ")</f>
        <v> </v>
      </c>
      <c r="Y113" s="6" t="str">
        <f aca="false">IF(W113="BB",X113," ")</f>
        <v> </v>
      </c>
      <c r="Z113" s="6" t="str">
        <f aca="false">IF(W113="BD",X113," ")</f>
        <v> </v>
      </c>
      <c r="AA113" s="6" t="str">
        <f aca="false">IF(W113="BC",X113," ")</f>
        <v> </v>
      </c>
      <c r="AB113" s="6" t="str">
        <f aca="false">IF(W113="CR",X113," ")</f>
        <v> </v>
      </c>
      <c r="AC113" s="6" t="str">
        <f aca="false">IF(W113="W",X113," ")</f>
        <v> </v>
      </c>
      <c r="AD113" s="6" t="str">
        <f aca="false">IF(W113="B",X113," ")</f>
        <v> </v>
      </c>
      <c r="AE113" s="6" t="str">
        <f aca="false">IF(W113="J",X113," ")</f>
        <v> </v>
      </c>
      <c r="AF113" s="6" t="str">
        <f aca="false">IF(W113="LDR",X113," ")</f>
        <v> </v>
      </c>
      <c r="AG113" s="6" t="str">
        <f aca="false">IF(W113="LCR",X113," ")</f>
        <v> </v>
      </c>
      <c r="AH113" s="6" t="str">
        <f aca="false">IF(W113="RP",X113," ")</f>
        <v> </v>
      </c>
      <c r="AI113" s="6" t="str">
        <f aca="false">IF(W113="RV",X113," ")</f>
        <v> </v>
      </c>
      <c r="AJ113" s="6" t="str">
        <f aca="false">IF(W113="RC",X113," ")</f>
        <v> </v>
      </c>
      <c r="AK113" s="6" t="str">
        <f aca="false">IF(W113="RT",X113," ")</f>
        <v> </v>
      </c>
      <c r="AL113" s="6" t="str">
        <f aca="false">IF(W113="DV",X113," ")</f>
        <v> </v>
      </c>
      <c r="AM113" s="6" t="str">
        <f aca="false">IF(W113="DL",X113," ")</f>
        <v> </v>
      </c>
      <c r="AN113" s="6" t="str">
        <f aca="false">IF(W113="X",X113," ")</f>
        <v> </v>
      </c>
    </row>
    <row r="114" customFormat="false" ht="12" hidden="false" customHeight="false" outlineLevel="0" collapsed="false">
      <c r="E114" s="5" t="str">
        <f aca="false">IF(F114&lt;&gt;0,"Enter Code"," ")</f>
        <v> </v>
      </c>
      <c r="G114" s="6" t="str">
        <f aca="false">IF(E114="BB",F114," ")</f>
        <v> </v>
      </c>
      <c r="H114" s="6" t="str">
        <f aca="false">IF(E114="BD",F114," ")</f>
        <v> </v>
      </c>
      <c r="I114" s="6" t="str">
        <f aca="false">IF(E114="BC",F114," ")</f>
        <v> </v>
      </c>
      <c r="J114" s="6" t="str">
        <f aca="false">IF(E114="DR",F114," ")</f>
        <v> </v>
      </c>
      <c r="K114" s="6" t="str">
        <f aca="false">IF(E114="K",F114," ")</f>
        <v> </v>
      </c>
      <c r="L114" s="6" t="str">
        <f aca="false">IF(E114="LDR",F114," ")</f>
        <v> </v>
      </c>
      <c r="M114" s="6" t="str">
        <f aca="false">IF(E114="LCR",F114," ")</f>
        <v> </v>
      </c>
      <c r="N114" s="6" t="str">
        <f aca="false">IF(E114="RV",F114," ")</f>
        <v> </v>
      </c>
      <c r="O114" s="6" t="str">
        <f aca="false">IF(E114="RC",F114," ")</f>
        <v> </v>
      </c>
      <c r="P114" s="6" t="str">
        <f aca="false">IF(E114="DL",F114," ")</f>
        <v> </v>
      </c>
      <c r="Q114" s="6" t="str">
        <f aca="false">IF(E114="X",F114," ")</f>
        <v> </v>
      </c>
      <c r="R114" s="37"/>
      <c r="W114" s="6" t="str">
        <f aca="false">IF(X114&lt;&gt;0,"Enter Code"," ")</f>
        <v> </v>
      </c>
      <c r="Y114" s="6" t="str">
        <f aca="false">IF(W114="BB",X114," ")</f>
        <v> </v>
      </c>
      <c r="Z114" s="6" t="str">
        <f aca="false">IF(W114="BD",X114," ")</f>
        <v> </v>
      </c>
      <c r="AA114" s="6" t="str">
        <f aca="false">IF(W114="BC",X114," ")</f>
        <v> </v>
      </c>
      <c r="AB114" s="6" t="str">
        <f aca="false">IF(W114="CR",X114," ")</f>
        <v> </v>
      </c>
      <c r="AC114" s="6" t="str">
        <f aca="false">IF(W114="W",X114," ")</f>
        <v> </v>
      </c>
      <c r="AD114" s="6" t="str">
        <f aca="false">IF(W114="B",X114," ")</f>
        <v> </v>
      </c>
      <c r="AE114" s="6" t="str">
        <f aca="false">IF(W114="J",X114," ")</f>
        <v> </v>
      </c>
      <c r="AF114" s="6" t="str">
        <f aca="false">IF(W114="LDR",X114," ")</f>
        <v> </v>
      </c>
      <c r="AG114" s="6" t="str">
        <f aca="false">IF(W114="LCR",X114," ")</f>
        <v> </v>
      </c>
      <c r="AH114" s="6" t="str">
        <f aca="false">IF(W114="RP",X114," ")</f>
        <v> </v>
      </c>
      <c r="AI114" s="6" t="str">
        <f aca="false">IF(W114="RV",X114," ")</f>
        <v> </v>
      </c>
      <c r="AJ114" s="6" t="str">
        <f aca="false">IF(W114="RC",X114," ")</f>
        <v> </v>
      </c>
      <c r="AK114" s="6" t="str">
        <f aca="false">IF(W114="RT",X114," ")</f>
        <v> </v>
      </c>
      <c r="AL114" s="6" t="str">
        <f aca="false">IF(W114="DV",X114," ")</f>
        <v> </v>
      </c>
      <c r="AM114" s="6" t="str">
        <f aca="false">IF(W114="DL",X114," ")</f>
        <v> </v>
      </c>
      <c r="AN114" s="6" t="str">
        <f aca="false">IF(W114="X",X114," ")</f>
        <v> </v>
      </c>
    </row>
    <row r="115" customFormat="false" ht="12" hidden="false" customHeight="false" outlineLevel="0" collapsed="false">
      <c r="E115" s="5" t="str">
        <f aca="false">IF(F115&lt;&gt;0,"Enter Code"," ")</f>
        <v> </v>
      </c>
      <c r="G115" s="6" t="str">
        <f aca="false">IF(E115="BB",F115," ")</f>
        <v> </v>
      </c>
      <c r="H115" s="6" t="str">
        <f aca="false">IF(E115="BD",F115," ")</f>
        <v> </v>
      </c>
      <c r="I115" s="6" t="str">
        <f aca="false">IF(E115="BC",F115," ")</f>
        <v> </v>
      </c>
      <c r="J115" s="6" t="str">
        <f aca="false">IF(E115="DR",F115," ")</f>
        <v> </v>
      </c>
      <c r="K115" s="6" t="str">
        <f aca="false">IF(E115="K",F115," ")</f>
        <v> </v>
      </c>
      <c r="L115" s="6" t="str">
        <f aca="false">IF(E115="LDR",F115," ")</f>
        <v> </v>
      </c>
      <c r="M115" s="6" t="str">
        <f aca="false">IF(E115="LCR",F115," ")</f>
        <v> </v>
      </c>
      <c r="N115" s="6" t="str">
        <f aca="false">IF(E115="RV",F115," ")</f>
        <v> </v>
      </c>
      <c r="O115" s="6" t="str">
        <f aca="false">IF(E115="RC",F115," ")</f>
        <v> </v>
      </c>
      <c r="P115" s="6" t="str">
        <f aca="false">IF(E115="DL",F115," ")</f>
        <v> </v>
      </c>
      <c r="Q115" s="6" t="str">
        <f aca="false">IF(E115="X",F115," ")</f>
        <v> </v>
      </c>
      <c r="R115" s="37"/>
      <c r="W115" s="6" t="str">
        <f aca="false">IF(X115&lt;&gt;0,"Enter Code"," ")</f>
        <v> </v>
      </c>
      <c r="Y115" s="6" t="str">
        <f aca="false">IF(W115="BB",X115," ")</f>
        <v> </v>
      </c>
      <c r="Z115" s="6" t="str">
        <f aca="false">IF(W115="BD",X115," ")</f>
        <v> </v>
      </c>
      <c r="AA115" s="6" t="str">
        <f aca="false">IF(W115="BC",X115," ")</f>
        <v> </v>
      </c>
      <c r="AB115" s="6" t="str">
        <f aca="false">IF(W115="CR",X115," ")</f>
        <v> </v>
      </c>
      <c r="AC115" s="6" t="str">
        <f aca="false">IF(W115="W",X115," ")</f>
        <v> </v>
      </c>
      <c r="AD115" s="6" t="str">
        <f aca="false">IF(W115="B",X115," ")</f>
        <v> </v>
      </c>
      <c r="AE115" s="6" t="str">
        <f aca="false">IF(W115="J",X115," ")</f>
        <v> </v>
      </c>
      <c r="AF115" s="6" t="str">
        <f aca="false">IF(W115="LDR",X115," ")</f>
        <v> </v>
      </c>
      <c r="AG115" s="6" t="str">
        <f aca="false">IF(W115="LCR",X115," ")</f>
        <v> </v>
      </c>
      <c r="AH115" s="6" t="str">
        <f aca="false">IF(W115="RP",X115," ")</f>
        <v> </v>
      </c>
      <c r="AI115" s="6" t="str">
        <f aca="false">IF(W115="RV",X115," ")</f>
        <v> </v>
      </c>
      <c r="AJ115" s="6" t="str">
        <f aca="false">IF(W115="RC",X115," ")</f>
        <v> </v>
      </c>
      <c r="AK115" s="6" t="str">
        <f aca="false">IF(W115="RT",X115," ")</f>
        <v> </v>
      </c>
      <c r="AL115" s="6" t="str">
        <f aca="false">IF(W115="DV",X115," ")</f>
        <v> </v>
      </c>
      <c r="AM115" s="6" t="str">
        <f aca="false">IF(W115="DL",X115," ")</f>
        <v> </v>
      </c>
      <c r="AN115" s="6" t="str">
        <f aca="false">IF(W115="X",X115," ")</f>
        <v> </v>
      </c>
    </row>
    <row r="116" customFormat="false" ht="12" hidden="false" customHeight="false" outlineLevel="0" collapsed="false">
      <c r="E116" s="5" t="str">
        <f aca="false">IF(F116&lt;&gt;0,"Enter Code"," ")</f>
        <v> </v>
      </c>
      <c r="G116" s="6" t="str">
        <f aca="false">IF(E116="BB",F116," ")</f>
        <v> </v>
      </c>
      <c r="H116" s="6" t="str">
        <f aca="false">IF(E116="BD",F116," ")</f>
        <v> </v>
      </c>
      <c r="I116" s="6" t="str">
        <f aca="false">IF(E116="BC",F116," ")</f>
        <v> </v>
      </c>
      <c r="J116" s="6" t="str">
        <f aca="false">IF(E116="DR",F116," ")</f>
        <v> </v>
      </c>
      <c r="K116" s="6" t="str">
        <f aca="false">IF(E116="K",F116," ")</f>
        <v> </v>
      </c>
      <c r="L116" s="6" t="str">
        <f aca="false">IF(E116="LDR",F116," ")</f>
        <v> </v>
      </c>
      <c r="M116" s="6" t="str">
        <f aca="false">IF(E116="LCR",F116," ")</f>
        <v> </v>
      </c>
      <c r="N116" s="6" t="str">
        <f aca="false">IF(E116="RV",F116," ")</f>
        <v> </v>
      </c>
      <c r="O116" s="6" t="str">
        <f aca="false">IF(E116="RC",F116," ")</f>
        <v> </v>
      </c>
      <c r="P116" s="6" t="str">
        <f aca="false">IF(E116="DL",F116," ")</f>
        <v> </v>
      </c>
      <c r="Q116" s="6" t="str">
        <f aca="false">IF(E116="X",F116," ")</f>
        <v> </v>
      </c>
      <c r="R116" s="37"/>
      <c r="W116" s="6" t="str">
        <f aca="false">IF(X116&lt;&gt;0,"Enter Code"," ")</f>
        <v> </v>
      </c>
      <c r="Y116" s="6" t="str">
        <f aca="false">IF(W116="BB",X116," ")</f>
        <v> </v>
      </c>
      <c r="Z116" s="6" t="str">
        <f aca="false">IF(W116="BD",X116," ")</f>
        <v> </v>
      </c>
      <c r="AA116" s="6" t="str">
        <f aca="false">IF(W116="BC",X116," ")</f>
        <v> </v>
      </c>
      <c r="AB116" s="6" t="str">
        <f aca="false">IF(W116="CR",X116," ")</f>
        <v> </v>
      </c>
      <c r="AC116" s="6" t="str">
        <f aca="false">IF(W116="W",X116," ")</f>
        <v> </v>
      </c>
      <c r="AD116" s="6" t="str">
        <f aca="false">IF(W116="B",X116," ")</f>
        <v> </v>
      </c>
      <c r="AE116" s="6" t="str">
        <f aca="false">IF(W116="J",X116," ")</f>
        <v> </v>
      </c>
      <c r="AF116" s="6" t="str">
        <f aca="false">IF(W116="LDR",X116," ")</f>
        <v> </v>
      </c>
      <c r="AG116" s="6" t="str">
        <f aca="false">IF(W116="LCR",X116," ")</f>
        <v> </v>
      </c>
      <c r="AH116" s="6" t="str">
        <f aca="false">IF(W116="RP",X116," ")</f>
        <v> </v>
      </c>
      <c r="AI116" s="6" t="str">
        <f aca="false">IF(W116="RV",X116," ")</f>
        <v> </v>
      </c>
      <c r="AJ116" s="6" t="str">
        <f aca="false">IF(W116="RC",X116," ")</f>
        <v> </v>
      </c>
      <c r="AK116" s="6" t="str">
        <f aca="false">IF(W116="RT",X116," ")</f>
        <v> </v>
      </c>
      <c r="AL116" s="6" t="str">
        <f aca="false">IF(W116="DV",X116," ")</f>
        <v> </v>
      </c>
      <c r="AM116" s="6" t="str">
        <f aca="false">IF(W116="DL",X116," ")</f>
        <v> </v>
      </c>
      <c r="AN116" s="6" t="str">
        <f aca="false">IF(W116="X",X116," ")</f>
        <v> </v>
      </c>
    </row>
    <row r="117" customFormat="false" ht="12" hidden="false" customHeight="false" outlineLevel="0" collapsed="false">
      <c r="E117" s="5" t="str">
        <f aca="false">IF(F117&lt;&gt;0,"Enter Code"," ")</f>
        <v> </v>
      </c>
      <c r="G117" s="6" t="str">
        <f aca="false">IF(E117="BB",F117," ")</f>
        <v> </v>
      </c>
      <c r="H117" s="6" t="str">
        <f aca="false">IF(E117="BD",F117," ")</f>
        <v> </v>
      </c>
      <c r="I117" s="6" t="str">
        <f aca="false">IF(E117="BC",F117," ")</f>
        <v> </v>
      </c>
      <c r="J117" s="6" t="str">
        <f aca="false">IF(E117="DR",F117," ")</f>
        <v> </v>
      </c>
      <c r="K117" s="6" t="str">
        <f aca="false">IF(E117="K",F117," ")</f>
        <v> </v>
      </c>
      <c r="L117" s="6" t="str">
        <f aca="false">IF(E117="LDR",F117," ")</f>
        <v> </v>
      </c>
      <c r="M117" s="6" t="str">
        <f aca="false">IF(E117="LCR",F117," ")</f>
        <v> </v>
      </c>
      <c r="N117" s="6" t="str">
        <f aca="false">IF(E117="RV",F117," ")</f>
        <v> </v>
      </c>
      <c r="O117" s="6" t="str">
        <f aca="false">IF(E117="RC",F117," ")</f>
        <v> </v>
      </c>
      <c r="P117" s="6" t="str">
        <f aca="false">IF(E117="DL",F117," ")</f>
        <v> </v>
      </c>
      <c r="Q117" s="6" t="str">
        <f aca="false">IF(E117="X",F117," ")</f>
        <v> </v>
      </c>
      <c r="R117" s="37"/>
      <c r="W117" s="6" t="str">
        <f aca="false">IF(X117&lt;&gt;0,"Enter Code"," ")</f>
        <v> </v>
      </c>
      <c r="Y117" s="6" t="str">
        <f aca="false">IF(W117="BB",X117," ")</f>
        <v> </v>
      </c>
      <c r="Z117" s="6" t="str">
        <f aca="false">IF(W117="BD",X117," ")</f>
        <v> </v>
      </c>
      <c r="AA117" s="6" t="str">
        <f aca="false">IF(W117="BC",X117," ")</f>
        <v> </v>
      </c>
      <c r="AB117" s="6" t="str">
        <f aca="false">IF(W117="CR",X117," ")</f>
        <v> </v>
      </c>
      <c r="AC117" s="6" t="str">
        <f aca="false">IF(W117="W",X117," ")</f>
        <v> </v>
      </c>
      <c r="AD117" s="6" t="str">
        <f aca="false">IF(W117="B",X117," ")</f>
        <v> </v>
      </c>
      <c r="AE117" s="6" t="str">
        <f aca="false">IF(W117="J",X117," ")</f>
        <v> </v>
      </c>
      <c r="AF117" s="6" t="str">
        <f aca="false">IF(W117="LDR",X117," ")</f>
        <v> </v>
      </c>
      <c r="AG117" s="6" t="str">
        <f aca="false">IF(W117="LCR",X117," ")</f>
        <v> </v>
      </c>
      <c r="AH117" s="6" t="str">
        <f aca="false">IF(W117="RP",X117," ")</f>
        <v> </v>
      </c>
      <c r="AI117" s="6" t="str">
        <f aca="false">IF(W117="RV",X117," ")</f>
        <v> </v>
      </c>
      <c r="AJ117" s="6" t="str">
        <f aca="false">IF(W117="RC",X117," ")</f>
        <v> </v>
      </c>
      <c r="AK117" s="6" t="str">
        <f aca="false">IF(W117="RT",X117," ")</f>
        <v> </v>
      </c>
      <c r="AL117" s="6" t="str">
        <f aca="false">IF(W117="DV",X117," ")</f>
        <v> </v>
      </c>
      <c r="AM117" s="6" t="str">
        <f aca="false">IF(W117="DL",X117," ")</f>
        <v> </v>
      </c>
      <c r="AN117" s="6" t="str">
        <f aca="false">IF(W117="X",X117," ")</f>
        <v> </v>
      </c>
    </row>
    <row r="118" customFormat="false" ht="12" hidden="false" customHeight="false" outlineLevel="0" collapsed="false">
      <c r="E118" s="5" t="str">
        <f aca="false">IF(F118&lt;&gt;0,"Enter Code"," ")</f>
        <v> </v>
      </c>
      <c r="G118" s="6" t="str">
        <f aca="false">IF(E118="BB",F118," ")</f>
        <v> </v>
      </c>
      <c r="H118" s="6" t="str">
        <f aca="false">IF(E118="BD",F118," ")</f>
        <v> </v>
      </c>
      <c r="I118" s="6" t="str">
        <f aca="false">IF(E118="BC",F118," ")</f>
        <v> </v>
      </c>
      <c r="J118" s="6" t="str">
        <f aca="false">IF(E118="DR",F118," ")</f>
        <v> </v>
      </c>
      <c r="K118" s="6" t="str">
        <f aca="false">IF(E118="K",F118," ")</f>
        <v> </v>
      </c>
      <c r="L118" s="6" t="str">
        <f aca="false">IF(E118="LDR",F118," ")</f>
        <v> </v>
      </c>
      <c r="M118" s="6" t="str">
        <f aca="false">IF(E118="LCR",F118," ")</f>
        <v> </v>
      </c>
      <c r="N118" s="6" t="str">
        <f aca="false">IF(E118="RV",F118," ")</f>
        <v> </v>
      </c>
      <c r="O118" s="6" t="str">
        <f aca="false">IF(E118="RC",F118," ")</f>
        <v> </v>
      </c>
      <c r="P118" s="6" t="str">
        <f aca="false">IF(E118="DL",F118," ")</f>
        <v> </v>
      </c>
      <c r="Q118" s="6" t="str">
        <f aca="false">IF(E118="X",F118," ")</f>
        <v> </v>
      </c>
      <c r="R118" s="37"/>
      <c r="W118" s="6" t="str">
        <f aca="false">IF(X118&lt;&gt;0,"Enter Code"," ")</f>
        <v> </v>
      </c>
      <c r="Y118" s="6" t="str">
        <f aca="false">IF(W118="BB",X118," ")</f>
        <v> </v>
      </c>
      <c r="Z118" s="6" t="str">
        <f aca="false">IF(W118="BD",X118," ")</f>
        <v> </v>
      </c>
      <c r="AA118" s="6" t="str">
        <f aca="false">IF(W118="BC",X118," ")</f>
        <v> </v>
      </c>
      <c r="AB118" s="6" t="str">
        <f aca="false">IF(W118="CR",X118," ")</f>
        <v> </v>
      </c>
      <c r="AC118" s="6" t="str">
        <f aca="false">IF(W118="W",X118," ")</f>
        <v> </v>
      </c>
      <c r="AD118" s="6" t="str">
        <f aca="false">IF(W118="B",X118," ")</f>
        <v> </v>
      </c>
      <c r="AE118" s="6" t="str">
        <f aca="false">IF(W118="J",X118," ")</f>
        <v> </v>
      </c>
      <c r="AF118" s="6" t="str">
        <f aca="false">IF(W118="LDR",X118," ")</f>
        <v> </v>
      </c>
      <c r="AG118" s="6" t="str">
        <f aca="false">IF(W118="LCR",X118," ")</f>
        <v> </v>
      </c>
      <c r="AH118" s="6" t="str">
        <f aca="false">IF(W118="RP",X118," ")</f>
        <v> </v>
      </c>
      <c r="AI118" s="6" t="str">
        <f aca="false">IF(W118="RV",X118," ")</f>
        <v> </v>
      </c>
      <c r="AJ118" s="6" t="str">
        <f aca="false">IF(W118="RC",X118," ")</f>
        <v> </v>
      </c>
      <c r="AK118" s="6" t="str">
        <f aca="false">IF(W118="RT",X118," ")</f>
        <v> </v>
      </c>
      <c r="AL118" s="6" t="str">
        <f aca="false">IF(W118="DV",X118," ")</f>
        <v> </v>
      </c>
      <c r="AM118" s="6" t="str">
        <f aca="false">IF(W118="DL",X118," ")</f>
        <v> </v>
      </c>
      <c r="AN118" s="6" t="str">
        <f aca="false">IF(W118="X",X118," ")</f>
        <v> </v>
      </c>
    </row>
    <row r="119" customFormat="false" ht="12" hidden="false" customHeight="false" outlineLevel="0" collapsed="false">
      <c r="E119" s="5" t="str">
        <f aca="false">IF(F119&lt;&gt;0,"Enter Code"," ")</f>
        <v> </v>
      </c>
      <c r="G119" s="6" t="str">
        <f aca="false">IF(E119="BB",F119," ")</f>
        <v> </v>
      </c>
      <c r="H119" s="6" t="str">
        <f aca="false">IF(E119="BD",F119," ")</f>
        <v> </v>
      </c>
      <c r="I119" s="6" t="str">
        <f aca="false">IF(E119="BC",F119," ")</f>
        <v> </v>
      </c>
      <c r="J119" s="6" t="str">
        <f aca="false">IF(E119="DR",F119," ")</f>
        <v> </v>
      </c>
      <c r="K119" s="6" t="str">
        <f aca="false">IF(E119="K",F119," ")</f>
        <v> </v>
      </c>
      <c r="L119" s="6" t="str">
        <f aca="false">IF(E119="LDR",F119," ")</f>
        <v> </v>
      </c>
      <c r="M119" s="6" t="str">
        <f aca="false">IF(E119="LCR",F119," ")</f>
        <v> </v>
      </c>
      <c r="N119" s="6" t="str">
        <f aca="false">IF(E119="RV",F119," ")</f>
        <v> </v>
      </c>
      <c r="O119" s="6" t="str">
        <f aca="false">IF(E119="RC",F119," ")</f>
        <v> </v>
      </c>
      <c r="P119" s="6" t="str">
        <f aca="false">IF(E119="DL",F119," ")</f>
        <v> </v>
      </c>
      <c r="Q119" s="6" t="str">
        <f aca="false">IF(E119="X",F119," ")</f>
        <v> </v>
      </c>
      <c r="R119" s="37"/>
      <c r="W119" s="6" t="str">
        <f aca="false">IF(X119&lt;&gt;0,"Enter Code"," ")</f>
        <v> </v>
      </c>
      <c r="Y119" s="6" t="str">
        <f aca="false">IF(W119="BB",X119," ")</f>
        <v> </v>
      </c>
      <c r="Z119" s="6" t="str">
        <f aca="false">IF(W119="BD",X119," ")</f>
        <v> </v>
      </c>
      <c r="AA119" s="6" t="str">
        <f aca="false">IF(W119="BC",X119," ")</f>
        <v> </v>
      </c>
      <c r="AB119" s="6" t="str">
        <f aca="false">IF(W119="CR",X119," ")</f>
        <v> </v>
      </c>
      <c r="AC119" s="6" t="str">
        <f aca="false">IF(W119="W",X119," ")</f>
        <v> </v>
      </c>
      <c r="AD119" s="6" t="str">
        <f aca="false">IF(W119="B",X119," ")</f>
        <v> </v>
      </c>
      <c r="AE119" s="6" t="str">
        <f aca="false">IF(W119="J",X119," ")</f>
        <v> </v>
      </c>
      <c r="AF119" s="6" t="str">
        <f aca="false">IF(W119="LDR",X119," ")</f>
        <v> </v>
      </c>
      <c r="AG119" s="6" t="str">
        <f aca="false">IF(W119="LCR",X119," ")</f>
        <v> </v>
      </c>
      <c r="AH119" s="6" t="str">
        <f aca="false">IF(W119="RP",X119," ")</f>
        <v> </v>
      </c>
      <c r="AI119" s="6" t="str">
        <f aca="false">IF(W119="RV",X119," ")</f>
        <v> </v>
      </c>
      <c r="AJ119" s="6" t="str">
        <f aca="false">IF(W119="RC",X119," ")</f>
        <v> </v>
      </c>
      <c r="AK119" s="6" t="str">
        <f aca="false">IF(W119="RT",X119," ")</f>
        <v> </v>
      </c>
      <c r="AL119" s="6" t="str">
        <f aca="false">IF(W119="DV",X119," ")</f>
        <v> </v>
      </c>
      <c r="AM119" s="6" t="str">
        <f aca="false">IF(W119="DL",X119," ")</f>
        <v> </v>
      </c>
      <c r="AN119" s="6" t="str">
        <f aca="false">IF(W119="X",X119," ")</f>
        <v> </v>
      </c>
    </row>
    <row r="120" customFormat="false" ht="12" hidden="false" customHeight="false" outlineLevel="0" collapsed="false">
      <c r="E120" s="5" t="str">
        <f aca="false">IF(F120&lt;&gt;0,"Enter Code"," ")</f>
        <v> </v>
      </c>
      <c r="G120" s="6" t="str">
        <f aca="false">IF(E120="BB",F120," ")</f>
        <v> </v>
      </c>
      <c r="H120" s="6" t="str">
        <f aca="false">IF(E120="BD",F120," ")</f>
        <v> </v>
      </c>
      <c r="I120" s="6" t="str">
        <f aca="false">IF(E120="BC",F120," ")</f>
        <v> </v>
      </c>
      <c r="J120" s="6" t="str">
        <f aca="false">IF(E120="DR",F120," ")</f>
        <v> </v>
      </c>
      <c r="K120" s="6" t="str">
        <f aca="false">IF(E120="K",F120," ")</f>
        <v> </v>
      </c>
      <c r="L120" s="6" t="str">
        <f aca="false">IF(E120="LDR",F120," ")</f>
        <v> </v>
      </c>
      <c r="M120" s="6" t="str">
        <f aca="false">IF(E120="LCR",F120," ")</f>
        <v> </v>
      </c>
      <c r="N120" s="6" t="str">
        <f aca="false">IF(E120="RV",F120," ")</f>
        <v> </v>
      </c>
      <c r="O120" s="6" t="str">
        <f aca="false">IF(E120="RC",F120," ")</f>
        <v> </v>
      </c>
      <c r="P120" s="6" t="str">
        <f aca="false">IF(E120="DL",F120," ")</f>
        <v> </v>
      </c>
      <c r="Q120" s="6" t="str">
        <f aca="false">IF(E120="X",F120," ")</f>
        <v> </v>
      </c>
      <c r="R120" s="37"/>
      <c r="W120" s="6" t="str">
        <f aca="false">IF(X120&lt;&gt;0,"Enter Code"," ")</f>
        <v> </v>
      </c>
      <c r="Y120" s="6" t="str">
        <f aca="false">IF(W120="BB",X120," ")</f>
        <v> </v>
      </c>
      <c r="Z120" s="6" t="str">
        <f aca="false">IF(W120="BD",X120," ")</f>
        <v> </v>
      </c>
      <c r="AA120" s="6" t="str">
        <f aca="false">IF(W120="BC",X120," ")</f>
        <v> </v>
      </c>
      <c r="AB120" s="6" t="str">
        <f aca="false">IF(W120="CR",X120," ")</f>
        <v> </v>
      </c>
      <c r="AC120" s="6" t="str">
        <f aca="false">IF(W120="W",X120," ")</f>
        <v> </v>
      </c>
      <c r="AD120" s="6" t="str">
        <f aca="false">IF(W120="B",X120," ")</f>
        <v> </v>
      </c>
      <c r="AE120" s="6" t="str">
        <f aca="false">IF(W120="J",X120," ")</f>
        <v> </v>
      </c>
      <c r="AF120" s="6" t="str">
        <f aca="false">IF(W120="LDR",X120," ")</f>
        <v> </v>
      </c>
      <c r="AG120" s="6" t="str">
        <f aca="false">IF(W120="LCR",X120," ")</f>
        <v> </v>
      </c>
      <c r="AH120" s="6" t="str">
        <f aca="false">IF(W120="RP",X120," ")</f>
        <v> </v>
      </c>
      <c r="AI120" s="6" t="str">
        <f aca="false">IF(W120="RV",X120," ")</f>
        <v> </v>
      </c>
      <c r="AJ120" s="6" t="str">
        <f aca="false">IF(W120="RC",X120," ")</f>
        <v> </v>
      </c>
      <c r="AK120" s="6" t="str">
        <f aca="false">IF(W120="RT",X120," ")</f>
        <v> </v>
      </c>
      <c r="AL120" s="6" t="str">
        <f aca="false">IF(W120="DV",X120," ")</f>
        <v> </v>
      </c>
      <c r="AM120" s="6" t="str">
        <f aca="false">IF(W120="DL",X120," ")</f>
        <v> </v>
      </c>
      <c r="AN120" s="6" t="str">
        <f aca="false">IF(W120="X",X120," ")</f>
        <v> </v>
      </c>
    </row>
    <row r="121" customFormat="false" ht="12" hidden="false" customHeight="false" outlineLevel="0" collapsed="false">
      <c r="E121" s="5" t="str">
        <f aca="false">IF(F121&lt;&gt;0,"Enter Code"," ")</f>
        <v> </v>
      </c>
      <c r="G121" s="6" t="str">
        <f aca="false">IF(E121="BB",F121," ")</f>
        <v> </v>
      </c>
      <c r="H121" s="6" t="str">
        <f aca="false">IF(E121="BD",F121," ")</f>
        <v> </v>
      </c>
      <c r="I121" s="6" t="str">
        <f aca="false">IF(E121="BC",F121," ")</f>
        <v> </v>
      </c>
      <c r="J121" s="6" t="str">
        <f aca="false">IF(E121="DR",F121," ")</f>
        <v> </v>
      </c>
      <c r="K121" s="6" t="str">
        <f aca="false">IF(E121="K",F121," ")</f>
        <v> </v>
      </c>
      <c r="L121" s="6" t="str">
        <f aca="false">IF(E121="LDR",F121," ")</f>
        <v> </v>
      </c>
      <c r="M121" s="6" t="str">
        <f aca="false">IF(E121="LCR",F121," ")</f>
        <v> </v>
      </c>
      <c r="N121" s="6" t="str">
        <f aca="false">IF(E121="RV",F121," ")</f>
        <v> </v>
      </c>
      <c r="O121" s="6" t="str">
        <f aca="false">IF(E121="RC",F121," ")</f>
        <v> </v>
      </c>
      <c r="P121" s="6" t="str">
        <f aca="false">IF(E121="DL",F121," ")</f>
        <v> </v>
      </c>
      <c r="Q121" s="6" t="str">
        <f aca="false">IF(E121="X",F121," ")</f>
        <v> </v>
      </c>
      <c r="R121" s="37"/>
      <c r="W121" s="6" t="str">
        <f aca="false">IF(X121&lt;&gt;0,"Enter Code"," ")</f>
        <v> </v>
      </c>
      <c r="Y121" s="6" t="str">
        <f aca="false">IF(W121="BB",X121," ")</f>
        <v> </v>
      </c>
      <c r="Z121" s="6" t="str">
        <f aca="false">IF(W121="BD",X121," ")</f>
        <v> </v>
      </c>
      <c r="AA121" s="6" t="str">
        <f aca="false">IF(W121="BC",X121," ")</f>
        <v> </v>
      </c>
      <c r="AB121" s="6" t="str">
        <f aca="false">IF(W121="CR",X121," ")</f>
        <v> </v>
      </c>
      <c r="AC121" s="6" t="str">
        <f aca="false">IF(W121="W",X121," ")</f>
        <v> </v>
      </c>
      <c r="AD121" s="6" t="str">
        <f aca="false">IF(W121="B",X121," ")</f>
        <v> </v>
      </c>
      <c r="AE121" s="6" t="str">
        <f aca="false">IF(W121="J",X121," ")</f>
        <v> </v>
      </c>
      <c r="AF121" s="6" t="str">
        <f aca="false">IF(W121="LDR",X121," ")</f>
        <v> </v>
      </c>
      <c r="AG121" s="6" t="str">
        <f aca="false">IF(W121="LCR",X121," ")</f>
        <v> </v>
      </c>
      <c r="AH121" s="6" t="str">
        <f aca="false">IF(W121="RP",X121," ")</f>
        <v> </v>
      </c>
      <c r="AI121" s="6" t="str">
        <f aca="false">IF(W121="RV",X121," ")</f>
        <v> </v>
      </c>
      <c r="AJ121" s="6" t="str">
        <f aca="false">IF(W121="RC",X121," ")</f>
        <v> </v>
      </c>
      <c r="AK121" s="6" t="str">
        <f aca="false">IF(W121="RT",X121," ")</f>
        <v> </v>
      </c>
      <c r="AL121" s="6" t="str">
        <f aca="false">IF(W121="DV",X121," ")</f>
        <v> </v>
      </c>
      <c r="AM121" s="6" t="str">
        <f aca="false">IF(W121="DL",X121," ")</f>
        <v> </v>
      </c>
      <c r="AN121" s="6" t="str">
        <f aca="false">IF(W121="X",X121," ")</f>
        <v> </v>
      </c>
    </row>
    <row r="122" customFormat="false" ht="12" hidden="false" customHeight="false" outlineLevel="0" collapsed="false">
      <c r="E122" s="5" t="str">
        <f aca="false">IF(F122&lt;&gt;0,"Enter Code"," ")</f>
        <v> </v>
      </c>
      <c r="G122" s="6" t="str">
        <f aca="false">IF(E122="BB",F122," ")</f>
        <v> </v>
      </c>
      <c r="H122" s="6" t="str">
        <f aca="false">IF(E122="BD",F122," ")</f>
        <v> </v>
      </c>
      <c r="I122" s="6" t="str">
        <f aca="false">IF(E122="BC",F122," ")</f>
        <v> </v>
      </c>
      <c r="J122" s="6" t="str">
        <f aca="false">IF(E122="DR",F122," ")</f>
        <v> </v>
      </c>
      <c r="K122" s="6" t="str">
        <f aca="false">IF(E122="K",F122," ")</f>
        <v> </v>
      </c>
      <c r="L122" s="6" t="str">
        <f aca="false">IF(E122="LDR",F122," ")</f>
        <v> </v>
      </c>
      <c r="M122" s="6" t="str">
        <f aca="false">IF(E122="LCR",F122," ")</f>
        <v> </v>
      </c>
      <c r="N122" s="6" t="str">
        <f aca="false">IF(E122="RV",F122," ")</f>
        <v> </v>
      </c>
      <c r="O122" s="6" t="str">
        <f aca="false">IF(E122="RC",F122," ")</f>
        <v> </v>
      </c>
      <c r="P122" s="6" t="str">
        <f aca="false">IF(E122="DL",F122," ")</f>
        <v> </v>
      </c>
      <c r="Q122" s="6" t="str">
        <f aca="false">IF(E122="X",F122," ")</f>
        <v> </v>
      </c>
      <c r="R122" s="37"/>
      <c r="W122" s="6" t="str">
        <f aca="false">IF(X122&lt;&gt;0,"Enter Code"," ")</f>
        <v> </v>
      </c>
      <c r="Y122" s="6" t="str">
        <f aca="false">IF(W122="BB",X122," ")</f>
        <v> </v>
      </c>
      <c r="Z122" s="6" t="str">
        <f aca="false">IF(W122="BD",X122," ")</f>
        <v> </v>
      </c>
      <c r="AA122" s="6" t="str">
        <f aca="false">IF(W122="BC",X122," ")</f>
        <v> </v>
      </c>
      <c r="AB122" s="6" t="str">
        <f aca="false">IF(W122="CR",X122," ")</f>
        <v> </v>
      </c>
      <c r="AC122" s="6" t="str">
        <f aca="false">IF(W122="W",X122," ")</f>
        <v> </v>
      </c>
      <c r="AD122" s="6" t="str">
        <f aca="false">IF(W122="B",X122," ")</f>
        <v> </v>
      </c>
      <c r="AE122" s="6" t="str">
        <f aca="false">IF(W122="J",X122," ")</f>
        <v> </v>
      </c>
      <c r="AF122" s="6" t="str">
        <f aca="false">IF(W122="LDR",X122," ")</f>
        <v> </v>
      </c>
      <c r="AG122" s="6" t="str">
        <f aca="false">IF(W122="LCR",X122," ")</f>
        <v> </v>
      </c>
      <c r="AH122" s="6" t="str">
        <f aca="false">IF(W122="RP",X122," ")</f>
        <v> </v>
      </c>
      <c r="AI122" s="6" t="str">
        <f aca="false">IF(W122="RV",X122," ")</f>
        <v> </v>
      </c>
      <c r="AJ122" s="6" t="str">
        <f aca="false">IF(W122="RC",X122," ")</f>
        <v> </v>
      </c>
      <c r="AK122" s="6" t="str">
        <f aca="false">IF(W122="RT",X122," ")</f>
        <v> </v>
      </c>
      <c r="AL122" s="6" t="str">
        <f aca="false">IF(W122="DV",X122," ")</f>
        <v> </v>
      </c>
      <c r="AM122" s="6" t="str">
        <f aca="false">IF(W122="DL",X122," ")</f>
        <v> </v>
      </c>
      <c r="AN122" s="6" t="str">
        <f aca="false">IF(W122="X",X122," ")</f>
        <v> </v>
      </c>
    </row>
    <row r="123" customFormat="false" ht="12" hidden="false" customHeight="false" outlineLevel="0" collapsed="false">
      <c r="E123" s="5" t="str">
        <f aca="false">IF(F123&lt;&gt;0,"Enter Code"," ")</f>
        <v> </v>
      </c>
      <c r="G123" s="6" t="str">
        <f aca="false">IF(E123="BB",F123," ")</f>
        <v> </v>
      </c>
      <c r="H123" s="6" t="str">
        <f aca="false">IF(E123="BD",F123," ")</f>
        <v> </v>
      </c>
      <c r="I123" s="6" t="str">
        <f aca="false">IF(E123="BC",F123," ")</f>
        <v> </v>
      </c>
      <c r="J123" s="6" t="str">
        <f aca="false">IF(E123="DR",F123," ")</f>
        <v> </v>
      </c>
      <c r="K123" s="6" t="str">
        <f aca="false">IF(E123="K",F123," ")</f>
        <v> </v>
      </c>
      <c r="L123" s="6" t="str">
        <f aca="false">IF(E123="LDR",F123," ")</f>
        <v> </v>
      </c>
      <c r="M123" s="6" t="str">
        <f aca="false">IF(E123="LCR",F123," ")</f>
        <v> </v>
      </c>
      <c r="N123" s="6" t="str">
        <f aca="false">IF(E123="RV",F123," ")</f>
        <v> </v>
      </c>
      <c r="O123" s="6" t="str">
        <f aca="false">IF(E123="RC",F123," ")</f>
        <v> </v>
      </c>
      <c r="P123" s="6" t="str">
        <f aca="false">IF(E123="DL",F123," ")</f>
        <v> </v>
      </c>
      <c r="Q123" s="6" t="str">
        <f aca="false">IF(E123="X",F123," ")</f>
        <v> </v>
      </c>
      <c r="R123" s="37"/>
      <c r="W123" s="6" t="str">
        <f aca="false">IF(X123&lt;&gt;0,"Enter Code"," ")</f>
        <v> </v>
      </c>
      <c r="Y123" s="6" t="str">
        <f aca="false">IF(W123="BB",X123," ")</f>
        <v> </v>
      </c>
      <c r="Z123" s="6" t="str">
        <f aca="false">IF(W123="BD",X123," ")</f>
        <v> </v>
      </c>
      <c r="AA123" s="6" t="str">
        <f aca="false">IF(W123="BC",X123," ")</f>
        <v> </v>
      </c>
      <c r="AB123" s="6" t="str">
        <f aca="false">IF(W123="CR",X123," ")</f>
        <v> </v>
      </c>
      <c r="AC123" s="6" t="str">
        <f aca="false">IF(W123="W",X123," ")</f>
        <v> </v>
      </c>
      <c r="AD123" s="6" t="str">
        <f aca="false">IF(W123="B",X123," ")</f>
        <v> </v>
      </c>
      <c r="AE123" s="6" t="str">
        <f aca="false">IF(W123="J",X123," ")</f>
        <v> </v>
      </c>
      <c r="AF123" s="6" t="str">
        <f aca="false">IF(W123="LDR",X123," ")</f>
        <v> </v>
      </c>
      <c r="AG123" s="6" t="str">
        <f aca="false">IF(W123="LCR",X123," ")</f>
        <v> </v>
      </c>
      <c r="AH123" s="6" t="str">
        <f aca="false">IF(W123="RP",X123," ")</f>
        <v> </v>
      </c>
      <c r="AI123" s="6" t="str">
        <f aca="false">IF(W123="RV",X123," ")</f>
        <v> </v>
      </c>
      <c r="AJ123" s="6" t="str">
        <f aca="false">IF(W123="RC",X123," ")</f>
        <v> </v>
      </c>
      <c r="AK123" s="6" t="str">
        <f aca="false">IF(W123="RT",X123," ")</f>
        <v> </v>
      </c>
      <c r="AL123" s="6" t="str">
        <f aca="false">IF(W123="DV",X123," ")</f>
        <v> </v>
      </c>
      <c r="AM123" s="6" t="str">
        <f aca="false">IF(W123="DL",X123," ")</f>
        <v> </v>
      </c>
      <c r="AN123" s="6" t="str">
        <f aca="false">IF(W123="X",X123," ")</f>
        <v> </v>
      </c>
    </row>
    <row r="124" customFormat="false" ht="12" hidden="false" customHeight="false" outlineLevel="0" collapsed="false">
      <c r="E124" s="5" t="str">
        <f aca="false">IF(F124&lt;&gt;0,"Enter Code"," ")</f>
        <v> </v>
      </c>
      <c r="G124" s="6" t="str">
        <f aca="false">IF(E124="BB",F124," ")</f>
        <v> </v>
      </c>
      <c r="H124" s="6" t="str">
        <f aca="false">IF(E124="BD",F124," ")</f>
        <v> </v>
      </c>
      <c r="I124" s="6" t="str">
        <f aca="false">IF(E124="BC",F124," ")</f>
        <v> </v>
      </c>
      <c r="J124" s="6" t="str">
        <f aca="false">IF(E124="DR",F124," ")</f>
        <v> </v>
      </c>
      <c r="K124" s="6" t="str">
        <f aca="false">IF(E124="K",F124," ")</f>
        <v> </v>
      </c>
      <c r="L124" s="6" t="str">
        <f aca="false">IF(E124="LDR",F124," ")</f>
        <v> </v>
      </c>
      <c r="M124" s="6" t="str">
        <f aca="false">IF(E124="LCR",F124," ")</f>
        <v> </v>
      </c>
      <c r="N124" s="6" t="str">
        <f aca="false">IF(E124="RV",F124," ")</f>
        <v> </v>
      </c>
      <c r="O124" s="6" t="str">
        <f aca="false">IF(E124="RC",F124," ")</f>
        <v> </v>
      </c>
      <c r="P124" s="6" t="str">
        <f aca="false">IF(E124="DL",F124," ")</f>
        <v> </v>
      </c>
      <c r="Q124" s="6" t="str">
        <f aca="false">IF(E124="X",F124," ")</f>
        <v> </v>
      </c>
      <c r="R124" s="37"/>
      <c r="W124" s="6" t="str">
        <f aca="false">IF(X124&lt;&gt;0,"Enter Code"," ")</f>
        <v> </v>
      </c>
      <c r="Y124" s="6" t="str">
        <f aca="false">IF(W124="BB",X124," ")</f>
        <v> </v>
      </c>
      <c r="Z124" s="6" t="str">
        <f aca="false">IF(W124="BD",X124," ")</f>
        <v> </v>
      </c>
      <c r="AA124" s="6" t="str">
        <f aca="false">IF(W124="BC",X124," ")</f>
        <v> </v>
      </c>
      <c r="AB124" s="6" t="str">
        <f aca="false">IF(W124="CR",X124," ")</f>
        <v> </v>
      </c>
      <c r="AC124" s="6" t="str">
        <f aca="false">IF(W124="W",X124," ")</f>
        <v> </v>
      </c>
      <c r="AD124" s="6" t="str">
        <f aca="false">IF(W124="B",X124," ")</f>
        <v> </v>
      </c>
      <c r="AE124" s="6" t="str">
        <f aca="false">IF(W124="J",X124," ")</f>
        <v> </v>
      </c>
      <c r="AF124" s="6" t="str">
        <f aca="false">IF(W124="LDR",X124," ")</f>
        <v> </v>
      </c>
      <c r="AG124" s="6" t="str">
        <f aca="false">IF(W124="LCR",X124," ")</f>
        <v> </v>
      </c>
      <c r="AH124" s="6" t="str">
        <f aca="false">IF(W124="RP",X124," ")</f>
        <v> </v>
      </c>
      <c r="AI124" s="6" t="str">
        <f aca="false">IF(W124="RV",X124," ")</f>
        <v> </v>
      </c>
      <c r="AJ124" s="6" t="str">
        <f aca="false">IF(W124="RC",X124," ")</f>
        <v> </v>
      </c>
      <c r="AK124" s="6" t="str">
        <f aca="false">IF(W124="RT",X124," ")</f>
        <v> </v>
      </c>
      <c r="AL124" s="6" t="str">
        <f aca="false">IF(W124="DV",X124," ")</f>
        <v> </v>
      </c>
      <c r="AM124" s="6" t="str">
        <f aca="false">IF(W124="DL",X124," ")</f>
        <v> </v>
      </c>
      <c r="AN124" s="6" t="str">
        <f aca="false">IF(W124="X",X124," ")</f>
        <v> </v>
      </c>
    </row>
    <row r="125" customFormat="false" ht="12" hidden="false" customHeight="false" outlineLevel="0" collapsed="false">
      <c r="E125" s="5" t="str">
        <f aca="false">IF(F125&lt;&gt;0,"Enter Code"," ")</f>
        <v> </v>
      </c>
      <c r="G125" s="6" t="str">
        <f aca="false">IF(E125="BB",F125," ")</f>
        <v> </v>
      </c>
      <c r="H125" s="6" t="str">
        <f aca="false">IF(E125="BD",F125," ")</f>
        <v> </v>
      </c>
      <c r="I125" s="6" t="str">
        <f aca="false">IF(E125="BC",F125," ")</f>
        <v> </v>
      </c>
      <c r="J125" s="6" t="str">
        <f aca="false">IF(E125="DR",F125," ")</f>
        <v> </v>
      </c>
      <c r="K125" s="6" t="str">
        <f aca="false">IF(E125="K",F125," ")</f>
        <v> </v>
      </c>
      <c r="L125" s="6" t="str">
        <f aca="false">IF(E125="LDR",F125," ")</f>
        <v> </v>
      </c>
      <c r="M125" s="6" t="str">
        <f aca="false">IF(E125="LCR",F125," ")</f>
        <v> </v>
      </c>
      <c r="N125" s="6" t="str">
        <f aca="false">IF(E125="RV",F125," ")</f>
        <v> </v>
      </c>
      <c r="O125" s="6" t="str">
        <f aca="false">IF(E125="RC",F125," ")</f>
        <v> </v>
      </c>
      <c r="P125" s="6" t="str">
        <f aca="false">IF(E125="DL",F125," ")</f>
        <v> </v>
      </c>
      <c r="Q125" s="6" t="str">
        <f aca="false">IF(E125="X",F125," ")</f>
        <v> </v>
      </c>
      <c r="R125" s="37"/>
      <c r="W125" s="6" t="str">
        <f aca="false">IF(X125&lt;&gt;0,"Enter Code"," ")</f>
        <v> </v>
      </c>
      <c r="Y125" s="6" t="str">
        <f aca="false">IF(W125="BB",X125," ")</f>
        <v> </v>
      </c>
      <c r="Z125" s="6" t="str">
        <f aca="false">IF(W125="BD",X125," ")</f>
        <v> </v>
      </c>
      <c r="AA125" s="6" t="str">
        <f aca="false">IF(W125="BC",X125," ")</f>
        <v> </v>
      </c>
      <c r="AB125" s="6" t="str">
        <f aca="false">IF(W125="CR",X125," ")</f>
        <v> </v>
      </c>
      <c r="AC125" s="6" t="str">
        <f aca="false">IF(W125="W",X125," ")</f>
        <v> </v>
      </c>
      <c r="AD125" s="6" t="str">
        <f aca="false">IF(W125="B",X125," ")</f>
        <v> </v>
      </c>
      <c r="AE125" s="6" t="str">
        <f aca="false">IF(W125="J",X125," ")</f>
        <v> </v>
      </c>
      <c r="AF125" s="6" t="str">
        <f aca="false">IF(W125="LDR",X125," ")</f>
        <v> </v>
      </c>
      <c r="AG125" s="6" t="str">
        <f aca="false">IF(W125="LCR",X125," ")</f>
        <v> </v>
      </c>
      <c r="AH125" s="6" t="str">
        <f aca="false">IF(W125="RP",X125," ")</f>
        <v> </v>
      </c>
      <c r="AI125" s="6" t="str">
        <f aca="false">IF(W125="RV",X125," ")</f>
        <v> </v>
      </c>
      <c r="AJ125" s="6" t="str">
        <f aca="false">IF(W125="RC",X125," ")</f>
        <v> </v>
      </c>
      <c r="AK125" s="6" t="str">
        <f aca="false">IF(W125="RT",X125," ")</f>
        <v> </v>
      </c>
      <c r="AL125" s="6" t="str">
        <f aca="false">IF(W125="DV",X125," ")</f>
        <v> </v>
      </c>
      <c r="AM125" s="6" t="str">
        <f aca="false">IF(W125="DL",X125," ")</f>
        <v> </v>
      </c>
      <c r="AN125" s="6" t="str">
        <f aca="false">IF(W125="X",X125," ")</f>
        <v> </v>
      </c>
    </row>
    <row r="126" customFormat="false" ht="12" hidden="false" customHeight="false" outlineLevel="0" collapsed="false">
      <c r="E126" s="5" t="str">
        <f aca="false">IF(F126&lt;&gt;0,"Enter Code"," ")</f>
        <v> </v>
      </c>
      <c r="G126" s="6" t="str">
        <f aca="false">IF(E126="BB",F126," ")</f>
        <v> </v>
      </c>
      <c r="H126" s="6" t="str">
        <f aca="false">IF(E126="BD",F126," ")</f>
        <v> </v>
      </c>
      <c r="I126" s="6" t="str">
        <f aca="false">IF(E126="BC",F126," ")</f>
        <v> </v>
      </c>
      <c r="J126" s="6" t="str">
        <f aca="false">IF(E126="DR",F126," ")</f>
        <v> </v>
      </c>
      <c r="K126" s="6" t="str">
        <f aca="false">IF(E126="K",F126," ")</f>
        <v> </v>
      </c>
      <c r="L126" s="6" t="str">
        <f aca="false">IF(E126="LDR",F126," ")</f>
        <v> </v>
      </c>
      <c r="M126" s="6" t="str">
        <f aca="false">IF(E126="LCR",F126," ")</f>
        <v> </v>
      </c>
      <c r="N126" s="6" t="str">
        <f aca="false">IF(E126="RV",F126," ")</f>
        <v> </v>
      </c>
      <c r="O126" s="6" t="str">
        <f aca="false">IF(E126="RC",F126," ")</f>
        <v> </v>
      </c>
      <c r="P126" s="6" t="str">
        <f aca="false">IF(E126="DL",F126," ")</f>
        <v> </v>
      </c>
      <c r="Q126" s="6" t="str">
        <f aca="false">IF(E126="X",F126," ")</f>
        <v> </v>
      </c>
      <c r="R126" s="37"/>
      <c r="W126" s="6" t="str">
        <f aca="false">IF(X126&lt;&gt;0,"Enter Code"," ")</f>
        <v> </v>
      </c>
      <c r="Y126" s="6" t="str">
        <f aca="false">IF(W126="BB",X126," ")</f>
        <v> </v>
      </c>
      <c r="Z126" s="6" t="str">
        <f aca="false">IF(W126="BD",X126," ")</f>
        <v> </v>
      </c>
      <c r="AA126" s="6" t="str">
        <f aca="false">IF(W126="BC",X126," ")</f>
        <v> </v>
      </c>
      <c r="AB126" s="6" t="str">
        <f aca="false">IF(W126="CR",X126," ")</f>
        <v> </v>
      </c>
      <c r="AC126" s="6" t="str">
        <f aca="false">IF(W126="W",X126," ")</f>
        <v> </v>
      </c>
      <c r="AD126" s="6" t="str">
        <f aca="false">IF(W126="B",X126," ")</f>
        <v> </v>
      </c>
      <c r="AE126" s="6" t="str">
        <f aca="false">IF(W126="J",X126," ")</f>
        <v> </v>
      </c>
      <c r="AF126" s="6" t="str">
        <f aca="false">IF(W126="LDR",X126," ")</f>
        <v> </v>
      </c>
      <c r="AG126" s="6" t="str">
        <f aca="false">IF(W126="LCR",X126," ")</f>
        <v> </v>
      </c>
      <c r="AH126" s="6" t="str">
        <f aca="false">IF(W126="RP",X126," ")</f>
        <v> </v>
      </c>
      <c r="AI126" s="6" t="str">
        <f aca="false">IF(W126="RV",X126," ")</f>
        <v> </v>
      </c>
      <c r="AJ126" s="6" t="str">
        <f aca="false">IF(W126="RC",X126," ")</f>
        <v> </v>
      </c>
      <c r="AK126" s="6" t="str">
        <f aca="false">IF(W126="RT",X126," ")</f>
        <v> </v>
      </c>
      <c r="AL126" s="6" t="str">
        <f aca="false">IF(W126="DV",X126," ")</f>
        <v> </v>
      </c>
      <c r="AM126" s="6" t="str">
        <f aca="false">IF(W126="DL",X126," ")</f>
        <v> </v>
      </c>
      <c r="AN126" s="6" t="str">
        <f aca="false">IF(W126="X",X126," ")</f>
        <v> </v>
      </c>
    </row>
    <row r="127" customFormat="false" ht="12" hidden="false" customHeight="false" outlineLevel="0" collapsed="false">
      <c r="E127" s="5" t="str">
        <f aca="false">IF(F127&lt;&gt;0,"Enter Code"," ")</f>
        <v> </v>
      </c>
      <c r="G127" s="6" t="str">
        <f aca="false">IF(E127="BB",F127," ")</f>
        <v> </v>
      </c>
      <c r="H127" s="6" t="str">
        <f aca="false">IF(E127="BD",F127," ")</f>
        <v> </v>
      </c>
      <c r="I127" s="6" t="str">
        <f aca="false">IF(E127="BC",F127," ")</f>
        <v> </v>
      </c>
      <c r="J127" s="6" t="str">
        <f aca="false">IF(E127="DR",F127," ")</f>
        <v> </v>
      </c>
      <c r="K127" s="6" t="str">
        <f aca="false">IF(E127="K",F127," ")</f>
        <v> </v>
      </c>
      <c r="L127" s="6" t="str">
        <f aca="false">IF(E127="LDR",F127," ")</f>
        <v> </v>
      </c>
      <c r="M127" s="6" t="str">
        <f aca="false">IF(E127="LCR",F127," ")</f>
        <v> </v>
      </c>
      <c r="N127" s="6" t="str">
        <f aca="false">IF(E127="RV",F127," ")</f>
        <v> </v>
      </c>
      <c r="O127" s="6" t="str">
        <f aca="false">IF(E127="RC",F127," ")</f>
        <v> </v>
      </c>
      <c r="P127" s="6" t="str">
        <f aca="false">IF(E127="DL",F127," ")</f>
        <v> </v>
      </c>
      <c r="Q127" s="6" t="str">
        <f aca="false">IF(E127="X",F127," ")</f>
        <v> </v>
      </c>
      <c r="R127" s="37"/>
      <c r="W127" s="6" t="str">
        <f aca="false">IF(X127&lt;&gt;0,"Enter Code"," ")</f>
        <v> </v>
      </c>
      <c r="Y127" s="6" t="str">
        <f aca="false">IF(W127="BB",X127," ")</f>
        <v> </v>
      </c>
      <c r="Z127" s="6" t="str">
        <f aca="false">IF(W127="BD",X127," ")</f>
        <v> </v>
      </c>
      <c r="AA127" s="6" t="str">
        <f aca="false">IF(W127="BC",X127," ")</f>
        <v> </v>
      </c>
      <c r="AB127" s="6" t="str">
        <f aca="false">IF(W127="CR",X127," ")</f>
        <v> </v>
      </c>
      <c r="AC127" s="6" t="str">
        <f aca="false">IF(W127="W",X127," ")</f>
        <v> </v>
      </c>
      <c r="AD127" s="6" t="str">
        <f aca="false">IF(W127="B",X127," ")</f>
        <v> </v>
      </c>
      <c r="AE127" s="6" t="str">
        <f aca="false">IF(W127="J",X127," ")</f>
        <v> </v>
      </c>
      <c r="AF127" s="6" t="str">
        <f aca="false">IF(W127="LDR",X127," ")</f>
        <v> </v>
      </c>
      <c r="AG127" s="6" t="str">
        <f aca="false">IF(W127="LCR",X127," ")</f>
        <v> </v>
      </c>
      <c r="AH127" s="6" t="str">
        <f aca="false">IF(W127="RP",X127," ")</f>
        <v> </v>
      </c>
      <c r="AI127" s="6" t="str">
        <f aca="false">IF(W127="RV",X127," ")</f>
        <v> </v>
      </c>
      <c r="AJ127" s="6" t="str">
        <f aca="false">IF(W127="RC",X127," ")</f>
        <v> </v>
      </c>
      <c r="AK127" s="6" t="str">
        <f aca="false">IF(W127="RT",X127," ")</f>
        <v> </v>
      </c>
      <c r="AL127" s="6" t="str">
        <f aca="false">IF(W127="DV",X127," ")</f>
        <v> </v>
      </c>
      <c r="AM127" s="6" t="str">
        <f aca="false">IF(W127="DL",X127," ")</f>
        <v> </v>
      </c>
      <c r="AN127" s="6" t="str">
        <f aca="false">IF(W127="X",X127," ")</f>
        <v> </v>
      </c>
    </row>
    <row r="128" customFormat="false" ht="12" hidden="false" customHeight="false" outlineLevel="0" collapsed="false">
      <c r="E128" s="5" t="str">
        <f aca="false">IF(F128&lt;&gt;0,"Enter Code"," ")</f>
        <v> </v>
      </c>
      <c r="G128" s="6" t="str">
        <f aca="false">IF(E128="BB",F128," ")</f>
        <v> </v>
      </c>
      <c r="H128" s="6" t="str">
        <f aca="false">IF(E128="BD",F128," ")</f>
        <v> </v>
      </c>
      <c r="I128" s="6" t="str">
        <f aca="false">IF(E128="BC",F128," ")</f>
        <v> </v>
      </c>
      <c r="J128" s="6" t="str">
        <f aca="false">IF(E128="DR",F128," ")</f>
        <v> </v>
      </c>
      <c r="K128" s="6" t="str">
        <f aca="false">IF(E128="K",F128," ")</f>
        <v> </v>
      </c>
      <c r="L128" s="6" t="str">
        <f aca="false">IF(E128="LDR",F128," ")</f>
        <v> </v>
      </c>
      <c r="M128" s="6" t="str">
        <f aca="false">IF(E128="LCR",F128," ")</f>
        <v> </v>
      </c>
      <c r="N128" s="6" t="str">
        <f aca="false">IF(E128="RV",F128," ")</f>
        <v> </v>
      </c>
      <c r="O128" s="6" t="str">
        <f aca="false">IF(E128="RC",F128," ")</f>
        <v> </v>
      </c>
      <c r="P128" s="6" t="str">
        <f aca="false">IF(E128="DL",F128," ")</f>
        <v> </v>
      </c>
      <c r="Q128" s="6" t="str">
        <f aca="false">IF(E128="X",F128," ")</f>
        <v> </v>
      </c>
      <c r="R128" s="37"/>
      <c r="W128" s="6" t="str">
        <f aca="false">IF(X128&lt;&gt;0,"Enter Code"," ")</f>
        <v> </v>
      </c>
      <c r="Y128" s="6" t="str">
        <f aca="false">IF(W128="BB",X128," ")</f>
        <v> </v>
      </c>
      <c r="Z128" s="6" t="str">
        <f aca="false">IF(W128="BD",X128," ")</f>
        <v> </v>
      </c>
      <c r="AA128" s="6" t="str">
        <f aca="false">IF(W128="BC",X128," ")</f>
        <v> </v>
      </c>
      <c r="AB128" s="6" t="str">
        <f aca="false">IF(W128="CR",X128," ")</f>
        <v> </v>
      </c>
      <c r="AC128" s="6" t="str">
        <f aca="false">IF(W128="W",X128," ")</f>
        <v> </v>
      </c>
      <c r="AD128" s="6" t="str">
        <f aca="false">IF(W128="B",X128," ")</f>
        <v> </v>
      </c>
      <c r="AE128" s="6" t="str">
        <f aca="false">IF(W128="J",X128," ")</f>
        <v> </v>
      </c>
      <c r="AF128" s="6" t="str">
        <f aca="false">IF(W128="LDR",X128," ")</f>
        <v> </v>
      </c>
      <c r="AG128" s="6" t="str">
        <f aca="false">IF(W128="LCR",X128," ")</f>
        <v> </v>
      </c>
      <c r="AH128" s="6" t="str">
        <f aca="false">IF(W128="RP",X128," ")</f>
        <v> </v>
      </c>
      <c r="AI128" s="6" t="str">
        <f aca="false">IF(W128="RV",X128," ")</f>
        <v> </v>
      </c>
      <c r="AJ128" s="6" t="str">
        <f aca="false">IF(W128="RC",X128," ")</f>
        <v> </v>
      </c>
      <c r="AK128" s="6" t="str">
        <f aca="false">IF(W128="RT",X128," ")</f>
        <v> </v>
      </c>
      <c r="AL128" s="6" t="str">
        <f aca="false">IF(W128="DV",X128," ")</f>
        <v> </v>
      </c>
      <c r="AM128" s="6" t="str">
        <f aca="false">IF(W128="DL",X128," ")</f>
        <v> </v>
      </c>
      <c r="AN128" s="6" t="str">
        <f aca="false">IF(W128="X",X128," ")</f>
        <v> </v>
      </c>
    </row>
    <row r="129" customFormat="false" ht="12" hidden="false" customHeight="false" outlineLevel="0" collapsed="false">
      <c r="E129" s="5" t="str">
        <f aca="false">IF(F129&lt;&gt;0,"Enter Code"," ")</f>
        <v> </v>
      </c>
      <c r="G129" s="6" t="str">
        <f aca="false">IF(E129="BB",F129," ")</f>
        <v> </v>
      </c>
      <c r="H129" s="6" t="str">
        <f aca="false">IF(E129="BD",F129," ")</f>
        <v> </v>
      </c>
      <c r="I129" s="6" t="str">
        <f aca="false">IF(E129="BC",F129," ")</f>
        <v> </v>
      </c>
      <c r="J129" s="6" t="str">
        <f aca="false">IF(E129="DR",F129," ")</f>
        <v> </v>
      </c>
      <c r="K129" s="6" t="str">
        <f aca="false">IF(E129="K",F129," ")</f>
        <v> </v>
      </c>
      <c r="L129" s="6" t="str">
        <f aca="false">IF(E129="LDR",F129," ")</f>
        <v> </v>
      </c>
      <c r="M129" s="6" t="str">
        <f aca="false">IF(E129="LCR",F129," ")</f>
        <v> </v>
      </c>
      <c r="N129" s="6" t="str">
        <f aca="false">IF(E129="RV",F129," ")</f>
        <v> </v>
      </c>
      <c r="O129" s="6" t="str">
        <f aca="false">IF(E129="RC",F129," ")</f>
        <v> </v>
      </c>
      <c r="P129" s="6" t="str">
        <f aca="false">IF(E129="DL",F129," ")</f>
        <v> </v>
      </c>
      <c r="Q129" s="6" t="str">
        <f aca="false">IF(E129="X",F129," ")</f>
        <v> </v>
      </c>
      <c r="R129" s="37"/>
      <c r="W129" s="6" t="str">
        <f aca="false">IF(X129&lt;&gt;0,"Enter Code"," ")</f>
        <v> </v>
      </c>
      <c r="Y129" s="6" t="str">
        <f aca="false">IF(W129="BB",X129," ")</f>
        <v> </v>
      </c>
      <c r="Z129" s="6" t="str">
        <f aca="false">IF(W129="BD",X129," ")</f>
        <v> </v>
      </c>
      <c r="AA129" s="6" t="str">
        <f aca="false">IF(W129="BC",X129," ")</f>
        <v> </v>
      </c>
      <c r="AB129" s="6" t="str">
        <f aca="false">IF(W129="CR",X129," ")</f>
        <v> </v>
      </c>
      <c r="AC129" s="6" t="str">
        <f aca="false">IF(W129="W",X129," ")</f>
        <v> </v>
      </c>
      <c r="AD129" s="6" t="str">
        <f aca="false">IF(W129="B",X129," ")</f>
        <v> </v>
      </c>
      <c r="AE129" s="6" t="str">
        <f aca="false">IF(W129="J",X129," ")</f>
        <v> </v>
      </c>
      <c r="AF129" s="6" t="str">
        <f aca="false">IF(W129="LDR",X129," ")</f>
        <v> </v>
      </c>
      <c r="AG129" s="6" t="str">
        <f aca="false">IF(W129="LCR",X129," ")</f>
        <v> </v>
      </c>
      <c r="AH129" s="6" t="str">
        <f aca="false">IF(W129="RP",X129," ")</f>
        <v> </v>
      </c>
      <c r="AI129" s="6" t="str">
        <f aca="false">IF(W129="RV",X129," ")</f>
        <v> </v>
      </c>
      <c r="AJ129" s="6" t="str">
        <f aca="false">IF(W129="RC",X129," ")</f>
        <v> </v>
      </c>
      <c r="AK129" s="6" t="str">
        <f aca="false">IF(W129="RT",X129," ")</f>
        <v> </v>
      </c>
      <c r="AL129" s="6" t="str">
        <f aca="false">IF(W129="DV",X129," ")</f>
        <v> </v>
      </c>
      <c r="AM129" s="6" t="str">
        <f aca="false">IF(W129="DL",X129," ")</f>
        <v> </v>
      </c>
      <c r="AN129" s="6" t="str">
        <f aca="false">IF(W129="X",X129," ")</f>
        <v> </v>
      </c>
    </row>
    <row r="130" customFormat="false" ht="12" hidden="false" customHeight="false" outlineLevel="0" collapsed="false">
      <c r="E130" s="5" t="str">
        <f aca="false">IF(F130&lt;&gt;0,"Enter Code"," ")</f>
        <v> </v>
      </c>
      <c r="G130" s="6" t="str">
        <f aca="false">IF(E130="BB",F130," ")</f>
        <v> </v>
      </c>
      <c r="H130" s="6" t="str">
        <f aca="false">IF(E130="BD",F130," ")</f>
        <v> </v>
      </c>
      <c r="I130" s="6" t="str">
        <f aca="false">IF(E130="BC",F130," ")</f>
        <v> </v>
      </c>
      <c r="J130" s="6" t="str">
        <f aca="false">IF(E130="DR",F130," ")</f>
        <v> </v>
      </c>
      <c r="K130" s="6" t="str">
        <f aca="false">IF(E130="K",F130," ")</f>
        <v> </v>
      </c>
      <c r="L130" s="6" t="str">
        <f aca="false">IF(E130="LDR",F130," ")</f>
        <v> </v>
      </c>
      <c r="M130" s="6" t="str">
        <f aca="false">IF(E130="LCR",F130," ")</f>
        <v> </v>
      </c>
      <c r="N130" s="6" t="str">
        <f aca="false">IF(E130="RV",F130," ")</f>
        <v> </v>
      </c>
      <c r="O130" s="6" t="str">
        <f aca="false">IF(E130="RC",F130," ")</f>
        <v> </v>
      </c>
      <c r="P130" s="6" t="str">
        <f aca="false">IF(E130="DL",F130," ")</f>
        <v> </v>
      </c>
      <c r="Q130" s="6" t="str">
        <f aca="false">IF(E130="X",F130," ")</f>
        <v> </v>
      </c>
      <c r="R130" s="37"/>
      <c r="W130" s="6" t="str">
        <f aca="false">IF(X130&lt;&gt;0,"Enter Code"," ")</f>
        <v> </v>
      </c>
      <c r="Y130" s="6" t="str">
        <f aca="false">IF(W130="BB",X130," ")</f>
        <v> </v>
      </c>
      <c r="Z130" s="6" t="str">
        <f aca="false">IF(W130="BD",X130," ")</f>
        <v> </v>
      </c>
      <c r="AA130" s="6" t="str">
        <f aca="false">IF(W130="BC",X130," ")</f>
        <v> </v>
      </c>
      <c r="AB130" s="6" t="str">
        <f aca="false">IF(W130="CR",X130," ")</f>
        <v> </v>
      </c>
      <c r="AC130" s="6" t="str">
        <f aca="false">IF(W130="W",X130," ")</f>
        <v> </v>
      </c>
      <c r="AD130" s="6" t="str">
        <f aca="false">IF(W130="B",X130," ")</f>
        <v> </v>
      </c>
      <c r="AE130" s="6" t="str">
        <f aca="false">IF(W130="J",X130," ")</f>
        <v> </v>
      </c>
      <c r="AF130" s="6" t="str">
        <f aca="false">IF(W130="LDR",X130," ")</f>
        <v> </v>
      </c>
      <c r="AG130" s="6" t="str">
        <f aca="false">IF(W130="LCR",X130," ")</f>
        <v> </v>
      </c>
      <c r="AH130" s="6" t="str">
        <f aca="false">IF(W130="RP",X130," ")</f>
        <v> </v>
      </c>
      <c r="AI130" s="6" t="str">
        <f aca="false">IF(W130="RV",X130," ")</f>
        <v> </v>
      </c>
      <c r="AJ130" s="6" t="str">
        <f aca="false">IF(W130="RC",X130," ")</f>
        <v> </v>
      </c>
      <c r="AK130" s="6" t="str">
        <f aca="false">IF(W130="RT",X130," ")</f>
        <v> </v>
      </c>
      <c r="AL130" s="6" t="str">
        <f aca="false">IF(W130="DV",X130," ")</f>
        <v> </v>
      </c>
      <c r="AM130" s="6" t="str">
        <f aca="false">IF(W130="DL",X130," ")</f>
        <v> </v>
      </c>
      <c r="AN130" s="6" t="str">
        <f aca="false">IF(W130="X",X130," ")</f>
        <v> </v>
      </c>
    </row>
    <row r="131" customFormat="false" ht="12" hidden="false" customHeight="false" outlineLevel="0" collapsed="false">
      <c r="E131" s="5" t="str">
        <f aca="false">IF(F131&lt;&gt;0,"Enter Code"," ")</f>
        <v> </v>
      </c>
      <c r="G131" s="6" t="str">
        <f aca="false">IF(E131="BB",F131," ")</f>
        <v> </v>
      </c>
      <c r="H131" s="6" t="str">
        <f aca="false">IF(E131="BD",F131," ")</f>
        <v> </v>
      </c>
      <c r="I131" s="6" t="str">
        <f aca="false">IF(E131="BC",F131," ")</f>
        <v> </v>
      </c>
      <c r="J131" s="6" t="str">
        <f aca="false">IF(E131="DR",F131," ")</f>
        <v> </v>
      </c>
      <c r="K131" s="6" t="str">
        <f aca="false">IF(E131="K",F131," ")</f>
        <v> </v>
      </c>
      <c r="L131" s="6" t="str">
        <f aca="false">IF(E131="LDR",F131," ")</f>
        <v> </v>
      </c>
      <c r="M131" s="6" t="str">
        <f aca="false">IF(E131="LCR",F131," ")</f>
        <v> </v>
      </c>
      <c r="N131" s="6" t="str">
        <f aca="false">IF(E131="RV",F131," ")</f>
        <v> </v>
      </c>
      <c r="O131" s="6" t="str">
        <f aca="false">IF(E131="RC",F131," ")</f>
        <v> </v>
      </c>
      <c r="P131" s="6" t="str">
        <f aca="false">IF(E131="DL",F131," ")</f>
        <v> </v>
      </c>
      <c r="Q131" s="6" t="str">
        <f aca="false">IF(E131="X",F131," ")</f>
        <v> </v>
      </c>
      <c r="R131" s="37"/>
      <c r="W131" s="6" t="str">
        <f aca="false">IF(X131&lt;&gt;0,"Enter Code"," ")</f>
        <v> </v>
      </c>
      <c r="Y131" s="6" t="str">
        <f aca="false">IF(W131="BB",X131," ")</f>
        <v> </v>
      </c>
      <c r="Z131" s="6" t="str">
        <f aca="false">IF(W131="BD",X131," ")</f>
        <v> </v>
      </c>
      <c r="AA131" s="6" t="str">
        <f aca="false">IF(W131="BC",X131," ")</f>
        <v> </v>
      </c>
      <c r="AB131" s="6" t="str">
        <f aca="false">IF(W131="CR",X131," ")</f>
        <v> </v>
      </c>
      <c r="AC131" s="6" t="str">
        <f aca="false">IF(W131="W",X131," ")</f>
        <v> </v>
      </c>
      <c r="AD131" s="6" t="str">
        <f aca="false">IF(W131="B",X131," ")</f>
        <v> </v>
      </c>
      <c r="AE131" s="6" t="str">
        <f aca="false">IF(W131="J",X131," ")</f>
        <v> </v>
      </c>
      <c r="AF131" s="6" t="str">
        <f aca="false">IF(W131="LDR",X131," ")</f>
        <v> </v>
      </c>
      <c r="AG131" s="6" t="str">
        <f aca="false">IF(W131="LCR",X131," ")</f>
        <v> </v>
      </c>
      <c r="AH131" s="6" t="str">
        <f aca="false">IF(W131="RP",X131," ")</f>
        <v> </v>
      </c>
      <c r="AI131" s="6" t="str">
        <f aca="false">IF(W131="RV",X131," ")</f>
        <v> </v>
      </c>
      <c r="AJ131" s="6" t="str">
        <f aca="false">IF(W131="RC",X131," ")</f>
        <v> </v>
      </c>
      <c r="AK131" s="6" t="str">
        <f aca="false">IF(W131="RT",X131," ")</f>
        <v> </v>
      </c>
      <c r="AL131" s="6" t="str">
        <f aca="false">IF(W131="DV",X131," ")</f>
        <v> </v>
      </c>
      <c r="AM131" s="6" t="str">
        <f aca="false">IF(W131="DL",X131," ")</f>
        <v> </v>
      </c>
      <c r="AN131" s="6" t="str">
        <f aca="false">IF(W131="X",X131," ")</f>
        <v> </v>
      </c>
    </row>
    <row r="132" customFormat="false" ht="12" hidden="false" customHeight="false" outlineLevel="0" collapsed="false">
      <c r="E132" s="5" t="str">
        <f aca="false">IF(F132&lt;&gt;0,"Enter Code"," ")</f>
        <v> </v>
      </c>
      <c r="G132" s="6" t="str">
        <f aca="false">IF(E132="BB",F132," ")</f>
        <v> </v>
      </c>
      <c r="H132" s="6" t="str">
        <f aca="false">IF(E132="BD",F132," ")</f>
        <v> </v>
      </c>
      <c r="I132" s="6" t="str">
        <f aca="false">IF(E132="BC",F132," ")</f>
        <v> </v>
      </c>
      <c r="J132" s="6" t="str">
        <f aca="false">IF(E132="DR",F132," ")</f>
        <v> </v>
      </c>
      <c r="K132" s="6" t="str">
        <f aca="false">IF(E132="K",F132," ")</f>
        <v> </v>
      </c>
      <c r="L132" s="6" t="str">
        <f aca="false">IF(E132="LDR",F132," ")</f>
        <v> </v>
      </c>
      <c r="M132" s="6" t="str">
        <f aca="false">IF(E132="LCR",F132," ")</f>
        <v> </v>
      </c>
      <c r="N132" s="6" t="str">
        <f aca="false">IF(E132="RV",F132," ")</f>
        <v> </v>
      </c>
      <c r="O132" s="6" t="str">
        <f aca="false">IF(E132="RC",F132," ")</f>
        <v> </v>
      </c>
      <c r="P132" s="6" t="str">
        <f aca="false">IF(E132="DL",F132," ")</f>
        <v> </v>
      </c>
      <c r="Q132" s="6" t="str">
        <f aca="false">IF(E132="X",F132," ")</f>
        <v> </v>
      </c>
      <c r="R132" s="37"/>
      <c r="W132" s="6" t="str">
        <f aca="false">IF(X132&lt;&gt;0,"Enter Code"," ")</f>
        <v> </v>
      </c>
      <c r="Y132" s="6" t="str">
        <f aca="false">IF(W132="BB",X132," ")</f>
        <v> </v>
      </c>
      <c r="Z132" s="6" t="str">
        <f aca="false">IF(W132="BD",X132," ")</f>
        <v> </v>
      </c>
      <c r="AA132" s="6" t="str">
        <f aca="false">IF(W132="BC",X132," ")</f>
        <v> </v>
      </c>
      <c r="AB132" s="6" t="str">
        <f aca="false">IF(W132="CR",X132," ")</f>
        <v> </v>
      </c>
      <c r="AC132" s="6" t="str">
        <f aca="false">IF(W132="W",X132," ")</f>
        <v> </v>
      </c>
      <c r="AD132" s="6" t="str">
        <f aca="false">IF(W132="B",X132," ")</f>
        <v> </v>
      </c>
      <c r="AE132" s="6" t="str">
        <f aca="false">IF(W132="J",X132," ")</f>
        <v> </v>
      </c>
      <c r="AF132" s="6" t="str">
        <f aca="false">IF(W132="LDR",X132," ")</f>
        <v> </v>
      </c>
      <c r="AG132" s="6" t="str">
        <f aca="false">IF(W132="LCR",X132," ")</f>
        <v> </v>
      </c>
      <c r="AH132" s="6" t="str">
        <f aca="false">IF(W132="RP",X132," ")</f>
        <v> </v>
      </c>
      <c r="AI132" s="6" t="str">
        <f aca="false">IF(W132="RV",X132," ")</f>
        <v> </v>
      </c>
      <c r="AJ132" s="6" t="str">
        <f aca="false">IF(W132="RC",X132," ")</f>
        <v> </v>
      </c>
      <c r="AK132" s="6" t="str">
        <f aca="false">IF(W132="RT",X132," ")</f>
        <v> </v>
      </c>
      <c r="AL132" s="6" t="str">
        <f aca="false">IF(W132="DV",X132," ")</f>
        <v> </v>
      </c>
      <c r="AM132" s="6" t="str">
        <f aca="false">IF(W132="DL",X132," ")</f>
        <v> </v>
      </c>
      <c r="AN132" s="6" t="str">
        <f aca="false">IF(W132="X",X132," ")</f>
        <v> </v>
      </c>
    </row>
    <row r="133" customFormat="false" ht="12" hidden="false" customHeight="false" outlineLevel="0" collapsed="false">
      <c r="E133" s="5" t="str">
        <f aca="false">IF(F133&lt;&gt;0,"Enter Code"," ")</f>
        <v> </v>
      </c>
      <c r="G133" s="6" t="str">
        <f aca="false">IF(E133="BB",F133," ")</f>
        <v> </v>
      </c>
      <c r="H133" s="6" t="str">
        <f aca="false">IF(E133="BD",F133," ")</f>
        <v> </v>
      </c>
      <c r="I133" s="6" t="str">
        <f aca="false">IF(E133="BC",F133," ")</f>
        <v> </v>
      </c>
      <c r="J133" s="6" t="str">
        <f aca="false">IF(E133="DR",F133," ")</f>
        <v> </v>
      </c>
      <c r="K133" s="6" t="str">
        <f aca="false">IF(E133="K",F133," ")</f>
        <v> </v>
      </c>
      <c r="L133" s="6" t="str">
        <f aca="false">IF(E133="LDR",F133," ")</f>
        <v> </v>
      </c>
      <c r="M133" s="6" t="str">
        <f aca="false">IF(E133="LCR",F133," ")</f>
        <v> </v>
      </c>
      <c r="N133" s="6" t="str">
        <f aca="false">IF(E133="RV",F133," ")</f>
        <v> </v>
      </c>
      <c r="O133" s="6" t="str">
        <f aca="false">IF(E133="RC",F133," ")</f>
        <v> </v>
      </c>
      <c r="P133" s="6" t="str">
        <f aca="false">IF(E133="DL",F133," ")</f>
        <v> </v>
      </c>
      <c r="Q133" s="6" t="str">
        <f aca="false">IF(E133="X",F133," ")</f>
        <v> </v>
      </c>
      <c r="R133" s="37"/>
      <c r="W133" s="6" t="str">
        <f aca="false">IF(X133&lt;&gt;0,"Enter Code"," ")</f>
        <v> </v>
      </c>
      <c r="Y133" s="6" t="str">
        <f aca="false">IF(W133="BB",X133," ")</f>
        <v> </v>
      </c>
      <c r="Z133" s="6" t="str">
        <f aca="false">IF(W133="BD",X133," ")</f>
        <v> </v>
      </c>
      <c r="AA133" s="6" t="str">
        <f aca="false">IF(W133="BC",X133," ")</f>
        <v> </v>
      </c>
      <c r="AB133" s="6" t="str">
        <f aca="false">IF(W133="CR",X133," ")</f>
        <v> </v>
      </c>
      <c r="AC133" s="6" t="str">
        <f aca="false">IF(W133="W",X133," ")</f>
        <v> </v>
      </c>
      <c r="AD133" s="6" t="str">
        <f aca="false">IF(W133="B",X133," ")</f>
        <v> </v>
      </c>
      <c r="AE133" s="6" t="str">
        <f aca="false">IF(W133="J",X133," ")</f>
        <v> </v>
      </c>
      <c r="AF133" s="6" t="str">
        <f aca="false">IF(W133="LDR",X133," ")</f>
        <v> </v>
      </c>
      <c r="AG133" s="6" t="str">
        <f aca="false">IF(W133="LCR",X133," ")</f>
        <v> </v>
      </c>
      <c r="AH133" s="6" t="str">
        <f aca="false">IF(W133="RP",X133," ")</f>
        <v> </v>
      </c>
      <c r="AI133" s="6" t="str">
        <f aca="false">IF(W133="RV",X133," ")</f>
        <v> </v>
      </c>
      <c r="AJ133" s="6" t="str">
        <f aca="false">IF(W133="RC",X133," ")</f>
        <v> </v>
      </c>
      <c r="AK133" s="6" t="str">
        <f aca="false">IF(W133="RT",X133," ")</f>
        <v> </v>
      </c>
      <c r="AL133" s="6" t="str">
        <f aca="false">IF(W133="DV",X133," ")</f>
        <v> </v>
      </c>
      <c r="AM133" s="6" t="str">
        <f aca="false">IF(W133="DL",X133," ")</f>
        <v> </v>
      </c>
      <c r="AN133" s="6" t="str">
        <f aca="false">IF(W133="X",X133," ")</f>
        <v> </v>
      </c>
    </row>
    <row r="134" customFormat="false" ht="12" hidden="false" customHeight="false" outlineLevel="0" collapsed="false">
      <c r="E134" s="5" t="str">
        <f aca="false">IF(F134&lt;&gt;0,"Enter Code"," ")</f>
        <v> </v>
      </c>
      <c r="G134" s="6" t="str">
        <f aca="false">IF(E134="BB",F134," ")</f>
        <v> </v>
      </c>
      <c r="H134" s="6" t="str">
        <f aca="false">IF(E134="BD",F134," ")</f>
        <v> </v>
      </c>
      <c r="I134" s="6" t="str">
        <f aca="false">IF(E134="BC",F134," ")</f>
        <v> </v>
      </c>
      <c r="J134" s="6" t="str">
        <f aca="false">IF(E134="DR",F134," ")</f>
        <v> </v>
      </c>
      <c r="K134" s="6" t="str">
        <f aca="false">IF(E134="K",F134," ")</f>
        <v> </v>
      </c>
      <c r="L134" s="6" t="str">
        <f aca="false">IF(E134="LDR",F134," ")</f>
        <v> </v>
      </c>
      <c r="M134" s="6" t="str">
        <f aca="false">IF(E134="LCR",F134," ")</f>
        <v> </v>
      </c>
      <c r="N134" s="6" t="str">
        <f aca="false">IF(E134="RV",F134," ")</f>
        <v> </v>
      </c>
      <c r="O134" s="6" t="str">
        <f aca="false">IF(E134="RC",F134," ")</f>
        <v> </v>
      </c>
      <c r="P134" s="6" t="str">
        <f aca="false">IF(E134="DL",F134," ")</f>
        <v> </v>
      </c>
      <c r="Q134" s="6" t="str">
        <f aca="false">IF(E134="X",F134," ")</f>
        <v> </v>
      </c>
      <c r="R134" s="37"/>
      <c r="W134" s="6" t="str">
        <f aca="false">IF(X134&lt;&gt;0,"Enter Code"," ")</f>
        <v> </v>
      </c>
      <c r="Y134" s="6" t="str">
        <f aca="false">IF(W134="BB",X134," ")</f>
        <v> </v>
      </c>
      <c r="Z134" s="6" t="str">
        <f aca="false">IF(W134="BD",X134," ")</f>
        <v> </v>
      </c>
      <c r="AA134" s="6" t="str">
        <f aca="false">IF(W134="BC",X134," ")</f>
        <v> </v>
      </c>
      <c r="AB134" s="6" t="str">
        <f aca="false">IF(W134="CR",X134," ")</f>
        <v> </v>
      </c>
      <c r="AC134" s="6" t="str">
        <f aca="false">IF(W134="W",X134," ")</f>
        <v> </v>
      </c>
      <c r="AD134" s="6" t="str">
        <f aca="false">IF(W134="B",X134," ")</f>
        <v> </v>
      </c>
      <c r="AE134" s="6" t="str">
        <f aca="false">IF(W134="J",X134," ")</f>
        <v> </v>
      </c>
      <c r="AF134" s="6" t="str">
        <f aca="false">IF(W134="LDR",X134," ")</f>
        <v> </v>
      </c>
      <c r="AG134" s="6" t="str">
        <f aca="false">IF(W134="LCR",X134," ")</f>
        <v> </v>
      </c>
      <c r="AH134" s="6" t="str">
        <f aca="false">IF(W134="RP",X134," ")</f>
        <v> </v>
      </c>
      <c r="AI134" s="6" t="str">
        <f aca="false">IF(W134="RV",X134," ")</f>
        <v> </v>
      </c>
      <c r="AJ134" s="6" t="str">
        <f aca="false">IF(W134="RC",X134," ")</f>
        <v> </v>
      </c>
      <c r="AK134" s="6" t="str">
        <f aca="false">IF(W134="RT",X134," ")</f>
        <v> </v>
      </c>
      <c r="AL134" s="6" t="str">
        <f aca="false">IF(W134="DV",X134," ")</f>
        <v> </v>
      </c>
      <c r="AM134" s="6" t="str">
        <f aca="false">IF(W134="DL",X134," ")</f>
        <v> </v>
      </c>
      <c r="AN134" s="6" t="str">
        <f aca="false">IF(W134="X",X134," ")</f>
        <v> </v>
      </c>
    </row>
    <row r="135" customFormat="false" ht="12" hidden="false" customHeight="false" outlineLevel="0" collapsed="false">
      <c r="E135" s="5" t="str">
        <f aca="false">IF(F135&lt;&gt;0,"Enter Code"," ")</f>
        <v> </v>
      </c>
      <c r="G135" s="6" t="str">
        <f aca="false">IF(E135="BB",F135," ")</f>
        <v> </v>
      </c>
      <c r="H135" s="6" t="str">
        <f aca="false">IF(E135="BD",F135," ")</f>
        <v> </v>
      </c>
      <c r="I135" s="6" t="str">
        <f aca="false">IF(E135="BC",F135," ")</f>
        <v> </v>
      </c>
      <c r="J135" s="6" t="str">
        <f aca="false">IF(E135="DR",F135," ")</f>
        <v> </v>
      </c>
      <c r="K135" s="6" t="str">
        <f aca="false">IF(E135="K",F135," ")</f>
        <v> </v>
      </c>
      <c r="L135" s="6" t="str">
        <f aca="false">IF(E135="LDR",F135," ")</f>
        <v> </v>
      </c>
      <c r="M135" s="6" t="str">
        <f aca="false">IF(E135="LCR",F135," ")</f>
        <v> </v>
      </c>
      <c r="N135" s="6" t="str">
        <f aca="false">IF(E135="RV",F135," ")</f>
        <v> </v>
      </c>
      <c r="O135" s="6" t="str">
        <f aca="false">IF(E135="RC",F135," ")</f>
        <v> </v>
      </c>
      <c r="P135" s="6" t="str">
        <f aca="false">IF(E135="DL",F135," ")</f>
        <v> </v>
      </c>
      <c r="Q135" s="6" t="str">
        <f aca="false">IF(E135="X",F135," ")</f>
        <v> </v>
      </c>
      <c r="R135" s="37"/>
      <c r="W135" s="6" t="str">
        <f aca="false">IF(X135&lt;&gt;0,"Enter Code"," ")</f>
        <v> </v>
      </c>
      <c r="Y135" s="6" t="str">
        <f aca="false">IF(W135="BB",X135," ")</f>
        <v> </v>
      </c>
      <c r="Z135" s="6" t="str">
        <f aca="false">IF(W135="BD",X135," ")</f>
        <v> </v>
      </c>
      <c r="AA135" s="6" t="str">
        <f aca="false">IF(W135="BC",X135," ")</f>
        <v> </v>
      </c>
      <c r="AB135" s="6" t="str">
        <f aca="false">IF(W135="CR",X135," ")</f>
        <v> </v>
      </c>
      <c r="AC135" s="6" t="str">
        <f aca="false">IF(W135="W",X135," ")</f>
        <v> </v>
      </c>
      <c r="AD135" s="6" t="str">
        <f aca="false">IF(W135="B",X135," ")</f>
        <v> </v>
      </c>
      <c r="AE135" s="6" t="str">
        <f aca="false">IF(W135="J",X135," ")</f>
        <v> </v>
      </c>
      <c r="AF135" s="6" t="str">
        <f aca="false">IF(W135="LDR",X135," ")</f>
        <v> </v>
      </c>
      <c r="AG135" s="6" t="str">
        <f aca="false">IF(W135="LCR",X135," ")</f>
        <v> </v>
      </c>
      <c r="AH135" s="6" t="str">
        <f aca="false">IF(W135="RP",X135," ")</f>
        <v> </v>
      </c>
      <c r="AI135" s="6" t="str">
        <f aca="false">IF(W135="RV",X135," ")</f>
        <v> </v>
      </c>
      <c r="AJ135" s="6" t="str">
        <f aca="false">IF(W135="RC",X135," ")</f>
        <v> </v>
      </c>
      <c r="AK135" s="6" t="str">
        <f aca="false">IF(W135="RT",X135," ")</f>
        <v> </v>
      </c>
      <c r="AL135" s="6" t="str">
        <f aca="false">IF(W135="DV",X135," ")</f>
        <v> </v>
      </c>
      <c r="AM135" s="6" t="str">
        <f aca="false">IF(W135="DL",X135," ")</f>
        <v> </v>
      </c>
      <c r="AN135" s="6" t="str">
        <f aca="false">IF(W135="X",X135," ")</f>
        <v> </v>
      </c>
    </row>
    <row r="136" customFormat="false" ht="12" hidden="false" customHeight="false" outlineLevel="0" collapsed="false">
      <c r="E136" s="5" t="str">
        <f aca="false">IF(F136&lt;&gt;0,"Enter Code"," ")</f>
        <v> </v>
      </c>
      <c r="G136" s="6" t="str">
        <f aca="false">IF(E136="BB",F136," ")</f>
        <v> </v>
      </c>
      <c r="H136" s="6" t="str">
        <f aca="false">IF(E136="BD",F136," ")</f>
        <v> </v>
      </c>
      <c r="I136" s="6" t="str">
        <f aca="false">IF(E136="BC",F136," ")</f>
        <v> </v>
      </c>
      <c r="J136" s="6" t="str">
        <f aca="false">IF(E136="DR",F136," ")</f>
        <v> </v>
      </c>
      <c r="K136" s="6" t="str">
        <f aca="false">IF(E136="K",F136," ")</f>
        <v> </v>
      </c>
      <c r="L136" s="6" t="str">
        <f aca="false">IF(E136="LDR",F136," ")</f>
        <v> </v>
      </c>
      <c r="M136" s="6" t="str">
        <f aca="false">IF(E136="LCR",F136," ")</f>
        <v> </v>
      </c>
      <c r="N136" s="6" t="str">
        <f aca="false">IF(E136="RV",F136," ")</f>
        <v> </v>
      </c>
      <c r="O136" s="6" t="str">
        <f aca="false">IF(E136="RC",F136," ")</f>
        <v> </v>
      </c>
      <c r="P136" s="6" t="str">
        <f aca="false">IF(E136="DL",F136," ")</f>
        <v> </v>
      </c>
      <c r="Q136" s="6" t="str">
        <f aca="false">IF(E136="X",F136," ")</f>
        <v> </v>
      </c>
      <c r="R136" s="37"/>
      <c r="W136" s="6" t="str">
        <f aca="false">IF(X136&lt;&gt;0,"Enter Code"," ")</f>
        <v> </v>
      </c>
      <c r="Y136" s="6" t="str">
        <f aca="false">IF(W136="BB",X136," ")</f>
        <v> </v>
      </c>
      <c r="Z136" s="6" t="str">
        <f aca="false">IF(W136="BD",X136," ")</f>
        <v> </v>
      </c>
      <c r="AA136" s="6" t="str">
        <f aca="false">IF(W136="BC",X136," ")</f>
        <v> </v>
      </c>
      <c r="AB136" s="6" t="str">
        <f aca="false">IF(W136="CR",X136," ")</f>
        <v> </v>
      </c>
      <c r="AC136" s="6" t="str">
        <f aca="false">IF(W136="W",X136," ")</f>
        <v> </v>
      </c>
      <c r="AD136" s="6" t="str">
        <f aca="false">IF(W136="B",X136," ")</f>
        <v> </v>
      </c>
      <c r="AE136" s="6" t="str">
        <f aca="false">IF(W136="J",X136," ")</f>
        <v> </v>
      </c>
      <c r="AF136" s="6" t="str">
        <f aca="false">IF(W136="LDR",X136," ")</f>
        <v> </v>
      </c>
      <c r="AG136" s="6" t="str">
        <f aca="false">IF(W136="LCR",X136," ")</f>
        <v> </v>
      </c>
      <c r="AH136" s="6" t="str">
        <f aca="false">IF(W136="RP",X136," ")</f>
        <v> </v>
      </c>
      <c r="AI136" s="6" t="str">
        <f aca="false">IF(W136="RV",X136," ")</f>
        <v> </v>
      </c>
      <c r="AJ136" s="6" t="str">
        <f aca="false">IF(W136="RC",X136," ")</f>
        <v> </v>
      </c>
      <c r="AK136" s="6" t="str">
        <f aca="false">IF(W136="RT",X136," ")</f>
        <v> </v>
      </c>
      <c r="AL136" s="6" t="str">
        <f aca="false">IF(W136="DV",X136," ")</f>
        <v> </v>
      </c>
      <c r="AM136" s="6" t="str">
        <f aca="false">IF(W136="DL",X136," ")</f>
        <v> </v>
      </c>
      <c r="AN136" s="6" t="str">
        <f aca="false">IF(W136="X",X136," ")</f>
        <v> </v>
      </c>
    </row>
    <row r="137" customFormat="false" ht="12" hidden="false" customHeight="false" outlineLevel="0" collapsed="false">
      <c r="E137" s="5" t="str">
        <f aca="false">IF(F137&lt;&gt;0,"Enter Code"," ")</f>
        <v> </v>
      </c>
      <c r="G137" s="6" t="str">
        <f aca="false">IF(E137="BB",F137," ")</f>
        <v> </v>
      </c>
      <c r="H137" s="6" t="str">
        <f aca="false">IF(E137="BD",F137," ")</f>
        <v> </v>
      </c>
      <c r="I137" s="6" t="str">
        <f aca="false">IF(E137="BC",F137," ")</f>
        <v> </v>
      </c>
      <c r="J137" s="6" t="str">
        <f aca="false">IF(E137="DR",F137," ")</f>
        <v> </v>
      </c>
      <c r="K137" s="6" t="str">
        <f aca="false">IF(E137="K",F137," ")</f>
        <v> </v>
      </c>
      <c r="L137" s="6" t="str">
        <f aca="false">IF(E137="LDR",F137," ")</f>
        <v> </v>
      </c>
      <c r="M137" s="6" t="str">
        <f aca="false">IF(E137="LCR",F137," ")</f>
        <v> </v>
      </c>
      <c r="N137" s="6" t="str">
        <f aca="false">IF(E137="RV",F137," ")</f>
        <v> </v>
      </c>
      <c r="O137" s="6" t="str">
        <f aca="false">IF(E137="RC",F137," ")</f>
        <v> </v>
      </c>
      <c r="P137" s="6" t="str">
        <f aca="false">IF(E137="DL",F137," ")</f>
        <v> </v>
      </c>
      <c r="Q137" s="6" t="str">
        <f aca="false">IF(E137="X",F137," ")</f>
        <v> </v>
      </c>
      <c r="R137" s="37"/>
      <c r="W137" s="6" t="str">
        <f aca="false">IF(X137&lt;&gt;0,"Enter Code"," ")</f>
        <v> </v>
      </c>
      <c r="Y137" s="6" t="str">
        <f aca="false">IF(W137="BB",X137," ")</f>
        <v> </v>
      </c>
      <c r="Z137" s="6" t="str">
        <f aca="false">IF(W137="BD",X137," ")</f>
        <v> </v>
      </c>
      <c r="AA137" s="6" t="str">
        <f aca="false">IF(W137="BC",X137," ")</f>
        <v> </v>
      </c>
      <c r="AB137" s="6" t="str">
        <f aca="false">IF(W137="CR",X137," ")</f>
        <v> </v>
      </c>
      <c r="AC137" s="6" t="str">
        <f aca="false">IF(W137="W",X137," ")</f>
        <v> </v>
      </c>
      <c r="AD137" s="6" t="str">
        <f aca="false">IF(W137="B",X137," ")</f>
        <v> </v>
      </c>
      <c r="AE137" s="6" t="str">
        <f aca="false">IF(W137="J",X137," ")</f>
        <v> </v>
      </c>
      <c r="AF137" s="6" t="str">
        <f aca="false">IF(W137="LDR",X137," ")</f>
        <v> </v>
      </c>
      <c r="AG137" s="6" t="str">
        <f aca="false">IF(W137="LCR",X137," ")</f>
        <v> </v>
      </c>
      <c r="AH137" s="6" t="str">
        <f aca="false">IF(W137="RP",X137," ")</f>
        <v> </v>
      </c>
      <c r="AI137" s="6" t="str">
        <f aca="false">IF(W137="RV",X137," ")</f>
        <v> </v>
      </c>
      <c r="AJ137" s="6" t="str">
        <f aca="false">IF(W137="RC",X137," ")</f>
        <v> </v>
      </c>
      <c r="AK137" s="6" t="str">
        <f aca="false">IF(W137="RT",X137," ")</f>
        <v> </v>
      </c>
      <c r="AL137" s="6" t="str">
        <f aca="false">IF(W137="DV",X137," ")</f>
        <v> </v>
      </c>
      <c r="AM137" s="6" t="str">
        <f aca="false">IF(W137="DL",X137," ")</f>
        <v> </v>
      </c>
      <c r="AN137" s="6" t="str">
        <f aca="false">IF(W137="X",X137," ")</f>
        <v> </v>
      </c>
    </row>
    <row r="138" customFormat="false" ht="12" hidden="false" customHeight="false" outlineLevel="0" collapsed="false">
      <c r="E138" s="5" t="str">
        <f aca="false">IF(F138&lt;&gt;0,"Enter Code"," ")</f>
        <v> </v>
      </c>
      <c r="G138" s="6" t="str">
        <f aca="false">IF(E138="BB",F138," ")</f>
        <v> </v>
      </c>
      <c r="H138" s="6" t="str">
        <f aca="false">IF(E138="BD",F138," ")</f>
        <v> </v>
      </c>
      <c r="I138" s="6" t="str">
        <f aca="false">IF(E138="BC",F138," ")</f>
        <v> </v>
      </c>
      <c r="J138" s="6" t="str">
        <f aca="false">IF(E138="DR",F138," ")</f>
        <v> </v>
      </c>
      <c r="K138" s="6" t="str">
        <f aca="false">IF(E138="K",F138," ")</f>
        <v> </v>
      </c>
      <c r="L138" s="6" t="str">
        <f aca="false">IF(E138="LDR",F138," ")</f>
        <v> </v>
      </c>
      <c r="M138" s="6" t="str">
        <f aca="false">IF(E138="LCR",F138," ")</f>
        <v> </v>
      </c>
      <c r="N138" s="6" t="str">
        <f aca="false">IF(E138="RV",F138," ")</f>
        <v> </v>
      </c>
      <c r="O138" s="6" t="str">
        <f aca="false">IF(E138="RC",F138," ")</f>
        <v> </v>
      </c>
      <c r="P138" s="6" t="str">
        <f aca="false">IF(E138="DL",F138," ")</f>
        <v> </v>
      </c>
      <c r="Q138" s="6" t="str">
        <f aca="false">IF(E138="X",F138," ")</f>
        <v> </v>
      </c>
      <c r="R138" s="37"/>
      <c r="W138" s="6" t="str">
        <f aca="false">IF(X138&lt;&gt;0,"Enter Code"," ")</f>
        <v> </v>
      </c>
      <c r="Y138" s="6" t="str">
        <f aca="false">IF(W138="BB",X138," ")</f>
        <v> </v>
      </c>
      <c r="Z138" s="6" t="str">
        <f aca="false">IF(W138="BD",X138," ")</f>
        <v> </v>
      </c>
      <c r="AA138" s="6" t="str">
        <f aca="false">IF(W138="BC",X138," ")</f>
        <v> </v>
      </c>
      <c r="AB138" s="6" t="str">
        <f aca="false">IF(W138="CR",X138," ")</f>
        <v> </v>
      </c>
      <c r="AC138" s="6" t="str">
        <f aca="false">IF(W138="W",X138," ")</f>
        <v> </v>
      </c>
      <c r="AD138" s="6" t="str">
        <f aca="false">IF(W138="B",X138," ")</f>
        <v> </v>
      </c>
      <c r="AE138" s="6" t="str">
        <f aca="false">IF(W138="J",X138," ")</f>
        <v> </v>
      </c>
      <c r="AF138" s="6" t="str">
        <f aca="false">IF(W138="LDR",X138," ")</f>
        <v> </v>
      </c>
      <c r="AG138" s="6" t="str">
        <f aca="false">IF(W138="LCR",X138," ")</f>
        <v> </v>
      </c>
      <c r="AH138" s="6" t="str">
        <f aca="false">IF(W138="RP",X138," ")</f>
        <v> </v>
      </c>
      <c r="AI138" s="6" t="str">
        <f aca="false">IF(W138="RV",X138," ")</f>
        <v> </v>
      </c>
      <c r="AJ138" s="6" t="str">
        <f aca="false">IF(W138="RC",X138," ")</f>
        <v> </v>
      </c>
      <c r="AK138" s="6" t="str">
        <f aca="false">IF(W138="RT",X138," ")</f>
        <v> </v>
      </c>
      <c r="AL138" s="6" t="str">
        <f aca="false">IF(W138="DV",X138," ")</f>
        <v> </v>
      </c>
      <c r="AM138" s="6" t="str">
        <f aca="false">IF(W138="DL",X138," ")</f>
        <v> </v>
      </c>
      <c r="AN138" s="6" t="str">
        <f aca="false">IF(W138="X",X138," ")</f>
        <v> </v>
      </c>
    </row>
    <row r="139" customFormat="false" ht="12" hidden="false" customHeight="false" outlineLevel="0" collapsed="false">
      <c r="E139" s="5" t="str">
        <f aca="false">IF(F139&lt;&gt;0,"Enter Code"," ")</f>
        <v> </v>
      </c>
      <c r="G139" s="6" t="str">
        <f aca="false">IF(E139="BB",F139," ")</f>
        <v> </v>
      </c>
      <c r="H139" s="6" t="str">
        <f aca="false">IF(E139="BD",F139," ")</f>
        <v> </v>
      </c>
      <c r="I139" s="6" t="str">
        <f aca="false">IF(E139="BC",F139," ")</f>
        <v> </v>
      </c>
      <c r="J139" s="6" t="str">
        <f aca="false">IF(E139="DR",F139," ")</f>
        <v> </v>
      </c>
      <c r="K139" s="6" t="str">
        <f aca="false">IF(E139="K",F139," ")</f>
        <v> </v>
      </c>
      <c r="L139" s="6" t="str">
        <f aca="false">IF(E139="LDR",F139," ")</f>
        <v> </v>
      </c>
      <c r="M139" s="6" t="str">
        <f aca="false">IF(E139="LCR",F139," ")</f>
        <v> </v>
      </c>
      <c r="N139" s="6" t="str">
        <f aca="false">IF(E139="RV",F139," ")</f>
        <v> </v>
      </c>
      <c r="O139" s="6" t="str">
        <f aca="false">IF(E139="RC",F139," ")</f>
        <v> </v>
      </c>
      <c r="P139" s="6" t="str">
        <f aca="false">IF(E139="DL",F139," ")</f>
        <v> </v>
      </c>
      <c r="Q139" s="6" t="str">
        <f aca="false">IF(E139="X",F139," ")</f>
        <v> </v>
      </c>
      <c r="R139" s="37"/>
      <c r="W139" s="6" t="str">
        <f aca="false">IF(X139&lt;&gt;0,"Enter Code"," ")</f>
        <v> </v>
      </c>
      <c r="Y139" s="6" t="str">
        <f aca="false">IF(W139="BB",X139," ")</f>
        <v> </v>
      </c>
      <c r="Z139" s="6" t="str">
        <f aca="false">IF(W139="BD",X139," ")</f>
        <v> </v>
      </c>
      <c r="AA139" s="6" t="str">
        <f aca="false">IF(W139="BC",X139," ")</f>
        <v> </v>
      </c>
      <c r="AB139" s="6" t="str">
        <f aca="false">IF(W139="CR",X139," ")</f>
        <v> </v>
      </c>
      <c r="AC139" s="6" t="str">
        <f aca="false">IF(W139="W",X139," ")</f>
        <v> </v>
      </c>
      <c r="AD139" s="6" t="str">
        <f aca="false">IF(W139="B",X139," ")</f>
        <v> </v>
      </c>
      <c r="AE139" s="6" t="str">
        <f aca="false">IF(W139="J",X139," ")</f>
        <v> </v>
      </c>
      <c r="AF139" s="6" t="str">
        <f aca="false">IF(W139="LDR",X139," ")</f>
        <v> </v>
      </c>
      <c r="AG139" s="6" t="str">
        <f aca="false">IF(W139="LCR",X139," ")</f>
        <v> </v>
      </c>
      <c r="AH139" s="6" t="str">
        <f aca="false">IF(W139="RP",X139," ")</f>
        <v> </v>
      </c>
      <c r="AI139" s="6" t="str">
        <f aca="false">IF(W139="RV",X139," ")</f>
        <v> </v>
      </c>
      <c r="AJ139" s="6" t="str">
        <f aca="false">IF(W139="RC",X139," ")</f>
        <v> </v>
      </c>
      <c r="AK139" s="6" t="str">
        <f aca="false">IF(W139="RT",X139," ")</f>
        <v> </v>
      </c>
      <c r="AL139" s="6" t="str">
        <f aca="false">IF(W139="DV",X139," ")</f>
        <v> </v>
      </c>
      <c r="AM139" s="6" t="str">
        <f aca="false">IF(W139="DL",X139," ")</f>
        <v> </v>
      </c>
      <c r="AN139" s="6" t="str">
        <f aca="false">IF(W139="X",X139," ")</f>
        <v> </v>
      </c>
    </row>
    <row r="140" customFormat="false" ht="12" hidden="false" customHeight="false" outlineLevel="0" collapsed="false">
      <c r="E140" s="5" t="str">
        <f aca="false">IF(F140&lt;&gt;0,"Enter Code"," ")</f>
        <v> </v>
      </c>
      <c r="G140" s="6" t="str">
        <f aca="false">IF(E140="BB",F140," ")</f>
        <v> </v>
      </c>
      <c r="H140" s="6" t="str">
        <f aca="false">IF(E140="BD",F140," ")</f>
        <v> </v>
      </c>
      <c r="I140" s="6" t="str">
        <f aca="false">IF(E140="BC",F140," ")</f>
        <v> </v>
      </c>
      <c r="J140" s="6" t="str">
        <f aca="false">IF(E140="DR",F140," ")</f>
        <v> </v>
      </c>
      <c r="K140" s="6" t="str">
        <f aca="false">IF(E140="K",F140," ")</f>
        <v> </v>
      </c>
      <c r="L140" s="6" t="str">
        <f aca="false">IF(E140="LDR",F140," ")</f>
        <v> </v>
      </c>
      <c r="M140" s="6" t="str">
        <f aca="false">IF(E140="LCR",F140," ")</f>
        <v> </v>
      </c>
      <c r="N140" s="6" t="str">
        <f aca="false">IF(E140="RV",F140," ")</f>
        <v> </v>
      </c>
      <c r="O140" s="6" t="str">
        <f aca="false">IF(E140="RC",F140," ")</f>
        <v> </v>
      </c>
      <c r="P140" s="6" t="str">
        <f aca="false">IF(E140="DL",F140," ")</f>
        <v> </v>
      </c>
      <c r="Q140" s="6" t="str">
        <f aca="false">IF(E140="X",F140," ")</f>
        <v> </v>
      </c>
      <c r="R140" s="37"/>
      <c r="W140" s="6" t="str">
        <f aca="false">IF(X140&lt;&gt;0,"Enter Code"," ")</f>
        <v> </v>
      </c>
      <c r="Y140" s="6" t="str">
        <f aca="false">IF(W140="BB",X140," ")</f>
        <v> </v>
      </c>
      <c r="Z140" s="6" t="str">
        <f aca="false">IF(W140="BD",X140," ")</f>
        <v> </v>
      </c>
      <c r="AA140" s="6" t="str">
        <f aca="false">IF(W140="BC",X140," ")</f>
        <v> </v>
      </c>
      <c r="AB140" s="6" t="str">
        <f aca="false">IF(W140="CR",X140," ")</f>
        <v> </v>
      </c>
      <c r="AC140" s="6" t="str">
        <f aca="false">IF(W140="W",X140," ")</f>
        <v> </v>
      </c>
      <c r="AD140" s="6" t="str">
        <f aca="false">IF(W140="B",X140," ")</f>
        <v> </v>
      </c>
      <c r="AE140" s="6" t="str">
        <f aca="false">IF(W140="J",X140," ")</f>
        <v> </v>
      </c>
      <c r="AF140" s="6" t="str">
        <f aca="false">IF(W140="LDR",X140," ")</f>
        <v> </v>
      </c>
      <c r="AG140" s="6" t="str">
        <f aca="false">IF(W140="LCR",X140," ")</f>
        <v> </v>
      </c>
      <c r="AH140" s="6" t="str">
        <f aca="false">IF(W140="RP",X140," ")</f>
        <v> </v>
      </c>
      <c r="AI140" s="6" t="str">
        <f aca="false">IF(W140="RV",X140," ")</f>
        <v> </v>
      </c>
      <c r="AJ140" s="6" t="str">
        <f aca="false">IF(W140="RC",X140," ")</f>
        <v> </v>
      </c>
      <c r="AK140" s="6" t="str">
        <f aca="false">IF(W140="RT",X140," ")</f>
        <v> </v>
      </c>
      <c r="AL140" s="6" t="str">
        <f aca="false">IF(W140="DV",X140," ")</f>
        <v> </v>
      </c>
      <c r="AM140" s="6" t="str">
        <f aca="false">IF(W140="DL",X140," ")</f>
        <v> </v>
      </c>
      <c r="AN140" s="6" t="str">
        <f aca="false">IF(W140="X",X140," ")</f>
        <v> </v>
      </c>
    </row>
    <row r="141" customFormat="false" ht="12" hidden="false" customHeight="false" outlineLevel="0" collapsed="false">
      <c r="E141" s="5" t="str">
        <f aca="false">IF(F141&lt;&gt;0,"Enter Code"," ")</f>
        <v> </v>
      </c>
      <c r="G141" s="6" t="str">
        <f aca="false">IF(E141="BB",F141," ")</f>
        <v> </v>
      </c>
      <c r="H141" s="6" t="str">
        <f aca="false">IF(E141="BD",F141," ")</f>
        <v> </v>
      </c>
      <c r="I141" s="6" t="str">
        <f aca="false">IF(E141="BC",F141," ")</f>
        <v> </v>
      </c>
      <c r="J141" s="6" t="str">
        <f aca="false">IF(E141="DR",F141," ")</f>
        <v> </v>
      </c>
      <c r="K141" s="6" t="str">
        <f aca="false">IF(E141="K",F141," ")</f>
        <v> </v>
      </c>
      <c r="L141" s="6" t="str">
        <f aca="false">IF(E141="LDR",F141," ")</f>
        <v> </v>
      </c>
      <c r="M141" s="6" t="str">
        <f aca="false">IF(E141="LCR",F141," ")</f>
        <v> </v>
      </c>
      <c r="N141" s="6" t="str">
        <f aca="false">IF(E141="RV",F141," ")</f>
        <v> </v>
      </c>
      <c r="O141" s="6" t="str">
        <f aca="false">IF(E141="RC",F141," ")</f>
        <v> </v>
      </c>
      <c r="P141" s="6" t="str">
        <f aca="false">IF(E141="DL",F141," ")</f>
        <v> </v>
      </c>
      <c r="Q141" s="6" t="str">
        <f aca="false">IF(E141="X",F141," ")</f>
        <v> </v>
      </c>
      <c r="R141" s="37"/>
      <c r="W141" s="6" t="str">
        <f aca="false">IF(X141&lt;&gt;0,"Enter Code"," ")</f>
        <v> </v>
      </c>
      <c r="Y141" s="6" t="str">
        <f aca="false">IF(W141="BB",X141," ")</f>
        <v> </v>
      </c>
      <c r="Z141" s="6" t="str">
        <f aca="false">IF(W141="BD",X141," ")</f>
        <v> </v>
      </c>
      <c r="AA141" s="6" t="str">
        <f aca="false">IF(W141="BC",X141," ")</f>
        <v> </v>
      </c>
      <c r="AB141" s="6" t="str">
        <f aca="false">IF(W141="CR",X141," ")</f>
        <v> </v>
      </c>
      <c r="AC141" s="6" t="str">
        <f aca="false">IF(W141="W",X141," ")</f>
        <v> </v>
      </c>
      <c r="AD141" s="6" t="str">
        <f aca="false">IF(W141="B",X141," ")</f>
        <v> </v>
      </c>
      <c r="AE141" s="6" t="str">
        <f aca="false">IF(W141="J",X141," ")</f>
        <v> </v>
      </c>
      <c r="AF141" s="6" t="str">
        <f aca="false">IF(W141="LDR",X141," ")</f>
        <v> </v>
      </c>
      <c r="AG141" s="6" t="str">
        <f aca="false">IF(W141="LCR",X141," ")</f>
        <v> </v>
      </c>
      <c r="AH141" s="6" t="str">
        <f aca="false">IF(W141="RP",X141," ")</f>
        <v> </v>
      </c>
      <c r="AI141" s="6" t="str">
        <f aca="false">IF(W141="RV",X141," ")</f>
        <v> </v>
      </c>
      <c r="AJ141" s="6" t="str">
        <f aca="false">IF(W141="RC",X141," ")</f>
        <v> </v>
      </c>
      <c r="AK141" s="6" t="str">
        <f aca="false">IF(W141="RT",X141," ")</f>
        <v> </v>
      </c>
      <c r="AL141" s="6" t="str">
        <f aca="false">IF(W141="DV",X141," ")</f>
        <v> </v>
      </c>
      <c r="AM141" s="6" t="str">
        <f aca="false">IF(W141="DL",X141," ")</f>
        <v> </v>
      </c>
      <c r="AN141" s="6" t="str">
        <f aca="false">IF(W141="X",X141," ")</f>
        <v> </v>
      </c>
    </row>
    <row r="142" customFormat="false" ht="12" hidden="false" customHeight="false" outlineLevel="0" collapsed="false">
      <c r="E142" s="5" t="str">
        <f aca="false">IF(F142&lt;&gt;0,"Enter Code"," ")</f>
        <v> </v>
      </c>
      <c r="G142" s="6" t="str">
        <f aca="false">IF(E142="BB",F142," ")</f>
        <v> </v>
      </c>
      <c r="H142" s="6" t="str">
        <f aca="false">IF(E142="BD",F142," ")</f>
        <v> </v>
      </c>
      <c r="I142" s="6" t="str">
        <f aca="false">IF(E142="BC",F142," ")</f>
        <v> </v>
      </c>
      <c r="J142" s="6" t="str">
        <f aca="false">IF(E142="DR",F142," ")</f>
        <v> </v>
      </c>
      <c r="K142" s="6" t="str">
        <f aca="false">IF(E142="K",F142," ")</f>
        <v> </v>
      </c>
      <c r="L142" s="6" t="str">
        <f aca="false">IF(E142="LDR",F142," ")</f>
        <v> </v>
      </c>
      <c r="M142" s="6" t="str">
        <f aca="false">IF(E142="LCR",F142," ")</f>
        <v> </v>
      </c>
      <c r="N142" s="6" t="str">
        <f aca="false">IF(E142="RV",F142," ")</f>
        <v> </v>
      </c>
      <c r="O142" s="6" t="str">
        <f aca="false">IF(E142="RC",F142," ")</f>
        <v> </v>
      </c>
      <c r="P142" s="6" t="str">
        <f aca="false">IF(E142="DL",F142," ")</f>
        <v> </v>
      </c>
      <c r="Q142" s="6" t="str">
        <f aca="false">IF(E142="X",F142," ")</f>
        <v> </v>
      </c>
      <c r="R142" s="37"/>
      <c r="W142" s="6" t="str">
        <f aca="false">IF(X142&lt;&gt;0,"Enter Code"," ")</f>
        <v> </v>
      </c>
      <c r="Y142" s="6" t="str">
        <f aca="false">IF(W142="BB",X142," ")</f>
        <v> </v>
      </c>
      <c r="Z142" s="6" t="str">
        <f aca="false">IF(W142="BD",X142," ")</f>
        <v> </v>
      </c>
      <c r="AA142" s="6" t="str">
        <f aca="false">IF(W142="BC",X142," ")</f>
        <v> </v>
      </c>
      <c r="AB142" s="6" t="str">
        <f aca="false">IF(W142="CR",X142," ")</f>
        <v> </v>
      </c>
      <c r="AC142" s="6" t="str">
        <f aca="false">IF(W142="W",X142," ")</f>
        <v> </v>
      </c>
      <c r="AD142" s="6" t="str">
        <f aca="false">IF(W142="B",X142," ")</f>
        <v> </v>
      </c>
      <c r="AE142" s="6" t="str">
        <f aca="false">IF(W142="J",X142," ")</f>
        <v> </v>
      </c>
      <c r="AF142" s="6" t="str">
        <f aca="false">IF(W142="LDR",X142," ")</f>
        <v> </v>
      </c>
      <c r="AG142" s="6" t="str">
        <f aca="false">IF(W142="LCR",X142," ")</f>
        <v> </v>
      </c>
      <c r="AH142" s="6" t="str">
        <f aca="false">IF(W142="RP",X142," ")</f>
        <v> </v>
      </c>
      <c r="AI142" s="6" t="str">
        <f aca="false">IF(W142="RV",X142," ")</f>
        <v> </v>
      </c>
      <c r="AJ142" s="6" t="str">
        <f aca="false">IF(W142="RC",X142," ")</f>
        <v> </v>
      </c>
      <c r="AK142" s="6" t="str">
        <f aca="false">IF(W142="RT",X142," ")</f>
        <v> </v>
      </c>
      <c r="AL142" s="6" t="str">
        <f aca="false">IF(W142="DV",X142," ")</f>
        <v> </v>
      </c>
      <c r="AM142" s="6" t="str">
        <f aca="false">IF(W142="DL",X142," ")</f>
        <v> </v>
      </c>
      <c r="AN142" s="6" t="str">
        <f aca="false">IF(W142="X",X142," ")</f>
        <v> </v>
      </c>
    </row>
    <row r="143" customFormat="false" ht="12" hidden="false" customHeight="false" outlineLevel="0" collapsed="false">
      <c r="E143" s="5" t="str">
        <f aca="false">IF(F143&lt;&gt;0,"Enter Code"," ")</f>
        <v> </v>
      </c>
      <c r="G143" s="6" t="str">
        <f aca="false">IF(E143="BB",F143," ")</f>
        <v> </v>
      </c>
      <c r="H143" s="6" t="str">
        <f aca="false">IF(E143="BD",F143," ")</f>
        <v> </v>
      </c>
      <c r="I143" s="6" t="str">
        <f aca="false">IF(E143="BC",F143," ")</f>
        <v> </v>
      </c>
      <c r="J143" s="6" t="str">
        <f aca="false">IF(E143="DR",F143," ")</f>
        <v> </v>
      </c>
      <c r="K143" s="6" t="str">
        <f aca="false">IF(E143="K",F143," ")</f>
        <v> </v>
      </c>
      <c r="L143" s="6" t="str">
        <f aca="false">IF(E143="LDR",F143," ")</f>
        <v> </v>
      </c>
      <c r="M143" s="6" t="str">
        <f aca="false">IF(E143="LCR",F143," ")</f>
        <v> </v>
      </c>
      <c r="N143" s="6" t="str">
        <f aca="false">IF(E143="RV",F143," ")</f>
        <v> </v>
      </c>
      <c r="O143" s="6" t="str">
        <f aca="false">IF(E143="RC",F143," ")</f>
        <v> </v>
      </c>
      <c r="P143" s="6" t="str">
        <f aca="false">IF(E143="DL",F143," ")</f>
        <v> </v>
      </c>
      <c r="Q143" s="6" t="str">
        <f aca="false">IF(E143="X",F143," ")</f>
        <v> </v>
      </c>
      <c r="R143" s="37"/>
      <c r="W143" s="6" t="str">
        <f aca="false">IF(X143&lt;&gt;0,"Enter Code"," ")</f>
        <v> </v>
      </c>
      <c r="Y143" s="6" t="str">
        <f aca="false">IF(W143="BB",X143," ")</f>
        <v> </v>
      </c>
      <c r="Z143" s="6" t="str">
        <f aca="false">IF(W143="BD",X143," ")</f>
        <v> </v>
      </c>
      <c r="AA143" s="6" t="str">
        <f aca="false">IF(W143="BC",X143," ")</f>
        <v> </v>
      </c>
      <c r="AB143" s="6" t="str">
        <f aca="false">IF(W143="CR",X143," ")</f>
        <v> </v>
      </c>
      <c r="AC143" s="6" t="str">
        <f aca="false">IF(W143="W",X143," ")</f>
        <v> </v>
      </c>
      <c r="AD143" s="6" t="str">
        <f aca="false">IF(W143="B",X143," ")</f>
        <v> </v>
      </c>
      <c r="AE143" s="6" t="str">
        <f aca="false">IF(W143="J",X143," ")</f>
        <v> </v>
      </c>
      <c r="AF143" s="6" t="str">
        <f aca="false">IF(W143="LDR",X143," ")</f>
        <v> </v>
      </c>
      <c r="AG143" s="6" t="str">
        <f aca="false">IF(W143="LCR",X143," ")</f>
        <v> </v>
      </c>
      <c r="AH143" s="6" t="str">
        <f aca="false">IF(W143="RP",X143," ")</f>
        <v> </v>
      </c>
      <c r="AI143" s="6" t="str">
        <f aca="false">IF(W143="RV",X143," ")</f>
        <v> </v>
      </c>
      <c r="AJ143" s="6" t="str">
        <f aca="false">IF(W143="RC",X143," ")</f>
        <v> </v>
      </c>
      <c r="AK143" s="6" t="str">
        <f aca="false">IF(W143="RT",X143," ")</f>
        <v> </v>
      </c>
      <c r="AL143" s="6" t="str">
        <f aca="false">IF(W143="DV",X143," ")</f>
        <v> </v>
      </c>
      <c r="AM143" s="6" t="str">
        <f aca="false">IF(W143="DL",X143," ")</f>
        <v> </v>
      </c>
      <c r="AN143" s="6" t="str">
        <f aca="false">IF(W143="X",X143," ")</f>
        <v> </v>
      </c>
    </row>
    <row r="144" customFormat="false" ht="12" hidden="false" customHeight="false" outlineLevel="0" collapsed="false">
      <c r="E144" s="5" t="str">
        <f aca="false">IF(F144&lt;&gt;0,"Enter Code"," ")</f>
        <v> </v>
      </c>
      <c r="G144" s="6" t="str">
        <f aca="false">IF(E144="BB",F144," ")</f>
        <v> </v>
      </c>
      <c r="H144" s="6" t="str">
        <f aca="false">IF(E144="BD",F144," ")</f>
        <v> </v>
      </c>
      <c r="I144" s="6" t="str">
        <f aca="false">IF(E144="BC",F144," ")</f>
        <v> </v>
      </c>
      <c r="J144" s="6" t="str">
        <f aca="false">IF(E144="DR",F144," ")</f>
        <v> </v>
      </c>
      <c r="K144" s="6" t="str">
        <f aca="false">IF(E144="K",F144," ")</f>
        <v> </v>
      </c>
      <c r="L144" s="6" t="str">
        <f aca="false">IF(E144="LDR",F144," ")</f>
        <v> </v>
      </c>
      <c r="M144" s="6" t="str">
        <f aca="false">IF(E144="LCR",F144," ")</f>
        <v> </v>
      </c>
      <c r="N144" s="6" t="str">
        <f aca="false">IF(E144="RV",F144," ")</f>
        <v> </v>
      </c>
      <c r="O144" s="6" t="str">
        <f aca="false">IF(E144="RC",F144," ")</f>
        <v> </v>
      </c>
      <c r="P144" s="6" t="str">
        <f aca="false">IF(E144="DL",F144," ")</f>
        <v> </v>
      </c>
      <c r="Q144" s="6" t="str">
        <f aca="false">IF(E144="X",F144," ")</f>
        <v> </v>
      </c>
      <c r="R144" s="37"/>
      <c r="W144" s="6" t="str">
        <f aca="false">IF(X144&lt;&gt;0,"Enter Code"," ")</f>
        <v> </v>
      </c>
      <c r="Y144" s="6" t="str">
        <f aca="false">IF(W144="BB",X144," ")</f>
        <v> </v>
      </c>
      <c r="Z144" s="6" t="str">
        <f aca="false">IF(W144="BD",X144," ")</f>
        <v> </v>
      </c>
      <c r="AA144" s="6" t="str">
        <f aca="false">IF(W144="BC",X144," ")</f>
        <v> </v>
      </c>
      <c r="AB144" s="6" t="str">
        <f aca="false">IF(W144="CR",X144," ")</f>
        <v> </v>
      </c>
      <c r="AC144" s="6" t="str">
        <f aca="false">IF(W144="W",X144," ")</f>
        <v> </v>
      </c>
      <c r="AD144" s="6" t="str">
        <f aca="false">IF(W144="B",X144," ")</f>
        <v> </v>
      </c>
      <c r="AE144" s="6" t="str">
        <f aca="false">IF(W144="J",X144," ")</f>
        <v> </v>
      </c>
      <c r="AF144" s="6" t="str">
        <f aca="false">IF(W144="LDR",X144," ")</f>
        <v> </v>
      </c>
      <c r="AG144" s="6" t="str">
        <f aca="false">IF(W144="LCR",X144," ")</f>
        <v> </v>
      </c>
      <c r="AH144" s="6" t="str">
        <f aca="false">IF(W144="RP",X144," ")</f>
        <v> </v>
      </c>
      <c r="AI144" s="6" t="str">
        <f aca="false">IF(W144="RV",X144," ")</f>
        <v> </v>
      </c>
      <c r="AJ144" s="6" t="str">
        <f aca="false">IF(W144="RC",X144," ")</f>
        <v> </v>
      </c>
      <c r="AK144" s="6" t="str">
        <f aca="false">IF(W144="RT",X144," ")</f>
        <v> </v>
      </c>
      <c r="AL144" s="6" t="str">
        <f aca="false">IF(W144="DV",X144," ")</f>
        <v> </v>
      </c>
      <c r="AM144" s="6" t="str">
        <f aca="false">IF(W144="DL",X144," ")</f>
        <v> </v>
      </c>
      <c r="AN144" s="6" t="str">
        <f aca="false">IF(W144="X",X144," ")</f>
        <v> </v>
      </c>
    </row>
    <row r="145" customFormat="false" ht="12" hidden="false" customHeight="false" outlineLevel="0" collapsed="false">
      <c r="E145" s="5" t="str">
        <f aca="false">IF(F145&lt;&gt;0,"Enter Code"," ")</f>
        <v> </v>
      </c>
      <c r="G145" s="6" t="str">
        <f aca="false">IF(E145="BB",F145," ")</f>
        <v> </v>
      </c>
      <c r="H145" s="6" t="str">
        <f aca="false">IF(E145="BD",F145," ")</f>
        <v> </v>
      </c>
      <c r="I145" s="6" t="str">
        <f aca="false">IF(E145="BC",F145," ")</f>
        <v> </v>
      </c>
      <c r="J145" s="6" t="str">
        <f aca="false">IF(E145="DR",F145," ")</f>
        <v> </v>
      </c>
      <c r="K145" s="6" t="str">
        <f aca="false">IF(E145="K",F145," ")</f>
        <v> </v>
      </c>
      <c r="L145" s="6" t="str">
        <f aca="false">IF(E145="LDR",F145," ")</f>
        <v> </v>
      </c>
      <c r="M145" s="6" t="str">
        <f aca="false">IF(E145="LCR",F145," ")</f>
        <v> </v>
      </c>
      <c r="N145" s="6" t="str">
        <f aca="false">IF(E145="RV",F145," ")</f>
        <v> </v>
      </c>
      <c r="O145" s="6" t="str">
        <f aca="false">IF(E145="RC",F145," ")</f>
        <v> </v>
      </c>
      <c r="P145" s="6" t="str">
        <f aca="false">IF(E145="DL",F145," ")</f>
        <v> </v>
      </c>
      <c r="Q145" s="6" t="str">
        <f aca="false">IF(E145="X",F145," ")</f>
        <v> </v>
      </c>
      <c r="R145" s="37"/>
      <c r="W145" s="6" t="str">
        <f aca="false">IF(X145&lt;&gt;0,"Enter Code"," ")</f>
        <v> </v>
      </c>
      <c r="Y145" s="6" t="str">
        <f aca="false">IF(W145="BB",X145," ")</f>
        <v> </v>
      </c>
      <c r="Z145" s="6" t="str">
        <f aca="false">IF(W145="BD",X145," ")</f>
        <v> </v>
      </c>
      <c r="AA145" s="6" t="str">
        <f aca="false">IF(W145="BC",X145," ")</f>
        <v> </v>
      </c>
      <c r="AB145" s="6" t="str">
        <f aca="false">IF(W145="CR",X145," ")</f>
        <v> </v>
      </c>
      <c r="AC145" s="6" t="str">
        <f aca="false">IF(W145="W",X145," ")</f>
        <v> </v>
      </c>
      <c r="AD145" s="6" t="str">
        <f aca="false">IF(W145="B",X145," ")</f>
        <v> </v>
      </c>
      <c r="AE145" s="6" t="str">
        <f aca="false">IF(W145="J",X145," ")</f>
        <v> </v>
      </c>
      <c r="AF145" s="6" t="str">
        <f aca="false">IF(W145="LDR",X145," ")</f>
        <v> </v>
      </c>
      <c r="AG145" s="6" t="str">
        <f aca="false">IF(W145="LCR",X145," ")</f>
        <v> </v>
      </c>
      <c r="AH145" s="6" t="str">
        <f aca="false">IF(W145="RP",X145," ")</f>
        <v> </v>
      </c>
      <c r="AI145" s="6" t="str">
        <f aca="false">IF(W145="RV",X145," ")</f>
        <v> </v>
      </c>
      <c r="AJ145" s="6" t="str">
        <f aca="false">IF(W145="RC",X145," ")</f>
        <v> </v>
      </c>
      <c r="AK145" s="6" t="str">
        <f aca="false">IF(W145="RT",X145," ")</f>
        <v> </v>
      </c>
      <c r="AL145" s="6" t="str">
        <f aca="false">IF(W145="DV",X145," ")</f>
        <v> </v>
      </c>
      <c r="AM145" s="6" t="str">
        <f aca="false">IF(W145="DL",X145," ")</f>
        <v> </v>
      </c>
      <c r="AN145" s="6" t="str">
        <f aca="false">IF(W145="X",X145," ")</f>
        <v> </v>
      </c>
    </row>
    <row r="146" customFormat="false" ht="12" hidden="false" customHeight="false" outlineLevel="0" collapsed="false">
      <c r="E146" s="5" t="str">
        <f aca="false">IF(F146&lt;&gt;0,"Enter Code"," ")</f>
        <v> </v>
      </c>
      <c r="G146" s="6" t="str">
        <f aca="false">IF(E146="BB",F146," ")</f>
        <v> </v>
      </c>
      <c r="H146" s="6" t="str">
        <f aca="false">IF(E146="BD",F146," ")</f>
        <v> </v>
      </c>
      <c r="I146" s="6" t="str">
        <f aca="false">IF(E146="BC",F146," ")</f>
        <v> </v>
      </c>
      <c r="J146" s="6" t="str">
        <f aca="false">IF(E146="DR",F146," ")</f>
        <v> </v>
      </c>
      <c r="K146" s="6" t="str">
        <f aca="false">IF(E146="K",F146," ")</f>
        <v> </v>
      </c>
      <c r="L146" s="6" t="str">
        <f aca="false">IF(E146="LDR",F146," ")</f>
        <v> </v>
      </c>
      <c r="M146" s="6" t="str">
        <f aca="false">IF(E146="LCR",F146," ")</f>
        <v> </v>
      </c>
      <c r="N146" s="6" t="str">
        <f aca="false">IF(E146="RV",F146," ")</f>
        <v> </v>
      </c>
      <c r="O146" s="6" t="str">
        <f aca="false">IF(E146="RC",F146," ")</f>
        <v> </v>
      </c>
      <c r="P146" s="6" t="str">
        <f aca="false">IF(E146="DL",F146," ")</f>
        <v> </v>
      </c>
      <c r="Q146" s="6" t="str">
        <f aca="false">IF(E146="X",F146," ")</f>
        <v> </v>
      </c>
      <c r="R146" s="37"/>
      <c r="W146" s="6" t="str">
        <f aca="false">IF(X146&lt;&gt;0,"Enter Code"," ")</f>
        <v> </v>
      </c>
      <c r="Y146" s="6" t="str">
        <f aca="false">IF(W146="BB",X146," ")</f>
        <v> </v>
      </c>
      <c r="Z146" s="6" t="str">
        <f aca="false">IF(W146="BD",X146," ")</f>
        <v> </v>
      </c>
      <c r="AA146" s="6" t="str">
        <f aca="false">IF(W146="BC",X146," ")</f>
        <v> </v>
      </c>
      <c r="AB146" s="6" t="str">
        <f aca="false">IF(W146="CR",X146," ")</f>
        <v> </v>
      </c>
      <c r="AC146" s="6" t="str">
        <f aca="false">IF(W146="W",X146," ")</f>
        <v> </v>
      </c>
      <c r="AD146" s="6" t="str">
        <f aca="false">IF(W146="B",X146," ")</f>
        <v> </v>
      </c>
      <c r="AE146" s="6" t="str">
        <f aca="false">IF(W146="J",X146," ")</f>
        <v> </v>
      </c>
      <c r="AF146" s="6" t="str">
        <f aca="false">IF(W146="LDR",X146," ")</f>
        <v> </v>
      </c>
      <c r="AG146" s="6" t="str">
        <f aca="false">IF(W146="LCR",X146," ")</f>
        <v> </v>
      </c>
      <c r="AH146" s="6" t="str">
        <f aca="false">IF(W146="RP",X146," ")</f>
        <v> </v>
      </c>
      <c r="AI146" s="6" t="str">
        <f aca="false">IF(W146="RV",X146," ")</f>
        <v> </v>
      </c>
      <c r="AJ146" s="6" t="str">
        <f aca="false">IF(W146="RC",X146," ")</f>
        <v> </v>
      </c>
      <c r="AK146" s="6" t="str">
        <f aca="false">IF(W146="RT",X146," ")</f>
        <v> </v>
      </c>
      <c r="AL146" s="6" t="str">
        <f aca="false">IF(W146="DV",X146," ")</f>
        <v> </v>
      </c>
      <c r="AM146" s="6" t="str">
        <f aca="false">IF(W146="DL",X146," ")</f>
        <v> </v>
      </c>
      <c r="AN146" s="6" t="str">
        <f aca="false">IF(W146="X",X146," ")</f>
        <v> </v>
      </c>
    </row>
    <row r="147" customFormat="false" ht="12" hidden="false" customHeight="false" outlineLevel="0" collapsed="false">
      <c r="E147" s="5" t="str">
        <f aca="false">IF(F147&lt;&gt;0,"Enter Code"," ")</f>
        <v> </v>
      </c>
      <c r="G147" s="6" t="str">
        <f aca="false">IF(E147="BB",F147," ")</f>
        <v> </v>
      </c>
      <c r="H147" s="6" t="str">
        <f aca="false">IF(E147="BD",F147," ")</f>
        <v> </v>
      </c>
      <c r="I147" s="6" t="str">
        <f aca="false">IF(E147="BC",F147," ")</f>
        <v> </v>
      </c>
      <c r="J147" s="6" t="str">
        <f aca="false">IF(E147="DR",F147," ")</f>
        <v> </v>
      </c>
      <c r="K147" s="6" t="str">
        <f aca="false">IF(E147="K",F147," ")</f>
        <v> </v>
      </c>
      <c r="L147" s="6" t="str">
        <f aca="false">IF(E147="LDR",F147," ")</f>
        <v> </v>
      </c>
      <c r="M147" s="6" t="str">
        <f aca="false">IF(E147="LCR",F147," ")</f>
        <v> </v>
      </c>
      <c r="N147" s="6" t="str">
        <f aca="false">IF(E147="RV",F147," ")</f>
        <v> </v>
      </c>
      <c r="O147" s="6" t="str">
        <f aca="false">IF(E147="RC",F147," ")</f>
        <v> </v>
      </c>
      <c r="P147" s="6" t="str">
        <f aca="false">IF(E147="DL",F147," ")</f>
        <v> </v>
      </c>
      <c r="Q147" s="6" t="str">
        <f aca="false">IF(E147="X",F147," ")</f>
        <v> </v>
      </c>
      <c r="R147" s="37"/>
      <c r="W147" s="6" t="str">
        <f aca="false">IF(X147&lt;&gt;0,"Enter Code"," ")</f>
        <v> </v>
      </c>
      <c r="Y147" s="6" t="str">
        <f aca="false">IF(W147="BB",X147," ")</f>
        <v> </v>
      </c>
      <c r="Z147" s="6" t="str">
        <f aca="false">IF(W147="BD",X147," ")</f>
        <v> </v>
      </c>
      <c r="AA147" s="6" t="str">
        <f aca="false">IF(W147="BC",X147," ")</f>
        <v> </v>
      </c>
      <c r="AB147" s="6" t="str">
        <f aca="false">IF(W147="CR",X147," ")</f>
        <v> </v>
      </c>
      <c r="AC147" s="6" t="str">
        <f aca="false">IF(W147="W",X147," ")</f>
        <v> </v>
      </c>
      <c r="AD147" s="6" t="str">
        <f aca="false">IF(W147="B",X147," ")</f>
        <v> </v>
      </c>
      <c r="AE147" s="6" t="str">
        <f aca="false">IF(W147="J",X147," ")</f>
        <v> </v>
      </c>
      <c r="AF147" s="6" t="str">
        <f aca="false">IF(W147="LDR",X147," ")</f>
        <v> </v>
      </c>
      <c r="AG147" s="6" t="str">
        <f aca="false">IF(W147="LCR",X147," ")</f>
        <v> </v>
      </c>
      <c r="AH147" s="6" t="str">
        <f aca="false">IF(W147="RP",X147," ")</f>
        <v> </v>
      </c>
      <c r="AI147" s="6" t="str">
        <f aca="false">IF(W147="RV",X147," ")</f>
        <v> </v>
      </c>
      <c r="AJ147" s="6" t="str">
        <f aca="false">IF(W147="RC",X147," ")</f>
        <v> </v>
      </c>
      <c r="AK147" s="6" t="str">
        <f aca="false">IF(W147="RT",X147," ")</f>
        <v> </v>
      </c>
      <c r="AL147" s="6" t="str">
        <f aca="false">IF(W147="DV",X147," ")</f>
        <v> </v>
      </c>
      <c r="AM147" s="6" t="str">
        <f aca="false">IF(W147="DL",X147," ")</f>
        <v> </v>
      </c>
      <c r="AN147" s="6" t="str">
        <f aca="false">IF(W147="X",X147," ")</f>
        <v> </v>
      </c>
    </row>
    <row r="148" customFormat="false" ht="12" hidden="false" customHeight="false" outlineLevel="0" collapsed="false">
      <c r="E148" s="5" t="str">
        <f aca="false">IF(F148&lt;&gt;0,"Enter Code"," ")</f>
        <v> </v>
      </c>
      <c r="G148" s="6" t="str">
        <f aca="false">IF(E148="BB",F148," ")</f>
        <v> </v>
      </c>
      <c r="H148" s="6" t="str">
        <f aca="false">IF(E148="BD",F148," ")</f>
        <v> </v>
      </c>
      <c r="I148" s="6" t="str">
        <f aca="false">IF(E148="BC",F148," ")</f>
        <v> </v>
      </c>
      <c r="J148" s="6" t="str">
        <f aca="false">IF(E148="DR",F148," ")</f>
        <v> </v>
      </c>
      <c r="K148" s="6" t="str">
        <f aca="false">IF(E148="K",F148," ")</f>
        <v> </v>
      </c>
      <c r="L148" s="6" t="str">
        <f aca="false">IF(E148="LDR",F148," ")</f>
        <v> </v>
      </c>
      <c r="M148" s="6" t="str">
        <f aca="false">IF(E148="LCR",F148," ")</f>
        <v> </v>
      </c>
      <c r="N148" s="6" t="str">
        <f aca="false">IF(E148="RV",F148," ")</f>
        <v> </v>
      </c>
      <c r="O148" s="6" t="str">
        <f aca="false">IF(E148="RC",F148," ")</f>
        <v> </v>
      </c>
      <c r="P148" s="6" t="str">
        <f aca="false">IF(E148="DL",F148," ")</f>
        <v> </v>
      </c>
      <c r="Q148" s="6" t="str">
        <f aca="false">IF(E148="X",F148," ")</f>
        <v> </v>
      </c>
      <c r="R148" s="37"/>
      <c r="W148" s="6" t="str">
        <f aca="false">IF(X148&lt;&gt;0,"Enter Code"," ")</f>
        <v> </v>
      </c>
      <c r="Y148" s="6" t="str">
        <f aca="false">IF(W148="BB",X148," ")</f>
        <v> </v>
      </c>
      <c r="Z148" s="6" t="str">
        <f aca="false">IF(W148="BD",X148," ")</f>
        <v> </v>
      </c>
      <c r="AA148" s="6" t="str">
        <f aca="false">IF(W148="BC",X148," ")</f>
        <v> </v>
      </c>
      <c r="AB148" s="6" t="str">
        <f aca="false">IF(W148="CR",X148," ")</f>
        <v> </v>
      </c>
      <c r="AC148" s="6" t="str">
        <f aca="false">IF(W148="W",X148," ")</f>
        <v> </v>
      </c>
      <c r="AD148" s="6" t="str">
        <f aca="false">IF(W148="B",X148," ")</f>
        <v> </v>
      </c>
      <c r="AE148" s="6" t="str">
        <f aca="false">IF(W148="J",X148," ")</f>
        <v> </v>
      </c>
      <c r="AF148" s="6" t="str">
        <f aca="false">IF(W148="LDR",X148," ")</f>
        <v> </v>
      </c>
      <c r="AG148" s="6" t="str">
        <f aca="false">IF(W148="LCR",X148," ")</f>
        <v> </v>
      </c>
      <c r="AH148" s="6" t="str">
        <f aca="false">IF(W148="RP",X148," ")</f>
        <v> </v>
      </c>
      <c r="AI148" s="6" t="str">
        <f aca="false">IF(W148="RV",X148," ")</f>
        <v> </v>
      </c>
      <c r="AJ148" s="6" t="str">
        <f aca="false">IF(W148="RC",X148," ")</f>
        <v> </v>
      </c>
      <c r="AK148" s="6" t="str">
        <f aca="false">IF(W148="RT",X148," ")</f>
        <v> </v>
      </c>
      <c r="AL148" s="6" t="str">
        <f aca="false">IF(W148="DV",X148," ")</f>
        <v> </v>
      </c>
      <c r="AM148" s="6" t="str">
        <f aca="false">IF(W148="DL",X148," ")</f>
        <v> </v>
      </c>
      <c r="AN148" s="6" t="str">
        <f aca="false">IF(W148="X",X148," ")</f>
        <v> </v>
      </c>
    </row>
    <row r="149" customFormat="false" ht="12" hidden="false" customHeight="false" outlineLevel="0" collapsed="false">
      <c r="E149" s="5" t="str">
        <f aca="false">IF(F149&lt;&gt;0,"Enter Code"," ")</f>
        <v> </v>
      </c>
      <c r="G149" s="6" t="str">
        <f aca="false">IF(E149="BB",F149," ")</f>
        <v> </v>
      </c>
      <c r="H149" s="6" t="str">
        <f aca="false">IF(E149="BD",F149," ")</f>
        <v> </v>
      </c>
      <c r="I149" s="6" t="str">
        <f aca="false">IF(E149="BC",F149," ")</f>
        <v> </v>
      </c>
      <c r="J149" s="6" t="str">
        <f aca="false">IF(E149="DR",F149," ")</f>
        <v> </v>
      </c>
      <c r="K149" s="6" t="str">
        <f aca="false">IF(E149="K",F149," ")</f>
        <v> </v>
      </c>
      <c r="L149" s="6" t="str">
        <f aca="false">IF(E149="LDR",F149," ")</f>
        <v> </v>
      </c>
      <c r="M149" s="6" t="str">
        <f aca="false">IF(E149="LCR",F149," ")</f>
        <v> </v>
      </c>
      <c r="N149" s="6" t="str">
        <f aca="false">IF(E149="RV",F149," ")</f>
        <v> </v>
      </c>
      <c r="O149" s="6" t="str">
        <f aca="false">IF(E149="RC",F149," ")</f>
        <v> </v>
      </c>
      <c r="P149" s="6" t="str">
        <f aca="false">IF(E149="DL",F149," ")</f>
        <v> </v>
      </c>
      <c r="Q149" s="6" t="str">
        <f aca="false">IF(E149="X",F149," ")</f>
        <v> </v>
      </c>
      <c r="R149" s="37"/>
      <c r="W149" s="6" t="str">
        <f aca="false">IF(X149&lt;&gt;0,"Enter Code"," ")</f>
        <v> </v>
      </c>
      <c r="Y149" s="6" t="str">
        <f aca="false">IF(W149="BB",X149," ")</f>
        <v> </v>
      </c>
      <c r="Z149" s="6" t="str">
        <f aca="false">IF(W149="BD",X149," ")</f>
        <v> </v>
      </c>
      <c r="AA149" s="6" t="str">
        <f aca="false">IF(W149="BC",X149," ")</f>
        <v> </v>
      </c>
      <c r="AB149" s="6" t="str">
        <f aca="false">IF(W149="CR",X149," ")</f>
        <v> </v>
      </c>
      <c r="AC149" s="6" t="str">
        <f aca="false">IF(W149="W",X149," ")</f>
        <v> </v>
      </c>
      <c r="AD149" s="6" t="str">
        <f aca="false">IF(W149="B",X149," ")</f>
        <v> </v>
      </c>
      <c r="AE149" s="6" t="str">
        <f aca="false">IF(W149="J",X149," ")</f>
        <v> </v>
      </c>
      <c r="AF149" s="6" t="str">
        <f aca="false">IF(W149="LDR",X149," ")</f>
        <v> </v>
      </c>
      <c r="AG149" s="6" t="str">
        <f aca="false">IF(W149="LCR",X149," ")</f>
        <v> </v>
      </c>
      <c r="AH149" s="6" t="str">
        <f aca="false">IF(W149="RP",X149," ")</f>
        <v> </v>
      </c>
      <c r="AI149" s="6" t="str">
        <f aca="false">IF(W149="RV",X149," ")</f>
        <v> </v>
      </c>
      <c r="AJ149" s="6" t="str">
        <f aca="false">IF(W149="RC",X149," ")</f>
        <v> </v>
      </c>
      <c r="AK149" s="6" t="str">
        <f aca="false">IF(W149="RT",X149," ")</f>
        <v> </v>
      </c>
      <c r="AL149" s="6" t="str">
        <f aca="false">IF(W149="DV",X149," ")</f>
        <v> </v>
      </c>
      <c r="AM149" s="6" t="str">
        <f aca="false">IF(W149="DL",X149," ")</f>
        <v> </v>
      </c>
      <c r="AN149" s="6" t="str">
        <f aca="false">IF(W149="X",X149," ")</f>
        <v> </v>
      </c>
    </row>
    <row r="150" customFormat="false" ht="12" hidden="false" customHeight="false" outlineLevel="0" collapsed="false">
      <c r="E150" s="5" t="str">
        <f aca="false">IF(F150&lt;&gt;0,"Enter Code"," ")</f>
        <v> </v>
      </c>
      <c r="G150" s="6" t="str">
        <f aca="false">IF(E150="BB",F150," ")</f>
        <v> </v>
      </c>
      <c r="H150" s="6" t="str">
        <f aca="false">IF(E150="BD",F150," ")</f>
        <v> </v>
      </c>
      <c r="I150" s="6" t="str">
        <f aca="false">IF(E150="BC",F150," ")</f>
        <v> </v>
      </c>
      <c r="J150" s="6" t="str">
        <f aca="false">IF(E150="DR",F150," ")</f>
        <v> </v>
      </c>
      <c r="K150" s="6" t="str">
        <f aca="false">IF(E150="K",F150," ")</f>
        <v> </v>
      </c>
      <c r="L150" s="6" t="str">
        <f aca="false">IF(E150="LDR",F150," ")</f>
        <v> </v>
      </c>
      <c r="M150" s="6" t="str">
        <f aca="false">IF(E150="LCR",F150," ")</f>
        <v> </v>
      </c>
      <c r="N150" s="6" t="str">
        <f aca="false">IF(E150="RV",F150," ")</f>
        <v> </v>
      </c>
      <c r="O150" s="6" t="str">
        <f aca="false">IF(E150="RC",F150," ")</f>
        <v> </v>
      </c>
      <c r="P150" s="6" t="str">
        <f aca="false">IF(E150="DL",F150," ")</f>
        <v> </v>
      </c>
      <c r="Q150" s="6" t="str">
        <f aca="false">IF(E150="X",F150," ")</f>
        <v> </v>
      </c>
      <c r="R150" s="37"/>
      <c r="W150" s="6" t="str">
        <f aca="false">IF(X150&lt;&gt;0,"Enter Code"," ")</f>
        <v> </v>
      </c>
      <c r="Y150" s="6" t="str">
        <f aca="false">IF(W150="BB",X150," ")</f>
        <v> </v>
      </c>
      <c r="Z150" s="6" t="str">
        <f aca="false">IF(W150="BD",X150," ")</f>
        <v> </v>
      </c>
      <c r="AA150" s="6" t="str">
        <f aca="false">IF(W150="BC",X150," ")</f>
        <v> </v>
      </c>
      <c r="AB150" s="6" t="str">
        <f aca="false">IF(W150="CR",X150," ")</f>
        <v> </v>
      </c>
      <c r="AC150" s="6" t="str">
        <f aca="false">IF(W150="W",X150," ")</f>
        <v> </v>
      </c>
      <c r="AD150" s="6" t="str">
        <f aca="false">IF(W150="B",X150," ")</f>
        <v> </v>
      </c>
      <c r="AE150" s="6" t="str">
        <f aca="false">IF(W150="J",X150," ")</f>
        <v> </v>
      </c>
      <c r="AF150" s="6" t="str">
        <f aca="false">IF(W150="LDR",X150," ")</f>
        <v> </v>
      </c>
      <c r="AG150" s="6" t="str">
        <f aca="false">IF(W150="LCR",X150," ")</f>
        <v> </v>
      </c>
      <c r="AH150" s="6" t="str">
        <f aca="false">IF(W150="RP",X150," ")</f>
        <v> </v>
      </c>
      <c r="AI150" s="6" t="str">
        <f aca="false">IF(W150="RV",X150," ")</f>
        <v> </v>
      </c>
      <c r="AJ150" s="6" t="str">
        <f aca="false">IF(W150="RC",X150," ")</f>
        <v> </v>
      </c>
      <c r="AK150" s="6" t="str">
        <f aca="false">IF(W150="RT",X150," ")</f>
        <v> </v>
      </c>
      <c r="AL150" s="6" t="str">
        <f aca="false">IF(W150="DV",X150," ")</f>
        <v> </v>
      </c>
      <c r="AM150" s="6" t="str">
        <f aca="false">IF(W150="DL",X150," ")</f>
        <v> </v>
      </c>
      <c r="AN150" s="6" t="str">
        <f aca="false">IF(W150="X",X150," ")</f>
        <v> </v>
      </c>
    </row>
    <row r="151" customFormat="false" ht="12" hidden="false" customHeight="false" outlineLevel="0" collapsed="false">
      <c r="E151" s="5" t="str">
        <f aca="false">IF(F151&lt;&gt;0,"Enter Code"," ")</f>
        <v> </v>
      </c>
      <c r="G151" s="6" t="str">
        <f aca="false">IF(E151="BB",F151," ")</f>
        <v> </v>
      </c>
      <c r="H151" s="6" t="str">
        <f aca="false">IF(E151="BD",F151," ")</f>
        <v> </v>
      </c>
      <c r="I151" s="6" t="str">
        <f aca="false">IF(E151="BC",F151," ")</f>
        <v> </v>
      </c>
      <c r="J151" s="6" t="str">
        <f aca="false">IF(E151="DR",F151," ")</f>
        <v> </v>
      </c>
      <c r="K151" s="6" t="str">
        <f aca="false">IF(E151="K",F151," ")</f>
        <v> </v>
      </c>
      <c r="L151" s="6" t="str">
        <f aca="false">IF(E151="LDR",F151," ")</f>
        <v> </v>
      </c>
      <c r="M151" s="6" t="str">
        <f aca="false">IF(E151="LCR",F151," ")</f>
        <v> </v>
      </c>
      <c r="N151" s="6" t="str">
        <f aca="false">IF(E151="RV",F151," ")</f>
        <v> </v>
      </c>
      <c r="O151" s="6" t="str">
        <f aca="false">IF(E151="RC",F151," ")</f>
        <v> </v>
      </c>
      <c r="P151" s="6" t="str">
        <f aca="false">IF(E151="DL",F151," ")</f>
        <v> </v>
      </c>
      <c r="Q151" s="6" t="str">
        <f aca="false">IF(E151="X",F151," ")</f>
        <v> </v>
      </c>
      <c r="R151" s="37"/>
      <c r="W151" s="6" t="str">
        <f aca="false">IF(X151&lt;&gt;0,"Enter Code"," ")</f>
        <v> </v>
      </c>
      <c r="Y151" s="6" t="str">
        <f aca="false">IF(W151="BB",X151," ")</f>
        <v> </v>
      </c>
      <c r="Z151" s="6" t="str">
        <f aca="false">IF(W151="BD",X151," ")</f>
        <v> </v>
      </c>
      <c r="AA151" s="6" t="str">
        <f aca="false">IF(W151="BC",X151," ")</f>
        <v> </v>
      </c>
      <c r="AB151" s="6" t="str">
        <f aca="false">IF(W151="CR",X151," ")</f>
        <v> </v>
      </c>
      <c r="AC151" s="6" t="str">
        <f aca="false">IF(W151="W",X151," ")</f>
        <v> </v>
      </c>
      <c r="AD151" s="6" t="str">
        <f aca="false">IF(W151="B",X151," ")</f>
        <v> </v>
      </c>
      <c r="AE151" s="6" t="str">
        <f aca="false">IF(W151="J",X151," ")</f>
        <v> </v>
      </c>
      <c r="AF151" s="6" t="str">
        <f aca="false">IF(W151="LDR",X151," ")</f>
        <v> </v>
      </c>
      <c r="AG151" s="6" t="str">
        <f aca="false">IF(W151="LCR",X151," ")</f>
        <v> </v>
      </c>
      <c r="AH151" s="6" t="str">
        <f aca="false">IF(W151="RP",X151," ")</f>
        <v> </v>
      </c>
      <c r="AI151" s="6" t="str">
        <f aca="false">IF(W151="RV",X151," ")</f>
        <v> </v>
      </c>
      <c r="AJ151" s="6" t="str">
        <f aca="false">IF(W151="RC",X151," ")</f>
        <v> </v>
      </c>
      <c r="AK151" s="6" t="str">
        <f aca="false">IF(W151="RT",X151," ")</f>
        <v> </v>
      </c>
      <c r="AL151" s="6" t="str">
        <f aca="false">IF(W151="DV",X151," ")</f>
        <v> </v>
      </c>
      <c r="AM151" s="6" t="str">
        <f aca="false">IF(W151="DL",X151," ")</f>
        <v> </v>
      </c>
      <c r="AN151" s="6" t="str">
        <f aca="false">IF(W151="X",X151," ")</f>
        <v> </v>
      </c>
    </row>
    <row r="152" customFormat="false" ht="12" hidden="false" customHeight="false" outlineLevel="0" collapsed="false">
      <c r="E152" s="5" t="str">
        <f aca="false">IF(F152&lt;&gt;0,"Enter Code"," ")</f>
        <v> </v>
      </c>
      <c r="G152" s="6" t="str">
        <f aca="false">IF(E152="BB",F152," ")</f>
        <v> </v>
      </c>
      <c r="H152" s="6" t="str">
        <f aca="false">IF(E152="BD",F152," ")</f>
        <v> </v>
      </c>
      <c r="I152" s="6" t="str">
        <f aca="false">IF(E152="BC",F152," ")</f>
        <v> </v>
      </c>
      <c r="J152" s="6" t="str">
        <f aca="false">IF(E152="DR",F152," ")</f>
        <v> </v>
      </c>
      <c r="K152" s="6" t="str">
        <f aca="false">IF(E152="K",F152," ")</f>
        <v> </v>
      </c>
      <c r="L152" s="6" t="str">
        <f aca="false">IF(E152="LDR",F152," ")</f>
        <v> </v>
      </c>
      <c r="M152" s="6" t="str">
        <f aca="false">IF(E152="LCR",F152," ")</f>
        <v> </v>
      </c>
      <c r="N152" s="6" t="str">
        <f aca="false">IF(E152="RV",F152," ")</f>
        <v> </v>
      </c>
      <c r="O152" s="6" t="str">
        <f aca="false">IF(E152="RC",F152," ")</f>
        <v> </v>
      </c>
      <c r="P152" s="6" t="str">
        <f aca="false">IF(E152="DL",F152," ")</f>
        <v> </v>
      </c>
      <c r="Q152" s="6" t="str">
        <f aca="false">IF(E152="X",F152," ")</f>
        <v> </v>
      </c>
      <c r="R152" s="37"/>
      <c r="W152" s="6" t="str">
        <f aca="false">IF(X152&lt;&gt;0,"Enter Code"," ")</f>
        <v> </v>
      </c>
      <c r="Y152" s="6" t="str">
        <f aca="false">IF(W152="BB",X152," ")</f>
        <v> </v>
      </c>
      <c r="Z152" s="6" t="str">
        <f aca="false">IF(W152="BD",X152," ")</f>
        <v> </v>
      </c>
      <c r="AA152" s="6" t="str">
        <f aca="false">IF(W152="BC",X152," ")</f>
        <v> </v>
      </c>
      <c r="AB152" s="6" t="str">
        <f aca="false">IF(W152="CR",X152," ")</f>
        <v> </v>
      </c>
      <c r="AC152" s="6" t="str">
        <f aca="false">IF(W152="W",X152," ")</f>
        <v> </v>
      </c>
      <c r="AD152" s="6" t="str">
        <f aca="false">IF(W152="B",X152," ")</f>
        <v> </v>
      </c>
      <c r="AE152" s="6" t="str">
        <f aca="false">IF(W152="J",X152," ")</f>
        <v> </v>
      </c>
      <c r="AF152" s="6" t="str">
        <f aca="false">IF(W152="LDR",X152," ")</f>
        <v> </v>
      </c>
      <c r="AG152" s="6" t="str">
        <f aca="false">IF(W152="LCR",X152," ")</f>
        <v> </v>
      </c>
      <c r="AH152" s="6" t="str">
        <f aca="false">IF(W152="RP",X152," ")</f>
        <v> </v>
      </c>
      <c r="AI152" s="6" t="str">
        <f aca="false">IF(W152="RV",X152," ")</f>
        <v> </v>
      </c>
      <c r="AJ152" s="6" t="str">
        <f aca="false">IF(W152="RC",X152," ")</f>
        <v> </v>
      </c>
      <c r="AK152" s="6" t="str">
        <f aca="false">IF(W152="RT",X152," ")</f>
        <v> </v>
      </c>
      <c r="AL152" s="6" t="str">
        <f aca="false">IF(W152="DV",X152," ")</f>
        <v> </v>
      </c>
      <c r="AM152" s="6" t="str">
        <f aca="false">IF(W152="DL",X152," ")</f>
        <v> </v>
      </c>
      <c r="AN152" s="6" t="str">
        <f aca="false">IF(W152="X",X152," ")</f>
        <v> </v>
      </c>
    </row>
    <row r="153" customFormat="false" ht="12" hidden="false" customHeight="false" outlineLevel="0" collapsed="false">
      <c r="E153" s="5" t="str">
        <f aca="false">IF(F153&lt;&gt;0,"Enter Code"," ")</f>
        <v> </v>
      </c>
      <c r="G153" s="6" t="str">
        <f aca="false">IF(E153="BB",F153," ")</f>
        <v> </v>
      </c>
      <c r="H153" s="6" t="str">
        <f aca="false">IF(E153="BD",F153," ")</f>
        <v> </v>
      </c>
      <c r="I153" s="6" t="str">
        <f aca="false">IF(E153="BC",F153," ")</f>
        <v> </v>
      </c>
      <c r="J153" s="6" t="str">
        <f aca="false">IF(E153="DR",F153," ")</f>
        <v> </v>
      </c>
      <c r="K153" s="6" t="str">
        <f aca="false">IF(E153="K",F153," ")</f>
        <v> </v>
      </c>
      <c r="L153" s="6" t="str">
        <f aca="false">IF(E153="LDR",F153," ")</f>
        <v> </v>
      </c>
      <c r="M153" s="6" t="str">
        <f aca="false">IF(E153="LCR",F153," ")</f>
        <v> </v>
      </c>
      <c r="N153" s="6" t="str">
        <f aca="false">IF(E153="RV",F153," ")</f>
        <v> </v>
      </c>
      <c r="O153" s="6" t="str">
        <f aca="false">IF(E153="RC",F153," ")</f>
        <v> </v>
      </c>
      <c r="P153" s="6" t="str">
        <f aca="false">IF(E153="DL",F153," ")</f>
        <v> </v>
      </c>
      <c r="Q153" s="6" t="str">
        <f aca="false">IF(E153="X",F153," ")</f>
        <v> </v>
      </c>
      <c r="R153" s="37"/>
      <c r="W153" s="6" t="str">
        <f aca="false">IF(X153&lt;&gt;0,"Enter Code"," ")</f>
        <v> </v>
      </c>
      <c r="Y153" s="6" t="str">
        <f aca="false">IF(W153="BB",X153," ")</f>
        <v> </v>
      </c>
      <c r="Z153" s="6" t="str">
        <f aca="false">IF(W153="BD",X153," ")</f>
        <v> </v>
      </c>
      <c r="AA153" s="6" t="str">
        <f aca="false">IF(W153="BC",X153," ")</f>
        <v> </v>
      </c>
      <c r="AB153" s="6" t="str">
        <f aca="false">IF(W153="CR",X153," ")</f>
        <v> </v>
      </c>
      <c r="AC153" s="6" t="str">
        <f aca="false">IF(W153="W",X153," ")</f>
        <v> </v>
      </c>
      <c r="AD153" s="6" t="str">
        <f aca="false">IF(W153="B",X153," ")</f>
        <v> </v>
      </c>
      <c r="AE153" s="6" t="str">
        <f aca="false">IF(W153="J",X153," ")</f>
        <v> </v>
      </c>
      <c r="AF153" s="6" t="str">
        <f aca="false">IF(W153="LDR",X153," ")</f>
        <v> </v>
      </c>
      <c r="AG153" s="6" t="str">
        <f aca="false">IF(W153="LCR",X153," ")</f>
        <v> </v>
      </c>
      <c r="AH153" s="6" t="str">
        <f aca="false">IF(W153="RP",X153," ")</f>
        <v> </v>
      </c>
      <c r="AI153" s="6" t="str">
        <f aca="false">IF(W153="RV",X153," ")</f>
        <v> </v>
      </c>
      <c r="AJ153" s="6" t="str">
        <f aca="false">IF(W153="RC",X153," ")</f>
        <v> </v>
      </c>
      <c r="AK153" s="6" t="str">
        <f aca="false">IF(W153="RT",X153," ")</f>
        <v> </v>
      </c>
      <c r="AL153" s="6" t="str">
        <f aca="false">IF(W153="DV",X153," ")</f>
        <v> </v>
      </c>
      <c r="AM153" s="6" t="str">
        <f aca="false">IF(W153="DL",X153," ")</f>
        <v> </v>
      </c>
      <c r="AN153" s="6" t="str">
        <f aca="false">IF(W153="X",X153," ")</f>
        <v> </v>
      </c>
    </row>
    <row r="154" customFormat="false" ht="12" hidden="false" customHeight="false" outlineLevel="0" collapsed="false">
      <c r="E154" s="5" t="str">
        <f aca="false">IF(F154&lt;&gt;0,"Enter Code"," ")</f>
        <v> </v>
      </c>
      <c r="G154" s="6" t="str">
        <f aca="false">IF(E154="BB",F154," ")</f>
        <v> </v>
      </c>
      <c r="H154" s="6" t="str">
        <f aca="false">IF(E154="BD",F154," ")</f>
        <v> </v>
      </c>
      <c r="I154" s="6" t="str">
        <f aca="false">IF(E154="BC",F154," ")</f>
        <v> </v>
      </c>
      <c r="J154" s="6" t="str">
        <f aca="false">IF(E154="DR",F154," ")</f>
        <v> </v>
      </c>
      <c r="K154" s="6" t="str">
        <f aca="false">IF(E154="K",F154," ")</f>
        <v> </v>
      </c>
      <c r="L154" s="6" t="str">
        <f aca="false">IF(E154="LDR",F154," ")</f>
        <v> </v>
      </c>
      <c r="M154" s="6" t="str">
        <f aca="false">IF(E154="LCR",F154," ")</f>
        <v> </v>
      </c>
      <c r="N154" s="6" t="str">
        <f aca="false">IF(E154="RV",F154," ")</f>
        <v> </v>
      </c>
      <c r="O154" s="6" t="str">
        <f aca="false">IF(E154="RC",F154," ")</f>
        <v> </v>
      </c>
      <c r="P154" s="6" t="str">
        <f aca="false">IF(E154="DL",F154," ")</f>
        <v> </v>
      </c>
      <c r="Q154" s="6" t="str">
        <f aca="false">IF(E154="X",F154," ")</f>
        <v> </v>
      </c>
      <c r="R154" s="37"/>
      <c r="W154" s="6" t="str">
        <f aca="false">IF(X154&lt;&gt;0,"Enter Code"," ")</f>
        <v> </v>
      </c>
      <c r="Y154" s="6" t="str">
        <f aca="false">IF(W154="BB",X154," ")</f>
        <v> </v>
      </c>
      <c r="Z154" s="6" t="str">
        <f aca="false">IF(W154="BD",X154," ")</f>
        <v> </v>
      </c>
      <c r="AA154" s="6" t="str">
        <f aca="false">IF(W154="BC",X154," ")</f>
        <v> </v>
      </c>
      <c r="AB154" s="6" t="str">
        <f aca="false">IF(W154="CR",X154," ")</f>
        <v> </v>
      </c>
      <c r="AC154" s="6" t="str">
        <f aca="false">IF(W154="W",X154," ")</f>
        <v> </v>
      </c>
      <c r="AD154" s="6" t="str">
        <f aca="false">IF(W154="B",X154," ")</f>
        <v> </v>
      </c>
      <c r="AE154" s="6" t="str">
        <f aca="false">IF(W154="J",X154," ")</f>
        <v> </v>
      </c>
      <c r="AF154" s="6" t="str">
        <f aca="false">IF(W154="LDR",X154," ")</f>
        <v> </v>
      </c>
      <c r="AG154" s="6" t="str">
        <f aca="false">IF(W154="LCR",X154," ")</f>
        <v> </v>
      </c>
      <c r="AH154" s="6" t="str">
        <f aca="false">IF(W154="RP",X154," ")</f>
        <v> </v>
      </c>
      <c r="AI154" s="6" t="str">
        <f aca="false">IF(W154="RV",X154," ")</f>
        <v> </v>
      </c>
      <c r="AJ154" s="6" t="str">
        <f aca="false">IF(W154="RC",X154," ")</f>
        <v> </v>
      </c>
      <c r="AK154" s="6" t="str">
        <f aca="false">IF(W154="RT",X154," ")</f>
        <v> </v>
      </c>
      <c r="AL154" s="6" t="str">
        <f aca="false">IF(W154="DV",X154," ")</f>
        <v> </v>
      </c>
      <c r="AM154" s="6" t="str">
        <f aca="false">IF(W154="DL",X154," ")</f>
        <v> </v>
      </c>
      <c r="AN154" s="6" t="str">
        <f aca="false">IF(W154="X",X154," ")</f>
        <v> </v>
      </c>
    </row>
    <row r="155" customFormat="false" ht="12" hidden="false" customHeight="false" outlineLevel="0" collapsed="false">
      <c r="E155" s="5" t="str">
        <f aca="false">IF(F155&lt;&gt;0,"Enter Code"," ")</f>
        <v> </v>
      </c>
      <c r="G155" s="6" t="str">
        <f aca="false">IF(E155="BB",F155," ")</f>
        <v> </v>
      </c>
      <c r="H155" s="6" t="str">
        <f aca="false">IF(E155="BD",F155," ")</f>
        <v> </v>
      </c>
      <c r="I155" s="6" t="str">
        <f aca="false">IF(E155="BC",F155," ")</f>
        <v> </v>
      </c>
      <c r="J155" s="6" t="str">
        <f aca="false">IF(E155="DR",F155," ")</f>
        <v> </v>
      </c>
      <c r="K155" s="6" t="str">
        <f aca="false">IF(E155="K",F155," ")</f>
        <v> </v>
      </c>
      <c r="L155" s="6" t="str">
        <f aca="false">IF(E155="LDR",F155," ")</f>
        <v> </v>
      </c>
      <c r="M155" s="6" t="str">
        <f aca="false">IF(E155="LCR",F155," ")</f>
        <v> </v>
      </c>
      <c r="N155" s="6" t="str">
        <f aca="false">IF(E155="RV",F155," ")</f>
        <v> </v>
      </c>
      <c r="O155" s="6" t="str">
        <f aca="false">IF(E155="RC",F155," ")</f>
        <v> </v>
      </c>
      <c r="P155" s="6" t="str">
        <f aca="false">IF(E155="DL",F155," ")</f>
        <v> </v>
      </c>
      <c r="Q155" s="6" t="str">
        <f aca="false">IF(E155="X",F155," ")</f>
        <v> </v>
      </c>
      <c r="R155" s="37"/>
      <c r="W155" s="6" t="str">
        <f aca="false">IF(X155&lt;&gt;0,"Enter Code"," ")</f>
        <v> </v>
      </c>
      <c r="Y155" s="6" t="str">
        <f aca="false">IF(W155="BB",X155," ")</f>
        <v> </v>
      </c>
      <c r="Z155" s="6" t="str">
        <f aca="false">IF(W155="BD",X155," ")</f>
        <v> </v>
      </c>
      <c r="AA155" s="6" t="str">
        <f aca="false">IF(W155="BC",X155," ")</f>
        <v> </v>
      </c>
      <c r="AB155" s="6" t="str">
        <f aca="false">IF(W155="CR",X155," ")</f>
        <v> </v>
      </c>
      <c r="AC155" s="6" t="str">
        <f aca="false">IF(W155="W",X155," ")</f>
        <v> </v>
      </c>
      <c r="AD155" s="6" t="str">
        <f aca="false">IF(W155="B",X155," ")</f>
        <v> </v>
      </c>
      <c r="AE155" s="6" t="str">
        <f aca="false">IF(W155="J",X155," ")</f>
        <v> </v>
      </c>
      <c r="AF155" s="6" t="str">
        <f aca="false">IF(W155="LDR",X155," ")</f>
        <v> </v>
      </c>
      <c r="AG155" s="6" t="str">
        <f aca="false">IF(W155="LCR",X155," ")</f>
        <v> </v>
      </c>
      <c r="AH155" s="6" t="str">
        <f aca="false">IF(W155="RP",X155," ")</f>
        <v> </v>
      </c>
      <c r="AI155" s="6" t="str">
        <f aca="false">IF(W155="RV",X155," ")</f>
        <v> </v>
      </c>
      <c r="AJ155" s="6" t="str">
        <f aca="false">IF(W155="RC",X155," ")</f>
        <v> </v>
      </c>
      <c r="AK155" s="6" t="str">
        <f aca="false">IF(W155="RT",X155," ")</f>
        <v> </v>
      </c>
      <c r="AL155" s="6" t="str">
        <f aca="false">IF(W155="DV",X155," ")</f>
        <v> </v>
      </c>
      <c r="AM155" s="6" t="str">
        <f aca="false">IF(W155="DL",X155," ")</f>
        <v> </v>
      </c>
      <c r="AN155" s="6" t="str">
        <f aca="false">IF(W155="X",X155," ")</f>
        <v> </v>
      </c>
    </row>
    <row r="156" customFormat="false" ht="12" hidden="false" customHeight="false" outlineLevel="0" collapsed="false">
      <c r="E156" s="5" t="str">
        <f aca="false">IF(F156&lt;&gt;0,"Enter Code"," ")</f>
        <v> </v>
      </c>
      <c r="G156" s="6" t="str">
        <f aca="false">IF(E156="BB",F156," ")</f>
        <v> </v>
      </c>
      <c r="H156" s="6" t="str">
        <f aca="false">IF(E156="BD",F156," ")</f>
        <v> </v>
      </c>
      <c r="I156" s="6" t="str">
        <f aca="false">IF(E156="BC",F156," ")</f>
        <v> </v>
      </c>
      <c r="J156" s="6" t="str">
        <f aca="false">IF(E156="DR",F156," ")</f>
        <v> </v>
      </c>
      <c r="K156" s="6" t="str">
        <f aca="false">IF(E156="K",F156," ")</f>
        <v> </v>
      </c>
      <c r="L156" s="6" t="str">
        <f aca="false">IF(E156="LDR",F156," ")</f>
        <v> </v>
      </c>
      <c r="M156" s="6" t="str">
        <f aca="false">IF(E156="LCR",F156," ")</f>
        <v> </v>
      </c>
      <c r="N156" s="6" t="str">
        <f aca="false">IF(E156="RV",F156," ")</f>
        <v> </v>
      </c>
      <c r="O156" s="6" t="str">
        <f aca="false">IF(E156="RC",F156," ")</f>
        <v> </v>
      </c>
      <c r="P156" s="6" t="str">
        <f aca="false">IF(E156="DL",F156," ")</f>
        <v> </v>
      </c>
      <c r="Q156" s="6" t="str">
        <f aca="false">IF(E156="X",F156," ")</f>
        <v> </v>
      </c>
      <c r="R156" s="37"/>
      <c r="W156" s="6" t="str">
        <f aca="false">IF(X156&lt;&gt;0,"Enter Code"," ")</f>
        <v> </v>
      </c>
      <c r="Y156" s="6" t="str">
        <f aca="false">IF(W156="BB",X156," ")</f>
        <v> </v>
      </c>
      <c r="Z156" s="6" t="str">
        <f aca="false">IF(W156="BD",X156," ")</f>
        <v> </v>
      </c>
      <c r="AA156" s="6" t="str">
        <f aca="false">IF(W156="BC",X156," ")</f>
        <v> </v>
      </c>
      <c r="AB156" s="6" t="str">
        <f aca="false">IF(W156="CR",X156," ")</f>
        <v> </v>
      </c>
      <c r="AC156" s="6" t="str">
        <f aca="false">IF(W156="W",X156," ")</f>
        <v> </v>
      </c>
      <c r="AD156" s="6" t="str">
        <f aca="false">IF(W156="B",X156," ")</f>
        <v> </v>
      </c>
      <c r="AE156" s="6" t="str">
        <f aca="false">IF(W156="J",X156," ")</f>
        <v> </v>
      </c>
      <c r="AF156" s="6" t="str">
        <f aca="false">IF(W156="LDR",X156," ")</f>
        <v> </v>
      </c>
      <c r="AG156" s="6" t="str">
        <f aca="false">IF(W156="LCR",X156," ")</f>
        <v> </v>
      </c>
      <c r="AH156" s="6" t="str">
        <f aca="false">IF(W156="RP",X156," ")</f>
        <v> </v>
      </c>
      <c r="AI156" s="6" t="str">
        <f aca="false">IF(W156="RV",X156," ")</f>
        <v> </v>
      </c>
      <c r="AJ156" s="6" t="str">
        <f aca="false">IF(W156="RC",X156," ")</f>
        <v> </v>
      </c>
      <c r="AK156" s="6" t="str">
        <f aca="false">IF(W156="RT",X156," ")</f>
        <v> </v>
      </c>
      <c r="AL156" s="6" t="str">
        <f aca="false">IF(W156="DV",X156," ")</f>
        <v> </v>
      </c>
      <c r="AM156" s="6" t="str">
        <f aca="false">IF(W156="DL",X156," ")</f>
        <v> </v>
      </c>
      <c r="AN156" s="6" t="str">
        <f aca="false">IF(W156="X",X156," ")</f>
        <v> </v>
      </c>
    </row>
    <row r="157" customFormat="false" ht="12" hidden="false" customHeight="false" outlineLevel="0" collapsed="false">
      <c r="E157" s="5" t="str">
        <f aca="false">IF(F157&lt;&gt;0,"Enter Code"," ")</f>
        <v> </v>
      </c>
      <c r="G157" s="6" t="str">
        <f aca="false">IF(E157="BB",F157," ")</f>
        <v> </v>
      </c>
      <c r="H157" s="6" t="str">
        <f aca="false">IF(E157="BD",F157," ")</f>
        <v> </v>
      </c>
      <c r="I157" s="6" t="str">
        <f aca="false">IF(E157="BC",F157," ")</f>
        <v> </v>
      </c>
      <c r="J157" s="6" t="str">
        <f aca="false">IF(E157="DR",F157," ")</f>
        <v> </v>
      </c>
      <c r="K157" s="6" t="str">
        <f aca="false">IF(E157="K",F157," ")</f>
        <v> </v>
      </c>
      <c r="L157" s="6" t="str">
        <f aca="false">IF(E157="LDR",F157," ")</f>
        <v> </v>
      </c>
      <c r="M157" s="6" t="str">
        <f aca="false">IF(E157="LCR",F157," ")</f>
        <v> </v>
      </c>
      <c r="N157" s="6" t="str">
        <f aca="false">IF(E157="RV",F157," ")</f>
        <v> </v>
      </c>
      <c r="O157" s="6" t="str">
        <f aca="false">IF(E157="RC",F157," ")</f>
        <v> </v>
      </c>
      <c r="P157" s="6" t="str">
        <f aca="false">IF(E157="DL",F157," ")</f>
        <v> </v>
      </c>
      <c r="Q157" s="6" t="str">
        <f aca="false">IF(E157="X",F157," ")</f>
        <v> </v>
      </c>
      <c r="R157" s="37"/>
      <c r="W157" s="6" t="str">
        <f aca="false">IF(X157&lt;&gt;0,"Enter Code"," ")</f>
        <v> </v>
      </c>
      <c r="Y157" s="6" t="str">
        <f aca="false">IF(W157="BB",X157," ")</f>
        <v> </v>
      </c>
      <c r="Z157" s="6" t="str">
        <f aca="false">IF(W157="BD",X157," ")</f>
        <v> </v>
      </c>
      <c r="AA157" s="6" t="str">
        <f aca="false">IF(W157="BC",X157," ")</f>
        <v> </v>
      </c>
      <c r="AB157" s="6" t="str">
        <f aca="false">IF(W157="CR",X157," ")</f>
        <v> </v>
      </c>
      <c r="AC157" s="6" t="str">
        <f aca="false">IF(W157="W",X157," ")</f>
        <v> </v>
      </c>
      <c r="AD157" s="6" t="str">
        <f aca="false">IF(W157="B",X157," ")</f>
        <v> </v>
      </c>
      <c r="AE157" s="6" t="str">
        <f aca="false">IF(W157="J",X157," ")</f>
        <v> </v>
      </c>
      <c r="AF157" s="6" t="str">
        <f aca="false">IF(W157="LDR",X157," ")</f>
        <v> </v>
      </c>
      <c r="AG157" s="6" t="str">
        <f aca="false">IF(W157="LCR",X157," ")</f>
        <v> </v>
      </c>
      <c r="AH157" s="6" t="str">
        <f aca="false">IF(W157="RP",X157," ")</f>
        <v> </v>
      </c>
      <c r="AI157" s="6" t="str">
        <f aca="false">IF(W157="RV",X157," ")</f>
        <v> </v>
      </c>
      <c r="AJ157" s="6" t="str">
        <f aca="false">IF(W157="RC",X157," ")</f>
        <v> </v>
      </c>
      <c r="AK157" s="6" t="str">
        <f aca="false">IF(W157="RT",X157," ")</f>
        <v> </v>
      </c>
      <c r="AL157" s="6" t="str">
        <f aca="false">IF(W157="DV",X157," ")</f>
        <v> </v>
      </c>
      <c r="AM157" s="6" t="str">
        <f aca="false">IF(W157="DL",X157," ")</f>
        <v> </v>
      </c>
      <c r="AN157" s="6" t="str">
        <f aca="false">IF(W157="X",X157," ")</f>
        <v> </v>
      </c>
    </row>
    <row r="158" customFormat="false" ht="12" hidden="false" customHeight="false" outlineLevel="0" collapsed="false">
      <c r="E158" s="5" t="str">
        <f aca="false">IF(F158&lt;&gt;0,"Enter Code"," ")</f>
        <v> </v>
      </c>
      <c r="G158" s="6" t="str">
        <f aca="false">IF(E158="BB",F158," ")</f>
        <v> </v>
      </c>
      <c r="H158" s="6" t="str">
        <f aca="false">IF(E158="BD",F158," ")</f>
        <v> </v>
      </c>
      <c r="I158" s="6" t="str">
        <f aca="false">IF(E158="BC",F158," ")</f>
        <v> </v>
      </c>
      <c r="J158" s="6" t="str">
        <f aca="false">IF(E158="DR",F158," ")</f>
        <v> </v>
      </c>
      <c r="K158" s="6" t="str">
        <f aca="false">IF(E158="K",F158," ")</f>
        <v> </v>
      </c>
      <c r="L158" s="6" t="str">
        <f aca="false">IF(E158="LDR",F158," ")</f>
        <v> </v>
      </c>
      <c r="M158" s="6" t="str">
        <f aca="false">IF(E158="LCR",F158," ")</f>
        <v> </v>
      </c>
      <c r="N158" s="6" t="str">
        <f aca="false">IF(E158="RV",F158," ")</f>
        <v> </v>
      </c>
      <c r="O158" s="6" t="str">
        <f aca="false">IF(E158="RC",F158," ")</f>
        <v> </v>
      </c>
      <c r="P158" s="6" t="str">
        <f aca="false">IF(E158="DL",F158," ")</f>
        <v> </v>
      </c>
      <c r="Q158" s="6" t="str">
        <f aca="false">IF(E158="X",F158," ")</f>
        <v> </v>
      </c>
      <c r="R158" s="37"/>
      <c r="W158" s="6" t="str">
        <f aca="false">IF(X158&lt;&gt;0,"Enter Code"," ")</f>
        <v> </v>
      </c>
      <c r="Y158" s="6" t="str">
        <f aca="false">IF(W158="BB",X158," ")</f>
        <v> </v>
      </c>
      <c r="Z158" s="6" t="str">
        <f aca="false">IF(W158="BD",X158," ")</f>
        <v> </v>
      </c>
      <c r="AA158" s="6" t="str">
        <f aca="false">IF(W158="BC",X158," ")</f>
        <v> </v>
      </c>
      <c r="AB158" s="6" t="str">
        <f aca="false">IF(W158="CR",X158," ")</f>
        <v> </v>
      </c>
      <c r="AC158" s="6" t="str">
        <f aca="false">IF(W158="W",X158," ")</f>
        <v> </v>
      </c>
      <c r="AD158" s="6" t="str">
        <f aca="false">IF(W158="B",X158," ")</f>
        <v> </v>
      </c>
      <c r="AE158" s="6" t="str">
        <f aca="false">IF(W158="J",X158," ")</f>
        <v> </v>
      </c>
      <c r="AF158" s="6" t="str">
        <f aca="false">IF(W158="LDR",X158," ")</f>
        <v> </v>
      </c>
      <c r="AG158" s="6" t="str">
        <f aca="false">IF(W158="LCR",X158," ")</f>
        <v> </v>
      </c>
      <c r="AH158" s="6" t="str">
        <f aca="false">IF(W158="RP",X158," ")</f>
        <v> </v>
      </c>
      <c r="AI158" s="6" t="str">
        <f aca="false">IF(W158="RV",X158," ")</f>
        <v> </v>
      </c>
      <c r="AJ158" s="6" t="str">
        <f aca="false">IF(W158="RC",X158," ")</f>
        <v> </v>
      </c>
      <c r="AK158" s="6" t="str">
        <f aca="false">IF(W158="RT",X158," ")</f>
        <v> </v>
      </c>
      <c r="AL158" s="6" t="str">
        <f aca="false">IF(W158="DV",X158," ")</f>
        <v> </v>
      </c>
      <c r="AM158" s="6" t="str">
        <f aca="false">IF(W158="DL",X158," ")</f>
        <v> </v>
      </c>
      <c r="AN158" s="6" t="str">
        <f aca="false">IF(W158="X",X158," ")</f>
        <v> </v>
      </c>
    </row>
    <row r="159" customFormat="false" ht="12" hidden="false" customHeight="false" outlineLevel="0" collapsed="false">
      <c r="E159" s="5" t="str">
        <f aca="false">IF(F159&lt;&gt;0,"Enter Code"," ")</f>
        <v> </v>
      </c>
      <c r="G159" s="6" t="str">
        <f aca="false">IF(E159="BB",F159," ")</f>
        <v> </v>
      </c>
      <c r="H159" s="6" t="str">
        <f aca="false">IF(E159="BD",F159," ")</f>
        <v> </v>
      </c>
      <c r="I159" s="6" t="str">
        <f aca="false">IF(E159="BC",F159," ")</f>
        <v> </v>
      </c>
      <c r="J159" s="6" t="str">
        <f aca="false">IF(E159="DR",F159," ")</f>
        <v> </v>
      </c>
      <c r="K159" s="6" t="str">
        <f aca="false">IF(E159="K",F159," ")</f>
        <v> </v>
      </c>
      <c r="L159" s="6" t="str">
        <f aca="false">IF(E159="LDR",F159," ")</f>
        <v> </v>
      </c>
      <c r="M159" s="6" t="str">
        <f aca="false">IF(E159="LCR",F159," ")</f>
        <v> </v>
      </c>
      <c r="N159" s="6" t="str">
        <f aca="false">IF(E159="RV",F159," ")</f>
        <v> </v>
      </c>
      <c r="O159" s="6" t="str">
        <f aca="false">IF(E159="RC",F159," ")</f>
        <v> </v>
      </c>
      <c r="P159" s="6" t="str">
        <f aca="false">IF(E159="DL",F159," ")</f>
        <v> </v>
      </c>
      <c r="Q159" s="6" t="str">
        <f aca="false">IF(E159="X",F159," ")</f>
        <v> </v>
      </c>
      <c r="R159" s="37"/>
      <c r="W159" s="6" t="str">
        <f aca="false">IF(X159&lt;&gt;0,"Enter Code"," ")</f>
        <v> </v>
      </c>
      <c r="Y159" s="6" t="str">
        <f aca="false">IF(W159="BB",X159," ")</f>
        <v> </v>
      </c>
      <c r="Z159" s="6" t="str">
        <f aca="false">IF(W159="BD",X159," ")</f>
        <v> </v>
      </c>
      <c r="AA159" s="6" t="str">
        <f aca="false">IF(W159="BC",X159," ")</f>
        <v> </v>
      </c>
      <c r="AB159" s="6" t="str">
        <f aca="false">IF(W159="CR",X159," ")</f>
        <v> </v>
      </c>
      <c r="AC159" s="6" t="str">
        <f aca="false">IF(W159="W",X159," ")</f>
        <v> </v>
      </c>
      <c r="AD159" s="6" t="str">
        <f aca="false">IF(W159="B",X159," ")</f>
        <v> </v>
      </c>
      <c r="AE159" s="6" t="str">
        <f aca="false">IF(W159="J",X159," ")</f>
        <v> </v>
      </c>
      <c r="AF159" s="6" t="str">
        <f aca="false">IF(W159="LDR",X159," ")</f>
        <v> </v>
      </c>
      <c r="AG159" s="6" t="str">
        <f aca="false">IF(W159="LCR",X159," ")</f>
        <v> </v>
      </c>
      <c r="AH159" s="6" t="str">
        <f aca="false">IF(W159="RP",X159," ")</f>
        <v> </v>
      </c>
      <c r="AI159" s="6" t="str">
        <f aca="false">IF(W159="RV",X159," ")</f>
        <v> </v>
      </c>
      <c r="AJ159" s="6" t="str">
        <f aca="false">IF(W159="RC",X159," ")</f>
        <v> </v>
      </c>
      <c r="AK159" s="6" t="str">
        <f aca="false">IF(W159="RT",X159," ")</f>
        <v> </v>
      </c>
      <c r="AL159" s="6" t="str">
        <f aca="false">IF(W159="DV",X159," ")</f>
        <v> </v>
      </c>
      <c r="AM159" s="6" t="str">
        <f aca="false">IF(W159="DL",X159," ")</f>
        <v> </v>
      </c>
      <c r="AN159" s="6" t="str">
        <f aca="false">IF(W159="X",X159," ")</f>
        <v> </v>
      </c>
    </row>
    <row r="160" customFormat="false" ht="12" hidden="false" customHeight="false" outlineLevel="0" collapsed="false">
      <c r="E160" s="5" t="str">
        <f aca="false">IF(F160&lt;&gt;0,"Enter Code"," ")</f>
        <v> </v>
      </c>
      <c r="G160" s="6" t="str">
        <f aca="false">IF(E160="BB",F160," ")</f>
        <v> </v>
      </c>
      <c r="H160" s="6" t="str">
        <f aca="false">IF(E160="BD",F160," ")</f>
        <v> </v>
      </c>
      <c r="I160" s="6" t="str">
        <f aca="false">IF(E160="BC",F160," ")</f>
        <v> </v>
      </c>
      <c r="J160" s="6" t="str">
        <f aca="false">IF(E160="DR",F160," ")</f>
        <v> </v>
      </c>
      <c r="K160" s="6" t="str">
        <f aca="false">IF(E160="K",F160," ")</f>
        <v> </v>
      </c>
      <c r="L160" s="6" t="str">
        <f aca="false">IF(E160="LDR",F160," ")</f>
        <v> </v>
      </c>
      <c r="M160" s="6" t="str">
        <f aca="false">IF(E160="LCR",F160," ")</f>
        <v> </v>
      </c>
      <c r="N160" s="6" t="str">
        <f aca="false">IF(E160="RV",F160," ")</f>
        <v> </v>
      </c>
      <c r="O160" s="6" t="str">
        <f aca="false">IF(E160="RC",F160," ")</f>
        <v> </v>
      </c>
      <c r="P160" s="6" t="str">
        <f aca="false">IF(E160="DL",F160," ")</f>
        <v> </v>
      </c>
      <c r="Q160" s="6" t="str">
        <f aca="false">IF(E160="X",F160," ")</f>
        <v> </v>
      </c>
      <c r="R160" s="37"/>
      <c r="W160" s="6" t="str">
        <f aca="false">IF(X160&lt;&gt;0,"Enter Code"," ")</f>
        <v> </v>
      </c>
      <c r="Y160" s="6" t="str">
        <f aca="false">IF(W160="BB",X160," ")</f>
        <v> </v>
      </c>
      <c r="Z160" s="6" t="str">
        <f aca="false">IF(W160="BD",X160," ")</f>
        <v> </v>
      </c>
      <c r="AA160" s="6" t="str">
        <f aca="false">IF(W160="BC",X160," ")</f>
        <v> </v>
      </c>
      <c r="AB160" s="6" t="str">
        <f aca="false">IF(W160="CR",X160," ")</f>
        <v> </v>
      </c>
      <c r="AC160" s="6" t="str">
        <f aca="false">IF(W160="W",X160," ")</f>
        <v> </v>
      </c>
      <c r="AD160" s="6" t="str">
        <f aca="false">IF(W160="B",X160," ")</f>
        <v> </v>
      </c>
      <c r="AE160" s="6" t="str">
        <f aca="false">IF(W160="J",X160," ")</f>
        <v> </v>
      </c>
      <c r="AF160" s="6" t="str">
        <f aca="false">IF(W160="LDR",X160," ")</f>
        <v> </v>
      </c>
      <c r="AG160" s="6" t="str">
        <f aca="false">IF(W160="LCR",X160," ")</f>
        <v> </v>
      </c>
      <c r="AH160" s="6" t="str">
        <f aca="false">IF(W160="RP",X160," ")</f>
        <v> </v>
      </c>
      <c r="AI160" s="6" t="str">
        <f aca="false">IF(W160="RV",X160," ")</f>
        <v> </v>
      </c>
      <c r="AJ160" s="6" t="str">
        <f aca="false">IF(W160="RC",X160," ")</f>
        <v> </v>
      </c>
      <c r="AK160" s="6" t="str">
        <f aca="false">IF(W160="RT",X160," ")</f>
        <v> </v>
      </c>
      <c r="AL160" s="6" t="str">
        <f aca="false">IF(W160="DV",X160," ")</f>
        <v> </v>
      </c>
      <c r="AM160" s="6" t="str">
        <f aca="false">IF(W160="DL",X160," ")</f>
        <v> </v>
      </c>
      <c r="AN160" s="6" t="str">
        <f aca="false">IF(W160="X",X160," ")</f>
        <v> </v>
      </c>
    </row>
    <row r="161" customFormat="false" ht="12" hidden="false" customHeight="false" outlineLevel="0" collapsed="false">
      <c r="E161" s="5" t="str">
        <f aca="false">IF(F161&lt;&gt;0,"Enter Code"," ")</f>
        <v> </v>
      </c>
      <c r="G161" s="6" t="str">
        <f aca="false">IF(E161="BB",F161," ")</f>
        <v> </v>
      </c>
      <c r="H161" s="6" t="str">
        <f aca="false">IF(E161="BD",F161," ")</f>
        <v> </v>
      </c>
      <c r="I161" s="6" t="str">
        <f aca="false">IF(E161="BC",F161," ")</f>
        <v> </v>
      </c>
      <c r="J161" s="6" t="str">
        <f aca="false">IF(E161="DR",F161," ")</f>
        <v> </v>
      </c>
      <c r="K161" s="6" t="str">
        <f aca="false">IF(E161="K",F161," ")</f>
        <v> </v>
      </c>
      <c r="L161" s="6" t="str">
        <f aca="false">IF(E161="LDR",F161," ")</f>
        <v> </v>
      </c>
      <c r="M161" s="6" t="str">
        <f aca="false">IF(E161="LCR",F161," ")</f>
        <v> </v>
      </c>
      <c r="N161" s="6" t="str">
        <f aca="false">IF(E161="RV",F161," ")</f>
        <v> </v>
      </c>
      <c r="O161" s="6" t="str">
        <f aca="false">IF(E161="RC",F161," ")</f>
        <v> </v>
      </c>
      <c r="P161" s="6" t="str">
        <f aca="false">IF(E161="DL",F161," ")</f>
        <v> </v>
      </c>
      <c r="Q161" s="6" t="str">
        <f aca="false">IF(E161="X",F161," ")</f>
        <v> </v>
      </c>
      <c r="R161" s="37"/>
      <c r="W161" s="6" t="str">
        <f aca="false">IF(X161&lt;&gt;0,"Enter Code"," ")</f>
        <v> </v>
      </c>
      <c r="Y161" s="6" t="str">
        <f aca="false">IF(W161="BB",X161," ")</f>
        <v> </v>
      </c>
      <c r="Z161" s="6" t="str">
        <f aca="false">IF(W161="BD",X161," ")</f>
        <v> </v>
      </c>
      <c r="AA161" s="6" t="str">
        <f aca="false">IF(W161="BC",X161," ")</f>
        <v> </v>
      </c>
      <c r="AB161" s="6" t="str">
        <f aca="false">IF(W161="CR",X161," ")</f>
        <v> </v>
      </c>
      <c r="AC161" s="6" t="str">
        <f aca="false">IF(W161="W",X161," ")</f>
        <v> </v>
      </c>
      <c r="AD161" s="6" t="str">
        <f aca="false">IF(W161="B",X161," ")</f>
        <v> </v>
      </c>
      <c r="AE161" s="6" t="str">
        <f aca="false">IF(W161="J",X161," ")</f>
        <v> </v>
      </c>
      <c r="AF161" s="6" t="str">
        <f aca="false">IF(W161="LDR",X161," ")</f>
        <v> </v>
      </c>
      <c r="AG161" s="6" t="str">
        <f aca="false">IF(W161="LCR",X161," ")</f>
        <v> </v>
      </c>
      <c r="AH161" s="6" t="str">
        <f aca="false">IF(W161="RP",X161," ")</f>
        <v> </v>
      </c>
      <c r="AI161" s="6" t="str">
        <f aca="false">IF(W161="RV",X161," ")</f>
        <v> </v>
      </c>
      <c r="AJ161" s="6" t="str">
        <f aca="false">IF(W161="RC",X161," ")</f>
        <v> </v>
      </c>
      <c r="AK161" s="6" t="str">
        <f aca="false">IF(W161="RT",X161," ")</f>
        <v> </v>
      </c>
      <c r="AL161" s="6" t="str">
        <f aca="false">IF(W161="DV",X161," ")</f>
        <v> </v>
      </c>
      <c r="AM161" s="6" t="str">
        <f aca="false">IF(W161="DL",X161," ")</f>
        <v> </v>
      </c>
      <c r="AN161" s="6" t="str">
        <f aca="false">IF(W161="X",X161," ")</f>
        <v> </v>
      </c>
    </row>
    <row r="162" customFormat="false" ht="12" hidden="false" customHeight="false" outlineLevel="0" collapsed="false">
      <c r="E162" s="5" t="str">
        <f aca="false">IF(F162&lt;&gt;0,"Enter Code"," ")</f>
        <v> </v>
      </c>
      <c r="G162" s="6" t="str">
        <f aca="false">IF(E162="BB",F162," ")</f>
        <v> </v>
      </c>
      <c r="H162" s="6" t="str">
        <f aca="false">IF(E162="BD",F162," ")</f>
        <v> </v>
      </c>
      <c r="I162" s="6" t="str">
        <f aca="false">IF(E162="BC",F162," ")</f>
        <v> </v>
      </c>
      <c r="J162" s="6" t="str">
        <f aca="false">IF(E162="DR",F162," ")</f>
        <v> </v>
      </c>
      <c r="K162" s="6" t="str">
        <f aca="false">IF(E162="K",F162," ")</f>
        <v> </v>
      </c>
      <c r="L162" s="6" t="str">
        <f aca="false">IF(E162="LDR",F162," ")</f>
        <v> </v>
      </c>
      <c r="M162" s="6" t="str">
        <f aca="false">IF(E162="LCR",F162," ")</f>
        <v> </v>
      </c>
      <c r="N162" s="6" t="str">
        <f aca="false">IF(E162="RV",F162," ")</f>
        <v> </v>
      </c>
      <c r="O162" s="6" t="str">
        <f aca="false">IF(E162="RC",F162," ")</f>
        <v> </v>
      </c>
      <c r="P162" s="6" t="str">
        <f aca="false">IF(E162="DL",F162," ")</f>
        <v> </v>
      </c>
      <c r="Q162" s="6" t="str">
        <f aca="false">IF(E162="X",F162," ")</f>
        <v> </v>
      </c>
      <c r="R162" s="37"/>
      <c r="W162" s="6" t="str">
        <f aca="false">IF(X162&lt;&gt;0,"Enter Code"," ")</f>
        <v> </v>
      </c>
      <c r="Y162" s="6" t="str">
        <f aca="false">IF(W162="BB",X162," ")</f>
        <v> </v>
      </c>
      <c r="Z162" s="6" t="str">
        <f aca="false">IF(W162="BD",X162," ")</f>
        <v> </v>
      </c>
      <c r="AA162" s="6" t="str">
        <f aca="false">IF(W162="BC",X162," ")</f>
        <v> </v>
      </c>
      <c r="AB162" s="6" t="str">
        <f aca="false">IF(W162="CR",X162," ")</f>
        <v> </v>
      </c>
      <c r="AC162" s="6" t="str">
        <f aca="false">IF(W162="W",X162," ")</f>
        <v> </v>
      </c>
      <c r="AD162" s="6" t="str">
        <f aca="false">IF(W162="B",X162," ")</f>
        <v> </v>
      </c>
      <c r="AE162" s="6" t="str">
        <f aca="false">IF(W162="J",X162," ")</f>
        <v> </v>
      </c>
      <c r="AF162" s="6" t="str">
        <f aca="false">IF(W162="LDR",X162," ")</f>
        <v> </v>
      </c>
      <c r="AG162" s="6" t="str">
        <f aca="false">IF(W162="LCR",X162," ")</f>
        <v> </v>
      </c>
      <c r="AH162" s="6" t="str">
        <f aca="false">IF(W162="RP",X162," ")</f>
        <v> </v>
      </c>
      <c r="AI162" s="6" t="str">
        <f aca="false">IF(W162="RV",X162," ")</f>
        <v> </v>
      </c>
      <c r="AJ162" s="6" t="str">
        <f aca="false">IF(W162="RC",X162," ")</f>
        <v> </v>
      </c>
      <c r="AK162" s="6" t="str">
        <f aca="false">IF(W162="RT",X162," ")</f>
        <v> </v>
      </c>
      <c r="AL162" s="6" t="str">
        <f aca="false">IF(W162="DV",X162," ")</f>
        <v> </v>
      </c>
      <c r="AM162" s="6" t="str">
        <f aca="false">IF(W162="DL",X162," ")</f>
        <v> </v>
      </c>
      <c r="AN162" s="6" t="str">
        <f aca="false">IF(W162="X",X162," ")</f>
        <v> </v>
      </c>
    </row>
    <row r="163" customFormat="false" ht="12" hidden="false" customHeight="false" outlineLevel="0" collapsed="false">
      <c r="E163" s="5" t="str">
        <f aca="false">IF(F163&lt;&gt;0,"Enter Code"," ")</f>
        <v> </v>
      </c>
      <c r="G163" s="6" t="str">
        <f aca="false">IF(E163="BB",F163," ")</f>
        <v> </v>
      </c>
      <c r="H163" s="6" t="str">
        <f aca="false">IF(E163="BD",F163," ")</f>
        <v> </v>
      </c>
      <c r="I163" s="6" t="str">
        <f aca="false">IF(E163="BC",F163," ")</f>
        <v> </v>
      </c>
      <c r="J163" s="6" t="str">
        <f aca="false">IF(E163="DR",F163," ")</f>
        <v> </v>
      </c>
      <c r="K163" s="6" t="str">
        <f aca="false">IF(E163="K",F163," ")</f>
        <v> </v>
      </c>
      <c r="L163" s="6" t="str">
        <f aca="false">IF(E163="LDR",F163," ")</f>
        <v> </v>
      </c>
      <c r="M163" s="6" t="str">
        <f aca="false">IF(E163="LCR",F163," ")</f>
        <v> </v>
      </c>
      <c r="N163" s="6" t="str">
        <f aca="false">IF(E163="RV",F163," ")</f>
        <v> </v>
      </c>
      <c r="O163" s="6" t="str">
        <f aca="false">IF(E163="RC",F163," ")</f>
        <v> </v>
      </c>
      <c r="P163" s="6" t="str">
        <f aca="false">IF(E163="DL",F163," ")</f>
        <v> </v>
      </c>
      <c r="Q163" s="6" t="str">
        <f aca="false">IF(E163="X",F163," ")</f>
        <v> </v>
      </c>
      <c r="R163" s="37"/>
      <c r="W163" s="6" t="str">
        <f aca="false">IF(X163&lt;&gt;0,"Enter Code"," ")</f>
        <v> </v>
      </c>
      <c r="Y163" s="6" t="str">
        <f aca="false">IF(W163="BB",X163," ")</f>
        <v> </v>
      </c>
      <c r="Z163" s="6" t="str">
        <f aca="false">IF(W163="BD",X163," ")</f>
        <v> </v>
      </c>
      <c r="AA163" s="6" t="str">
        <f aca="false">IF(W163="BC",X163," ")</f>
        <v> </v>
      </c>
      <c r="AB163" s="6" t="str">
        <f aca="false">IF(W163="CR",X163," ")</f>
        <v> </v>
      </c>
      <c r="AC163" s="6" t="str">
        <f aca="false">IF(W163="W",X163," ")</f>
        <v> </v>
      </c>
      <c r="AD163" s="6" t="str">
        <f aca="false">IF(W163="B",X163," ")</f>
        <v> </v>
      </c>
      <c r="AE163" s="6" t="str">
        <f aca="false">IF(W163="J",X163," ")</f>
        <v> </v>
      </c>
      <c r="AF163" s="6" t="str">
        <f aca="false">IF(W163="LDR",X163," ")</f>
        <v> </v>
      </c>
      <c r="AG163" s="6" t="str">
        <f aca="false">IF(W163="LCR",X163," ")</f>
        <v> </v>
      </c>
      <c r="AH163" s="6" t="str">
        <f aca="false">IF(W163="RP",X163," ")</f>
        <v> </v>
      </c>
      <c r="AI163" s="6" t="str">
        <f aca="false">IF(W163="RV",X163," ")</f>
        <v> </v>
      </c>
      <c r="AJ163" s="6" t="str">
        <f aca="false">IF(W163="RC",X163," ")</f>
        <v> </v>
      </c>
      <c r="AK163" s="6" t="str">
        <f aca="false">IF(W163="RT",X163," ")</f>
        <v> </v>
      </c>
      <c r="AL163" s="6" t="str">
        <f aca="false">IF(W163="DV",X163," ")</f>
        <v> </v>
      </c>
      <c r="AM163" s="6" t="str">
        <f aca="false">IF(W163="DL",X163," ")</f>
        <v> </v>
      </c>
      <c r="AN163" s="6" t="str">
        <f aca="false">IF(W163="X",X163," ")</f>
        <v> </v>
      </c>
    </row>
    <row r="164" customFormat="false" ht="12" hidden="false" customHeight="false" outlineLevel="0" collapsed="false">
      <c r="E164" s="5" t="str">
        <f aca="false">IF(F164&lt;&gt;0,"Enter Code"," ")</f>
        <v> </v>
      </c>
      <c r="G164" s="6" t="str">
        <f aca="false">IF(E164="BB",F164," ")</f>
        <v> </v>
      </c>
      <c r="H164" s="6" t="str">
        <f aca="false">IF(E164="BD",F164," ")</f>
        <v> </v>
      </c>
      <c r="I164" s="6" t="str">
        <f aca="false">IF(E164="BC",F164," ")</f>
        <v> </v>
      </c>
      <c r="J164" s="6" t="str">
        <f aca="false">IF(E164="DR",F164," ")</f>
        <v> </v>
      </c>
      <c r="K164" s="6" t="str">
        <f aca="false">IF(E164="K",F164," ")</f>
        <v> </v>
      </c>
      <c r="L164" s="6" t="str">
        <f aca="false">IF(E164="LDR",F164," ")</f>
        <v> </v>
      </c>
      <c r="M164" s="6" t="str">
        <f aca="false">IF(E164="LCR",F164," ")</f>
        <v> </v>
      </c>
      <c r="N164" s="6" t="str">
        <f aca="false">IF(E164="RV",F164," ")</f>
        <v> </v>
      </c>
      <c r="O164" s="6" t="str">
        <f aca="false">IF(E164="RC",F164," ")</f>
        <v> </v>
      </c>
      <c r="P164" s="6" t="str">
        <f aca="false">IF(E164="DL",F164," ")</f>
        <v> </v>
      </c>
      <c r="Q164" s="6" t="str">
        <f aca="false">IF(E164="X",F164," ")</f>
        <v> </v>
      </c>
      <c r="R164" s="37"/>
      <c r="W164" s="6" t="str">
        <f aca="false">IF(X164&lt;&gt;0,"Enter Code"," ")</f>
        <v> </v>
      </c>
      <c r="Y164" s="6" t="str">
        <f aca="false">IF(W164="BB",X164," ")</f>
        <v> </v>
      </c>
      <c r="Z164" s="6" t="str">
        <f aca="false">IF(W164="BD",X164," ")</f>
        <v> </v>
      </c>
      <c r="AA164" s="6" t="str">
        <f aca="false">IF(W164="BC",X164," ")</f>
        <v> </v>
      </c>
      <c r="AB164" s="6" t="str">
        <f aca="false">IF(W164="CR",X164," ")</f>
        <v> </v>
      </c>
      <c r="AC164" s="6" t="str">
        <f aca="false">IF(W164="W",X164," ")</f>
        <v> </v>
      </c>
      <c r="AD164" s="6" t="str">
        <f aca="false">IF(W164="B",X164," ")</f>
        <v> </v>
      </c>
      <c r="AE164" s="6" t="str">
        <f aca="false">IF(W164="J",X164," ")</f>
        <v> </v>
      </c>
      <c r="AF164" s="6" t="str">
        <f aca="false">IF(W164="LDR",X164," ")</f>
        <v> </v>
      </c>
      <c r="AG164" s="6" t="str">
        <f aca="false">IF(W164="LCR",X164," ")</f>
        <v> </v>
      </c>
      <c r="AH164" s="6" t="str">
        <f aca="false">IF(W164="RP",X164," ")</f>
        <v> </v>
      </c>
      <c r="AI164" s="6" t="str">
        <f aca="false">IF(W164="RV",X164," ")</f>
        <v> </v>
      </c>
      <c r="AJ164" s="6" t="str">
        <f aca="false">IF(W164="RC",X164," ")</f>
        <v> </v>
      </c>
      <c r="AK164" s="6" t="str">
        <f aca="false">IF(W164="RT",X164," ")</f>
        <v> </v>
      </c>
      <c r="AL164" s="6" t="str">
        <f aca="false">IF(W164="DV",X164," ")</f>
        <v> </v>
      </c>
      <c r="AM164" s="6" t="str">
        <f aca="false">IF(W164="DL",X164," ")</f>
        <v> </v>
      </c>
      <c r="AN164" s="6" t="str">
        <f aca="false">IF(W164="X",X164," ")</f>
        <v> </v>
      </c>
    </row>
    <row r="165" customFormat="false" ht="12" hidden="false" customHeight="false" outlineLevel="0" collapsed="false">
      <c r="E165" s="5" t="str">
        <f aca="false">IF(F165&lt;&gt;0,"Enter Code"," ")</f>
        <v> </v>
      </c>
      <c r="G165" s="6" t="str">
        <f aca="false">IF(E165="BB",F165," ")</f>
        <v> </v>
      </c>
      <c r="H165" s="6" t="str">
        <f aca="false">IF(E165="BD",F165," ")</f>
        <v> </v>
      </c>
      <c r="I165" s="6" t="str">
        <f aca="false">IF(E165="BC",F165," ")</f>
        <v> </v>
      </c>
      <c r="J165" s="6" t="str">
        <f aca="false">IF(E165="DR",F165," ")</f>
        <v> </v>
      </c>
      <c r="K165" s="6" t="str">
        <f aca="false">IF(E165="K",F165," ")</f>
        <v> </v>
      </c>
      <c r="L165" s="6" t="str">
        <f aca="false">IF(E165="LDR",F165," ")</f>
        <v> </v>
      </c>
      <c r="M165" s="6" t="str">
        <f aca="false">IF(E165="LCR",F165," ")</f>
        <v> </v>
      </c>
      <c r="N165" s="6" t="str">
        <f aca="false">IF(E165="RV",F165," ")</f>
        <v> </v>
      </c>
      <c r="O165" s="6" t="str">
        <f aca="false">IF(E165="RC",F165," ")</f>
        <v> </v>
      </c>
      <c r="P165" s="6" t="str">
        <f aca="false">IF(E165="DL",F165," ")</f>
        <v> </v>
      </c>
      <c r="Q165" s="6" t="str">
        <f aca="false">IF(E165="X",F165," ")</f>
        <v> </v>
      </c>
      <c r="R165" s="37"/>
      <c r="W165" s="6" t="str">
        <f aca="false">IF(X165&lt;&gt;0,"Enter Code"," ")</f>
        <v> </v>
      </c>
      <c r="Y165" s="6" t="str">
        <f aca="false">IF(W165="BB",X165," ")</f>
        <v> </v>
      </c>
      <c r="Z165" s="6" t="str">
        <f aca="false">IF(W165="BD",X165," ")</f>
        <v> </v>
      </c>
      <c r="AA165" s="6" t="str">
        <f aca="false">IF(W165="BC",X165," ")</f>
        <v> </v>
      </c>
      <c r="AB165" s="6" t="str">
        <f aca="false">IF(W165="CR",X165," ")</f>
        <v> </v>
      </c>
      <c r="AC165" s="6" t="str">
        <f aca="false">IF(W165="W",X165," ")</f>
        <v> </v>
      </c>
      <c r="AD165" s="6" t="str">
        <f aca="false">IF(W165="B",X165," ")</f>
        <v> </v>
      </c>
      <c r="AE165" s="6" t="str">
        <f aca="false">IF(W165="J",X165," ")</f>
        <v> </v>
      </c>
      <c r="AF165" s="6" t="str">
        <f aca="false">IF(W165="LDR",X165," ")</f>
        <v> </v>
      </c>
      <c r="AG165" s="6" t="str">
        <f aca="false">IF(W165="LCR",X165," ")</f>
        <v> </v>
      </c>
      <c r="AH165" s="6" t="str">
        <f aca="false">IF(W165="RP",X165," ")</f>
        <v> </v>
      </c>
      <c r="AI165" s="6" t="str">
        <f aca="false">IF(W165="RV",X165," ")</f>
        <v> </v>
      </c>
      <c r="AJ165" s="6" t="str">
        <f aca="false">IF(W165="RC",X165," ")</f>
        <v> </v>
      </c>
      <c r="AK165" s="6" t="str">
        <f aca="false">IF(W165="RT",X165," ")</f>
        <v> </v>
      </c>
      <c r="AL165" s="6" t="str">
        <f aca="false">IF(W165="DV",X165," ")</f>
        <v> </v>
      </c>
      <c r="AM165" s="6" t="str">
        <f aca="false">IF(W165="DL",X165," ")</f>
        <v> </v>
      </c>
      <c r="AN165" s="6" t="str">
        <f aca="false">IF(W165="X",X165," ")</f>
        <v> </v>
      </c>
    </row>
    <row r="166" customFormat="false" ht="12" hidden="false" customHeight="false" outlineLevel="0" collapsed="false">
      <c r="E166" s="5" t="str">
        <f aca="false">IF(F166&lt;&gt;0,"Enter Code"," ")</f>
        <v> </v>
      </c>
      <c r="G166" s="6" t="str">
        <f aca="false">IF(E166="BB",F166," ")</f>
        <v> </v>
      </c>
      <c r="H166" s="6" t="str">
        <f aca="false">IF(E166="BD",F166," ")</f>
        <v> </v>
      </c>
      <c r="I166" s="6" t="str">
        <f aca="false">IF(E166="BC",F166," ")</f>
        <v> </v>
      </c>
      <c r="J166" s="6" t="str">
        <f aca="false">IF(E166="DR",F166," ")</f>
        <v> </v>
      </c>
      <c r="K166" s="6" t="str">
        <f aca="false">IF(E166="K",F166," ")</f>
        <v> </v>
      </c>
      <c r="L166" s="6" t="str">
        <f aca="false">IF(E166="LDR",F166," ")</f>
        <v> </v>
      </c>
      <c r="M166" s="6" t="str">
        <f aca="false">IF(E166="LCR",F166," ")</f>
        <v> </v>
      </c>
      <c r="N166" s="6" t="str">
        <f aca="false">IF(E166="RV",F166," ")</f>
        <v> </v>
      </c>
      <c r="O166" s="6" t="str">
        <f aca="false">IF(E166="RC",F166," ")</f>
        <v> </v>
      </c>
      <c r="P166" s="6" t="str">
        <f aca="false">IF(E166="DL",F166," ")</f>
        <v> </v>
      </c>
      <c r="Q166" s="6" t="str">
        <f aca="false">IF(E166="X",F166," ")</f>
        <v> </v>
      </c>
      <c r="R166" s="37"/>
      <c r="W166" s="6" t="str">
        <f aca="false">IF(X166&lt;&gt;0,"Enter Code"," ")</f>
        <v> </v>
      </c>
      <c r="Y166" s="6" t="str">
        <f aca="false">IF(W166="BB",X166," ")</f>
        <v> </v>
      </c>
      <c r="Z166" s="6" t="str">
        <f aca="false">IF(W166="BD",X166," ")</f>
        <v> </v>
      </c>
      <c r="AA166" s="6" t="str">
        <f aca="false">IF(W166="BC",X166," ")</f>
        <v> </v>
      </c>
      <c r="AB166" s="6" t="str">
        <f aca="false">IF(W166="CR",X166," ")</f>
        <v> </v>
      </c>
      <c r="AC166" s="6" t="str">
        <f aca="false">IF(W166="W",X166," ")</f>
        <v> </v>
      </c>
      <c r="AD166" s="6" t="str">
        <f aca="false">IF(W166="B",X166," ")</f>
        <v> </v>
      </c>
      <c r="AE166" s="6" t="str">
        <f aca="false">IF(W166="J",X166," ")</f>
        <v> </v>
      </c>
      <c r="AF166" s="6" t="str">
        <f aca="false">IF(W166="LDR",X166," ")</f>
        <v> </v>
      </c>
      <c r="AG166" s="6" t="str">
        <f aca="false">IF(W166="LCR",X166," ")</f>
        <v> </v>
      </c>
      <c r="AH166" s="6" t="str">
        <f aca="false">IF(W166="RP",X166," ")</f>
        <v> </v>
      </c>
      <c r="AI166" s="6" t="str">
        <f aca="false">IF(W166="RV",X166," ")</f>
        <v> </v>
      </c>
      <c r="AJ166" s="6" t="str">
        <f aca="false">IF(W166="RC",X166," ")</f>
        <v> </v>
      </c>
      <c r="AK166" s="6" t="str">
        <f aca="false">IF(W166="RT",X166," ")</f>
        <v> </v>
      </c>
      <c r="AL166" s="6" t="str">
        <f aca="false">IF(W166="DV",X166," ")</f>
        <v> </v>
      </c>
      <c r="AM166" s="6" t="str">
        <f aca="false">IF(W166="DL",X166," ")</f>
        <v> </v>
      </c>
      <c r="AN166" s="6" t="str">
        <f aca="false">IF(W166="X",X166," ")</f>
        <v> </v>
      </c>
    </row>
    <row r="167" customFormat="false" ht="12" hidden="false" customHeight="false" outlineLevel="0" collapsed="false">
      <c r="E167" s="5" t="str">
        <f aca="false">IF(F167&lt;&gt;0,"Enter Code"," ")</f>
        <v> </v>
      </c>
      <c r="G167" s="6" t="str">
        <f aca="false">IF(E167="BB",F167," ")</f>
        <v> </v>
      </c>
      <c r="H167" s="6" t="str">
        <f aca="false">IF(E167="BD",F167," ")</f>
        <v> </v>
      </c>
      <c r="I167" s="6" t="str">
        <f aca="false">IF(E167="BC",F167," ")</f>
        <v> </v>
      </c>
      <c r="J167" s="6" t="str">
        <f aca="false">IF(E167="DR",F167," ")</f>
        <v> </v>
      </c>
      <c r="K167" s="6" t="str">
        <f aca="false">IF(E167="K",F167," ")</f>
        <v> </v>
      </c>
      <c r="L167" s="6" t="str">
        <f aca="false">IF(E167="LDR",F167," ")</f>
        <v> </v>
      </c>
      <c r="M167" s="6" t="str">
        <f aca="false">IF(E167="LCR",F167," ")</f>
        <v> </v>
      </c>
      <c r="N167" s="6" t="str">
        <f aca="false">IF(E167="RV",F167," ")</f>
        <v> </v>
      </c>
      <c r="O167" s="6" t="str">
        <f aca="false">IF(E167="RC",F167," ")</f>
        <v> </v>
      </c>
      <c r="P167" s="6" t="str">
        <f aca="false">IF(E167="DL",F167," ")</f>
        <v> </v>
      </c>
      <c r="Q167" s="6" t="str">
        <f aca="false">IF(E167="X",F167," ")</f>
        <v> </v>
      </c>
      <c r="R167" s="37"/>
      <c r="W167" s="6" t="str">
        <f aca="false">IF(X167&lt;&gt;0,"Enter Code"," ")</f>
        <v> </v>
      </c>
      <c r="Y167" s="6" t="str">
        <f aca="false">IF(W167="BB",X167," ")</f>
        <v> </v>
      </c>
      <c r="Z167" s="6" t="str">
        <f aca="false">IF(W167="BD",X167," ")</f>
        <v> </v>
      </c>
      <c r="AA167" s="6" t="str">
        <f aca="false">IF(W167="BC",X167," ")</f>
        <v> </v>
      </c>
      <c r="AB167" s="6" t="str">
        <f aca="false">IF(W167="CR",X167," ")</f>
        <v> </v>
      </c>
      <c r="AC167" s="6" t="str">
        <f aca="false">IF(W167="W",X167," ")</f>
        <v> </v>
      </c>
      <c r="AD167" s="6" t="str">
        <f aca="false">IF(W167="B",X167," ")</f>
        <v> </v>
      </c>
      <c r="AE167" s="6" t="str">
        <f aca="false">IF(W167="J",X167," ")</f>
        <v> </v>
      </c>
      <c r="AF167" s="6" t="str">
        <f aca="false">IF(W167="LDR",X167," ")</f>
        <v> </v>
      </c>
      <c r="AG167" s="6" t="str">
        <f aca="false">IF(W167="LCR",X167," ")</f>
        <v> </v>
      </c>
      <c r="AH167" s="6" t="str">
        <f aca="false">IF(W167="RP",X167," ")</f>
        <v> </v>
      </c>
      <c r="AI167" s="6" t="str">
        <f aca="false">IF(W167="RV",X167," ")</f>
        <v> </v>
      </c>
      <c r="AJ167" s="6" t="str">
        <f aca="false">IF(W167="RC",X167," ")</f>
        <v> </v>
      </c>
      <c r="AK167" s="6" t="str">
        <f aca="false">IF(W167="RT",X167," ")</f>
        <v> </v>
      </c>
      <c r="AL167" s="6" t="str">
        <f aca="false">IF(W167="DV",X167," ")</f>
        <v> </v>
      </c>
      <c r="AM167" s="6" t="str">
        <f aca="false">IF(W167="DL",X167," ")</f>
        <v> </v>
      </c>
      <c r="AN167" s="6" t="str">
        <f aca="false">IF(W167="X",X167," ")</f>
        <v> </v>
      </c>
    </row>
    <row r="168" customFormat="false" ht="12" hidden="false" customHeight="false" outlineLevel="0" collapsed="false">
      <c r="E168" s="5" t="str">
        <f aca="false">IF(F168&lt;&gt;0,"Enter Code"," ")</f>
        <v> </v>
      </c>
      <c r="G168" s="6" t="str">
        <f aca="false">IF(E168="BB",F168," ")</f>
        <v> </v>
      </c>
      <c r="H168" s="6" t="str">
        <f aca="false">IF(E168="BD",F168," ")</f>
        <v> </v>
      </c>
      <c r="I168" s="6" t="str">
        <f aca="false">IF(E168="BC",F168," ")</f>
        <v> </v>
      </c>
      <c r="J168" s="6" t="str">
        <f aca="false">IF(E168="DR",F168," ")</f>
        <v> </v>
      </c>
      <c r="K168" s="6" t="str">
        <f aca="false">IF(E168="K",F168," ")</f>
        <v> </v>
      </c>
      <c r="L168" s="6" t="str">
        <f aca="false">IF(E168="LDR",F168," ")</f>
        <v> </v>
      </c>
      <c r="M168" s="6" t="str">
        <f aca="false">IF(E168="LCR",F168," ")</f>
        <v> </v>
      </c>
      <c r="N168" s="6" t="str">
        <f aca="false">IF(E168="RV",F168," ")</f>
        <v> </v>
      </c>
      <c r="O168" s="6" t="str">
        <f aca="false">IF(E168="RC",F168," ")</f>
        <v> </v>
      </c>
      <c r="P168" s="6" t="str">
        <f aca="false">IF(E168="DL",F168," ")</f>
        <v> </v>
      </c>
      <c r="Q168" s="6" t="str">
        <f aca="false">IF(E168="X",F168," ")</f>
        <v> </v>
      </c>
      <c r="R168" s="37"/>
      <c r="W168" s="6" t="str">
        <f aca="false">IF(X168&lt;&gt;0,"Enter Code"," ")</f>
        <v> </v>
      </c>
      <c r="Y168" s="6" t="str">
        <f aca="false">IF(W168="BB",X168," ")</f>
        <v> </v>
      </c>
      <c r="Z168" s="6" t="str">
        <f aca="false">IF(W168="BD",X168," ")</f>
        <v> </v>
      </c>
      <c r="AA168" s="6" t="str">
        <f aca="false">IF(W168="BC",X168," ")</f>
        <v> </v>
      </c>
      <c r="AB168" s="6" t="str">
        <f aca="false">IF(W168="CR",X168," ")</f>
        <v> </v>
      </c>
      <c r="AC168" s="6" t="str">
        <f aca="false">IF(W168="W",X168," ")</f>
        <v> </v>
      </c>
      <c r="AD168" s="6" t="str">
        <f aca="false">IF(W168="B",X168," ")</f>
        <v> </v>
      </c>
      <c r="AE168" s="6" t="str">
        <f aca="false">IF(W168="J",X168," ")</f>
        <v> </v>
      </c>
      <c r="AF168" s="6" t="str">
        <f aca="false">IF(W168="LDR",X168," ")</f>
        <v> </v>
      </c>
      <c r="AG168" s="6" t="str">
        <f aca="false">IF(W168="LCR",X168," ")</f>
        <v> </v>
      </c>
      <c r="AH168" s="6" t="str">
        <f aca="false">IF(W168="RP",X168," ")</f>
        <v> </v>
      </c>
      <c r="AI168" s="6" t="str">
        <f aca="false">IF(W168="RV",X168," ")</f>
        <v> </v>
      </c>
      <c r="AJ168" s="6" t="str">
        <f aca="false">IF(W168="RC",X168," ")</f>
        <v> </v>
      </c>
      <c r="AK168" s="6" t="str">
        <f aca="false">IF(W168="RT",X168," ")</f>
        <v> </v>
      </c>
      <c r="AL168" s="6" t="str">
        <f aca="false">IF(W168="DV",X168," ")</f>
        <v> </v>
      </c>
      <c r="AM168" s="6" t="str">
        <f aca="false">IF(W168="DL",X168," ")</f>
        <v> </v>
      </c>
      <c r="AN168" s="6" t="str">
        <f aca="false">IF(W168="X",X168," ")</f>
        <v> </v>
      </c>
    </row>
    <row r="169" customFormat="false" ht="12" hidden="false" customHeight="false" outlineLevel="0" collapsed="false">
      <c r="E169" s="5" t="str">
        <f aca="false">IF(F169&lt;&gt;0,"Enter Code"," ")</f>
        <v> </v>
      </c>
      <c r="G169" s="6" t="str">
        <f aca="false">IF(E169="BB",F169," ")</f>
        <v> </v>
      </c>
      <c r="H169" s="6" t="str">
        <f aca="false">IF(E169="BD",F169," ")</f>
        <v> </v>
      </c>
      <c r="I169" s="6" t="str">
        <f aca="false">IF(E169="BC",F169," ")</f>
        <v> </v>
      </c>
      <c r="J169" s="6" t="str">
        <f aca="false">IF(E169="DR",F169," ")</f>
        <v> </v>
      </c>
      <c r="K169" s="6" t="str">
        <f aca="false">IF(E169="K",F169," ")</f>
        <v> </v>
      </c>
      <c r="L169" s="6" t="str">
        <f aca="false">IF(E169="LDR",F169," ")</f>
        <v> </v>
      </c>
      <c r="M169" s="6" t="str">
        <f aca="false">IF(E169="LCR",F169," ")</f>
        <v> </v>
      </c>
      <c r="N169" s="6" t="str">
        <f aca="false">IF(E169="RV",F169," ")</f>
        <v> </v>
      </c>
      <c r="O169" s="6" t="str">
        <f aca="false">IF(E169="RC",F169," ")</f>
        <v> </v>
      </c>
      <c r="P169" s="6" t="str">
        <f aca="false">IF(E169="DL",F169," ")</f>
        <v> </v>
      </c>
      <c r="Q169" s="6" t="str">
        <f aca="false">IF(E169="X",F169," ")</f>
        <v> </v>
      </c>
      <c r="R169" s="37"/>
      <c r="W169" s="6" t="str">
        <f aca="false">IF(X169&lt;&gt;0,"Enter Code"," ")</f>
        <v> </v>
      </c>
      <c r="Y169" s="6" t="str">
        <f aca="false">IF(W169="BB",X169," ")</f>
        <v> </v>
      </c>
      <c r="Z169" s="6" t="str">
        <f aca="false">IF(W169="BD",X169," ")</f>
        <v> </v>
      </c>
      <c r="AA169" s="6" t="str">
        <f aca="false">IF(W169="BC",X169," ")</f>
        <v> </v>
      </c>
      <c r="AB169" s="6" t="str">
        <f aca="false">IF(W169="CR",X169," ")</f>
        <v> </v>
      </c>
      <c r="AC169" s="6" t="str">
        <f aca="false">IF(W169="W",X169," ")</f>
        <v> </v>
      </c>
      <c r="AD169" s="6" t="str">
        <f aca="false">IF(W169="B",X169," ")</f>
        <v> </v>
      </c>
      <c r="AE169" s="6" t="str">
        <f aca="false">IF(W169="J",X169," ")</f>
        <v> </v>
      </c>
      <c r="AF169" s="6" t="str">
        <f aca="false">IF(W169="LDR",X169," ")</f>
        <v> </v>
      </c>
      <c r="AG169" s="6" t="str">
        <f aca="false">IF(W169="LCR",X169," ")</f>
        <v> </v>
      </c>
      <c r="AH169" s="6" t="str">
        <f aca="false">IF(W169="RP",X169," ")</f>
        <v> </v>
      </c>
      <c r="AI169" s="6" t="str">
        <f aca="false">IF(W169="RV",X169," ")</f>
        <v> </v>
      </c>
      <c r="AJ169" s="6" t="str">
        <f aca="false">IF(W169="RC",X169," ")</f>
        <v> </v>
      </c>
      <c r="AK169" s="6" t="str">
        <f aca="false">IF(W169="RT",X169," ")</f>
        <v> </v>
      </c>
      <c r="AL169" s="6" t="str">
        <f aca="false">IF(W169="DV",X169," ")</f>
        <v> </v>
      </c>
      <c r="AM169" s="6" t="str">
        <f aca="false">IF(W169="DL",X169," ")</f>
        <v> </v>
      </c>
      <c r="AN169" s="6" t="str">
        <f aca="false">IF(W169="X",X169," ")</f>
        <v> </v>
      </c>
    </row>
    <row r="170" customFormat="false" ht="12" hidden="false" customHeight="false" outlineLevel="0" collapsed="false">
      <c r="E170" s="5" t="str">
        <f aca="false">IF(F170&lt;&gt;0,"Enter Code"," ")</f>
        <v> </v>
      </c>
      <c r="G170" s="6" t="str">
        <f aca="false">IF(E170="BB",F170," ")</f>
        <v> </v>
      </c>
      <c r="H170" s="6" t="str">
        <f aca="false">IF(E170="BD",F170," ")</f>
        <v> </v>
      </c>
      <c r="I170" s="6" t="str">
        <f aca="false">IF(E170="BC",F170," ")</f>
        <v> </v>
      </c>
      <c r="J170" s="6" t="str">
        <f aca="false">IF(E170="DR",F170," ")</f>
        <v> </v>
      </c>
      <c r="K170" s="6" t="str">
        <f aca="false">IF(E170="K",F170," ")</f>
        <v> </v>
      </c>
      <c r="L170" s="6" t="str">
        <f aca="false">IF(E170="LDR",F170," ")</f>
        <v> </v>
      </c>
      <c r="M170" s="6" t="str">
        <f aca="false">IF(E170="LCR",F170," ")</f>
        <v> </v>
      </c>
      <c r="N170" s="6" t="str">
        <f aca="false">IF(E170="RV",F170," ")</f>
        <v> </v>
      </c>
      <c r="O170" s="6" t="str">
        <f aca="false">IF(E170="RC",F170," ")</f>
        <v> </v>
      </c>
      <c r="P170" s="6" t="str">
        <f aca="false">IF(E170="DL",F170," ")</f>
        <v> </v>
      </c>
      <c r="Q170" s="6" t="str">
        <f aca="false">IF(E170="X",F170," ")</f>
        <v> </v>
      </c>
      <c r="R170" s="37"/>
      <c r="W170" s="6" t="str">
        <f aca="false">IF(X170&lt;&gt;0,"Enter Code"," ")</f>
        <v> </v>
      </c>
      <c r="Y170" s="6" t="str">
        <f aca="false">IF(W170="BB",X170," ")</f>
        <v> </v>
      </c>
      <c r="Z170" s="6" t="str">
        <f aca="false">IF(W170="BD",X170," ")</f>
        <v> </v>
      </c>
      <c r="AA170" s="6" t="str">
        <f aca="false">IF(W170="BC",X170," ")</f>
        <v> </v>
      </c>
      <c r="AB170" s="6" t="str">
        <f aca="false">IF(W170="CR",X170," ")</f>
        <v> </v>
      </c>
      <c r="AC170" s="6" t="str">
        <f aca="false">IF(W170="W",X170," ")</f>
        <v> </v>
      </c>
      <c r="AD170" s="6" t="str">
        <f aca="false">IF(W170="B",X170," ")</f>
        <v> </v>
      </c>
      <c r="AE170" s="6" t="str">
        <f aca="false">IF(W170="J",X170," ")</f>
        <v> </v>
      </c>
      <c r="AF170" s="6" t="str">
        <f aca="false">IF(W170="LDR",X170," ")</f>
        <v> </v>
      </c>
      <c r="AG170" s="6" t="str">
        <f aca="false">IF(W170="LCR",X170," ")</f>
        <v> </v>
      </c>
      <c r="AH170" s="6" t="str">
        <f aca="false">IF(W170="RP",X170," ")</f>
        <v> </v>
      </c>
      <c r="AI170" s="6" t="str">
        <f aca="false">IF(W170="RV",X170," ")</f>
        <v> </v>
      </c>
      <c r="AJ170" s="6" t="str">
        <f aca="false">IF(W170="RC",X170," ")</f>
        <v> </v>
      </c>
      <c r="AK170" s="6" t="str">
        <f aca="false">IF(W170="RT",X170," ")</f>
        <v> </v>
      </c>
      <c r="AL170" s="6" t="str">
        <f aca="false">IF(W170="DV",X170," ")</f>
        <v> </v>
      </c>
      <c r="AM170" s="6" t="str">
        <f aca="false">IF(W170="DL",X170," ")</f>
        <v> </v>
      </c>
      <c r="AN170" s="6" t="str">
        <f aca="false">IF(W170="X",X170," ")</f>
        <v> </v>
      </c>
    </row>
    <row r="171" customFormat="false" ht="12" hidden="false" customHeight="false" outlineLevel="0" collapsed="false">
      <c r="E171" s="5" t="str">
        <f aca="false">IF(F171&lt;&gt;0,"Enter Code"," ")</f>
        <v> </v>
      </c>
      <c r="G171" s="6" t="str">
        <f aca="false">IF(E171="BB",F171," ")</f>
        <v> </v>
      </c>
      <c r="H171" s="6" t="str">
        <f aca="false">IF(E171="BD",F171," ")</f>
        <v> </v>
      </c>
      <c r="I171" s="6" t="str">
        <f aca="false">IF(E171="BC",F171," ")</f>
        <v> </v>
      </c>
      <c r="J171" s="6" t="str">
        <f aca="false">IF(E171="DR",F171," ")</f>
        <v> </v>
      </c>
      <c r="K171" s="6" t="str">
        <f aca="false">IF(E171="K",F171," ")</f>
        <v> </v>
      </c>
      <c r="L171" s="6" t="str">
        <f aca="false">IF(E171="LDR",F171," ")</f>
        <v> </v>
      </c>
      <c r="M171" s="6" t="str">
        <f aca="false">IF(E171="LCR",F171," ")</f>
        <v> </v>
      </c>
      <c r="N171" s="6" t="str">
        <f aca="false">IF(E171="RV",F171," ")</f>
        <v> </v>
      </c>
      <c r="O171" s="6" t="str">
        <f aca="false">IF(E171="RC",F171," ")</f>
        <v> </v>
      </c>
      <c r="P171" s="6" t="str">
        <f aca="false">IF(E171="DL",F171," ")</f>
        <v> </v>
      </c>
      <c r="Q171" s="6" t="str">
        <f aca="false">IF(E171="X",F171," ")</f>
        <v> </v>
      </c>
      <c r="R171" s="37"/>
      <c r="W171" s="6" t="str">
        <f aca="false">IF(X171&lt;&gt;0,"Enter Code"," ")</f>
        <v> </v>
      </c>
      <c r="Y171" s="6" t="str">
        <f aca="false">IF(W171="BB",X171," ")</f>
        <v> </v>
      </c>
      <c r="Z171" s="6" t="str">
        <f aca="false">IF(W171="BD",X171," ")</f>
        <v> </v>
      </c>
      <c r="AA171" s="6" t="str">
        <f aca="false">IF(W171="BC",X171," ")</f>
        <v> </v>
      </c>
      <c r="AB171" s="6" t="str">
        <f aca="false">IF(W171="CR",X171," ")</f>
        <v> </v>
      </c>
      <c r="AC171" s="6" t="str">
        <f aca="false">IF(W171="W",X171," ")</f>
        <v> </v>
      </c>
      <c r="AD171" s="6" t="str">
        <f aca="false">IF(W171="B",X171," ")</f>
        <v> </v>
      </c>
      <c r="AE171" s="6" t="str">
        <f aca="false">IF(W171="J",X171," ")</f>
        <v> </v>
      </c>
      <c r="AF171" s="6" t="str">
        <f aca="false">IF(W171="LDR",X171," ")</f>
        <v> </v>
      </c>
      <c r="AG171" s="6" t="str">
        <f aca="false">IF(W171="LCR",X171," ")</f>
        <v> </v>
      </c>
      <c r="AH171" s="6" t="str">
        <f aca="false">IF(W171="RP",X171," ")</f>
        <v> </v>
      </c>
      <c r="AI171" s="6" t="str">
        <f aca="false">IF(W171="RV",X171," ")</f>
        <v> </v>
      </c>
      <c r="AJ171" s="6" t="str">
        <f aca="false">IF(W171="RC",X171," ")</f>
        <v> </v>
      </c>
      <c r="AK171" s="6" t="str">
        <f aca="false">IF(W171="RT",X171," ")</f>
        <v> </v>
      </c>
      <c r="AL171" s="6" t="str">
        <f aca="false">IF(W171="DV",X171," ")</f>
        <v> </v>
      </c>
      <c r="AM171" s="6" t="str">
        <f aca="false">IF(W171="DL",X171," ")</f>
        <v> </v>
      </c>
      <c r="AN171" s="6" t="str">
        <f aca="false">IF(W171="X",X171," ")</f>
        <v> </v>
      </c>
    </row>
    <row r="172" customFormat="false" ht="12" hidden="false" customHeight="false" outlineLevel="0" collapsed="false">
      <c r="E172" s="5" t="str">
        <f aca="false">IF(F172&lt;&gt;0,"Enter Code"," ")</f>
        <v> </v>
      </c>
      <c r="G172" s="6" t="str">
        <f aca="false">IF(E172="BB",F172," ")</f>
        <v> </v>
      </c>
      <c r="H172" s="6" t="str">
        <f aca="false">IF(E172="BD",F172," ")</f>
        <v> </v>
      </c>
      <c r="I172" s="6" t="str">
        <f aca="false">IF(E172="BC",F172," ")</f>
        <v> </v>
      </c>
      <c r="J172" s="6" t="str">
        <f aca="false">IF(E172="DR",F172," ")</f>
        <v> </v>
      </c>
      <c r="K172" s="6" t="str">
        <f aca="false">IF(E172="K",F172," ")</f>
        <v> </v>
      </c>
      <c r="L172" s="6" t="str">
        <f aca="false">IF(E172="LDR",F172," ")</f>
        <v> </v>
      </c>
      <c r="M172" s="6" t="str">
        <f aca="false">IF(E172="LCR",F172," ")</f>
        <v> </v>
      </c>
      <c r="N172" s="6" t="str">
        <f aca="false">IF(E172="RV",F172," ")</f>
        <v> </v>
      </c>
      <c r="O172" s="6" t="str">
        <f aca="false">IF(E172="RC",F172," ")</f>
        <v> </v>
      </c>
      <c r="P172" s="6" t="str">
        <f aca="false">IF(E172="DL",F172," ")</f>
        <v> </v>
      </c>
      <c r="Q172" s="6" t="str">
        <f aca="false">IF(E172="X",F172," ")</f>
        <v> </v>
      </c>
      <c r="R172" s="37"/>
      <c r="W172" s="6" t="str">
        <f aca="false">IF(X172&lt;&gt;0,"Enter Code"," ")</f>
        <v> </v>
      </c>
      <c r="Y172" s="6" t="str">
        <f aca="false">IF(W172="BB",X172," ")</f>
        <v> </v>
      </c>
      <c r="Z172" s="6" t="str">
        <f aca="false">IF(W172="BD",X172," ")</f>
        <v> </v>
      </c>
      <c r="AA172" s="6" t="str">
        <f aca="false">IF(W172="BC",X172," ")</f>
        <v> </v>
      </c>
      <c r="AB172" s="6" t="str">
        <f aca="false">IF(W172="CR",X172," ")</f>
        <v> </v>
      </c>
      <c r="AC172" s="6" t="str">
        <f aca="false">IF(W172="W",X172," ")</f>
        <v> </v>
      </c>
      <c r="AD172" s="6" t="str">
        <f aca="false">IF(W172="B",X172," ")</f>
        <v> </v>
      </c>
      <c r="AE172" s="6" t="str">
        <f aca="false">IF(W172="J",X172," ")</f>
        <v> </v>
      </c>
      <c r="AF172" s="6" t="str">
        <f aca="false">IF(W172="LDR",X172," ")</f>
        <v> </v>
      </c>
      <c r="AG172" s="6" t="str">
        <f aca="false">IF(W172="LCR",X172," ")</f>
        <v> </v>
      </c>
      <c r="AH172" s="6" t="str">
        <f aca="false">IF(W172="RP",X172," ")</f>
        <v> </v>
      </c>
      <c r="AI172" s="6" t="str">
        <f aca="false">IF(W172="RV",X172," ")</f>
        <v> </v>
      </c>
      <c r="AJ172" s="6" t="str">
        <f aca="false">IF(W172="RC",X172," ")</f>
        <v> </v>
      </c>
      <c r="AK172" s="6" t="str">
        <f aca="false">IF(W172="RT",X172," ")</f>
        <v> </v>
      </c>
      <c r="AL172" s="6" t="str">
        <f aca="false">IF(W172="DV",X172," ")</f>
        <v> </v>
      </c>
      <c r="AM172" s="6" t="str">
        <f aca="false">IF(W172="DL",X172," ")</f>
        <v> </v>
      </c>
      <c r="AN172" s="6" t="str">
        <f aca="false">IF(W172="X",X172," ")</f>
        <v> </v>
      </c>
    </row>
    <row r="173" customFormat="false" ht="12" hidden="false" customHeight="false" outlineLevel="0" collapsed="false">
      <c r="E173" s="5" t="str">
        <f aca="false">IF(F173&lt;&gt;0,"Enter Code"," ")</f>
        <v> </v>
      </c>
      <c r="G173" s="6" t="str">
        <f aca="false">IF(E173="BB",F173," ")</f>
        <v> </v>
      </c>
      <c r="H173" s="6" t="str">
        <f aca="false">IF(E173="BD",F173," ")</f>
        <v> </v>
      </c>
      <c r="I173" s="6" t="str">
        <f aca="false">IF(E173="BC",F173," ")</f>
        <v> </v>
      </c>
      <c r="J173" s="6" t="str">
        <f aca="false">IF(E173="DR",F173," ")</f>
        <v> </v>
      </c>
      <c r="K173" s="6" t="str">
        <f aca="false">IF(E173="K",F173," ")</f>
        <v> </v>
      </c>
      <c r="L173" s="6" t="str">
        <f aca="false">IF(E173="LDR",F173," ")</f>
        <v> </v>
      </c>
      <c r="M173" s="6" t="str">
        <f aca="false">IF(E173="LCR",F173," ")</f>
        <v> </v>
      </c>
      <c r="N173" s="6" t="str">
        <f aca="false">IF(E173="RV",F173," ")</f>
        <v> </v>
      </c>
      <c r="O173" s="6" t="str">
        <f aca="false">IF(E173="RC",F173," ")</f>
        <v> </v>
      </c>
      <c r="P173" s="6" t="str">
        <f aca="false">IF(E173="DL",F173," ")</f>
        <v> </v>
      </c>
      <c r="Q173" s="6" t="str">
        <f aca="false">IF(E173="X",F173," ")</f>
        <v> </v>
      </c>
      <c r="R173" s="37"/>
      <c r="W173" s="6" t="str">
        <f aca="false">IF(X173&lt;&gt;0,"Enter Code"," ")</f>
        <v> </v>
      </c>
      <c r="Y173" s="6" t="str">
        <f aca="false">IF(W173="BB",X173," ")</f>
        <v> </v>
      </c>
      <c r="Z173" s="6" t="str">
        <f aca="false">IF(W173="BD",X173," ")</f>
        <v> </v>
      </c>
      <c r="AA173" s="6" t="str">
        <f aca="false">IF(W173="BC",X173," ")</f>
        <v> </v>
      </c>
      <c r="AB173" s="6" t="str">
        <f aca="false">IF(W173="CR",X173," ")</f>
        <v> </v>
      </c>
      <c r="AC173" s="6" t="str">
        <f aca="false">IF(W173="W",X173," ")</f>
        <v> </v>
      </c>
      <c r="AD173" s="6" t="str">
        <f aca="false">IF(W173="B",X173," ")</f>
        <v> </v>
      </c>
      <c r="AE173" s="6" t="str">
        <f aca="false">IF(W173="J",X173," ")</f>
        <v> </v>
      </c>
      <c r="AF173" s="6" t="str">
        <f aca="false">IF(W173="LDR",X173," ")</f>
        <v> </v>
      </c>
      <c r="AG173" s="6" t="str">
        <f aca="false">IF(W173="LCR",X173," ")</f>
        <v> </v>
      </c>
      <c r="AH173" s="6" t="str">
        <f aca="false">IF(W173="RP",X173," ")</f>
        <v> </v>
      </c>
      <c r="AI173" s="6" t="str">
        <f aca="false">IF(W173="RV",X173," ")</f>
        <v> </v>
      </c>
      <c r="AJ173" s="6" t="str">
        <f aca="false">IF(W173="RC",X173," ")</f>
        <v> </v>
      </c>
      <c r="AK173" s="6" t="str">
        <f aca="false">IF(W173="RT",X173," ")</f>
        <v> </v>
      </c>
      <c r="AL173" s="6" t="str">
        <f aca="false">IF(W173="DV",X173," ")</f>
        <v> </v>
      </c>
      <c r="AM173" s="6" t="str">
        <f aca="false">IF(W173="DL",X173," ")</f>
        <v> </v>
      </c>
      <c r="AN173" s="6" t="str">
        <f aca="false">IF(W173="X",X173," ")</f>
        <v> </v>
      </c>
    </row>
    <row r="174" customFormat="false" ht="12" hidden="false" customHeight="false" outlineLevel="0" collapsed="false">
      <c r="E174" s="5" t="str">
        <f aca="false">IF(F174&lt;&gt;0,"Enter Code"," ")</f>
        <v> </v>
      </c>
      <c r="G174" s="6" t="str">
        <f aca="false">IF(E174="BB",F174," ")</f>
        <v> </v>
      </c>
      <c r="H174" s="6" t="str">
        <f aca="false">IF(E174="BD",F174," ")</f>
        <v> </v>
      </c>
      <c r="I174" s="6" t="str">
        <f aca="false">IF(E174="BC",F174," ")</f>
        <v> </v>
      </c>
      <c r="J174" s="6" t="str">
        <f aca="false">IF(E174="DR",F174," ")</f>
        <v> </v>
      </c>
      <c r="K174" s="6" t="str">
        <f aca="false">IF(E174="K",F174," ")</f>
        <v> </v>
      </c>
      <c r="L174" s="6" t="str">
        <f aca="false">IF(E174="LDR",F174," ")</f>
        <v> </v>
      </c>
      <c r="M174" s="6" t="str">
        <f aca="false">IF(E174="LCR",F174," ")</f>
        <v> </v>
      </c>
      <c r="N174" s="6" t="str">
        <f aca="false">IF(E174="RV",F174," ")</f>
        <v> </v>
      </c>
      <c r="O174" s="6" t="str">
        <f aca="false">IF(E174="RC",F174," ")</f>
        <v> </v>
      </c>
      <c r="P174" s="6" t="str">
        <f aca="false">IF(E174="DL",F174," ")</f>
        <v> </v>
      </c>
      <c r="Q174" s="6" t="str">
        <f aca="false">IF(E174="X",F174," ")</f>
        <v> </v>
      </c>
      <c r="R174" s="36"/>
      <c r="W174" s="6" t="str">
        <f aca="false">IF(X174&lt;&gt;0,"Enter Code"," ")</f>
        <v> </v>
      </c>
      <c r="Y174" s="6" t="str">
        <f aca="false">IF(W174="BB",X174," ")</f>
        <v> </v>
      </c>
      <c r="Z174" s="6" t="str">
        <f aca="false">IF(W174="BD",X174," ")</f>
        <v> </v>
      </c>
      <c r="AA174" s="6" t="str">
        <f aca="false">IF(W174="BC",X174," ")</f>
        <v> </v>
      </c>
      <c r="AB174" s="6" t="str">
        <f aca="false">IF(W174="CR",X174," ")</f>
        <v> </v>
      </c>
      <c r="AC174" s="6" t="str">
        <f aca="false">IF(W174="W",X174," ")</f>
        <v> </v>
      </c>
      <c r="AD174" s="6" t="str">
        <f aca="false">IF(W174="B",X174," ")</f>
        <v> </v>
      </c>
      <c r="AE174" s="6" t="str">
        <f aca="false">IF(W174="J",X174," ")</f>
        <v> </v>
      </c>
      <c r="AF174" s="6" t="str">
        <f aca="false">IF(W174="LDR",X174," ")</f>
        <v> </v>
      </c>
      <c r="AG174" s="6" t="str">
        <f aca="false">IF(W174="LCR",X174," ")</f>
        <v> </v>
      </c>
      <c r="AH174" s="6" t="str">
        <f aca="false">IF(W174="RP",X174," ")</f>
        <v> </v>
      </c>
      <c r="AI174" s="6" t="str">
        <f aca="false">IF(W174="RV",X174," ")</f>
        <v> </v>
      </c>
      <c r="AJ174" s="6" t="str">
        <f aca="false">IF(W174="RC",X174," ")</f>
        <v> </v>
      </c>
      <c r="AK174" s="6" t="str">
        <f aca="false">IF(W174="RT",X174," ")</f>
        <v> </v>
      </c>
      <c r="AL174" s="6" t="str">
        <f aca="false">IF(W174="DV",X174," ")</f>
        <v> </v>
      </c>
      <c r="AM174" s="6" t="str">
        <f aca="false">IF(W174="DL",X174," ")</f>
        <v> </v>
      </c>
      <c r="AN174" s="6" t="str">
        <f aca="false">IF(W174="X",X174," ")</f>
        <v> </v>
      </c>
    </row>
    <row r="175" customFormat="false" ht="12" hidden="false" customHeight="false" outlineLevel="0" collapsed="false">
      <c r="E175" s="5" t="str">
        <f aca="false">IF(F175&lt;&gt;0,"Enter Code"," ")</f>
        <v> </v>
      </c>
      <c r="G175" s="6" t="str">
        <f aca="false">IF(E175="BB",F175," ")</f>
        <v> </v>
      </c>
      <c r="H175" s="6" t="str">
        <f aca="false">IF(E175="BD",F175," ")</f>
        <v> </v>
      </c>
      <c r="I175" s="6" t="str">
        <f aca="false">IF(E175="BC",F175," ")</f>
        <v> </v>
      </c>
      <c r="J175" s="6" t="str">
        <f aca="false">IF(E175="DR",F175," ")</f>
        <v> </v>
      </c>
      <c r="K175" s="6" t="str">
        <f aca="false">IF(E175="K",F175," ")</f>
        <v> </v>
      </c>
      <c r="L175" s="6" t="str">
        <f aca="false">IF(E175="LDR",F175," ")</f>
        <v> </v>
      </c>
      <c r="M175" s="6" t="str">
        <f aca="false">IF(E175="LCR",F175," ")</f>
        <v> </v>
      </c>
      <c r="N175" s="6" t="str">
        <f aca="false">IF(E175="RV",F175," ")</f>
        <v> </v>
      </c>
      <c r="O175" s="6" t="str">
        <f aca="false">IF(E175="RC",F175," ")</f>
        <v> </v>
      </c>
      <c r="P175" s="6" t="str">
        <f aca="false">IF(E175="DL",F175," ")</f>
        <v> </v>
      </c>
      <c r="Q175" s="6" t="str">
        <f aca="false">IF(E175="X",F175," ")</f>
        <v> </v>
      </c>
      <c r="R175" s="38"/>
      <c r="W175" s="6" t="str">
        <f aca="false">IF(X175&lt;&gt;0,"Enter Code"," ")</f>
        <v> </v>
      </c>
      <c r="Y175" s="6" t="str">
        <f aca="false">IF(W175="BB",X175," ")</f>
        <v> </v>
      </c>
      <c r="Z175" s="6" t="str">
        <f aca="false">IF(W175="BD",X175," ")</f>
        <v> </v>
      </c>
      <c r="AA175" s="6" t="str">
        <f aca="false">IF(W175="BC",X175," ")</f>
        <v> </v>
      </c>
      <c r="AB175" s="6" t="str">
        <f aca="false">IF(W175="CR",X175," ")</f>
        <v> </v>
      </c>
      <c r="AC175" s="6" t="str">
        <f aca="false">IF(W175="W",X175," ")</f>
        <v> </v>
      </c>
      <c r="AD175" s="6" t="str">
        <f aca="false">IF(W175="B",X175," ")</f>
        <v> </v>
      </c>
      <c r="AE175" s="6" t="str">
        <f aca="false">IF(W175="J",X175," ")</f>
        <v> </v>
      </c>
      <c r="AF175" s="6" t="str">
        <f aca="false">IF(W175="LDR",X175," ")</f>
        <v> </v>
      </c>
      <c r="AG175" s="6" t="str">
        <f aca="false">IF(W175="LCR",X175," ")</f>
        <v> </v>
      </c>
      <c r="AH175" s="6" t="str">
        <f aca="false">IF(W175="RP",X175," ")</f>
        <v> </v>
      </c>
      <c r="AI175" s="6" t="str">
        <f aca="false">IF(W175="RV",X175," ")</f>
        <v> </v>
      </c>
      <c r="AJ175" s="6" t="str">
        <f aca="false">IF(W175="RC",X175," ")</f>
        <v> </v>
      </c>
      <c r="AK175" s="6" t="str">
        <f aca="false">IF(W175="RT",X175," ")</f>
        <v> </v>
      </c>
      <c r="AL175" s="6" t="str">
        <f aca="false">IF(W175="DV",X175," ")</f>
        <v> </v>
      </c>
      <c r="AM175" s="6" t="str">
        <f aca="false">IF(W175="DL",X175," ")</f>
        <v> </v>
      </c>
      <c r="AN175" s="6" t="str">
        <f aca="false">IF(W175="X",X175," ")</f>
        <v> </v>
      </c>
    </row>
    <row r="176" customFormat="false" ht="12" hidden="false" customHeight="false" outlineLevel="0" collapsed="false">
      <c r="E176" s="5" t="str">
        <f aca="false">IF(F176&lt;&gt;0,"Enter Code"," ")</f>
        <v> </v>
      </c>
      <c r="G176" s="6" t="str">
        <f aca="false">IF(E176="BB",F176," ")</f>
        <v> </v>
      </c>
      <c r="H176" s="6" t="str">
        <f aca="false">IF(E176="BD",F176," ")</f>
        <v> </v>
      </c>
      <c r="I176" s="6" t="str">
        <f aca="false">IF(E176="BC",F176," ")</f>
        <v> </v>
      </c>
      <c r="J176" s="6" t="str">
        <f aca="false">IF(E176="DR",F176," ")</f>
        <v> </v>
      </c>
      <c r="K176" s="6" t="str">
        <f aca="false">IF(E176="K",F176," ")</f>
        <v> </v>
      </c>
      <c r="L176" s="6" t="str">
        <f aca="false">IF(E176="LDR",F176," ")</f>
        <v> </v>
      </c>
      <c r="M176" s="6" t="str">
        <f aca="false">IF(E176="LCR",F176," ")</f>
        <v> </v>
      </c>
      <c r="N176" s="6" t="str">
        <f aca="false">IF(E176="RV",F176," ")</f>
        <v> </v>
      </c>
      <c r="O176" s="6" t="str">
        <f aca="false">IF(E176="RC",F176," ")</f>
        <v> </v>
      </c>
      <c r="P176" s="6" t="str">
        <f aca="false">IF(E176="DL",F176," ")</f>
        <v> </v>
      </c>
      <c r="Q176" s="6" t="str">
        <f aca="false">IF(E176="X",F176," ")</f>
        <v> </v>
      </c>
      <c r="R176" s="37"/>
      <c r="W176" s="6" t="str">
        <f aca="false">IF(X176&lt;&gt;0,"Enter Code"," ")</f>
        <v> </v>
      </c>
      <c r="Y176" s="6" t="str">
        <f aca="false">IF(W176="BB",X176," ")</f>
        <v> </v>
      </c>
      <c r="Z176" s="6" t="str">
        <f aca="false">IF(W176="BD",X176," ")</f>
        <v> </v>
      </c>
      <c r="AA176" s="6" t="str">
        <f aca="false">IF(W176="BC",X176," ")</f>
        <v> </v>
      </c>
      <c r="AB176" s="6" t="str">
        <f aca="false">IF(W176="CR",X176," ")</f>
        <v> </v>
      </c>
      <c r="AC176" s="6" t="str">
        <f aca="false">IF(W176="W",X176," ")</f>
        <v> </v>
      </c>
      <c r="AD176" s="6" t="str">
        <f aca="false">IF(W176="B",X176," ")</f>
        <v> </v>
      </c>
      <c r="AE176" s="6" t="str">
        <f aca="false">IF(W176="J",X176," ")</f>
        <v> </v>
      </c>
      <c r="AF176" s="6" t="str">
        <f aca="false">IF(W176="LDR",X176," ")</f>
        <v> </v>
      </c>
      <c r="AG176" s="6" t="str">
        <f aca="false">IF(W176="LCR",X176," ")</f>
        <v> </v>
      </c>
      <c r="AH176" s="6" t="str">
        <f aca="false">IF(W176="RP",X176," ")</f>
        <v> </v>
      </c>
      <c r="AI176" s="6" t="str">
        <f aca="false">IF(W176="RV",X176," ")</f>
        <v> </v>
      </c>
      <c r="AJ176" s="6" t="str">
        <f aca="false">IF(W176="RC",X176," ")</f>
        <v> </v>
      </c>
      <c r="AK176" s="6" t="str">
        <f aca="false">IF(W176="RT",X176," ")</f>
        <v> </v>
      </c>
      <c r="AL176" s="6" t="str">
        <f aca="false">IF(W176="DV",X176," ")</f>
        <v> </v>
      </c>
      <c r="AM176" s="6" t="str">
        <f aca="false">IF(W176="DL",X176," ")</f>
        <v> </v>
      </c>
      <c r="AN176" s="6" t="str">
        <f aca="false">IF(W176="X",X176," ")</f>
        <v> </v>
      </c>
    </row>
    <row r="177" customFormat="false" ht="12" hidden="false" customHeight="false" outlineLevel="0" collapsed="false">
      <c r="E177" s="5" t="str">
        <f aca="false">IF(F177&lt;&gt;0,"Enter Code"," ")</f>
        <v> </v>
      </c>
      <c r="G177" s="6" t="str">
        <f aca="false">IF(E177="BB",F177," ")</f>
        <v> </v>
      </c>
      <c r="H177" s="6" t="str">
        <f aca="false">IF(E177="BD",F177," ")</f>
        <v> </v>
      </c>
      <c r="I177" s="6" t="str">
        <f aca="false">IF(E177="BC",F177," ")</f>
        <v> </v>
      </c>
      <c r="J177" s="6" t="str">
        <f aca="false">IF(E177="DR",F177," ")</f>
        <v> </v>
      </c>
      <c r="K177" s="6" t="str">
        <f aca="false">IF(E177="K",F177," ")</f>
        <v> </v>
      </c>
      <c r="L177" s="6" t="str">
        <f aca="false">IF(E177="LDR",F177," ")</f>
        <v> </v>
      </c>
      <c r="M177" s="6" t="str">
        <f aca="false">IF(E177="LCR",F177," ")</f>
        <v> </v>
      </c>
      <c r="N177" s="6" t="str">
        <f aca="false">IF(E177="RV",F177," ")</f>
        <v> </v>
      </c>
      <c r="O177" s="6" t="str">
        <f aca="false">IF(E177="RC",F177," ")</f>
        <v> </v>
      </c>
      <c r="P177" s="6" t="str">
        <f aca="false">IF(E177="DL",F177," ")</f>
        <v> </v>
      </c>
      <c r="Q177" s="6" t="str">
        <f aca="false">IF(E177="X",F177," ")</f>
        <v> </v>
      </c>
      <c r="R177" s="37"/>
      <c r="W177" s="6" t="str">
        <f aca="false">IF(X177&lt;&gt;0,"Enter Code"," ")</f>
        <v> </v>
      </c>
      <c r="Y177" s="6" t="str">
        <f aca="false">IF(W177="BB",X177," ")</f>
        <v> </v>
      </c>
      <c r="Z177" s="6" t="str">
        <f aca="false">IF(W177="BD",X177," ")</f>
        <v> </v>
      </c>
      <c r="AA177" s="6" t="str">
        <f aca="false">IF(W177="BC",X177," ")</f>
        <v> </v>
      </c>
      <c r="AB177" s="6" t="str">
        <f aca="false">IF(W177="CR",X177," ")</f>
        <v> </v>
      </c>
      <c r="AC177" s="6" t="str">
        <f aca="false">IF(W177="W",X177," ")</f>
        <v> </v>
      </c>
      <c r="AD177" s="6" t="str">
        <f aca="false">IF(W177="B",X177," ")</f>
        <v> </v>
      </c>
      <c r="AE177" s="6" t="str">
        <f aca="false">IF(W177="J",X177," ")</f>
        <v> </v>
      </c>
      <c r="AF177" s="6" t="str">
        <f aca="false">IF(W177="LDR",X177," ")</f>
        <v> </v>
      </c>
      <c r="AG177" s="6" t="str">
        <f aca="false">IF(W177="LCR",X177," ")</f>
        <v> </v>
      </c>
      <c r="AH177" s="6" t="str">
        <f aca="false">IF(W177="RP",X177," ")</f>
        <v> </v>
      </c>
      <c r="AI177" s="6" t="str">
        <f aca="false">IF(W177="RV",X177," ")</f>
        <v> </v>
      </c>
      <c r="AJ177" s="6" t="str">
        <f aca="false">IF(W177="RC",X177," ")</f>
        <v> </v>
      </c>
      <c r="AK177" s="6" t="str">
        <f aca="false">IF(W177="RT",X177," ")</f>
        <v> </v>
      </c>
      <c r="AL177" s="6" t="str">
        <f aca="false">IF(W177="DV",X177," ")</f>
        <v> </v>
      </c>
      <c r="AM177" s="6" t="str">
        <f aca="false">IF(W177="DL",X177," ")</f>
        <v> </v>
      </c>
      <c r="AN177" s="6" t="str">
        <f aca="false">IF(W177="X",X177," ")</f>
        <v> </v>
      </c>
    </row>
    <row r="178" customFormat="false" ht="12" hidden="false" customHeight="false" outlineLevel="0" collapsed="false">
      <c r="E178" s="5" t="str">
        <f aca="false">IF(F178&lt;&gt;0,"Enter Code"," ")</f>
        <v> </v>
      </c>
      <c r="G178" s="6" t="str">
        <f aca="false">IF(E178="BB",F178," ")</f>
        <v> </v>
      </c>
      <c r="H178" s="6" t="str">
        <f aca="false">IF(E178="BD",F178," ")</f>
        <v> </v>
      </c>
      <c r="I178" s="6" t="str">
        <f aca="false">IF(E178="BC",F178," ")</f>
        <v> </v>
      </c>
      <c r="J178" s="6" t="str">
        <f aca="false">IF(E178="DR",F178," ")</f>
        <v> </v>
      </c>
      <c r="K178" s="6" t="str">
        <f aca="false">IF(E178="K",F178," ")</f>
        <v> </v>
      </c>
      <c r="L178" s="6" t="str">
        <f aca="false">IF(E178="LDR",F178," ")</f>
        <v> </v>
      </c>
      <c r="M178" s="6" t="str">
        <f aca="false">IF(E178="LCR",F178," ")</f>
        <v> </v>
      </c>
      <c r="N178" s="6" t="str">
        <f aca="false">IF(E178="RV",F178," ")</f>
        <v> </v>
      </c>
      <c r="O178" s="6" t="str">
        <f aca="false">IF(E178="RC",F178," ")</f>
        <v> </v>
      </c>
      <c r="P178" s="6" t="str">
        <f aca="false">IF(E178="DL",F178," ")</f>
        <v> </v>
      </c>
      <c r="Q178" s="6" t="str">
        <f aca="false">IF(E178="X",F178," ")</f>
        <v> </v>
      </c>
      <c r="R178" s="37"/>
      <c r="W178" s="6" t="str">
        <f aca="false">IF(X178&lt;&gt;0,"Enter Code"," ")</f>
        <v> </v>
      </c>
      <c r="Y178" s="6" t="str">
        <f aca="false">IF(W178="BB",X178," ")</f>
        <v> </v>
      </c>
      <c r="Z178" s="6" t="str">
        <f aca="false">IF(W178="BD",X178," ")</f>
        <v> </v>
      </c>
      <c r="AA178" s="6" t="str">
        <f aca="false">IF(W178="BC",X178," ")</f>
        <v> </v>
      </c>
      <c r="AB178" s="6" t="str">
        <f aca="false">IF(W178="CR",X178," ")</f>
        <v> </v>
      </c>
      <c r="AC178" s="6" t="str">
        <f aca="false">IF(W178="W",X178," ")</f>
        <v> </v>
      </c>
      <c r="AD178" s="6" t="str">
        <f aca="false">IF(W178="B",X178," ")</f>
        <v> </v>
      </c>
      <c r="AE178" s="6" t="str">
        <f aca="false">IF(W178="J",X178," ")</f>
        <v> </v>
      </c>
      <c r="AF178" s="6" t="str">
        <f aca="false">IF(W178="LDR",X178," ")</f>
        <v> </v>
      </c>
      <c r="AG178" s="6" t="str">
        <f aca="false">IF(W178="LCR",X178," ")</f>
        <v> </v>
      </c>
      <c r="AH178" s="6" t="str">
        <f aca="false">IF(W178="RP",X178," ")</f>
        <v> </v>
      </c>
      <c r="AI178" s="6" t="str">
        <f aca="false">IF(W178="RV",X178," ")</f>
        <v> </v>
      </c>
      <c r="AJ178" s="6" t="str">
        <f aca="false">IF(W178="RC",X178," ")</f>
        <v> </v>
      </c>
      <c r="AK178" s="6" t="str">
        <f aca="false">IF(W178="RT",X178," ")</f>
        <v> </v>
      </c>
      <c r="AL178" s="6" t="str">
        <f aca="false">IF(W178="DV",X178," ")</f>
        <v> </v>
      </c>
      <c r="AM178" s="6" t="str">
        <f aca="false">IF(W178="DL",X178," ")</f>
        <v> </v>
      </c>
      <c r="AN178" s="6" t="str">
        <f aca="false">IF(W178="X",X178," ")</f>
        <v> </v>
      </c>
    </row>
    <row r="179" customFormat="false" ht="12" hidden="false" customHeight="false" outlineLevel="0" collapsed="false">
      <c r="E179" s="5" t="str">
        <f aca="false">IF(F179&lt;&gt;0,"Enter Code"," ")</f>
        <v> </v>
      </c>
      <c r="G179" s="6" t="str">
        <f aca="false">IF(E179="BB",F179," ")</f>
        <v> </v>
      </c>
      <c r="H179" s="6" t="str">
        <f aca="false">IF(E179="BD",F179," ")</f>
        <v> </v>
      </c>
      <c r="I179" s="6" t="str">
        <f aca="false">IF(E179="BC",F179," ")</f>
        <v> </v>
      </c>
      <c r="J179" s="6" t="str">
        <f aca="false">IF(E179="DR",F179," ")</f>
        <v> </v>
      </c>
      <c r="K179" s="6" t="str">
        <f aca="false">IF(E179="K",F179," ")</f>
        <v> </v>
      </c>
      <c r="L179" s="6" t="str">
        <f aca="false">IF(E179="LDR",F179," ")</f>
        <v> </v>
      </c>
      <c r="M179" s="6" t="str">
        <f aca="false">IF(E179="LCR",F179," ")</f>
        <v> </v>
      </c>
      <c r="N179" s="6" t="str">
        <f aca="false">IF(E179="RV",F179," ")</f>
        <v> </v>
      </c>
      <c r="O179" s="6" t="str">
        <f aca="false">IF(E179="RC",F179," ")</f>
        <v> </v>
      </c>
      <c r="P179" s="6" t="str">
        <f aca="false">IF(E179="DL",F179," ")</f>
        <v> </v>
      </c>
      <c r="Q179" s="6" t="str">
        <f aca="false">IF(E179="X",F179," ")</f>
        <v> </v>
      </c>
      <c r="R179" s="37"/>
      <c r="W179" s="6" t="str">
        <f aca="false">IF(X179&lt;&gt;0,"Enter Code"," ")</f>
        <v> </v>
      </c>
      <c r="Y179" s="6" t="str">
        <f aca="false">IF(W179="BB",X179," ")</f>
        <v> </v>
      </c>
      <c r="Z179" s="6" t="str">
        <f aca="false">IF(W179="BD",X179," ")</f>
        <v> </v>
      </c>
      <c r="AA179" s="6" t="str">
        <f aca="false">IF(W179="BC",X179," ")</f>
        <v> </v>
      </c>
      <c r="AB179" s="6" t="str">
        <f aca="false">IF(W179="CR",X179," ")</f>
        <v> </v>
      </c>
      <c r="AC179" s="6" t="str">
        <f aca="false">IF(W179="W",X179," ")</f>
        <v> </v>
      </c>
      <c r="AD179" s="6" t="str">
        <f aca="false">IF(W179="B",X179," ")</f>
        <v> </v>
      </c>
      <c r="AE179" s="6" t="str">
        <f aca="false">IF(W179="J",X179," ")</f>
        <v> </v>
      </c>
      <c r="AF179" s="6" t="str">
        <f aca="false">IF(W179="LDR",X179," ")</f>
        <v> </v>
      </c>
      <c r="AG179" s="6" t="str">
        <f aca="false">IF(W179="LCR",X179," ")</f>
        <v> </v>
      </c>
      <c r="AH179" s="6" t="str">
        <f aca="false">IF(W179="RP",X179," ")</f>
        <v> </v>
      </c>
      <c r="AI179" s="6" t="str">
        <f aca="false">IF(W179="RV",X179," ")</f>
        <v> </v>
      </c>
      <c r="AJ179" s="6" t="str">
        <f aca="false">IF(W179="RC",X179," ")</f>
        <v> </v>
      </c>
      <c r="AK179" s="6" t="str">
        <f aca="false">IF(W179="RT",X179," ")</f>
        <v> </v>
      </c>
      <c r="AL179" s="6" t="str">
        <f aca="false">IF(W179="DV",X179," ")</f>
        <v> </v>
      </c>
      <c r="AM179" s="6" t="str">
        <f aca="false">IF(W179="DL",X179," ")</f>
        <v> </v>
      </c>
      <c r="AN179" s="6" t="str">
        <f aca="false">IF(W179="X",X179," ")</f>
        <v> </v>
      </c>
    </row>
    <row r="180" customFormat="false" ht="12" hidden="false" customHeight="false" outlineLevel="0" collapsed="false">
      <c r="E180" s="5" t="str">
        <f aca="false">IF(F180&lt;&gt;0,"Enter Code"," ")</f>
        <v> </v>
      </c>
      <c r="G180" s="6" t="str">
        <f aca="false">IF(E180="BB",F180," ")</f>
        <v> </v>
      </c>
      <c r="H180" s="6" t="str">
        <f aca="false">IF(E180="BD",F180," ")</f>
        <v> </v>
      </c>
      <c r="I180" s="6" t="str">
        <f aca="false">IF(E180="BC",F180," ")</f>
        <v> </v>
      </c>
      <c r="J180" s="6" t="str">
        <f aca="false">IF(E180="DR",F180," ")</f>
        <v> </v>
      </c>
      <c r="K180" s="6" t="str">
        <f aca="false">IF(E180="K",F180," ")</f>
        <v> </v>
      </c>
      <c r="L180" s="6" t="str">
        <f aca="false">IF(E180="LDR",F180," ")</f>
        <v> </v>
      </c>
      <c r="M180" s="6" t="str">
        <f aca="false">IF(E180="LCR",F180," ")</f>
        <v> </v>
      </c>
      <c r="N180" s="6" t="str">
        <f aca="false">IF(E180="RV",F180," ")</f>
        <v> </v>
      </c>
      <c r="O180" s="6" t="str">
        <f aca="false">IF(E180="RC",F180," ")</f>
        <v> </v>
      </c>
      <c r="P180" s="6" t="str">
        <f aca="false">IF(E180="DL",F180," ")</f>
        <v> </v>
      </c>
      <c r="Q180" s="6" t="str">
        <f aca="false">IF(E180="X",F180," ")</f>
        <v> </v>
      </c>
      <c r="R180" s="37"/>
      <c r="W180" s="6" t="str">
        <f aca="false">IF(X180&lt;&gt;0,"Enter Code"," ")</f>
        <v> </v>
      </c>
      <c r="Y180" s="6" t="str">
        <f aca="false">IF(W180="BB",X180," ")</f>
        <v> </v>
      </c>
      <c r="Z180" s="6" t="str">
        <f aca="false">IF(W180="BD",X180," ")</f>
        <v> </v>
      </c>
      <c r="AA180" s="6" t="str">
        <f aca="false">IF(W180="BC",X180," ")</f>
        <v> </v>
      </c>
      <c r="AB180" s="6" t="str">
        <f aca="false">IF(W180="CR",X180," ")</f>
        <v> </v>
      </c>
      <c r="AC180" s="6" t="str">
        <f aca="false">IF(W180="W",X180," ")</f>
        <v> </v>
      </c>
      <c r="AD180" s="6" t="str">
        <f aca="false">IF(W180="B",X180," ")</f>
        <v> </v>
      </c>
      <c r="AE180" s="6" t="str">
        <f aca="false">IF(W180="J",X180," ")</f>
        <v> </v>
      </c>
      <c r="AF180" s="6" t="str">
        <f aca="false">IF(W180="LDR",X180," ")</f>
        <v> </v>
      </c>
      <c r="AG180" s="6" t="str">
        <f aca="false">IF(W180="LCR",X180," ")</f>
        <v> </v>
      </c>
      <c r="AH180" s="6" t="str">
        <f aca="false">IF(W180="RP",X180," ")</f>
        <v> </v>
      </c>
      <c r="AI180" s="6" t="str">
        <f aca="false">IF(W180="RV",X180," ")</f>
        <v> </v>
      </c>
      <c r="AJ180" s="6" t="str">
        <f aca="false">IF(W180="RC",X180," ")</f>
        <v> </v>
      </c>
      <c r="AK180" s="6" t="str">
        <f aca="false">IF(W180="RT",X180," ")</f>
        <v> </v>
      </c>
      <c r="AL180" s="6" t="str">
        <f aca="false">IF(W180="DV",X180," ")</f>
        <v> </v>
      </c>
      <c r="AM180" s="6" t="str">
        <f aca="false">IF(W180="DL",X180," ")</f>
        <v> </v>
      </c>
      <c r="AN180" s="6" t="str">
        <f aca="false">IF(W180="X",X180," ")</f>
        <v> </v>
      </c>
    </row>
    <row r="181" customFormat="false" ht="12" hidden="false" customHeight="false" outlineLevel="0" collapsed="false">
      <c r="E181" s="5" t="str">
        <f aca="false">IF(F181&lt;&gt;0,"Enter Code"," ")</f>
        <v> </v>
      </c>
      <c r="G181" s="6" t="str">
        <f aca="false">IF(E181="BB",F181," ")</f>
        <v> </v>
      </c>
      <c r="H181" s="6" t="str">
        <f aca="false">IF(E181="BD",F181," ")</f>
        <v> </v>
      </c>
      <c r="I181" s="6" t="str">
        <f aca="false">IF(E181="BC",F181," ")</f>
        <v> </v>
      </c>
      <c r="J181" s="6" t="str">
        <f aca="false">IF(E181="DR",F181," ")</f>
        <v> </v>
      </c>
      <c r="K181" s="6" t="str">
        <f aca="false">IF(E181="K",F181," ")</f>
        <v> </v>
      </c>
      <c r="L181" s="6" t="str">
        <f aca="false">IF(E181="LDR",F181," ")</f>
        <v> </v>
      </c>
      <c r="M181" s="6" t="str">
        <f aca="false">IF(E181="LCR",F181," ")</f>
        <v> </v>
      </c>
      <c r="N181" s="6" t="str">
        <f aca="false">IF(E181="RV",F181," ")</f>
        <v> </v>
      </c>
      <c r="O181" s="6" t="str">
        <f aca="false">IF(E181="RC",F181," ")</f>
        <v> </v>
      </c>
      <c r="P181" s="6" t="str">
        <f aca="false">IF(E181="DL",F181," ")</f>
        <v> </v>
      </c>
      <c r="Q181" s="6" t="str">
        <f aca="false">IF(E181="X",F181," ")</f>
        <v> </v>
      </c>
      <c r="R181" s="37"/>
      <c r="W181" s="6" t="str">
        <f aca="false">IF(X181&lt;&gt;0,"Enter Code"," ")</f>
        <v> </v>
      </c>
      <c r="Y181" s="6" t="str">
        <f aca="false">IF(W181="BB",X181," ")</f>
        <v> </v>
      </c>
      <c r="Z181" s="6" t="str">
        <f aca="false">IF(W181="BD",X181," ")</f>
        <v> </v>
      </c>
      <c r="AA181" s="6" t="str">
        <f aca="false">IF(W181="BC",X181," ")</f>
        <v> </v>
      </c>
      <c r="AB181" s="6" t="str">
        <f aca="false">IF(W181="CR",X181," ")</f>
        <v> </v>
      </c>
      <c r="AC181" s="6" t="str">
        <f aca="false">IF(W181="W",X181," ")</f>
        <v> </v>
      </c>
      <c r="AD181" s="6" t="str">
        <f aca="false">IF(W181="B",X181," ")</f>
        <v> </v>
      </c>
      <c r="AE181" s="6" t="str">
        <f aca="false">IF(W181="J",X181," ")</f>
        <v> </v>
      </c>
      <c r="AF181" s="6" t="str">
        <f aca="false">IF(W181="LDR",X181," ")</f>
        <v> </v>
      </c>
      <c r="AG181" s="6" t="str">
        <f aca="false">IF(W181="LCR",X181," ")</f>
        <v> </v>
      </c>
      <c r="AH181" s="6" t="str">
        <f aca="false">IF(W181="RP",X181," ")</f>
        <v> </v>
      </c>
      <c r="AI181" s="6" t="str">
        <f aca="false">IF(W181="RV",X181," ")</f>
        <v> </v>
      </c>
      <c r="AJ181" s="6" t="str">
        <f aca="false">IF(W181="RC",X181," ")</f>
        <v> </v>
      </c>
      <c r="AK181" s="6" t="str">
        <f aca="false">IF(W181="RT",X181," ")</f>
        <v> </v>
      </c>
      <c r="AL181" s="6" t="str">
        <f aca="false">IF(W181="DV",X181," ")</f>
        <v> </v>
      </c>
      <c r="AM181" s="6" t="str">
        <f aca="false">IF(W181="DL",X181," ")</f>
        <v> </v>
      </c>
      <c r="AN181" s="6" t="str">
        <f aca="false">IF(W181="X",X181," ")</f>
        <v> </v>
      </c>
    </row>
    <row r="182" customFormat="false" ht="12" hidden="false" customHeight="false" outlineLevel="0" collapsed="false">
      <c r="E182" s="5" t="str">
        <f aca="false">IF(F182&lt;&gt;0,"Enter Code"," ")</f>
        <v> </v>
      </c>
      <c r="G182" s="6" t="str">
        <f aca="false">IF(E182="BB",F182," ")</f>
        <v> </v>
      </c>
      <c r="H182" s="6" t="str">
        <f aca="false">IF(E182="BD",F182," ")</f>
        <v> </v>
      </c>
      <c r="I182" s="6" t="str">
        <f aca="false">IF(E182="BC",F182," ")</f>
        <v> </v>
      </c>
      <c r="J182" s="6" t="str">
        <f aca="false">IF(E182="DR",F182," ")</f>
        <v> </v>
      </c>
      <c r="K182" s="6" t="str">
        <f aca="false">IF(E182="K",F182," ")</f>
        <v> </v>
      </c>
      <c r="L182" s="6" t="str">
        <f aca="false">IF(E182="LDR",F182," ")</f>
        <v> </v>
      </c>
      <c r="M182" s="6" t="str">
        <f aca="false">IF(E182="LCR",F182," ")</f>
        <v> </v>
      </c>
      <c r="N182" s="6" t="str">
        <f aca="false">IF(E182="RV",F182," ")</f>
        <v> </v>
      </c>
      <c r="O182" s="6" t="str">
        <f aca="false">IF(E182="RC",F182," ")</f>
        <v> </v>
      </c>
      <c r="P182" s="6" t="str">
        <f aca="false">IF(E182="DL",F182," ")</f>
        <v> </v>
      </c>
      <c r="Q182" s="6" t="str">
        <f aca="false">IF(E182="X",F182," ")</f>
        <v> </v>
      </c>
      <c r="R182" s="37"/>
      <c r="W182" s="6" t="str">
        <f aca="false">IF(X182&lt;&gt;0,"Enter Code"," ")</f>
        <v> </v>
      </c>
      <c r="Y182" s="6" t="str">
        <f aca="false">IF(W182="BB",X182," ")</f>
        <v> </v>
      </c>
      <c r="Z182" s="6" t="str">
        <f aca="false">IF(W182="BD",X182," ")</f>
        <v> </v>
      </c>
      <c r="AA182" s="6" t="str">
        <f aca="false">IF(W182="BC",X182," ")</f>
        <v> </v>
      </c>
      <c r="AB182" s="6" t="str">
        <f aca="false">IF(W182="CR",X182," ")</f>
        <v> </v>
      </c>
      <c r="AC182" s="6" t="str">
        <f aca="false">IF(W182="W",X182," ")</f>
        <v> </v>
      </c>
      <c r="AD182" s="6" t="str">
        <f aca="false">IF(W182="B",X182," ")</f>
        <v> </v>
      </c>
      <c r="AE182" s="6" t="str">
        <f aca="false">IF(W182="J",X182," ")</f>
        <v> </v>
      </c>
      <c r="AF182" s="6" t="str">
        <f aca="false">IF(W182="LDR",X182," ")</f>
        <v> </v>
      </c>
      <c r="AG182" s="6" t="str">
        <f aca="false">IF(W182="LCR",X182," ")</f>
        <v> </v>
      </c>
      <c r="AH182" s="6" t="str">
        <f aca="false">IF(W182="RP",X182," ")</f>
        <v> </v>
      </c>
      <c r="AI182" s="6" t="str">
        <f aca="false">IF(W182="RV",X182," ")</f>
        <v> </v>
      </c>
      <c r="AJ182" s="6" t="str">
        <f aca="false">IF(W182="RC",X182," ")</f>
        <v> </v>
      </c>
      <c r="AK182" s="6" t="str">
        <f aca="false">IF(W182="RT",X182," ")</f>
        <v> </v>
      </c>
      <c r="AL182" s="6" t="str">
        <f aca="false">IF(W182="DV",X182," ")</f>
        <v> </v>
      </c>
      <c r="AM182" s="6" t="str">
        <f aca="false">IF(W182="DL",X182," ")</f>
        <v> </v>
      </c>
      <c r="AN182" s="6" t="str">
        <f aca="false">IF(W182="X",X182," ")</f>
        <v> </v>
      </c>
    </row>
    <row r="183" customFormat="false" ht="12" hidden="false" customHeight="false" outlineLevel="0" collapsed="false">
      <c r="E183" s="5" t="str">
        <f aca="false">IF(F183&lt;&gt;0,"Enter Code"," ")</f>
        <v> </v>
      </c>
      <c r="G183" s="6" t="str">
        <f aca="false">IF(E183="BB",F183," ")</f>
        <v> </v>
      </c>
      <c r="H183" s="6" t="str">
        <f aca="false">IF(E183="BD",F183," ")</f>
        <v> </v>
      </c>
      <c r="I183" s="6" t="str">
        <f aca="false">IF(E183="BC",F183," ")</f>
        <v> </v>
      </c>
      <c r="J183" s="6" t="str">
        <f aca="false">IF(E183="DR",F183," ")</f>
        <v> </v>
      </c>
      <c r="K183" s="6" t="str">
        <f aca="false">IF(E183="K",F183," ")</f>
        <v> </v>
      </c>
      <c r="L183" s="6" t="str">
        <f aca="false">IF(E183="LDR",F183," ")</f>
        <v> </v>
      </c>
      <c r="M183" s="6" t="str">
        <f aca="false">IF(E183="LCR",F183," ")</f>
        <v> </v>
      </c>
      <c r="N183" s="6" t="str">
        <f aca="false">IF(E183="RV",F183," ")</f>
        <v> </v>
      </c>
      <c r="O183" s="6" t="str">
        <f aca="false">IF(E183="RC",F183," ")</f>
        <v> </v>
      </c>
      <c r="P183" s="6" t="str">
        <f aca="false">IF(E183="DL",F183," ")</f>
        <v> </v>
      </c>
      <c r="Q183" s="6" t="str">
        <f aca="false">IF(E183="X",F183," ")</f>
        <v> </v>
      </c>
      <c r="R183" s="37"/>
      <c r="W183" s="6" t="str">
        <f aca="false">IF(X183&lt;&gt;0,"Enter Code"," ")</f>
        <v> </v>
      </c>
      <c r="Y183" s="6" t="str">
        <f aca="false">IF(W183="BB",X183," ")</f>
        <v> </v>
      </c>
      <c r="Z183" s="6" t="str">
        <f aca="false">IF(W183="BD",X183," ")</f>
        <v> </v>
      </c>
      <c r="AA183" s="6" t="str">
        <f aca="false">IF(W183="BC",X183," ")</f>
        <v> </v>
      </c>
      <c r="AB183" s="6" t="str">
        <f aca="false">IF(W183="CR",X183," ")</f>
        <v> </v>
      </c>
      <c r="AC183" s="6" t="str">
        <f aca="false">IF(W183="W",X183," ")</f>
        <v> </v>
      </c>
      <c r="AD183" s="6" t="str">
        <f aca="false">IF(W183="B",X183," ")</f>
        <v> </v>
      </c>
      <c r="AE183" s="6" t="str">
        <f aca="false">IF(W183="J",X183," ")</f>
        <v> </v>
      </c>
      <c r="AF183" s="6" t="str">
        <f aca="false">IF(W183="LDR",X183," ")</f>
        <v> </v>
      </c>
      <c r="AG183" s="6" t="str">
        <f aca="false">IF(W183="LCR",X183," ")</f>
        <v> </v>
      </c>
      <c r="AH183" s="6" t="str">
        <f aca="false">IF(W183="RP",X183," ")</f>
        <v> </v>
      </c>
      <c r="AI183" s="6" t="str">
        <f aca="false">IF(W183="RV",X183," ")</f>
        <v> </v>
      </c>
      <c r="AJ183" s="6" t="str">
        <f aca="false">IF(W183="RC",X183," ")</f>
        <v> </v>
      </c>
      <c r="AK183" s="6" t="str">
        <f aca="false">IF(W183="RT",X183," ")</f>
        <v> </v>
      </c>
      <c r="AL183" s="6" t="str">
        <f aca="false">IF(W183="DV",X183," ")</f>
        <v> </v>
      </c>
      <c r="AM183" s="6" t="str">
        <f aca="false">IF(W183="DL",X183," ")</f>
        <v> </v>
      </c>
      <c r="AN183" s="6" t="str">
        <f aca="false">IF(W183="X",X183," ")</f>
        <v> </v>
      </c>
    </row>
    <row r="184" customFormat="false" ht="12" hidden="false" customHeight="false" outlineLevel="0" collapsed="false">
      <c r="E184" s="5" t="str">
        <f aca="false">IF(F184&lt;&gt;0,"Enter Code"," ")</f>
        <v> </v>
      </c>
      <c r="G184" s="6" t="str">
        <f aca="false">IF(E184="BB",F184," ")</f>
        <v> </v>
      </c>
      <c r="H184" s="6" t="str">
        <f aca="false">IF(E184="BD",F184," ")</f>
        <v> </v>
      </c>
      <c r="I184" s="6" t="str">
        <f aca="false">IF(E184="BC",F184," ")</f>
        <v> </v>
      </c>
      <c r="J184" s="6" t="str">
        <f aca="false">IF(E184="DR",F184," ")</f>
        <v> </v>
      </c>
      <c r="K184" s="6" t="str">
        <f aca="false">IF(E184="K",F184," ")</f>
        <v> </v>
      </c>
      <c r="L184" s="6" t="str">
        <f aca="false">IF(E184="LDR",F184," ")</f>
        <v> </v>
      </c>
      <c r="M184" s="6" t="str">
        <f aca="false">IF(E184="LCR",F184," ")</f>
        <v> </v>
      </c>
      <c r="N184" s="6" t="str">
        <f aca="false">IF(E184="RV",F184," ")</f>
        <v> </v>
      </c>
      <c r="O184" s="6" t="str">
        <f aca="false">IF(E184="RC",F184," ")</f>
        <v> </v>
      </c>
      <c r="P184" s="6" t="str">
        <f aca="false">IF(E184="DL",F184," ")</f>
        <v> </v>
      </c>
      <c r="Q184" s="6" t="str">
        <f aca="false">IF(E184="X",F184," ")</f>
        <v> </v>
      </c>
      <c r="R184" s="37"/>
      <c r="W184" s="6" t="str">
        <f aca="false">IF(X184&lt;&gt;0,"Enter Code"," ")</f>
        <v> </v>
      </c>
      <c r="Y184" s="6" t="str">
        <f aca="false">IF(W184="BB",X184," ")</f>
        <v> </v>
      </c>
      <c r="Z184" s="6" t="str">
        <f aca="false">IF(W184="BD",X184," ")</f>
        <v> </v>
      </c>
      <c r="AA184" s="6" t="str">
        <f aca="false">IF(W184="BC",X184," ")</f>
        <v> </v>
      </c>
      <c r="AB184" s="6" t="str">
        <f aca="false">IF(W184="CR",X184," ")</f>
        <v> </v>
      </c>
      <c r="AC184" s="6" t="str">
        <f aca="false">IF(W184="W",X184," ")</f>
        <v> </v>
      </c>
      <c r="AD184" s="6" t="str">
        <f aca="false">IF(W184="B",X184," ")</f>
        <v> </v>
      </c>
      <c r="AE184" s="6" t="str">
        <f aca="false">IF(W184="J",X184," ")</f>
        <v> </v>
      </c>
      <c r="AF184" s="6" t="str">
        <f aca="false">IF(W184="LDR",X184," ")</f>
        <v> </v>
      </c>
      <c r="AG184" s="6" t="str">
        <f aca="false">IF(W184="LCR",X184," ")</f>
        <v> </v>
      </c>
      <c r="AH184" s="6" t="str">
        <f aca="false">IF(W184="RP",X184," ")</f>
        <v> </v>
      </c>
      <c r="AI184" s="6" t="str">
        <f aca="false">IF(W184="RV",X184," ")</f>
        <v> </v>
      </c>
      <c r="AJ184" s="6" t="str">
        <f aca="false">IF(W184="RC",X184," ")</f>
        <v> </v>
      </c>
      <c r="AK184" s="6" t="str">
        <f aca="false">IF(W184="RT",X184," ")</f>
        <v> </v>
      </c>
      <c r="AL184" s="6" t="str">
        <f aca="false">IF(W184="DV",X184," ")</f>
        <v> </v>
      </c>
      <c r="AM184" s="6" t="str">
        <f aca="false">IF(W184="DL",X184," ")</f>
        <v> </v>
      </c>
      <c r="AN184" s="6" t="str">
        <f aca="false">IF(W184="X",X184," ")</f>
        <v> </v>
      </c>
    </row>
    <row r="185" customFormat="false" ht="12" hidden="false" customHeight="false" outlineLevel="0" collapsed="false">
      <c r="E185" s="5" t="str">
        <f aca="false">IF(F185&lt;&gt;0,"Enter Code"," ")</f>
        <v> </v>
      </c>
      <c r="G185" s="6" t="str">
        <f aca="false">IF(E185="BB",F185," ")</f>
        <v> </v>
      </c>
      <c r="H185" s="6" t="str">
        <f aca="false">IF(E185="BD",F185," ")</f>
        <v> </v>
      </c>
      <c r="I185" s="6" t="str">
        <f aca="false">IF(E185="BC",F185," ")</f>
        <v> </v>
      </c>
      <c r="J185" s="6" t="str">
        <f aca="false">IF(E185="DR",F185," ")</f>
        <v> </v>
      </c>
      <c r="K185" s="6" t="str">
        <f aca="false">IF(E185="K",F185," ")</f>
        <v> </v>
      </c>
      <c r="L185" s="6" t="str">
        <f aca="false">IF(E185="LDR",F185," ")</f>
        <v> </v>
      </c>
      <c r="M185" s="6" t="str">
        <f aca="false">IF(E185="LCR",F185," ")</f>
        <v> </v>
      </c>
      <c r="N185" s="6" t="str">
        <f aca="false">IF(E185="RV",F185," ")</f>
        <v> </v>
      </c>
      <c r="O185" s="6" t="str">
        <f aca="false">IF(E185="RC",F185," ")</f>
        <v> </v>
      </c>
      <c r="P185" s="6" t="str">
        <f aca="false">IF(E185="DL",F185," ")</f>
        <v> </v>
      </c>
      <c r="Q185" s="6" t="str">
        <f aca="false">IF(E185="X",F185," ")</f>
        <v> </v>
      </c>
      <c r="R185" s="37"/>
      <c r="W185" s="6" t="str">
        <f aca="false">IF(X185&lt;&gt;0,"Enter Code"," ")</f>
        <v> </v>
      </c>
      <c r="Y185" s="6" t="str">
        <f aca="false">IF(W185="BB",X185," ")</f>
        <v> </v>
      </c>
      <c r="Z185" s="6" t="str">
        <f aca="false">IF(W185="BD",X185," ")</f>
        <v> </v>
      </c>
      <c r="AA185" s="6" t="str">
        <f aca="false">IF(W185="BC",X185," ")</f>
        <v> </v>
      </c>
      <c r="AB185" s="6" t="str">
        <f aca="false">IF(W185="CR",X185," ")</f>
        <v> </v>
      </c>
      <c r="AC185" s="6" t="str">
        <f aca="false">IF(W185="W",X185," ")</f>
        <v> </v>
      </c>
      <c r="AD185" s="6" t="str">
        <f aca="false">IF(W185="B",X185," ")</f>
        <v> </v>
      </c>
      <c r="AE185" s="6" t="str">
        <f aca="false">IF(W185="J",X185," ")</f>
        <v> </v>
      </c>
      <c r="AF185" s="6" t="str">
        <f aca="false">IF(W185="LDR",X185," ")</f>
        <v> </v>
      </c>
      <c r="AG185" s="6" t="str">
        <f aca="false">IF(W185="LCR",X185," ")</f>
        <v> </v>
      </c>
      <c r="AH185" s="6" t="str">
        <f aca="false">IF(W185="RP",X185," ")</f>
        <v> </v>
      </c>
      <c r="AI185" s="6" t="str">
        <f aca="false">IF(W185="RV",X185," ")</f>
        <v> </v>
      </c>
      <c r="AJ185" s="6" t="str">
        <f aca="false">IF(W185="RC",X185," ")</f>
        <v> </v>
      </c>
      <c r="AK185" s="6" t="str">
        <f aca="false">IF(W185="RT",X185," ")</f>
        <v> </v>
      </c>
      <c r="AL185" s="6" t="str">
        <f aca="false">IF(W185="DV",X185," ")</f>
        <v> </v>
      </c>
      <c r="AM185" s="6" t="str">
        <f aca="false">IF(W185="DL",X185," ")</f>
        <v> </v>
      </c>
      <c r="AN185" s="6" t="str">
        <f aca="false">IF(W185="X",X185," ")</f>
        <v> </v>
      </c>
    </row>
    <row r="186" customFormat="false" ht="12" hidden="false" customHeight="false" outlineLevel="0" collapsed="false">
      <c r="E186" s="5" t="str">
        <f aca="false">IF(F186&lt;&gt;0,"Enter Code"," ")</f>
        <v> </v>
      </c>
      <c r="G186" s="6" t="str">
        <f aca="false">IF(E186="BB",F186," ")</f>
        <v> </v>
      </c>
      <c r="H186" s="6" t="str">
        <f aca="false">IF(E186="BD",F186," ")</f>
        <v> </v>
      </c>
      <c r="I186" s="6" t="str">
        <f aca="false">IF(E186="BC",F186," ")</f>
        <v> </v>
      </c>
      <c r="J186" s="6" t="str">
        <f aca="false">IF(E186="DR",F186," ")</f>
        <v> </v>
      </c>
      <c r="K186" s="6" t="str">
        <f aca="false">IF(E186="K",F186," ")</f>
        <v> </v>
      </c>
      <c r="L186" s="6" t="str">
        <f aca="false">IF(E186="LDR",F186," ")</f>
        <v> </v>
      </c>
      <c r="M186" s="6" t="str">
        <f aca="false">IF(E186="LCR",F186," ")</f>
        <v> </v>
      </c>
      <c r="N186" s="6" t="str">
        <f aca="false">IF(E186="RV",F186," ")</f>
        <v> </v>
      </c>
      <c r="O186" s="6" t="str">
        <f aca="false">IF(E186="RC",F186," ")</f>
        <v> </v>
      </c>
      <c r="P186" s="6" t="str">
        <f aca="false">IF(E186="DL",F186," ")</f>
        <v> </v>
      </c>
      <c r="Q186" s="6" t="str">
        <f aca="false">IF(E186="X",F186," ")</f>
        <v> </v>
      </c>
      <c r="R186" s="37"/>
      <c r="W186" s="6" t="str">
        <f aca="false">IF(X186&lt;&gt;0,"Enter Code"," ")</f>
        <v> </v>
      </c>
      <c r="Y186" s="6" t="str">
        <f aca="false">IF(W186="BB",X186," ")</f>
        <v> </v>
      </c>
      <c r="Z186" s="6" t="str">
        <f aca="false">IF(W186="BD",X186," ")</f>
        <v> </v>
      </c>
      <c r="AA186" s="6" t="str">
        <f aca="false">IF(W186="BC",X186," ")</f>
        <v> </v>
      </c>
      <c r="AB186" s="6" t="str">
        <f aca="false">IF(W186="CR",X186," ")</f>
        <v> </v>
      </c>
      <c r="AC186" s="6" t="str">
        <f aca="false">IF(W186="W",X186," ")</f>
        <v> </v>
      </c>
      <c r="AD186" s="6" t="str">
        <f aca="false">IF(W186="B",X186," ")</f>
        <v> </v>
      </c>
      <c r="AE186" s="6" t="str">
        <f aca="false">IF(W186="J",X186," ")</f>
        <v> </v>
      </c>
      <c r="AF186" s="6" t="str">
        <f aca="false">IF(W186="LDR",X186," ")</f>
        <v> </v>
      </c>
      <c r="AG186" s="6" t="str">
        <f aca="false">IF(W186="LCR",X186," ")</f>
        <v> </v>
      </c>
      <c r="AH186" s="6" t="str">
        <f aca="false">IF(W186="RP",X186," ")</f>
        <v> </v>
      </c>
      <c r="AI186" s="6" t="str">
        <f aca="false">IF(W186="RV",X186," ")</f>
        <v> </v>
      </c>
      <c r="AJ186" s="6" t="str">
        <f aca="false">IF(W186="RC",X186," ")</f>
        <v> </v>
      </c>
      <c r="AK186" s="6" t="str">
        <f aca="false">IF(W186="RT",X186," ")</f>
        <v> </v>
      </c>
      <c r="AL186" s="6" t="str">
        <f aca="false">IF(W186="DV",X186," ")</f>
        <v> </v>
      </c>
      <c r="AM186" s="6" t="str">
        <f aca="false">IF(W186="DL",X186," ")</f>
        <v> </v>
      </c>
      <c r="AN186" s="6" t="str">
        <f aca="false">IF(W186="X",X186," ")</f>
        <v> </v>
      </c>
    </row>
    <row r="187" customFormat="false" ht="12" hidden="false" customHeight="false" outlineLevel="0" collapsed="false">
      <c r="E187" s="5" t="str">
        <f aca="false">IF(F187&lt;&gt;0,"Enter Code"," ")</f>
        <v> </v>
      </c>
      <c r="G187" s="6" t="str">
        <f aca="false">IF(E187="BB",F187," ")</f>
        <v> </v>
      </c>
      <c r="H187" s="6" t="str">
        <f aca="false">IF(E187="BD",F187," ")</f>
        <v> </v>
      </c>
      <c r="I187" s="6" t="str">
        <f aca="false">IF(E187="BC",F187," ")</f>
        <v> </v>
      </c>
      <c r="J187" s="6" t="str">
        <f aca="false">IF(E187="DR",F187," ")</f>
        <v> </v>
      </c>
      <c r="K187" s="6" t="str">
        <f aca="false">IF(E187="K",F187," ")</f>
        <v> </v>
      </c>
      <c r="L187" s="6" t="str">
        <f aca="false">IF(E187="LDR",F187," ")</f>
        <v> </v>
      </c>
      <c r="M187" s="6" t="str">
        <f aca="false">IF(E187="LCR",F187," ")</f>
        <v> </v>
      </c>
      <c r="N187" s="6" t="str">
        <f aca="false">IF(E187="RV",F187," ")</f>
        <v> </v>
      </c>
      <c r="O187" s="6" t="str">
        <f aca="false">IF(E187="RC",F187," ")</f>
        <v> </v>
      </c>
      <c r="P187" s="6" t="str">
        <f aca="false">IF(E187="DL",F187," ")</f>
        <v> </v>
      </c>
      <c r="Q187" s="6" t="str">
        <f aca="false">IF(E187="X",F187," ")</f>
        <v> </v>
      </c>
      <c r="R187" s="37"/>
      <c r="W187" s="6" t="str">
        <f aca="false">IF(X187&lt;&gt;0,"Enter Code"," ")</f>
        <v> </v>
      </c>
      <c r="Y187" s="6" t="str">
        <f aca="false">IF(W187="BB",X187," ")</f>
        <v> </v>
      </c>
      <c r="Z187" s="6" t="str">
        <f aca="false">IF(W187="BD",X187," ")</f>
        <v> </v>
      </c>
      <c r="AA187" s="6" t="str">
        <f aca="false">IF(W187="BC",X187," ")</f>
        <v> </v>
      </c>
      <c r="AB187" s="6" t="str">
        <f aca="false">IF(W187="CR",X187," ")</f>
        <v> </v>
      </c>
      <c r="AC187" s="6" t="str">
        <f aca="false">IF(W187="W",X187," ")</f>
        <v> </v>
      </c>
      <c r="AD187" s="6" t="str">
        <f aca="false">IF(W187="B",X187," ")</f>
        <v> </v>
      </c>
      <c r="AE187" s="6" t="str">
        <f aca="false">IF(W187="J",X187," ")</f>
        <v> </v>
      </c>
      <c r="AF187" s="6" t="str">
        <f aca="false">IF(W187="LDR",X187," ")</f>
        <v> </v>
      </c>
      <c r="AG187" s="6" t="str">
        <f aca="false">IF(W187="LCR",X187," ")</f>
        <v> </v>
      </c>
      <c r="AH187" s="6" t="str">
        <f aca="false">IF(W187="RP",X187," ")</f>
        <v> </v>
      </c>
      <c r="AI187" s="6" t="str">
        <f aca="false">IF(W187="RV",X187," ")</f>
        <v> </v>
      </c>
      <c r="AJ187" s="6" t="str">
        <f aca="false">IF(W187="RC",X187," ")</f>
        <v> </v>
      </c>
      <c r="AK187" s="6" t="str">
        <f aca="false">IF(W187="RT",X187," ")</f>
        <v> </v>
      </c>
      <c r="AL187" s="6" t="str">
        <f aca="false">IF(W187="DV",X187," ")</f>
        <v> </v>
      </c>
      <c r="AM187" s="6" t="str">
        <f aca="false">IF(W187="DL",X187," ")</f>
        <v> </v>
      </c>
      <c r="AN187" s="6" t="str">
        <f aca="false">IF(W187="X",X187," ")</f>
        <v> </v>
      </c>
    </row>
    <row r="188" customFormat="false" ht="12" hidden="false" customHeight="false" outlineLevel="0" collapsed="false">
      <c r="E188" s="5" t="str">
        <f aca="false">IF(F188&lt;&gt;0,"Enter Code"," ")</f>
        <v> </v>
      </c>
      <c r="G188" s="6" t="str">
        <f aca="false">IF(E188="BB",F188," ")</f>
        <v> </v>
      </c>
      <c r="H188" s="6" t="str">
        <f aca="false">IF(E188="BD",F188," ")</f>
        <v> </v>
      </c>
      <c r="I188" s="6" t="str">
        <f aca="false">IF(E188="BC",F188," ")</f>
        <v> </v>
      </c>
      <c r="J188" s="6" t="str">
        <f aca="false">IF(E188="DR",F188," ")</f>
        <v> </v>
      </c>
      <c r="K188" s="6" t="str">
        <f aca="false">IF(E188="K",F188," ")</f>
        <v> </v>
      </c>
      <c r="L188" s="6" t="str">
        <f aca="false">IF(E188="LDR",F188," ")</f>
        <v> </v>
      </c>
      <c r="M188" s="6" t="str">
        <f aca="false">IF(E188="LCR",F188," ")</f>
        <v> </v>
      </c>
      <c r="N188" s="6" t="str">
        <f aca="false">IF(E188="RV",F188," ")</f>
        <v> </v>
      </c>
      <c r="O188" s="6" t="str">
        <f aca="false">IF(E188="RC",F188," ")</f>
        <v> </v>
      </c>
      <c r="P188" s="6" t="str">
        <f aca="false">IF(E188="DL",F188," ")</f>
        <v> </v>
      </c>
      <c r="Q188" s="6" t="str">
        <f aca="false">IF(E188="X",F188," ")</f>
        <v> </v>
      </c>
      <c r="R188" s="37"/>
      <c r="W188" s="6" t="str">
        <f aca="false">IF(X188&lt;&gt;0,"Enter Code"," ")</f>
        <v> </v>
      </c>
      <c r="Y188" s="6" t="str">
        <f aca="false">IF(W188="BB",X188," ")</f>
        <v> </v>
      </c>
      <c r="Z188" s="6" t="str">
        <f aca="false">IF(W188="BD",X188," ")</f>
        <v> </v>
      </c>
      <c r="AA188" s="6" t="str">
        <f aca="false">IF(W188="BC",X188," ")</f>
        <v> </v>
      </c>
      <c r="AB188" s="6" t="str">
        <f aca="false">IF(W188="CR",X188," ")</f>
        <v> </v>
      </c>
      <c r="AC188" s="6" t="str">
        <f aca="false">IF(W188="W",X188," ")</f>
        <v> </v>
      </c>
      <c r="AD188" s="6" t="str">
        <f aca="false">IF(W188="B",X188," ")</f>
        <v> </v>
      </c>
      <c r="AE188" s="6" t="str">
        <f aca="false">IF(W188="J",X188," ")</f>
        <v> </v>
      </c>
      <c r="AF188" s="6" t="str">
        <f aca="false">IF(W188="LDR",X188," ")</f>
        <v> </v>
      </c>
      <c r="AG188" s="6" t="str">
        <f aca="false">IF(W188="LCR",X188," ")</f>
        <v> </v>
      </c>
      <c r="AH188" s="6" t="str">
        <f aca="false">IF(W188="RP",X188," ")</f>
        <v> </v>
      </c>
      <c r="AI188" s="6" t="str">
        <f aca="false">IF(W188="RV",X188," ")</f>
        <v> </v>
      </c>
      <c r="AJ188" s="6" t="str">
        <f aca="false">IF(W188="RC",X188," ")</f>
        <v> </v>
      </c>
      <c r="AK188" s="6" t="str">
        <f aca="false">IF(W188="RT",X188," ")</f>
        <v> </v>
      </c>
      <c r="AL188" s="6" t="str">
        <f aca="false">IF(W188="DV",X188," ")</f>
        <v> </v>
      </c>
      <c r="AM188" s="6" t="str">
        <f aca="false">IF(W188="DL",X188," ")</f>
        <v> </v>
      </c>
      <c r="AN188" s="6" t="str">
        <f aca="false">IF(W188="X",X188," ")</f>
        <v> </v>
      </c>
    </row>
    <row r="189" customFormat="false" ht="12" hidden="false" customHeight="false" outlineLevel="0" collapsed="false">
      <c r="E189" s="5" t="str">
        <f aca="false">IF(F189&lt;&gt;0,"Enter Code"," ")</f>
        <v> </v>
      </c>
      <c r="G189" s="6" t="str">
        <f aca="false">IF(E189="BB",F189," ")</f>
        <v> </v>
      </c>
      <c r="H189" s="6" t="str">
        <f aca="false">IF(E189="BD",F189," ")</f>
        <v> </v>
      </c>
      <c r="I189" s="6" t="str">
        <f aca="false">IF(E189="BC",F189," ")</f>
        <v> </v>
      </c>
      <c r="J189" s="6" t="str">
        <f aca="false">IF(E189="DR",F189," ")</f>
        <v> </v>
      </c>
      <c r="K189" s="6" t="str">
        <f aca="false">IF(E189="K",F189," ")</f>
        <v> </v>
      </c>
      <c r="L189" s="6" t="str">
        <f aca="false">IF(E189="LDR",F189," ")</f>
        <v> </v>
      </c>
      <c r="M189" s="6" t="str">
        <f aca="false">IF(E189="LCR",F189," ")</f>
        <v> </v>
      </c>
      <c r="N189" s="6" t="str">
        <f aca="false">IF(E189="RV",F189," ")</f>
        <v> </v>
      </c>
      <c r="O189" s="6" t="str">
        <f aca="false">IF(E189="RC",F189," ")</f>
        <v> </v>
      </c>
      <c r="P189" s="6" t="str">
        <f aca="false">IF(E189="DL",F189," ")</f>
        <v> </v>
      </c>
      <c r="Q189" s="6" t="str">
        <f aca="false">IF(E189="X",F189," ")</f>
        <v> </v>
      </c>
      <c r="R189" s="37"/>
      <c r="W189" s="6" t="str">
        <f aca="false">IF(X189&lt;&gt;0,"Enter Code"," ")</f>
        <v> </v>
      </c>
      <c r="Y189" s="6" t="str">
        <f aca="false">IF(W189="BB",X189," ")</f>
        <v> </v>
      </c>
      <c r="Z189" s="6" t="str">
        <f aca="false">IF(W189="BD",X189," ")</f>
        <v> </v>
      </c>
      <c r="AA189" s="6" t="str">
        <f aca="false">IF(W189="BC",X189," ")</f>
        <v> </v>
      </c>
      <c r="AB189" s="6" t="str">
        <f aca="false">IF(W189="CR",X189," ")</f>
        <v> </v>
      </c>
      <c r="AC189" s="6" t="str">
        <f aca="false">IF(W189="W",X189," ")</f>
        <v> </v>
      </c>
      <c r="AD189" s="6" t="str">
        <f aca="false">IF(W189="B",X189," ")</f>
        <v> </v>
      </c>
      <c r="AE189" s="6" t="str">
        <f aca="false">IF(W189="J",X189," ")</f>
        <v> </v>
      </c>
      <c r="AF189" s="6" t="str">
        <f aca="false">IF(W189="LDR",X189," ")</f>
        <v> </v>
      </c>
      <c r="AG189" s="6" t="str">
        <f aca="false">IF(W189="LCR",X189," ")</f>
        <v> </v>
      </c>
      <c r="AH189" s="6" t="str">
        <f aca="false">IF(W189="RP",X189," ")</f>
        <v> </v>
      </c>
      <c r="AI189" s="6" t="str">
        <f aca="false">IF(W189="RV",X189," ")</f>
        <v> </v>
      </c>
      <c r="AJ189" s="6" t="str">
        <f aca="false">IF(W189="RC",X189," ")</f>
        <v> </v>
      </c>
      <c r="AK189" s="6" t="str">
        <f aca="false">IF(W189="RT",X189," ")</f>
        <v> </v>
      </c>
      <c r="AL189" s="6" t="str">
        <f aca="false">IF(W189="DV",X189," ")</f>
        <v> </v>
      </c>
      <c r="AM189" s="6" t="str">
        <f aca="false">IF(W189="DL",X189," ")</f>
        <v> </v>
      </c>
      <c r="AN189" s="6" t="str">
        <f aca="false">IF(W189="X",X189," ")</f>
        <v> </v>
      </c>
    </row>
    <row r="190" customFormat="false" ht="12" hidden="false" customHeight="false" outlineLevel="0" collapsed="false">
      <c r="E190" s="5" t="str">
        <f aca="false">IF(F190&lt;&gt;0,"Enter Code"," ")</f>
        <v> </v>
      </c>
      <c r="G190" s="6" t="str">
        <f aca="false">IF(E190="BB",F190," ")</f>
        <v> </v>
      </c>
      <c r="H190" s="6" t="str">
        <f aca="false">IF(E190="BD",F190," ")</f>
        <v> </v>
      </c>
      <c r="I190" s="6" t="str">
        <f aca="false">IF(E190="BC",F190," ")</f>
        <v> </v>
      </c>
      <c r="J190" s="6" t="str">
        <f aca="false">IF(E190="DR",F190," ")</f>
        <v> </v>
      </c>
      <c r="K190" s="6" t="str">
        <f aca="false">IF(E190="K",F190," ")</f>
        <v> </v>
      </c>
      <c r="L190" s="6" t="str">
        <f aca="false">IF(E190="LDR",F190," ")</f>
        <v> </v>
      </c>
      <c r="M190" s="6" t="str">
        <f aca="false">IF(E190="LCR",F190," ")</f>
        <v> </v>
      </c>
      <c r="N190" s="6" t="str">
        <f aca="false">IF(E190="RV",F190," ")</f>
        <v> </v>
      </c>
      <c r="O190" s="6" t="str">
        <f aca="false">IF(E190="RC",F190," ")</f>
        <v> </v>
      </c>
      <c r="P190" s="6" t="str">
        <f aca="false">IF(E190="DL",F190," ")</f>
        <v> </v>
      </c>
      <c r="Q190" s="6" t="str">
        <f aca="false">IF(E190="X",F190," ")</f>
        <v> </v>
      </c>
      <c r="R190" s="37"/>
      <c r="W190" s="6" t="str">
        <f aca="false">IF(X190&lt;&gt;0,"Enter Code"," ")</f>
        <v> </v>
      </c>
      <c r="Y190" s="6" t="str">
        <f aca="false">IF(W190="BB",X190," ")</f>
        <v> </v>
      </c>
      <c r="Z190" s="6" t="str">
        <f aca="false">IF(W190="BD",X190," ")</f>
        <v> </v>
      </c>
      <c r="AA190" s="6" t="str">
        <f aca="false">IF(W190="BC",X190," ")</f>
        <v> </v>
      </c>
      <c r="AB190" s="6" t="str">
        <f aca="false">IF(W190="CR",X190," ")</f>
        <v> </v>
      </c>
      <c r="AC190" s="6" t="str">
        <f aca="false">IF(W190="W",X190," ")</f>
        <v> </v>
      </c>
      <c r="AD190" s="6" t="str">
        <f aca="false">IF(W190="B",X190," ")</f>
        <v> </v>
      </c>
      <c r="AE190" s="6" t="str">
        <f aca="false">IF(W190="J",X190," ")</f>
        <v> </v>
      </c>
      <c r="AF190" s="6" t="str">
        <f aca="false">IF(W190="LDR",X190," ")</f>
        <v> </v>
      </c>
      <c r="AG190" s="6" t="str">
        <f aca="false">IF(W190="LCR",X190," ")</f>
        <v> </v>
      </c>
      <c r="AH190" s="6" t="str">
        <f aca="false">IF(W190="RP",X190," ")</f>
        <v> </v>
      </c>
      <c r="AI190" s="6" t="str">
        <f aca="false">IF(W190="RV",X190," ")</f>
        <v> </v>
      </c>
      <c r="AJ190" s="6" t="str">
        <f aca="false">IF(W190="RC",X190," ")</f>
        <v> </v>
      </c>
      <c r="AK190" s="6" t="str">
        <f aca="false">IF(W190="RT",X190," ")</f>
        <v> </v>
      </c>
      <c r="AL190" s="6" t="str">
        <f aca="false">IF(W190="DV",X190," ")</f>
        <v> </v>
      </c>
      <c r="AM190" s="6" t="str">
        <f aca="false">IF(W190="DL",X190," ")</f>
        <v> </v>
      </c>
      <c r="AN190" s="6" t="str">
        <f aca="false">IF(W190="X",X190," ")</f>
        <v> </v>
      </c>
    </row>
    <row r="191" customFormat="false" ht="12" hidden="false" customHeight="false" outlineLevel="0" collapsed="false">
      <c r="E191" s="5" t="str">
        <f aca="false">IF(F191&lt;&gt;0,"Enter Code"," ")</f>
        <v> </v>
      </c>
      <c r="G191" s="6" t="str">
        <f aca="false">IF(E191="BB",F191," ")</f>
        <v> </v>
      </c>
      <c r="H191" s="6" t="str">
        <f aca="false">IF(E191="BD",F191," ")</f>
        <v> </v>
      </c>
      <c r="I191" s="6" t="str">
        <f aca="false">IF(E191="BC",F191," ")</f>
        <v> </v>
      </c>
      <c r="J191" s="6" t="str">
        <f aca="false">IF(E191="DR",F191," ")</f>
        <v> </v>
      </c>
      <c r="K191" s="6" t="str">
        <f aca="false">IF(E191="K",F191," ")</f>
        <v> </v>
      </c>
      <c r="L191" s="6" t="str">
        <f aca="false">IF(E191="LDR",F191," ")</f>
        <v> </v>
      </c>
      <c r="M191" s="6" t="str">
        <f aca="false">IF(E191="LCR",F191," ")</f>
        <v> </v>
      </c>
      <c r="N191" s="6" t="str">
        <f aca="false">IF(E191="RV",F191," ")</f>
        <v> </v>
      </c>
      <c r="O191" s="6" t="str">
        <f aca="false">IF(E191="RC",F191," ")</f>
        <v> </v>
      </c>
      <c r="P191" s="6" t="str">
        <f aca="false">IF(E191="DL",F191," ")</f>
        <v> </v>
      </c>
      <c r="Q191" s="6" t="str">
        <f aca="false">IF(E191="X",F191," ")</f>
        <v> </v>
      </c>
      <c r="R191" s="37"/>
      <c r="W191" s="6" t="str">
        <f aca="false">IF(X191&lt;&gt;0,"Enter Code"," ")</f>
        <v> </v>
      </c>
      <c r="Y191" s="6" t="str">
        <f aca="false">IF(W191="BB",X191," ")</f>
        <v> </v>
      </c>
      <c r="Z191" s="6" t="str">
        <f aca="false">IF(W191="BD",X191," ")</f>
        <v> </v>
      </c>
      <c r="AA191" s="6" t="str">
        <f aca="false">IF(W191="BC",X191," ")</f>
        <v> </v>
      </c>
      <c r="AB191" s="6" t="str">
        <f aca="false">IF(W191="CR",X191," ")</f>
        <v> </v>
      </c>
      <c r="AC191" s="6" t="str">
        <f aca="false">IF(W191="W",X191," ")</f>
        <v> </v>
      </c>
      <c r="AD191" s="6" t="str">
        <f aca="false">IF(W191="B",X191," ")</f>
        <v> </v>
      </c>
      <c r="AE191" s="6" t="str">
        <f aca="false">IF(W191="J",X191," ")</f>
        <v> </v>
      </c>
      <c r="AF191" s="6" t="str">
        <f aca="false">IF(W191="LDR",X191," ")</f>
        <v> </v>
      </c>
      <c r="AG191" s="6" t="str">
        <f aca="false">IF(W191="LCR",X191," ")</f>
        <v> </v>
      </c>
      <c r="AH191" s="6" t="str">
        <f aca="false">IF(W191="RP",X191," ")</f>
        <v> </v>
      </c>
      <c r="AI191" s="6" t="str">
        <f aca="false">IF(W191="RV",X191," ")</f>
        <v> </v>
      </c>
      <c r="AJ191" s="6" t="str">
        <f aca="false">IF(W191="RC",X191," ")</f>
        <v> </v>
      </c>
      <c r="AK191" s="6" t="str">
        <f aca="false">IF(W191="RT",X191," ")</f>
        <v> </v>
      </c>
      <c r="AL191" s="6" t="str">
        <f aca="false">IF(W191="DV",X191," ")</f>
        <v> </v>
      </c>
      <c r="AM191" s="6" t="str">
        <f aca="false">IF(W191="DL",X191," ")</f>
        <v> </v>
      </c>
      <c r="AN191" s="6" t="str">
        <f aca="false">IF(W191="X",X191," ")</f>
        <v> </v>
      </c>
    </row>
    <row r="192" customFormat="false" ht="12" hidden="false" customHeight="false" outlineLevel="0" collapsed="false">
      <c r="E192" s="5" t="str">
        <f aca="false">IF(F192&lt;&gt;0,"Enter Code"," ")</f>
        <v> </v>
      </c>
      <c r="G192" s="6" t="str">
        <f aca="false">IF(E192="BB",F192," ")</f>
        <v> </v>
      </c>
      <c r="H192" s="6" t="str">
        <f aca="false">IF(E192="BD",F192," ")</f>
        <v> </v>
      </c>
      <c r="I192" s="6" t="str">
        <f aca="false">IF(E192="BC",F192," ")</f>
        <v> </v>
      </c>
      <c r="J192" s="6" t="str">
        <f aca="false">IF(E192="DR",F192," ")</f>
        <v> </v>
      </c>
      <c r="K192" s="6" t="str">
        <f aca="false">IF(E192="K",F192," ")</f>
        <v> </v>
      </c>
      <c r="L192" s="6" t="str">
        <f aca="false">IF(E192="LDR",F192," ")</f>
        <v> </v>
      </c>
      <c r="M192" s="6" t="str">
        <f aca="false">IF(E192="LCR",F192," ")</f>
        <v> </v>
      </c>
      <c r="N192" s="6" t="str">
        <f aca="false">IF(E192="RV",F192," ")</f>
        <v> </v>
      </c>
      <c r="O192" s="6" t="str">
        <f aca="false">IF(E192="RC",F192," ")</f>
        <v> </v>
      </c>
      <c r="P192" s="6" t="str">
        <f aca="false">IF(E192="DL",F192," ")</f>
        <v> </v>
      </c>
      <c r="Q192" s="6" t="str">
        <f aca="false">IF(E192="X",F192," ")</f>
        <v> </v>
      </c>
      <c r="R192" s="37"/>
      <c r="W192" s="6" t="str">
        <f aca="false">IF(X192&lt;&gt;0,"Enter Code"," ")</f>
        <v> </v>
      </c>
      <c r="Y192" s="6" t="str">
        <f aca="false">IF(W192="BB",X192," ")</f>
        <v> </v>
      </c>
      <c r="Z192" s="6" t="str">
        <f aca="false">IF(W192="BD",X192," ")</f>
        <v> </v>
      </c>
      <c r="AA192" s="6" t="str">
        <f aca="false">IF(W192="BC",X192," ")</f>
        <v> </v>
      </c>
      <c r="AB192" s="6" t="str">
        <f aca="false">IF(W192="CR",X192," ")</f>
        <v> </v>
      </c>
      <c r="AC192" s="6" t="str">
        <f aca="false">IF(W192="W",X192," ")</f>
        <v> </v>
      </c>
      <c r="AD192" s="6" t="str">
        <f aca="false">IF(W192="B",X192," ")</f>
        <v> </v>
      </c>
      <c r="AE192" s="6" t="str">
        <f aca="false">IF(W192="J",X192," ")</f>
        <v> </v>
      </c>
      <c r="AF192" s="6" t="str">
        <f aca="false">IF(W192="LDR",X192," ")</f>
        <v> </v>
      </c>
      <c r="AG192" s="6" t="str">
        <f aca="false">IF(W192="LCR",X192," ")</f>
        <v> </v>
      </c>
      <c r="AH192" s="6" t="str">
        <f aca="false">IF(W192="RP",X192," ")</f>
        <v> </v>
      </c>
      <c r="AI192" s="6" t="str">
        <f aca="false">IF(W192="RV",X192," ")</f>
        <v> </v>
      </c>
      <c r="AJ192" s="6" t="str">
        <f aca="false">IF(W192="RC",X192," ")</f>
        <v> </v>
      </c>
      <c r="AK192" s="6" t="str">
        <f aca="false">IF(W192="RT",X192," ")</f>
        <v> </v>
      </c>
      <c r="AL192" s="6" t="str">
        <f aca="false">IF(W192="DV",X192," ")</f>
        <v> </v>
      </c>
      <c r="AM192" s="6" t="str">
        <f aca="false">IF(W192="DL",X192," ")</f>
        <v> </v>
      </c>
      <c r="AN192" s="6" t="str">
        <f aca="false">IF(W192="X",X192," ")</f>
        <v> </v>
      </c>
    </row>
    <row r="193" customFormat="false" ht="12" hidden="false" customHeight="false" outlineLevel="0" collapsed="false">
      <c r="E193" s="5" t="str">
        <f aca="false">IF(F193&lt;&gt;0,"Enter Code"," ")</f>
        <v> </v>
      </c>
      <c r="G193" s="6" t="str">
        <f aca="false">IF(E193="BB",F193," ")</f>
        <v> </v>
      </c>
      <c r="H193" s="6" t="str">
        <f aca="false">IF(E193="BD",F193," ")</f>
        <v> </v>
      </c>
      <c r="I193" s="6" t="str">
        <f aca="false">IF(E193="BC",F193," ")</f>
        <v> </v>
      </c>
      <c r="J193" s="6" t="str">
        <f aca="false">IF(E193="DR",F193," ")</f>
        <v> </v>
      </c>
      <c r="K193" s="6" t="str">
        <f aca="false">IF(E193="K",F193," ")</f>
        <v> </v>
      </c>
      <c r="L193" s="6" t="str">
        <f aca="false">IF(E193="LDR",F193," ")</f>
        <v> </v>
      </c>
      <c r="M193" s="6" t="str">
        <f aca="false">IF(E193="LCR",F193," ")</f>
        <v> </v>
      </c>
      <c r="N193" s="6" t="str">
        <f aca="false">IF(E193="RV",F193," ")</f>
        <v> </v>
      </c>
      <c r="O193" s="6" t="str">
        <f aca="false">IF(E193="RC",F193," ")</f>
        <v> </v>
      </c>
      <c r="P193" s="6" t="str">
        <f aca="false">IF(E193="DL",F193," ")</f>
        <v> </v>
      </c>
      <c r="Q193" s="6" t="str">
        <f aca="false">IF(E193="X",F193," ")</f>
        <v> </v>
      </c>
      <c r="R193" s="37"/>
      <c r="W193" s="6" t="str">
        <f aca="false">IF(X193&lt;&gt;0,"Enter Code"," ")</f>
        <v> </v>
      </c>
      <c r="Y193" s="6" t="str">
        <f aca="false">IF(W193="BB",X193," ")</f>
        <v> </v>
      </c>
      <c r="Z193" s="6" t="str">
        <f aca="false">IF(W193="BD",X193," ")</f>
        <v> </v>
      </c>
      <c r="AA193" s="6" t="str">
        <f aca="false">IF(W193="BC",X193," ")</f>
        <v> </v>
      </c>
      <c r="AB193" s="6" t="str">
        <f aca="false">IF(W193="CR",X193," ")</f>
        <v> </v>
      </c>
      <c r="AC193" s="6" t="str">
        <f aca="false">IF(W193="W",X193," ")</f>
        <v> </v>
      </c>
      <c r="AD193" s="6" t="str">
        <f aca="false">IF(W193="B",X193," ")</f>
        <v> </v>
      </c>
      <c r="AE193" s="6" t="str">
        <f aca="false">IF(W193="J",X193," ")</f>
        <v> </v>
      </c>
      <c r="AF193" s="6" t="str">
        <f aca="false">IF(W193="LDR",X193," ")</f>
        <v> </v>
      </c>
      <c r="AG193" s="6" t="str">
        <f aca="false">IF(W193="LCR",X193," ")</f>
        <v> </v>
      </c>
      <c r="AH193" s="6" t="str">
        <f aca="false">IF(W193="RP",X193," ")</f>
        <v> </v>
      </c>
      <c r="AI193" s="6" t="str">
        <f aca="false">IF(W193="RV",X193," ")</f>
        <v> </v>
      </c>
      <c r="AJ193" s="6" t="str">
        <f aca="false">IF(W193="RC",X193," ")</f>
        <v> </v>
      </c>
      <c r="AK193" s="6" t="str">
        <f aca="false">IF(W193="RT",X193," ")</f>
        <v> </v>
      </c>
      <c r="AL193" s="6" t="str">
        <f aca="false">IF(W193="DV",X193," ")</f>
        <v> </v>
      </c>
      <c r="AM193" s="6" t="str">
        <f aca="false">IF(W193="DL",X193," ")</f>
        <v> </v>
      </c>
      <c r="AN193" s="6" t="str">
        <f aca="false">IF(W193="X",X193," ")</f>
        <v> </v>
      </c>
    </row>
    <row r="194" customFormat="false" ht="12" hidden="false" customHeight="false" outlineLevel="0" collapsed="false">
      <c r="E194" s="5" t="str">
        <f aca="false">IF(F194&lt;&gt;0,"Enter Code"," ")</f>
        <v> </v>
      </c>
      <c r="G194" s="6" t="str">
        <f aca="false">IF(E194="BB",F194," ")</f>
        <v> </v>
      </c>
      <c r="H194" s="6" t="str">
        <f aca="false">IF(E194="BD",F194," ")</f>
        <v> </v>
      </c>
      <c r="I194" s="6" t="str">
        <f aca="false">IF(E194="BC",F194," ")</f>
        <v> </v>
      </c>
      <c r="J194" s="6" t="str">
        <f aca="false">IF(E194="DR",F194," ")</f>
        <v> </v>
      </c>
      <c r="K194" s="6" t="str">
        <f aca="false">IF(E194="K",F194," ")</f>
        <v> </v>
      </c>
      <c r="L194" s="6" t="str">
        <f aca="false">IF(E194="LDR",F194," ")</f>
        <v> </v>
      </c>
      <c r="M194" s="6" t="str">
        <f aca="false">IF(E194="LCR",F194," ")</f>
        <v> </v>
      </c>
      <c r="N194" s="6" t="str">
        <f aca="false">IF(E194="RV",F194," ")</f>
        <v> </v>
      </c>
      <c r="O194" s="6" t="str">
        <f aca="false">IF(E194="RC",F194," ")</f>
        <v> </v>
      </c>
      <c r="P194" s="6" t="str">
        <f aca="false">IF(E194="DL",F194," ")</f>
        <v> </v>
      </c>
      <c r="Q194" s="6" t="str">
        <f aca="false">IF(E194="X",F194," ")</f>
        <v> </v>
      </c>
      <c r="R194" s="37"/>
      <c r="W194" s="6" t="str">
        <f aca="false">IF(X194&lt;&gt;0,"Enter Code"," ")</f>
        <v> </v>
      </c>
      <c r="Y194" s="6" t="str">
        <f aca="false">IF(W194="BB",X194," ")</f>
        <v> </v>
      </c>
      <c r="Z194" s="6" t="str">
        <f aca="false">IF(W194="BD",X194," ")</f>
        <v> </v>
      </c>
      <c r="AA194" s="6" t="str">
        <f aca="false">IF(W194="BC",X194," ")</f>
        <v> </v>
      </c>
      <c r="AB194" s="6" t="str">
        <f aca="false">IF(W194="CR",X194," ")</f>
        <v> </v>
      </c>
      <c r="AC194" s="6" t="str">
        <f aca="false">IF(W194="W",X194," ")</f>
        <v> </v>
      </c>
      <c r="AD194" s="6" t="str">
        <f aca="false">IF(W194="B",X194," ")</f>
        <v> </v>
      </c>
      <c r="AE194" s="6" t="str">
        <f aca="false">IF(W194="J",X194," ")</f>
        <v> </v>
      </c>
      <c r="AF194" s="6" t="str">
        <f aca="false">IF(W194="LDR",X194," ")</f>
        <v> </v>
      </c>
      <c r="AG194" s="6" t="str">
        <f aca="false">IF(W194="LCR",X194," ")</f>
        <v> </v>
      </c>
      <c r="AH194" s="6" t="str">
        <f aca="false">IF(W194="RP",X194," ")</f>
        <v> </v>
      </c>
      <c r="AI194" s="6" t="str">
        <f aca="false">IF(W194="RV",X194," ")</f>
        <v> </v>
      </c>
      <c r="AJ194" s="6" t="str">
        <f aca="false">IF(W194="RC",X194," ")</f>
        <v> </v>
      </c>
      <c r="AK194" s="6" t="str">
        <f aca="false">IF(W194="RT",X194," ")</f>
        <v> </v>
      </c>
      <c r="AL194" s="6" t="str">
        <f aca="false">IF(W194="DV",X194," ")</f>
        <v> </v>
      </c>
      <c r="AM194" s="6" t="str">
        <f aca="false">IF(W194="DL",X194," ")</f>
        <v> </v>
      </c>
      <c r="AN194" s="6" t="str">
        <f aca="false">IF(W194="X",X194," ")</f>
        <v> </v>
      </c>
    </row>
    <row r="195" customFormat="false" ht="12" hidden="false" customHeight="false" outlineLevel="0" collapsed="false">
      <c r="E195" s="5" t="str">
        <f aca="false">IF(F195&lt;&gt;0,"Enter Code"," ")</f>
        <v> </v>
      </c>
      <c r="G195" s="6" t="str">
        <f aca="false">IF(E195="BB",F195," ")</f>
        <v> </v>
      </c>
      <c r="H195" s="6" t="str">
        <f aca="false">IF(E195="BD",F195," ")</f>
        <v> </v>
      </c>
      <c r="I195" s="6" t="str">
        <f aca="false">IF(E195="BC",F195," ")</f>
        <v> </v>
      </c>
      <c r="J195" s="6" t="str">
        <f aca="false">IF(E195="DR",F195," ")</f>
        <v> </v>
      </c>
      <c r="K195" s="6" t="str">
        <f aca="false">IF(E195="K",F195," ")</f>
        <v> </v>
      </c>
      <c r="L195" s="6" t="str">
        <f aca="false">IF(E195="LDR",F195," ")</f>
        <v> </v>
      </c>
      <c r="M195" s="6" t="str">
        <f aca="false">IF(E195="LCR",F195," ")</f>
        <v> </v>
      </c>
      <c r="N195" s="6" t="str">
        <f aca="false">IF(E195="RV",F195," ")</f>
        <v> </v>
      </c>
      <c r="O195" s="6" t="str">
        <f aca="false">IF(E195="RC",F195," ")</f>
        <v> </v>
      </c>
      <c r="P195" s="6" t="str">
        <f aca="false">IF(E195="DL",F195," ")</f>
        <v> </v>
      </c>
      <c r="Q195" s="6" t="str">
        <f aca="false">IF(E195="X",F195," ")</f>
        <v> </v>
      </c>
      <c r="R195" s="37"/>
      <c r="W195" s="6" t="str">
        <f aca="false">IF(X195&lt;&gt;0,"Enter Code"," ")</f>
        <v> </v>
      </c>
      <c r="Y195" s="6" t="str">
        <f aca="false">IF(W195="BB",X195," ")</f>
        <v> </v>
      </c>
      <c r="Z195" s="6" t="str">
        <f aca="false">IF(W195="BD",X195," ")</f>
        <v> </v>
      </c>
      <c r="AA195" s="6" t="str">
        <f aca="false">IF(W195="BC",X195," ")</f>
        <v> </v>
      </c>
      <c r="AB195" s="6" t="str">
        <f aca="false">IF(W195="CR",X195," ")</f>
        <v> </v>
      </c>
      <c r="AC195" s="6" t="str">
        <f aca="false">IF(W195="W",X195," ")</f>
        <v> </v>
      </c>
      <c r="AD195" s="6" t="str">
        <f aca="false">IF(W195="B",X195," ")</f>
        <v> </v>
      </c>
      <c r="AE195" s="6" t="str">
        <f aca="false">IF(W195="J",X195," ")</f>
        <v> </v>
      </c>
      <c r="AF195" s="6" t="str">
        <f aca="false">IF(W195="LDR",X195," ")</f>
        <v> </v>
      </c>
      <c r="AG195" s="6" t="str">
        <f aca="false">IF(W195="LCR",X195," ")</f>
        <v> </v>
      </c>
      <c r="AH195" s="6" t="str">
        <f aca="false">IF(W195="RP",X195," ")</f>
        <v> </v>
      </c>
      <c r="AI195" s="6" t="str">
        <f aca="false">IF(W195="RV",X195," ")</f>
        <v> </v>
      </c>
      <c r="AJ195" s="6" t="str">
        <f aca="false">IF(W195="RC",X195," ")</f>
        <v> </v>
      </c>
      <c r="AK195" s="6" t="str">
        <f aca="false">IF(W195="RT",X195," ")</f>
        <v> </v>
      </c>
      <c r="AL195" s="6" t="str">
        <f aca="false">IF(W195="DV",X195," ")</f>
        <v> </v>
      </c>
      <c r="AM195" s="6" t="str">
        <f aca="false">IF(W195="DL",X195," ")</f>
        <v> </v>
      </c>
      <c r="AN195" s="6" t="str">
        <f aca="false">IF(W195="X",X195," ")</f>
        <v> </v>
      </c>
    </row>
    <row r="196" customFormat="false" ht="12" hidden="false" customHeight="false" outlineLevel="0" collapsed="false">
      <c r="E196" s="5" t="str">
        <f aca="false">IF(F196&lt;&gt;0,"Enter Code"," ")</f>
        <v> </v>
      </c>
      <c r="G196" s="6" t="str">
        <f aca="false">IF(E196="BB",F196," ")</f>
        <v> </v>
      </c>
      <c r="H196" s="6" t="str">
        <f aca="false">IF(E196="BD",F196," ")</f>
        <v> </v>
      </c>
      <c r="I196" s="6" t="str">
        <f aca="false">IF(E196="BC",F196," ")</f>
        <v> </v>
      </c>
      <c r="J196" s="6" t="str">
        <f aca="false">IF(E196="DR",F196," ")</f>
        <v> </v>
      </c>
      <c r="K196" s="6" t="str">
        <f aca="false">IF(E196="K",F196," ")</f>
        <v> </v>
      </c>
      <c r="L196" s="6" t="str">
        <f aca="false">IF(E196="LDR",F196," ")</f>
        <v> </v>
      </c>
      <c r="M196" s="6" t="str">
        <f aca="false">IF(E196="LCR",F196," ")</f>
        <v> </v>
      </c>
      <c r="N196" s="6" t="str">
        <f aca="false">IF(E196="RV",F196," ")</f>
        <v> </v>
      </c>
      <c r="O196" s="6" t="str">
        <f aca="false">IF(E196="RC",F196," ")</f>
        <v> </v>
      </c>
      <c r="P196" s="6" t="str">
        <f aca="false">IF(E196="DL",F196," ")</f>
        <v> </v>
      </c>
      <c r="Q196" s="6" t="str">
        <f aca="false">IF(E196="X",F196," ")</f>
        <v> </v>
      </c>
      <c r="R196" s="37"/>
      <c r="W196" s="6" t="str">
        <f aca="false">IF(X196&lt;&gt;0,"Enter Code"," ")</f>
        <v> </v>
      </c>
      <c r="Y196" s="6" t="str">
        <f aca="false">IF(W196="BB",X196," ")</f>
        <v> </v>
      </c>
      <c r="Z196" s="6" t="str">
        <f aca="false">IF(W196="BD",X196," ")</f>
        <v> </v>
      </c>
      <c r="AA196" s="6" t="str">
        <f aca="false">IF(W196="BC",X196," ")</f>
        <v> </v>
      </c>
      <c r="AB196" s="6" t="str">
        <f aca="false">IF(W196="CR",X196," ")</f>
        <v> </v>
      </c>
      <c r="AC196" s="6" t="str">
        <f aca="false">IF(W196="W",X196," ")</f>
        <v> </v>
      </c>
      <c r="AD196" s="6" t="str">
        <f aca="false">IF(W196="B",X196," ")</f>
        <v> </v>
      </c>
      <c r="AE196" s="6" t="str">
        <f aca="false">IF(W196="J",X196," ")</f>
        <v> </v>
      </c>
      <c r="AF196" s="6" t="str">
        <f aca="false">IF(W196="LDR",X196," ")</f>
        <v> </v>
      </c>
      <c r="AG196" s="6" t="str">
        <f aca="false">IF(W196="LCR",X196," ")</f>
        <v> </v>
      </c>
      <c r="AH196" s="6" t="str">
        <f aca="false">IF(W196="RP",X196," ")</f>
        <v> </v>
      </c>
      <c r="AI196" s="6" t="str">
        <f aca="false">IF(W196="RV",X196," ")</f>
        <v> </v>
      </c>
      <c r="AJ196" s="6" t="str">
        <f aca="false">IF(W196="RC",X196," ")</f>
        <v> </v>
      </c>
      <c r="AK196" s="6" t="str">
        <f aca="false">IF(W196="RT",X196," ")</f>
        <v> </v>
      </c>
      <c r="AL196" s="6" t="str">
        <f aca="false">IF(W196="DV",X196," ")</f>
        <v> </v>
      </c>
      <c r="AM196" s="6" t="str">
        <f aca="false">IF(W196="DL",X196," ")</f>
        <v> </v>
      </c>
      <c r="AN196" s="6" t="str">
        <f aca="false">IF(W196="X",X196," ")</f>
        <v> </v>
      </c>
    </row>
    <row r="197" customFormat="false" ht="12" hidden="false" customHeight="false" outlineLevel="0" collapsed="false">
      <c r="E197" s="5" t="str">
        <f aca="false">IF(F197&lt;&gt;0,"Enter Code"," ")</f>
        <v> </v>
      </c>
      <c r="G197" s="6" t="str">
        <f aca="false">IF(E197="BB",F197," ")</f>
        <v> </v>
      </c>
      <c r="H197" s="6" t="str">
        <f aca="false">IF(E197="BD",F197," ")</f>
        <v> </v>
      </c>
      <c r="I197" s="6" t="str">
        <f aca="false">IF(E197="BC",F197," ")</f>
        <v> </v>
      </c>
      <c r="J197" s="6" t="str">
        <f aca="false">IF(E197="DR",F197," ")</f>
        <v> </v>
      </c>
      <c r="K197" s="6" t="str">
        <f aca="false">IF(E197="K",F197," ")</f>
        <v> </v>
      </c>
      <c r="L197" s="6" t="str">
        <f aca="false">IF(E197="LDR",F197," ")</f>
        <v> </v>
      </c>
      <c r="M197" s="6" t="str">
        <f aca="false">IF(E197="LCR",F197," ")</f>
        <v> </v>
      </c>
      <c r="N197" s="6" t="str">
        <f aca="false">IF(E197="RV",F197," ")</f>
        <v> </v>
      </c>
      <c r="O197" s="6" t="str">
        <f aca="false">IF(E197="RC",F197," ")</f>
        <v> </v>
      </c>
      <c r="P197" s="6" t="str">
        <f aca="false">IF(E197="DL",F197," ")</f>
        <v> </v>
      </c>
      <c r="Q197" s="6" t="str">
        <f aca="false">IF(E197="X",F197," ")</f>
        <v> </v>
      </c>
      <c r="R197" s="37"/>
      <c r="W197" s="6" t="str">
        <f aca="false">IF(X197&lt;&gt;0,"Enter Code"," ")</f>
        <v> </v>
      </c>
      <c r="Y197" s="6" t="str">
        <f aca="false">IF(W197="BB",X197," ")</f>
        <v> </v>
      </c>
      <c r="Z197" s="6" t="str">
        <f aca="false">IF(W197="BD",X197," ")</f>
        <v> </v>
      </c>
      <c r="AA197" s="6" t="str">
        <f aca="false">IF(W197="BC",X197," ")</f>
        <v> </v>
      </c>
      <c r="AB197" s="6" t="str">
        <f aca="false">IF(W197="CR",X197," ")</f>
        <v> </v>
      </c>
      <c r="AC197" s="6" t="str">
        <f aca="false">IF(W197="W",X197," ")</f>
        <v> </v>
      </c>
      <c r="AD197" s="6" t="str">
        <f aca="false">IF(W197="B",X197," ")</f>
        <v> </v>
      </c>
      <c r="AE197" s="6" t="str">
        <f aca="false">IF(W197="J",X197," ")</f>
        <v> </v>
      </c>
      <c r="AF197" s="6" t="str">
        <f aca="false">IF(W197="LDR",X197," ")</f>
        <v> </v>
      </c>
      <c r="AG197" s="6" t="str">
        <f aca="false">IF(W197="LCR",X197," ")</f>
        <v> </v>
      </c>
      <c r="AH197" s="6" t="str">
        <f aca="false">IF(W197="RP",X197," ")</f>
        <v> </v>
      </c>
      <c r="AI197" s="6" t="str">
        <f aca="false">IF(W197="RV",X197," ")</f>
        <v> </v>
      </c>
      <c r="AJ197" s="6" t="str">
        <f aca="false">IF(W197="RC",X197," ")</f>
        <v> </v>
      </c>
      <c r="AK197" s="6" t="str">
        <f aca="false">IF(W197="RT",X197," ")</f>
        <v> </v>
      </c>
      <c r="AL197" s="6" t="str">
        <f aca="false">IF(W197="DV",X197," ")</f>
        <v> </v>
      </c>
      <c r="AM197" s="6" t="str">
        <f aca="false">IF(W197="DL",X197," ")</f>
        <v> </v>
      </c>
      <c r="AN197" s="6" t="str">
        <f aca="false">IF(W197="X",X197," ")</f>
        <v> </v>
      </c>
    </row>
    <row r="198" customFormat="false" ht="12" hidden="false" customHeight="false" outlineLevel="0" collapsed="false">
      <c r="E198" s="5" t="str">
        <f aca="false">IF(F198&lt;&gt;0,"Enter Code"," ")</f>
        <v> </v>
      </c>
      <c r="G198" s="6" t="str">
        <f aca="false">IF(E198="BB",F198," ")</f>
        <v> </v>
      </c>
      <c r="H198" s="6" t="str">
        <f aca="false">IF(E198="BD",F198," ")</f>
        <v> </v>
      </c>
      <c r="I198" s="6" t="str">
        <f aca="false">IF(E198="BC",F198," ")</f>
        <v> </v>
      </c>
      <c r="J198" s="6" t="str">
        <f aca="false">IF(E198="DR",F198," ")</f>
        <v> </v>
      </c>
      <c r="K198" s="6" t="str">
        <f aca="false">IF(E198="K",F198," ")</f>
        <v> </v>
      </c>
      <c r="L198" s="6" t="str">
        <f aca="false">IF(E198="LDR",F198," ")</f>
        <v> </v>
      </c>
      <c r="M198" s="6" t="str">
        <f aca="false">IF(E198="LCR",F198," ")</f>
        <v> </v>
      </c>
      <c r="N198" s="6" t="str">
        <f aca="false">IF(E198="RV",F198," ")</f>
        <v> </v>
      </c>
      <c r="O198" s="6" t="str">
        <f aca="false">IF(E198="RC",F198," ")</f>
        <v> </v>
      </c>
      <c r="P198" s="6" t="str">
        <f aca="false">IF(E198="DL",F198," ")</f>
        <v> </v>
      </c>
      <c r="Q198" s="6" t="str">
        <f aca="false">IF(E198="X",F198," ")</f>
        <v> </v>
      </c>
      <c r="R198" s="37"/>
      <c r="W198" s="6" t="str">
        <f aca="false">IF(X198&lt;&gt;0,"Enter Code"," ")</f>
        <v> </v>
      </c>
      <c r="Y198" s="6" t="str">
        <f aca="false">IF(W198="BB",X198," ")</f>
        <v> </v>
      </c>
      <c r="Z198" s="6" t="str">
        <f aca="false">IF(W198="BD",X198," ")</f>
        <v> </v>
      </c>
      <c r="AA198" s="6" t="str">
        <f aca="false">IF(W198="BC",X198," ")</f>
        <v> </v>
      </c>
      <c r="AB198" s="6" t="str">
        <f aca="false">IF(W198="CR",X198," ")</f>
        <v> </v>
      </c>
      <c r="AC198" s="6" t="str">
        <f aca="false">IF(W198="W",X198," ")</f>
        <v> </v>
      </c>
      <c r="AD198" s="6" t="str">
        <f aca="false">IF(W198="B",X198," ")</f>
        <v> </v>
      </c>
      <c r="AE198" s="6" t="str">
        <f aca="false">IF(W198="J",X198," ")</f>
        <v> </v>
      </c>
      <c r="AF198" s="6" t="str">
        <f aca="false">IF(W198="LDR",X198," ")</f>
        <v> </v>
      </c>
      <c r="AG198" s="6" t="str">
        <f aca="false">IF(W198="LCR",X198," ")</f>
        <v> </v>
      </c>
      <c r="AH198" s="6" t="str">
        <f aca="false">IF(W198="RP",X198," ")</f>
        <v> </v>
      </c>
      <c r="AI198" s="6" t="str">
        <f aca="false">IF(W198="RV",X198," ")</f>
        <v> </v>
      </c>
      <c r="AJ198" s="6" t="str">
        <f aca="false">IF(W198="RC",X198," ")</f>
        <v> </v>
      </c>
      <c r="AK198" s="6" t="str">
        <f aca="false">IF(W198="RT",X198," ")</f>
        <v> </v>
      </c>
      <c r="AL198" s="6" t="str">
        <f aca="false">IF(W198="DV",X198," ")</f>
        <v> </v>
      </c>
      <c r="AM198" s="6" t="str">
        <f aca="false">IF(W198="DL",X198," ")</f>
        <v> </v>
      </c>
      <c r="AN198" s="6" t="str">
        <f aca="false">IF(W198="X",X198," ")</f>
        <v> </v>
      </c>
    </row>
    <row r="199" customFormat="false" ht="12" hidden="false" customHeight="false" outlineLevel="0" collapsed="false">
      <c r="E199" s="5" t="str">
        <f aca="false">IF(F199&lt;&gt;0,"Enter Code"," ")</f>
        <v> </v>
      </c>
      <c r="G199" s="6" t="str">
        <f aca="false">IF(E199="BB",F199," ")</f>
        <v> </v>
      </c>
      <c r="H199" s="6" t="str">
        <f aca="false">IF(E199="BD",F199," ")</f>
        <v> </v>
      </c>
      <c r="I199" s="6" t="str">
        <f aca="false">IF(E199="BC",F199," ")</f>
        <v> </v>
      </c>
      <c r="J199" s="6" t="str">
        <f aca="false">IF(E199="DR",F199," ")</f>
        <v> </v>
      </c>
      <c r="K199" s="6" t="str">
        <f aca="false">IF(E199="K",F199," ")</f>
        <v> </v>
      </c>
      <c r="L199" s="6" t="str">
        <f aca="false">IF(E199="LDR",F199," ")</f>
        <v> </v>
      </c>
      <c r="M199" s="6" t="str">
        <f aca="false">IF(E199="LCR",F199," ")</f>
        <v> </v>
      </c>
      <c r="N199" s="6" t="str">
        <f aca="false">IF(E199="RV",F199," ")</f>
        <v> </v>
      </c>
      <c r="O199" s="6" t="str">
        <f aca="false">IF(E199="RC",F199," ")</f>
        <v> </v>
      </c>
      <c r="P199" s="6" t="str">
        <f aca="false">IF(E199="DL",F199," ")</f>
        <v> </v>
      </c>
      <c r="Q199" s="6" t="str">
        <f aca="false">IF(E199="X",F199," ")</f>
        <v> </v>
      </c>
      <c r="R199" s="37"/>
      <c r="W199" s="6" t="str">
        <f aca="false">IF(X199&lt;&gt;0,"Enter Code"," ")</f>
        <v> </v>
      </c>
      <c r="Y199" s="6" t="str">
        <f aca="false">IF(W199="BB",X199," ")</f>
        <v> </v>
      </c>
      <c r="Z199" s="6" t="str">
        <f aca="false">IF(W199="BD",X199," ")</f>
        <v> </v>
      </c>
      <c r="AA199" s="6" t="str">
        <f aca="false">IF(W199="BC",X199," ")</f>
        <v> </v>
      </c>
      <c r="AB199" s="6" t="str">
        <f aca="false">IF(W199="CR",X199," ")</f>
        <v> </v>
      </c>
      <c r="AC199" s="6" t="str">
        <f aca="false">IF(W199="W",X199," ")</f>
        <v> </v>
      </c>
      <c r="AD199" s="6" t="str">
        <f aca="false">IF(W199="B",X199," ")</f>
        <v> </v>
      </c>
      <c r="AE199" s="6" t="str">
        <f aca="false">IF(W199="J",X199," ")</f>
        <v> </v>
      </c>
      <c r="AF199" s="6" t="str">
        <f aca="false">IF(W199="LDR",X199," ")</f>
        <v> </v>
      </c>
      <c r="AG199" s="6" t="str">
        <f aca="false">IF(W199="LCR",X199," ")</f>
        <v> </v>
      </c>
      <c r="AH199" s="6" t="str">
        <f aca="false">IF(W199="RP",X199," ")</f>
        <v> </v>
      </c>
      <c r="AI199" s="6" t="str">
        <f aca="false">IF(W199="RV",X199," ")</f>
        <v> </v>
      </c>
      <c r="AJ199" s="6" t="str">
        <f aca="false">IF(W199="RC",X199," ")</f>
        <v> </v>
      </c>
      <c r="AK199" s="6" t="str">
        <f aca="false">IF(W199="RT",X199," ")</f>
        <v> </v>
      </c>
      <c r="AL199" s="6" t="str">
        <f aca="false">IF(W199="DV",X199," ")</f>
        <v> </v>
      </c>
      <c r="AM199" s="6" t="str">
        <f aca="false">IF(W199="DL",X199," ")</f>
        <v> </v>
      </c>
      <c r="AN199" s="6" t="str">
        <f aca="false">IF(W199="X",X199," ")</f>
        <v> </v>
      </c>
    </row>
    <row r="200" customFormat="false" ht="12" hidden="false" customHeight="false" outlineLevel="0" collapsed="false">
      <c r="A200" s="39"/>
      <c r="B200" s="40"/>
      <c r="C200" s="41"/>
      <c r="D200" s="42"/>
      <c r="E200" s="43" t="str">
        <f aca="false">IF(F200&lt;&gt;0,"Enter Code"," ")</f>
        <v> </v>
      </c>
      <c r="F200" s="44"/>
      <c r="G200" s="44" t="str">
        <f aca="false">IF(E200="BB",F200," ")</f>
        <v> </v>
      </c>
      <c r="H200" s="44" t="str">
        <f aca="false">IF(E200="BD",F200," ")</f>
        <v> </v>
      </c>
      <c r="I200" s="44" t="str">
        <f aca="false">IF(E200="BC",F200," ")</f>
        <v> </v>
      </c>
      <c r="J200" s="44" t="str">
        <f aca="false">IF(E200="DR",F200," ")</f>
        <v> </v>
      </c>
      <c r="K200" s="44" t="str">
        <f aca="false">IF(E200="K",F200," ")</f>
        <v> </v>
      </c>
      <c r="L200" s="44" t="str">
        <f aca="false">IF(E200="LDR",F200," ")</f>
        <v> </v>
      </c>
      <c r="M200" s="44" t="str">
        <f aca="false">IF(E200="LCR",F200," ")</f>
        <v> </v>
      </c>
      <c r="N200" s="44" t="str">
        <f aca="false">IF(E200="RV",F200," ")</f>
        <v> </v>
      </c>
      <c r="O200" s="44" t="str">
        <f aca="false">IF(E200="RC",F200," ")</f>
        <v> </v>
      </c>
      <c r="P200" s="44" t="str">
        <f aca="false">IF(E200="DL",F200," ")</f>
        <v> </v>
      </c>
      <c r="Q200" s="44" t="str">
        <f aca="false">IF(E200="X",F200," ")</f>
        <v> </v>
      </c>
      <c r="R200" s="38"/>
      <c r="S200" s="39"/>
      <c r="T200" s="42"/>
      <c r="U200" s="41"/>
      <c r="V200" s="41"/>
      <c r="W200" s="44" t="str">
        <f aca="false">IF(X200&lt;&gt;0,"Enter Code"," ")</f>
        <v> </v>
      </c>
      <c r="X200" s="44"/>
      <c r="Y200" s="44" t="str">
        <f aca="false">IF(W200="BB",X200," ")</f>
        <v> </v>
      </c>
      <c r="Z200" s="44" t="str">
        <f aca="false">IF(W200="BD",X200," ")</f>
        <v> </v>
      </c>
      <c r="AA200" s="44" t="str">
        <f aca="false">IF(W200="BC",X200," ")</f>
        <v> </v>
      </c>
      <c r="AB200" s="44" t="str">
        <f aca="false">IF(W200="CR",X200," ")</f>
        <v> </v>
      </c>
      <c r="AC200" s="44" t="str">
        <f aca="false">IF(W200="W",X200," ")</f>
        <v> </v>
      </c>
      <c r="AD200" s="44" t="str">
        <f aca="false">IF(W200="B",X200," ")</f>
        <v> </v>
      </c>
      <c r="AE200" s="44" t="str">
        <f aca="false">IF(W200="J",X200," ")</f>
        <v> </v>
      </c>
      <c r="AF200" s="44" t="str">
        <f aca="false">IF(W200="LDR",X200," ")</f>
        <v> </v>
      </c>
      <c r="AG200" s="44" t="str">
        <f aca="false">IF(W200="LCR",X200," ")</f>
        <v> </v>
      </c>
      <c r="AH200" s="44" t="str">
        <f aca="false">IF(W200="RP",X200," ")</f>
        <v> </v>
      </c>
      <c r="AI200" s="44" t="str">
        <f aca="false">IF(W200="RV",X200," ")</f>
        <v> </v>
      </c>
      <c r="AJ200" s="44" t="str">
        <f aca="false">IF(W200="RC",X200," ")</f>
        <v> </v>
      </c>
      <c r="AK200" s="44" t="str">
        <f aca="false">IF(W200="RT",X200," ")</f>
        <v> </v>
      </c>
      <c r="AL200" s="44" t="str">
        <f aca="false">IF(W200="DV",X200," ")</f>
        <v> </v>
      </c>
      <c r="AM200" s="44" t="str">
        <f aca="false">IF(W200="DL",X200," ")</f>
        <v> </v>
      </c>
      <c r="AN200" s="44" t="str">
        <f aca="false">IF(W200="X",X200," ")</f>
        <v> </v>
      </c>
    </row>
  </sheetData>
  <mergeCells count="42">
    <mergeCell ref="R1:R5"/>
    <mergeCell ref="S1:T1"/>
    <mergeCell ref="D2:D5"/>
    <mergeCell ref="E2:E5"/>
    <mergeCell ref="F2:Q2"/>
    <mergeCell ref="S2:T2"/>
    <mergeCell ref="U2:U5"/>
    <mergeCell ref="V2:V5"/>
    <mergeCell ref="W2:W5"/>
    <mergeCell ref="X2:AN2"/>
    <mergeCell ref="F3:F5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X3:X5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B4:C4"/>
    <mergeCell ref="S4:S5"/>
    <mergeCell ref="T4:T5"/>
  </mergeCells>
  <dataValidations count="5">
    <dataValidation allowBlank="true" errorStyle="stop" operator="between" prompt="This amount is an indication that the total of payments entered in column X does not agree with the analysis of that total in columns Y to AN&#10;&#10;CHECK ENTRY CODE LETTERS or ANY MANUAL ENTRIES IN COL Y to AN" promptTitle="ERROR ALERT" showDropDown="false" showErrorMessage="true" showInputMessage="true" sqref="W1" type="none">
      <formula1>0</formula1>
      <formula2>0</formula2>
    </dataValidation>
    <dataValidation allowBlank="true" errorStyle="stop" operator="between" prompt="This amount is an indication that the total of receipts entered in column F does not agree with the analysis of that total in columns G to Q&#10;&#10;CHECK ENTRY CODE LETTERS or ANY MANUAL ENTRIES IN COL G to Q&#10;" promptTitle="ERROR ALERT" showDropDown="false" showErrorMessage="true" showInputMessage="true" sqref="E1" type="none">
      <formula1>0</formula1>
      <formula2>0</formula2>
    </dataValidation>
    <dataValidation allowBlank="true" errorStyle="stop" operator="between" prompt="This amount indicates the receipts and payments entered do not agree with the BANK STATEMENT.&#10;&#10;CHECK THE AMOUNTS ENTERED AGAINST THE BANK STATEMENT&#10;&#10;" promptTitle="ERROR ALERT" showDropDown="false" showErrorMessage="true" showInputMessage="true" sqref="A4" type="none">
      <formula1>0</formula1>
      <formula2>0</formula2>
    </dataValidation>
    <dataValidation allowBlank="true" errorStyle="stop" operator="between" showDropDown="false" showErrorMessage="true" showInputMessage="false" sqref="W6:W200" type="list">
      <formula1>$Y$5:$AN$5</formula1>
      <formula2>0</formula2>
    </dataValidation>
    <dataValidation allowBlank="true" errorStyle="stop" operator="between" showDropDown="false" showErrorMessage="true" showInputMessage="false" sqref="E6:E200" type="list">
      <formula1>$G$5:$Q$5</formula1>
      <formula2>0</formula2>
    </dataValidation>
  </dataValidations>
  <printOptions headings="false" gridLines="false" gridLinesSet="true" horizontalCentered="false" verticalCentered="false"/>
  <pageMargins left="0.157638888888889" right="0.157638888888889" top="0.39375" bottom="0.39375" header="0.118055555555556" footer="0.118055555555556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&amp;C&amp;"Arial,Bold"BANK CURRENT ACCOUNT</oddHeader>
    <oddFooter>&amp;L&amp;D  &amp;T&amp;C&amp;P  of  &amp;N&amp;R&amp;F  &amp;A</oddFooter>
  </headerFooter>
  <colBreaks count="1" manualBreakCount="1">
    <brk id="17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2006-07-04T12:07:29Z</dcterms:created>
  <dc:creator>Terry</dc:creator>
  <dc:description/>
  <dc:language>en-US</dc:language>
  <cp:lastModifiedBy>Cartwright, Antony</cp:lastModifiedBy>
  <cp:lastPrinted>2007-03-02T15:27:34Z</cp:lastPrinted>
  <dcterms:modified xsi:type="dcterms:W3CDTF">2025-04-03T23:05:26Z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