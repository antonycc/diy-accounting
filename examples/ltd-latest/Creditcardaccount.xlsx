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  <sheet name="Jul" sheetId="2" state="visible" r:id="rId4"/>
    <sheet name="Aug" sheetId="3" state="visible" r:id="rId5"/>
    <sheet name="Sep" sheetId="4" state="visible" r:id="rId6"/>
    <sheet name="Oct" sheetId="5" state="visible" r:id="rId7"/>
    <sheet name="Nov" sheetId="6" state="visible" r:id="rId8"/>
    <sheet name="Dec" sheetId="7" state="visible" r:id="rId9"/>
    <sheet name="Jan" sheetId="8" state="visible" r:id="rId10"/>
    <sheet name="Feb" sheetId="9" state="visible" r:id="rId11"/>
    <sheet name="Mar" sheetId="10" state="visible" r:id="rId12"/>
    <sheet name="Apr" sheetId="11" state="visible" r:id="rId13"/>
    <sheet name="May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<sst xmlns="http://schemas.openxmlformats.org/spreadsheetml/2006/main" count="892" uniqueCount="62">
  <si>
    <t xml:space="preserve">&lt;  Opening Bank Balance</t>
  </si>
  <si>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</si>
  <si>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</si>
  <si>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</si>
  <si>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</si>
  <si>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COMPANY CREDIT CARD STATEMENT RECEIPTS</t>
  </si>
  <si>
    <t xml:space="preserve">Enter Purchase Invoice No.</t>
  </si>
  <si>
    <t xml:space="preserve">Cheque number  Direct Debit</t>
  </si>
  <si>
    <t xml:space="preserve">COMPANY CREDIT CARD STATEMENT PAYMENTS</t>
  </si>
  <si>
    <t xml:space="preserve">&lt;  Statement Bank Balance</t>
  </si>
  <si>
    <t xml:space="preserve">Amounts received from each Source</t>
  </si>
  <si>
    <t xml:space="preserve">Transfers From Current</t>
  </si>
  <si>
    <t xml:space="preserve">Transfers   From        Savings</t>
  </si>
  <si>
    <t xml:space="preserve">Transfers     From     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</si>
  <si>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</si>
  <si>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</si>
  <si>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</si>
  <si>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</si>
  <si>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</si>
  <si>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</si>
  <si>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</si>
  <si>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</si>
  <si>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</si>
  <si>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Current</t>
  </si>
  <si>
    <t xml:space="preserve">Transfers      To     Savings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</si>
  <si>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</si>
  <si>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</si>
  <si>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</si>
  <si>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</si>
  <si>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</si>
  <si>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</si>
  <si>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</si>
  <si>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</si>
  <si>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</si>
  <si>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</si>
  <si>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</si>
  <si>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</si>
  <si>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</si>
  <si>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</si>
  <si>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</si>
  <si>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</si>
  <si>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BS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</si>
  <si>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</si>
  <si>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</si>
  <si>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</si>
  <si>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</si>
  <si>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</si>
  <si>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</si>
  <si>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</si>
  <si>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</si>
  <si>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</si>
  <si>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</si>
  <si>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</si>
  <si>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</si>
  <si>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</si>
  <si>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</si>
  <si>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</si>
  <si>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</si>
  <si>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Payment from current</t>
  </si>
  <si>
    <t xml:space="preserve">HSBC</t>
  </si>
  <si>
    <t xml:space="preserve">Premier Inn</t>
  </si>
  <si>
    <t xml:space="preserve">Trainline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</si>
</sst>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/>
      <c r="B1" s="8" t="s">
        <v>0</v>
      </c>
      <c r="C1" s="9" t="n">
        <f aca="false">[1]Admin!$B$9</f>
        <v>45748</v>
      </c>
      <c r="D1" s="10" t="s">
        <v>1</v>
      </c>
      <c r="E1" s="11" t="n">
        <f aca="false">F1-SUM(G1:Q1)</f>
        <v>0</v>
      </c>
      <c r="F1" s="12" t="n">
        <f aca="false">SUM(F6:F200)</f>
        <v>500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500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</v>
      </c>
      <c r="B2" s="18" t="s">
        <v>2</v>
      </c>
      <c r="C2" s="9" t="n">
        <f aca="false">[1]Admin!$B$10</f>
        <v>45777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45777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500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45838</v>
      </c>
      <c r="B6" s="2" t="s">
        <v>58</v>
      </c>
      <c r="E6" s="37" t="s">
        <v>50</v>
      </c>
      <c r="F6" s="6" t="n">
        <v>500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500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Jun!A2</f>
        <v>500</v>
      </c>
      <c r="B1" s="8" t="s">
        <v>0</v>
      </c>
      <c r="C1" s="9" t="n">
        <f aca="false">[1]Admin!$B$11</f>
        <v>45778</v>
      </c>
      <c r="D1" s="10" t="s">
        <v>1</v>
      </c>
      <c r="E1" s="11" t="n">
        <f aca="false">F1-SUM(G1:Q1)</f>
        <v>-45858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45858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500</v>
      </c>
      <c r="B2" s="18" t="s">
        <v>2</v>
      </c>
      <c r="C2" s="9" t="n">
        <f aca="false">[1]Admin!$B$12</f>
        <v>45808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Check all Receipts Code Letters entered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45808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500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n">
        <v>45858</v>
      </c>
      <c r="Q6" s="6" t="s">
        <v>59</v>
      </c>
      <c r="R6" s="38"/>
      <c r="S6" s="1" t="s">
        <v>53</v>
      </c>
      <c r="T6" s="4" t="n">
        <v>35</v>
      </c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Jul!A2</f>
        <v>500</v>
      </c>
      <c r="B1" s="8" t="s">
        <v>0</v>
      </c>
      <c r="C1" s="9" t="n">
        <f aca="false">[1]Admin!$B$13</f>
        <v>45809</v>
      </c>
      <c r="D1" s="10" t="s">
        <v>1</v>
      </c>
      <c r="E1" s="11" t="n">
        <f aca="false">F1-SUM(G1:Q1)</f>
        <v>180</v>
      </c>
      <c r="F1" s="12" t="n">
        <f aca="false">SUM(F6:F200)</f>
        <v>180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680</v>
      </c>
      <c r="B2" s="18" t="s">
        <v>2</v>
      </c>
      <c r="C2" s="9" t="n">
        <f aca="false">[1]Admin!$B$14</f>
        <v>45838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Check all Receipts Code Letters entered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45838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680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45887</v>
      </c>
      <c r="B6" s="2" t="s">
        <v>60</v>
      </c>
      <c r="E6" s="37" t="s">
        <v>51</v>
      </c>
      <c r="F6" s="6" t="n">
        <v>180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Aug!A2</f>
        <v>680</v>
      </c>
      <c r="B1" s="8" t="s">
        <v>0</v>
      </c>
      <c r="C1" s="9" t="n">
        <f aca="false">[1]Admin!$B$15</f>
        <v>45839</v>
      </c>
      <c r="D1" s="10" t="s">
        <v>1</v>
      </c>
      <c r="E1" s="11" t="n">
        <f aca="false">F1-SUM(G1:Q1)</f>
        <v>0</v>
      </c>
      <c r="F1" s="12" t="n">
        <f aca="false">SUM(F6:F200)</f>
        <v>300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300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980</v>
      </c>
      <c r="B2" s="18" t="s">
        <v>2</v>
      </c>
      <c r="C2" s="9" t="n">
        <f aca="false">[1]Admin!$B$16</f>
        <v>45869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45869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980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45931</v>
      </c>
      <c r="B6" s="2" t="s">
        <v>58</v>
      </c>
      <c r="E6" s="37" t="s">
        <v>50</v>
      </c>
      <c r="F6" s="6" t="n">
        <v>300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300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Sep!A2</f>
        <v>980</v>
      </c>
      <c r="B1" s="8" t="s">
        <v>0</v>
      </c>
      <c r="C1" s="9" t="n">
        <f aca="false">[1]Admin!$B$17</f>
        <v>45870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980</v>
      </c>
      <c r="B2" s="18" t="s">
        <v>2</v>
      </c>
      <c r="C2" s="9" t="n">
        <f aca="false">[1]Admin!$B$18</f>
        <v>45900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45900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980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Oct!A2</f>
        <v>980</v>
      </c>
      <c r="B1" s="8" t="s">
        <v>0</v>
      </c>
      <c r="C1" s="9" t="n">
        <f aca="false">[1]Admin!$B$19</f>
        <v>45901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980</v>
      </c>
      <c r="B2" s="18" t="s">
        <v>2</v>
      </c>
      <c r="C2" s="9" t="n">
        <f aca="false">[1]Admin!$B$20</f>
        <v>45930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45930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980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Nov!A2</f>
        <v>980</v>
      </c>
      <c r="B1" s="8" t="s">
        <v>0</v>
      </c>
      <c r="C1" s="9" t="n">
        <f aca="false">[1]Admin!$B$21</f>
        <v>45931</v>
      </c>
      <c r="D1" s="10" t="s">
        <v>1</v>
      </c>
      <c r="E1" s="11" t="n">
        <f aca="false">F1-SUM(G1:Q1)</f>
        <v>120</v>
      </c>
      <c r="F1" s="12" t="n">
        <f aca="false">SUM(F6:F200)</f>
        <v>620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500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1600</v>
      </c>
      <c r="B2" s="18" t="s">
        <v>2</v>
      </c>
      <c r="C2" s="9" t="n">
        <f aca="false">[1]Admin!$B$22</f>
        <v>45961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Check all Receipts Code Letters entered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45961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1600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46009</v>
      </c>
      <c r="B6" s="2" t="s">
        <v>61</v>
      </c>
      <c r="E6" s="37" t="s">
        <v>51</v>
      </c>
      <c r="F6" s="6" t="n">
        <v>120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A7" s="1" t="n">
        <v>46022</v>
      </c>
      <c r="B7" s="2" t="s">
        <v>58</v>
      </c>
      <c r="E7" s="5" t="s">
        <v>50</v>
      </c>
      <c r="F7" s="6" t="n">
        <v>500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n">
        <f aca="false">IF(E7="X",F7," ")</f>
        <v>500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Dec!A2</f>
        <v>1600</v>
      </c>
      <c r="B1" s="8" t="s">
        <v>0</v>
      </c>
      <c r="C1" s="9" t="n">
        <f aca="false">[1]Admin!$B$23</f>
        <v>45962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1600</v>
      </c>
      <c r="B2" s="18" t="s">
        <v>2</v>
      </c>
      <c r="C2" s="9" t="n">
        <f aca="false">[1]Admin!$B$24</f>
        <v>45991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45991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1600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Jan!A2</f>
        <v>1600</v>
      </c>
      <c r="B1" s="8" t="s">
        <v>0</v>
      </c>
      <c r="C1" s="9" t="n">
        <f aca="false">[1]Admin!$B$25</f>
        <v>45992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1600</v>
      </c>
      <c r="B2" s="18" t="s">
        <v>2</v>
      </c>
      <c r="C2" s="9" t="n">
        <f aca="false">[1]Admin!$B$26</f>
        <v>46022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46022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1600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Feb!A2</f>
        <v>1600</v>
      </c>
      <c r="B1" s="8" t="s">
        <v>0</v>
      </c>
      <c r="C1" s="9" t="n">
        <f aca="false">[1]Admin!$B$27</f>
        <v>46023</v>
      </c>
      <c r="D1" s="10" t="s">
        <v>1</v>
      </c>
      <c r="E1" s="11" t="n">
        <f aca="false">F1-SUM(G1:Q1)</f>
        <v>0</v>
      </c>
      <c r="F1" s="12" t="n">
        <f aca="false">SUM(F6:F200)</f>
        <v>300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300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1900</v>
      </c>
      <c r="B2" s="18" t="s">
        <v>2</v>
      </c>
      <c r="C2" s="9" t="n">
        <f aca="false">[1]Admin!$B$28</f>
        <v>46053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46053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1900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46112</v>
      </c>
      <c r="B6" s="2" t="s">
        <v>58</v>
      </c>
      <c r="E6" s="37" t="s">
        <v>50</v>
      </c>
      <c r="F6" s="6" t="n">
        <v>300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300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Mar!A2</f>
        <v>1900</v>
      </c>
      <c r="B1" s="8" t="s">
        <v>0</v>
      </c>
      <c r="C1" s="9" t="n">
        <f aca="false">[1]Admin!$B$29</f>
        <v>46054</v>
      </c>
      <c r="D1" s="10" t="s">
        <v>1</v>
      </c>
      <c r="E1" s="11" t="n">
        <f aca="false">F1-SUM(G1:Q1)</f>
        <v>240</v>
      </c>
      <c r="F1" s="12" t="n">
        <f aca="false">SUM(F6:F200)</f>
        <v>240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2140</v>
      </c>
      <c r="B2" s="18" t="s">
        <v>2</v>
      </c>
      <c r="C2" s="9" t="n">
        <f aca="false">[1]Admin!$B$30</f>
        <v>46081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Check all Receipts Code Letters entered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46081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2140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A6" s="1" t="n">
        <v>46130</v>
      </c>
      <c r="B6" s="2" t="s">
        <v>60</v>
      </c>
      <c r="E6" s="37" t="s">
        <v>51</v>
      </c>
      <c r="F6" s="6" t="n">
        <v>240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8" t="n">
        <f aca="false">Apr!A2</f>
        <v>2140</v>
      </c>
      <c r="B1" s="8" t="s">
        <v>0</v>
      </c>
      <c r="C1" s="9" t="n">
        <f aca="false">[1]Admin!$B$31</f>
        <v>46082</v>
      </c>
      <c r="D1" s="10" t="s">
        <v>1</v>
      </c>
      <c r="E1" s="11" t="n">
        <f aca="false">F1-SUM(G1:Q1)</f>
        <v>0</v>
      </c>
      <c r="F1" s="12" t="n">
        <f aca="false">SUM(F6:F200)</f>
        <v>0</v>
      </c>
      <c r="G1" s="12" t="n">
        <f aca="false">SUM(G6:G200)</f>
        <v>0</v>
      </c>
      <c r="H1" s="12" t="n">
        <f aca="false">SUM(H6:H200)</f>
        <v>0</v>
      </c>
      <c r="I1" s="12" t="n">
        <f aca="false">SUM(I6:I200)</f>
        <v>0</v>
      </c>
      <c r="J1" s="12" t="n">
        <f aca="false">SUM(J6:J200)</f>
        <v>0</v>
      </c>
      <c r="K1" s="12" t="n">
        <f aca="false">SUM(K6:K200)</f>
        <v>0</v>
      </c>
      <c r="L1" s="12" t="n">
        <f aca="false">SUM(L6:L200)</f>
        <v>0</v>
      </c>
      <c r="M1" s="12" t="n">
        <f aca="false">SUM(M6:M200)</f>
        <v>0</v>
      </c>
      <c r="N1" s="12" t="n">
        <f aca="false">SUM(N6:N200)</f>
        <v>0</v>
      </c>
      <c r="O1" s="12" t="n">
        <f aca="false">SUM(O6:O200)</f>
        <v>0</v>
      </c>
      <c r="P1" s="12" t="n">
        <f aca="false">SUM(P6:P200)</f>
        <v>0</v>
      </c>
      <c r="Q1" s="12" t="n">
        <f aca="false">SUM(Q6:Q200)</f>
        <v>0</v>
      </c>
      <c r="R1" s="13"/>
      <c r="S1" s="14" t="str">
        <f aca="false">IF(W1=0," ","Check all payment code letters entered")</f>
        <v> </v>
      </c>
      <c r="T1" s="14"/>
      <c r="U1" s="15"/>
      <c r="V1" s="16" t="s">
        <v>1</v>
      </c>
      <c r="W1" s="11" t="n">
        <f aca="false">X1-SUM(Y1:AN1)</f>
        <v>0</v>
      </c>
      <c r="X1" s="12" t="n">
        <f aca="false">SUM(X6:X200)</f>
        <v>0</v>
      </c>
      <c r="Y1" s="12" t="n">
        <f aca="false">SUM(Y6:Y200)</f>
        <v>0</v>
      </c>
      <c r="Z1" s="12" t="n">
        <f aca="false">SUM(Z6:Z200)</f>
        <v>0</v>
      </c>
      <c r="AA1" s="12" t="n">
        <f aca="false">SUM(AA6:AA200)</f>
        <v>0</v>
      </c>
      <c r="AB1" s="12" t="n">
        <f aca="false">SUM(AB6:AB200)</f>
        <v>0</v>
      </c>
      <c r="AC1" s="12" t="n">
        <f aca="false">SUM(AC6:AC200)</f>
        <v>0</v>
      </c>
      <c r="AD1" s="12" t="n">
        <f aca="false">SUM(AD6:AD200)</f>
        <v>0</v>
      </c>
      <c r="AE1" s="12" t="n">
        <f aca="false">SUM(AE6:AE200)</f>
        <v>0</v>
      </c>
      <c r="AF1" s="12" t="n">
        <f aca="false">SUM(AF6:AF200)</f>
        <v>0</v>
      </c>
      <c r="AG1" s="12" t="n">
        <f aca="false">SUM(AG6:AG200)</f>
        <v>0</v>
      </c>
      <c r="AH1" s="12" t="n">
        <f aca="false">SUM(AH6:AH200)</f>
        <v>0</v>
      </c>
      <c r="AI1" s="12" t="n">
        <f aca="false">SUM(AI6:AI200)</f>
        <v>0</v>
      </c>
      <c r="AJ1" s="12" t="n">
        <f aca="false">SUM(AJ6:AJ200)</f>
        <v>0</v>
      </c>
      <c r="AK1" s="12" t="n">
        <f aca="false">SUM(AK6:AK200)</f>
        <v>0</v>
      </c>
      <c r="AL1" s="12" t="n">
        <f aca="false">SUM(AL6:AL200)</f>
        <v>0</v>
      </c>
      <c r="AM1" s="12" t="n">
        <f aca="false">SUM(AM6:AM200)</f>
        <v>0</v>
      </c>
      <c r="AN1" s="12" t="n">
        <f aca="false">SUM(AN6:AN200)</f>
        <v>0</v>
      </c>
    </row>
    <row r="2" customFormat="false" ht="15" hidden="false" customHeight="true" outlineLevel="0" collapsed="false">
      <c r="A2" s="17" t="n">
        <f aca="false">A1+F1-X1</f>
        <v>2140</v>
      </c>
      <c r="B2" s="18" t="s">
        <v>2</v>
      </c>
      <c r="C2" s="9" t="n">
        <f aca="false">[1]Admin!$B$32</f>
        <v>46112</v>
      </c>
      <c r="D2" s="19" t="s">
        <v>3</v>
      </c>
      <c r="E2" s="20" t="s">
        <v>4</v>
      </c>
      <c r="F2" s="21" t="s">
        <v>5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13"/>
      <c r="S2" s="14" t="str">
        <f aca="false">IF(E1=0," ","Check all Receipts Code Letters entered")</f>
        <v> </v>
      </c>
      <c r="T2" s="14"/>
      <c r="U2" s="22" t="s">
        <v>6</v>
      </c>
      <c r="V2" s="23" t="s">
        <v>7</v>
      </c>
      <c r="W2" s="20" t="s">
        <v>4</v>
      </c>
      <c r="X2" s="21" t="s">
        <v>8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</row>
    <row r="3" customFormat="false" ht="19.5" hidden="false" customHeight="true" outlineLevel="0" collapsed="false">
      <c r="A3" s="7"/>
      <c r="B3" s="24" t="s">
        <v>9</v>
      </c>
      <c r="C3" s="25" t="n">
        <f aca="false">C2</f>
        <v>46112</v>
      </c>
      <c r="D3" s="19"/>
      <c r="E3" s="20"/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13"/>
      <c r="S3" s="27"/>
      <c r="T3" s="28"/>
      <c r="U3" s="22"/>
      <c r="V3" s="23"/>
      <c r="W3" s="20"/>
      <c r="X3" s="26" t="s">
        <v>22</v>
      </c>
      <c r="Y3" s="26" t="s">
        <v>23</v>
      </c>
      <c r="Z3" s="26" t="s">
        <v>24</v>
      </c>
      <c r="AA3" s="26" t="s">
        <v>25</v>
      </c>
      <c r="AB3" s="26" t="s">
        <v>26</v>
      </c>
      <c r="AC3" s="26" t="s">
        <v>27</v>
      </c>
      <c r="AD3" s="26" t="s">
        <v>28</v>
      </c>
      <c r="AE3" s="26" t="s">
        <v>29</v>
      </c>
      <c r="AF3" s="26" t="s">
        <v>16</v>
      </c>
      <c r="AG3" s="26" t="s">
        <v>17</v>
      </c>
      <c r="AH3" s="26" t="s">
        <v>30</v>
      </c>
      <c r="AI3" s="26" t="s">
        <v>31</v>
      </c>
      <c r="AJ3" s="26" t="s">
        <v>32</v>
      </c>
      <c r="AK3" s="26" t="s">
        <v>33</v>
      </c>
      <c r="AL3" s="26" t="s">
        <v>34</v>
      </c>
      <c r="AM3" s="26" t="s">
        <v>20</v>
      </c>
      <c r="AN3" s="26" t="s">
        <v>21</v>
      </c>
    </row>
    <row r="4" s="5" customFormat="true" ht="19.5" hidden="false" customHeight="true" outlineLevel="0" collapsed="false">
      <c r="A4" s="29" t="n">
        <f aca="false">A2-A3</f>
        <v>2140</v>
      </c>
      <c r="B4" s="30" t="str">
        <f aca="false">IF(A4=0,"&lt;  Bank  - Statement Balance","  Reconcile Bank Statement")</f>
        <v>  Reconcile Bank Statement</v>
      </c>
      <c r="C4" s="30"/>
      <c r="D4" s="19"/>
      <c r="E4" s="20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13"/>
      <c r="S4" s="31" t="s">
        <v>35</v>
      </c>
      <c r="T4" s="32" t="s">
        <v>36</v>
      </c>
      <c r="U4" s="22"/>
      <c r="V4" s="23"/>
      <c r="W4" s="20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="5" customFormat="true" ht="15" hidden="false" customHeight="true" outlineLevel="0" collapsed="false">
      <c r="A5" s="33" t="s">
        <v>37</v>
      </c>
      <c r="B5" s="34" t="s">
        <v>38</v>
      </c>
      <c r="C5" s="35" t="s">
        <v>39</v>
      </c>
      <c r="D5" s="19"/>
      <c r="E5" s="20"/>
      <c r="F5" s="26"/>
      <c r="G5" s="36" t="s">
        <v>40</v>
      </c>
      <c r="H5" s="36" t="s">
        <v>41</v>
      </c>
      <c r="I5" s="36" t="s">
        <v>42</v>
      </c>
      <c r="J5" s="36" t="s">
        <v>43</v>
      </c>
      <c r="K5" s="36" t="s">
        <v>44</v>
      </c>
      <c r="L5" s="36" t="s">
        <v>45</v>
      </c>
      <c r="M5" s="36" t="s">
        <v>46</v>
      </c>
      <c r="N5" s="36" t="s">
        <v>47</v>
      </c>
      <c r="O5" s="36" t="s">
        <v>48</v>
      </c>
      <c r="P5" s="36" t="s">
        <v>49</v>
      </c>
      <c r="Q5" s="36" t="s">
        <v>50</v>
      </c>
      <c r="R5" s="13"/>
      <c r="S5" s="31"/>
      <c r="T5" s="32"/>
      <c r="U5" s="22"/>
      <c r="V5" s="23"/>
      <c r="W5" s="20"/>
      <c r="X5" s="26"/>
      <c r="Y5" s="36" t="s">
        <v>40</v>
      </c>
      <c r="Z5" s="36" t="s">
        <v>41</v>
      </c>
      <c r="AA5" s="36" t="s">
        <v>42</v>
      </c>
      <c r="AB5" s="36" t="s">
        <v>51</v>
      </c>
      <c r="AC5" s="36" t="s">
        <v>52</v>
      </c>
      <c r="AD5" s="36" t="s">
        <v>53</v>
      </c>
      <c r="AE5" s="36" t="s">
        <v>54</v>
      </c>
      <c r="AF5" s="36" t="s">
        <v>45</v>
      </c>
      <c r="AG5" s="36" t="s">
        <v>46</v>
      </c>
      <c r="AH5" s="36" t="s">
        <v>55</v>
      </c>
      <c r="AI5" s="36" t="s">
        <v>47</v>
      </c>
      <c r="AJ5" s="36" t="s">
        <v>48</v>
      </c>
      <c r="AK5" s="36" t="s">
        <v>56</v>
      </c>
      <c r="AL5" s="36" t="s">
        <v>57</v>
      </c>
      <c r="AM5" s="36" t="s">
        <v>49</v>
      </c>
      <c r="AN5" s="36" t="s">
        <v>50</v>
      </c>
    </row>
    <row r="6" customFormat="false" ht="12" hidden="false" customHeight="false" outlineLevel="0" collapsed="false">
      <c r="E6" s="37" t="str">
        <f aca="false">IF(F6&lt;&gt;0,"Enter Code"," ")</f>
        <v> </v>
      </c>
      <c r="G6" s="6" t="str">
        <f aca="false">IF(E6="BB",F6," ")</f>
        <v> </v>
      </c>
      <c r="H6" s="6" t="str">
        <f aca="false">IF(E6="BS",F6,"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8"/>
      <c r="W6" s="39" t="str">
        <f aca="false">IF(X6&lt;&gt;0,"Enter Code"," ")</f>
        <v> </v>
      </c>
      <c r="Y6" s="6" t="str">
        <f aca="false">IF(W6="BB",X6," ")</f>
        <v> </v>
      </c>
      <c r="Z6" s="6" t="str">
        <f aca="false">IF(W6="BS",X6,"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IF(E7="BS",F7,"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40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IF(W7="BS",X7,"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IF(E8="BS",F8,"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40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IF(W8="BS",X8,"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IF(E9="BS",F9,"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40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IF(W9="BS",X9,"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IF(E10="BS",F10,"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40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IF(W10="BS",X10,"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IF(E11="BS",F11,"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40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IF(W11="BS",X11,"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IF(E12="BS",F12,"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40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IF(W12="BS",X12,"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IF(E13="BS",F13,"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40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IF(W13="BS",X13,"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IF(E14="BS",F14,"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40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IF(W14="BS",X14,"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IF(E15="BS",F15,"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40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IF(W15="BS",X15,"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IF(E16="BS",F16,"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40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IF(W16="BS",X16,"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IF(E17="BS",F17,"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40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IF(W17="BS",X17,"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IF(E18="BS",F18,"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40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IF(W18="BS",X18,"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IF(E19="BS",F19,"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40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IF(W19="BS",X19,"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IF(E20="BS",F20,"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40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IF(W20="BS",X20,"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IF(E21="BS",F21,"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40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IF(W21="BS",X21,"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IF(E22="BS",F22,"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40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IF(W22="BS",X22,"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IF(E23="BS",F23,"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40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IF(W23="BS",X23,"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IF(E24="BS",F24,"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40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IF(W24="BS",X24,"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IF(E25="BS",F25,"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40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IF(W25="BS",X25,"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IF(E26="BS",F26,"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40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IF(W26="BS",X26,"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IF(E27="BS",F27,"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40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IF(W27="BS",X27,"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IF(E28="BS",F28,"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40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IF(W28="BS",X28,"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IF(E29="BS",F29,"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40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IF(W29="BS",X29,"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IF(E30="BS",F30,"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40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IF(W30="BS",X30,"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IF(E31="BS",F31,"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40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IF(W31="BS",X31,"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IF(E32="BS",F32,"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40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IF(W32="BS",X32,"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IF(E33="BS",F33,"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40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IF(W33="BS",X33,"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IF(E34="BS",F34,"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40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IF(W34="BS",X34,"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IF(E35="BS",F35,"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40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IF(W35="BS",X35,"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IF(E36="BS",F36,"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40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IF(W36="BS",X36,"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IF(E37="BS",F37,"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40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IF(W37="BS",X37,"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IF(E38="BS",F38,"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40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IF(W38="BS",X38,"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IF(E39="BS",F39,"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40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IF(W39="BS",X39,"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IF(E40="BS",F40,"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40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IF(W40="BS",X40,"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IF(E41="BS",F41,"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40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IF(W41="BS",X41,"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IF(E42="BS",F42,"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40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IF(W42="BS",X42,"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IF(E43="BS",F43,"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40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IF(W43="BS",X43,"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IF(E44="BS",F44,"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40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IF(W44="BS",X44,"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IF(E45="BS",F45,"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40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IF(W45="BS",X45,"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IF(E46="BS",F46,"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40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IF(W46="BS",X46,"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IF(E47="BS",F47,"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40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IF(W47="BS",X47,"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IF(E48="BS",F48,"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40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IF(W48="BS",X48,"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IF(E49="BS",F49,"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40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IF(W49="BS",X49,"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IF(E50="BS",F50,"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40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IF(W50="BS",X50,"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IF(E51="BS",F51,"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40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IF(W51="BS",X51,"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IF(E52="BS",F52,"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40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IF(W52="BS",X52,"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IF(E53="BS",F53,"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40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IF(W53="BS",X53,"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IF(E54="BS",F54,"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40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IF(W54="BS",X54,"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IF(E55="BS",F55,"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40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IF(W55="BS",X55,"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IF(E56="BS",F56,"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40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IF(W56="BS",X56,"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IF(E57="BS",F57,"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40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IF(W57="BS",X57,"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IF(E58="BS",F58,"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40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IF(W58="BS",X58,"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IF(E59="BS",F59,"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40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IF(W59="BS",X59,"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IF(E60="BS",F60,"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40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IF(W60="BS",X60,"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IF(E61="BS",F61,"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40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IF(W61="BS",X61,"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IF(E62="BS",F62,"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40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IF(W62="BS",X62,"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IF(E63="BS",F63,"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40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IF(W63="BS",X63,"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IF(E64="BS",F64,"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40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IF(W64="BS",X64,"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IF(E65="BS",F65,"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40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IF(W65="BS",X65,"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IF(E66="BS",F66,"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40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IF(W66="BS",X66,"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IF(E67="BS",F67,"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40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IF(W67="BS",X67,"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IF(E68="BS",F68,"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40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IF(W68="BS",X68,"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IF(E69="BS",F69,"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40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IF(W69="BS",X69,"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IF(E70="BS",F70,"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40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IF(W70="BS",X70,"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IF(E71="BS",F71,"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40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IF(W71="BS",X71,"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IF(E72="BS",F72,"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40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IF(W72="BS",X72,"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IF(E73="BS",F73,"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40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IF(W73="BS",X73,"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IF(E74="BS",F74,"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40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IF(W74="BS",X74,"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IF(E75="BS",F75,"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40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IF(W75="BS",X75,"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IF(E76="BS",F76,"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40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IF(W76="BS",X76,"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IF(E77="BS",F77,"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40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IF(W77="BS",X77,"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IF(E78="BS",F78,"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40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IF(W78="BS",X78,"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IF(E79="BS",F79,"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40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IF(W79="BS",X79,"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IF(E80="BS",F80,"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40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IF(W80="BS",X80,"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IF(E81="BS",F81,"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40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IF(W81="BS",X81,"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IF(E82="BS",F82,"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40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IF(W82="BS",X82,"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IF(E83="BS",F83,"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40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IF(W83="BS",X83,"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IF(E84="BS",F84,"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40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IF(W84="BS",X84,"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IF(E85="BS",F85,"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40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IF(W85="BS",X85,"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IF(E86="BS",F86,"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40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IF(W86="BS",X86,"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IF(E87="BS",F87,"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40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IF(W87="BS",X87,"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IF(E88="BS",F88,"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40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IF(W88="BS",X88,"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IF(E89="BS",F89,"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40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IF(W89="BS",X89,"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IF(E90="BS",F90,"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40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IF(W90="BS",X90,"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IF(E91="BS",F91,"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40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IF(W91="BS",X91,"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IF(E92="BS",F92,"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40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IF(W92="BS",X92,"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IF(E93="BS",F93,"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40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IF(W93="BS",X93,"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IF(E94="BS",F94,"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40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IF(W94="BS",X94,"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IF(E95="BS",F95,"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40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IF(W95="BS",X95,"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IF(E96="BS",F96,"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40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IF(W96="BS",X96,"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IF(E97="BS",F97,"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40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IF(W97="BS",X97,"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IF(E98="BS",F98,"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40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IF(W98="BS",X98,"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IF(E99="BS",F99,"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40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IF(W99="BS",X99,"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IF(E100="BS",F100,"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40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IF(W100="BS",X100,"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IF(E101="BS",F101,"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40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IF(W101="BS",X101,"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IF(E102="BS",F102,"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40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IF(W102="BS",X102,"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IF(E103="BS",F103,"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40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IF(W103="BS",X103,"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IF(E104="BS",F104,"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40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IF(W104="BS",X104,"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IF(E105="BS",F105,"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40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IF(W105="BS",X105,"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IF(E106="BS",F106,"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40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IF(W106="BS",X106,"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IF(E107="BS",F107,"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40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IF(W107="BS",X107,"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IF(E108="BS",F108,"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40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IF(W108="BS",X108,"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IF(E109="BS",F109,"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40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IF(W109="BS",X109,"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IF(E110="BS",F110,"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40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IF(W110="BS",X110,"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IF(E111="BS",F111,"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40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IF(W111="BS",X111,"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IF(E112="BS",F112,"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40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IF(W112="BS",X112,"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IF(E113="BS",F113,"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40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IF(W113="BS",X113,"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IF(E114="BS",F114,"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40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IF(W114="BS",X114,"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IF(E115="BS",F115,"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40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IF(W115="BS",X115,"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IF(E116="BS",F116,"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40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IF(W116="BS",X116,"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IF(E117="BS",F117,"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40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IF(W117="BS",X117,"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IF(E118="BS",F118,"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40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IF(W118="BS",X118,"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IF(E119="BS",F119,"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40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IF(W119="BS",X119,"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IF(E120="BS",F120,"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40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IF(W120="BS",X120,"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IF(E121="BS",F121,"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40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IF(W121="BS",X121,"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IF(E122="BS",F122,"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40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IF(W122="BS",X122,"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IF(E123="BS",F123,"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40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IF(W123="BS",X123,"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IF(E124="BS",F124,"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40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IF(W124="BS",X124,"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IF(E125="BS",F125,"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40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IF(W125="BS",X125,"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IF(E126="BS",F126,"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40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IF(W126="BS",X126,"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IF(E127="BS",F127,"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40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IF(W127="BS",X127,"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IF(E128="BS",F128,"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40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IF(W128="BS",X128,"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IF(E129="BS",F129,"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40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IF(W129="BS",X129,"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IF(E130="BS",F130,"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40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IF(W130="BS",X130,"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IF(E131="BS",F131,"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40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IF(W131="BS",X131,"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IF(E132="BS",F132,"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40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IF(W132="BS",X132,"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IF(E133="BS",F133,"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40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IF(W133="BS",X133,"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IF(E134="BS",F134,"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40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IF(W134="BS",X134,"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IF(E135="BS",F135,"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40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IF(W135="BS",X135,"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IF(E136="BS",F136,"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40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IF(W136="BS",X136,"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IF(E137="BS",F137,"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40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IF(W137="BS",X137,"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IF(E138="BS",F138,"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40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IF(W138="BS",X138,"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IF(E139="BS",F139,"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40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IF(W139="BS",X139,"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IF(E140="BS",F140,"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40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IF(W140="BS",X140,"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IF(E141="BS",F141,"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40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IF(W141="BS",X141,"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IF(E142="BS",F142,"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40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IF(W142="BS",X142,"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IF(E143="BS",F143,"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40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IF(W143="BS",X143,"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IF(E144="BS",F144,"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40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IF(W144="BS",X144,"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IF(E145="BS",F145,"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40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IF(W145="BS",X145,"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IF(E146="BS",F146,"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40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IF(W146="BS",X146,"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IF(E147="BS",F147,"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40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IF(W147="BS",X147,"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IF(E148="BS",F148,"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40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IF(W148="BS",X148,"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IF(E149="BS",F149,"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40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IF(W149="BS",X149,"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IF(E150="BS",F150,"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40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IF(W150="BS",X150,"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IF(E151="BS",F151,"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40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IF(W151="BS",X151,"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IF(E152="BS",F152,"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40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IF(W152="BS",X152,"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IF(E153="BS",F153,"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40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IF(W153="BS",X153,"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IF(E154="BS",F154,"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40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IF(W154="BS",X154,"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IF(E155="BS",F155,"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40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IF(W155="BS",X155,"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IF(E156="BS",F156,"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40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IF(W156="BS",X156,"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IF(E157="BS",F157,"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40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IF(W157="BS",X157,"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IF(E158="BS",F158,"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40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IF(W158="BS",X158,"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IF(E159="BS",F159,"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40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IF(W159="BS",X159,"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IF(E160="BS",F160,"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40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IF(W160="BS",X160,"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IF(E161="BS",F161,"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40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IF(W161="BS",X161,"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IF(E162="BS",F162,"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40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IF(W162="BS",X162,"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IF(E163="BS",F163,"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40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IF(W163="BS",X163,"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IF(E164="BS",F164,"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40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IF(W164="BS",X164,"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IF(E165="BS",F165,"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40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IF(W165="BS",X165,"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IF(E166="BS",F166,"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40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IF(W166="BS",X166,"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IF(E167="BS",F167,"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40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IF(W167="BS",X167,"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IF(E168="BS",F168,"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40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IF(W168="BS",X168,"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IF(E169="BS",F169,"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40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IF(W169="BS",X169,"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IF(E170="BS",F170,"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40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IF(W170="BS",X170,"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IF(E171="BS",F171,"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40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IF(W171="BS",X171,"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IF(E172="BS",F172,"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40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IF(W172="BS",X172,"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IF(E173="BS",F173,"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40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IF(W173="BS",X173,"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IF(E174="BS",F174,"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8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IF(W174="BS",X174,"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IF(E175="BS",F175,"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41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IF(W175="BS",X175,"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IF(E176="BS",F176,"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40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IF(W176="BS",X176,"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IF(E177="BS",F177,"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40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IF(W177="BS",X177,"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IF(E178="BS",F178,"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40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IF(W178="BS",X178,"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IF(E179="BS",F179,"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40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IF(W179="BS",X179,"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IF(E180="BS",F180,"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40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IF(W180="BS",X180,"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IF(E181="BS",F181,"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40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IF(W181="BS",X181,"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IF(E182="BS",F182,"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40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IF(W182="BS",X182,"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IF(E183="BS",F183,"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40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IF(W183="BS",X183,"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IF(E184="BS",F184,"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40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IF(W184="BS",X184,"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IF(E185="BS",F185,"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40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IF(W185="BS",X185,"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IF(E186="BS",F186,"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40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IF(W186="BS",X186,"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IF(E187="BS",F187,"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40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IF(W187="BS",X187,"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IF(E188="BS",F188,"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40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IF(W188="BS",X188,"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IF(E189="BS",F189,"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40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IF(W189="BS",X189,"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IF(E190="BS",F190,"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40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IF(W190="BS",X190,"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IF(E191="BS",F191,"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40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IF(W191="BS",X191,"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IF(E192="BS",F192,"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40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IF(W192="BS",X192,"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IF(E193="BS",F193,"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40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IF(W193="BS",X193,"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IF(E194="BS",F194,"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40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IF(W194="BS",X194,"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IF(E195="BS",F195,"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40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IF(W195="BS",X195,"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IF(E196="BS",F196,"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40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IF(W196="BS",X196,"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IF(E197="BS",F197,"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40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IF(W197="BS",X197,"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IF(E198="BS",F198,"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40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IF(W198="BS",X198,"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IF(E199="BS",F199,"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40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IF(W199="BS",X199,"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42"/>
      <c r="B200" s="43"/>
      <c r="C200" s="44"/>
      <c r="D200" s="45"/>
      <c r="E200" s="46" t="str">
        <f aca="false">IF(F200&lt;&gt;0,"Enter Code"," ")</f>
        <v> </v>
      </c>
      <c r="F200" s="47"/>
      <c r="G200" s="47" t="str">
        <f aca="false">IF(E200="BB",F200," ")</f>
        <v> </v>
      </c>
      <c r="H200" s="47" t="str">
        <f aca="false">IF(E200="BS",F200," ")</f>
        <v> </v>
      </c>
      <c r="I200" s="47" t="str">
        <f aca="false">IF(E200="BC",F200," ")</f>
        <v> </v>
      </c>
      <c r="J200" s="47" t="str">
        <f aca="false">IF(E200="DR",F200," ")</f>
        <v> </v>
      </c>
      <c r="K200" s="47" t="str">
        <f aca="false">IF(E200="K",F200," ")</f>
        <v> </v>
      </c>
      <c r="L200" s="47" t="str">
        <f aca="false">IF(E200="LDR",F200," ")</f>
        <v> </v>
      </c>
      <c r="M200" s="47" t="str">
        <f aca="false">IF(E200="LCR",F200," ")</f>
        <v> </v>
      </c>
      <c r="N200" s="47" t="str">
        <f aca="false">IF(E200="RV",F200," ")</f>
        <v> </v>
      </c>
      <c r="O200" s="47" t="str">
        <f aca="false">IF(E200="RC",F200," ")</f>
        <v> </v>
      </c>
      <c r="P200" s="47" t="str">
        <f aca="false">IF(E200="DL",F200," ")</f>
        <v> </v>
      </c>
      <c r="Q200" s="47" t="str">
        <f aca="false">IF(E200="X",F200," ")</f>
        <v> </v>
      </c>
      <c r="R200" s="41"/>
      <c r="S200" s="42"/>
      <c r="T200" s="45"/>
      <c r="U200" s="44"/>
      <c r="V200" s="44"/>
      <c r="W200" s="47" t="str">
        <f aca="false">IF(X200&lt;&gt;0,"Enter Code"," ")</f>
        <v> </v>
      </c>
      <c r="X200" s="47"/>
      <c r="Y200" s="47" t="str">
        <f aca="false">IF(W200="BB",X200," ")</f>
        <v> </v>
      </c>
      <c r="Z200" s="47" t="str">
        <f aca="false">IF(W200="BS",X200," ")</f>
        <v> </v>
      </c>
      <c r="AA200" s="47" t="str">
        <f aca="false">IF(W200="BC",X200," ")</f>
        <v> </v>
      </c>
      <c r="AB200" s="47" t="str">
        <f aca="false">IF(W200="CR",X200," ")</f>
        <v> </v>
      </c>
      <c r="AC200" s="47" t="str">
        <f aca="false">IF(W200="W",X200," ")</f>
        <v> </v>
      </c>
      <c r="AD200" s="47" t="str">
        <f aca="false">IF(W200="B",X200," ")</f>
        <v> </v>
      </c>
      <c r="AE200" s="47" t="str">
        <f aca="false">IF(W200="J",X200," ")</f>
        <v> </v>
      </c>
      <c r="AF200" s="47" t="str">
        <f aca="false">IF(W200="LDR",X200," ")</f>
        <v> </v>
      </c>
      <c r="AG200" s="47" t="str">
        <f aca="false">IF(W200="LCR",X200," ")</f>
        <v> </v>
      </c>
      <c r="AH200" s="47" t="str">
        <f aca="false">IF(W200="RP",X200," ")</f>
        <v> </v>
      </c>
      <c r="AI200" s="47" t="str">
        <f aca="false">IF(W200="RV",X200," ")</f>
        <v> </v>
      </c>
      <c r="AJ200" s="47" t="str">
        <f aca="false">IF(W200="RC",X200," ")</f>
        <v> </v>
      </c>
      <c r="AK200" s="47" t="str">
        <f aca="false">IF(W200="RT",X200," ")</f>
        <v> </v>
      </c>
      <c r="AL200" s="47" t="str">
        <f aca="false">IF(W200="DV",X200," ")</f>
        <v> </v>
      </c>
      <c r="AM200" s="47" t="str">
        <f aca="false">IF(W200="DL",X200," ")</f>
        <v> </v>
      </c>
      <c r="AN200" s="47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ndicates the receipts and payments entered do not agree with the CREDIT CARD STATEMENT.&#10;&#10;CHECK THE AMOUNTS ENTERED AGAINST THE CREDIT CARD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</dc:creator>
  <dc:description/>
  <dc:language>en-US</dc:language>
  <cp:lastModifiedBy>Cartwright, Antony</cp:lastModifiedBy>
  <cp:lastPrinted>2007-03-01T02:22:31Z</cp:lastPrinted>
  <dcterms:modified xsi:type="dcterms:W3CDTF">2025-04-03T23:05:18Z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