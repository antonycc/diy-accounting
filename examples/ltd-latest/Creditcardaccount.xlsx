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un" sheetId="1" state="visible" r:id="rId3"/>
    <sheet name="Jul" sheetId="2" state="visible" r:id="rId4"/>
    <sheet name="Aug" sheetId="3" state="visible" r:id="rId5"/>
    <sheet name="Sep" sheetId="4" state="visible" r:id="rId6"/>
    <sheet name="Oct" sheetId="5" state="visible" r:id="rId7"/>
    <sheet name="Nov" sheetId="6" state="visible" r:id="rId8"/>
    <sheet name="Dec" sheetId="7" state="visible" r:id="rId9"/>
    <sheet name="Jan" sheetId="8" state="visible" r:id="rId10"/>
    <sheet name="Feb" sheetId="9" state="visible" r:id="rId11"/>
    <sheet name="Mar" sheetId="10" state="visible" r:id="rId12"/>
    <sheet name="Apr" sheetId="11" state="visible" r:id="rId13"/>
    <sheet name="May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<sst xmlns="http://schemas.openxmlformats.org/spreadsheetml/2006/main" count="892" uniqueCount="62">
  <si>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</si>
  <si>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</si>
  <si>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</si>
  <si>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</si>
  <si>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</si>
  <si>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COMPANY CREDIT CARD STATEMENT RECEIPTS</t>
  </si>
  <si>
    <t xml:space="preserve">Enter Purchase Invoice No.</t>
  </si>
  <si>
    <t xml:space="preserve">Cheque number  Direct Debit</t>
  </si>
  <si>
    <t xml:space="preserve">COMPANY CREDIT CARD STATEMENT PAYMENTS</t>
  </si>
  <si>
    <t xml:space="preserve">&lt;  Statement Bank Balance</t>
  </si>
  <si>
    <t xml:space="preserve">Amounts received from each Source</t>
  </si>
  <si>
    <t xml:space="preserve">Transfers From Current</t>
  </si>
  <si>
    <t xml:space="preserve">Transfers   From        Savings</t>
  </si>
  <si>
    <t xml:space="preserve">Transfers     From     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</si>
  <si>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</si>
  <si>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</si>
  <si>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</si>
  <si>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</si>
  <si>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</si>
  <si>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</si>
  <si>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</si>
  <si>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</si>
  <si>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</si>
  <si>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Current</t>
  </si>
  <si>
    <t xml:space="preserve">Transfers      To     Savings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</si>
  <si>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</si>
  <si>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</si>
  <si>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</si>
  <si>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</si>
  <si>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</si>
  <si>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</si>
  <si>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</si>
  <si>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</si>
  <si>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</si>
  <si>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</si>
  <si>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</si>
  <si>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</si>
  <si>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</si>
  <si>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</si>
  <si>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</si>
  <si>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</si>
  <si>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BS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</si>
  <si>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</si>
  <si>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</si>
  <si>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</si>
  <si>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</si>
  <si>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</si>
  <si>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</si>
  <si>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</si>
  <si>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</si>
  <si>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</si>
  <si>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</si>
  <si>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</si>
  <si>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</si>
  <si>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</si>
  <si>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</si>
  <si>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</si>
  <si>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</si>
  <si>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Payment from current</t>
  </si>
  <si>
    <t xml:space="preserve">HSBC</t>
  </si>
  <si>
    <t xml:space="preserve">Premier Inn</t>
  </si>
  <si>
    <t xml:space="preserve">Trainline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</si>
</sst>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/>
      <c r="B1" s="8" t="s">
        <v>0</v>
      </c>
      <c r="C1" s="9" t="n">
        <f aca="false">[1]Admin!$B$9</f>
        <v>45748</v>
      </c>
      <c r="D1" s="10" t="s">
        <v>1</v>
      </c>
      <c r="E1" s="11" t="n">
        <f aca="false">F1-SUM(G1:Q1)</f>
        <v>0</v>
      </c>
      <c r="F1" s="12" t="n">
        <f aca="false">SUM(F6:F200)</f>
        <v>500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</v>
      </c>
      <c r="B2" s="18" t="s">
        <v>2</v>
      </c>
      <c r="C2" s="9" t="n">
        <f aca="false">[1]Admin!$B$10</f>
        <v>45777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45777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45838</v>
      </c>
      <c r="B6" s="2" t="s">
        <v>58</v>
      </c>
      <c r="E6" s="37" t="s">
        <v>50</v>
      </c>
      <c r="F6" s="6" t="n">
        <v>500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Jun!A2</f>
        <v>500</v>
      </c>
      <c r="B1" s="8" t="s">
        <v>0</v>
      </c>
      <c r="C1" s="9" t="n">
        <f aca="false">[1]Admin!$B$11</f>
        <v>45778</v>
      </c>
      <c r="D1" s="10" t="s">
        <v>1</v>
      </c>
      <c r="E1" s="11" t="n">
        <f aca="false">F1-SUM(G1:Q1)</f>
        <v>-45858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45858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</v>
      </c>
      <c r="B2" s="18" t="s">
        <v>2</v>
      </c>
      <c r="C2" s="9" t="n">
        <f aca="false">[1]Admin!$B$12</f>
        <v>45808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Check all Receipts Code Letters entered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45808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45858</v>
      </c>
      <c r="Q6" s="6" t="s">
        <v>59</v>
      </c>
      <c r="R6" s="38"/>
      <c r="S6" s="1" t="s">
        <v>53</v>
      </c>
      <c r="T6" s="4" t="n">
        <v>35</v>
      </c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Jul!A2</f>
        <v>500</v>
      </c>
      <c r="B1" s="8" t="s">
        <v>0</v>
      </c>
      <c r="C1" s="9" t="n">
        <f aca="false">[1]Admin!$B$13</f>
        <v>45809</v>
      </c>
      <c r="D1" s="10" t="s">
        <v>1</v>
      </c>
      <c r="E1" s="11" t="n">
        <f aca="false">F1-SUM(G1:Q1)</f>
        <v>180</v>
      </c>
      <c r="F1" s="12" t="n">
        <f aca="false">SUM(F6:F200)</f>
        <v>180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680</v>
      </c>
      <c r="B2" s="18" t="s">
        <v>2</v>
      </c>
      <c r="C2" s="9" t="n">
        <f aca="false">[1]Admin!$B$14</f>
        <v>45838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Check all Receipts Code Letters entered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45838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680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45887</v>
      </c>
      <c r="B6" s="2" t="s">
        <v>60</v>
      </c>
      <c r="E6" s="37" t="s">
        <v>51</v>
      </c>
      <c r="F6" s="6" t="n">
        <v>180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Aug!A2</f>
        <v>680</v>
      </c>
      <c r="B1" s="8" t="s">
        <v>0</v>
      </c>
      <c r="C1" s="9" t="n">
        <f aca="false">[1]Admin!$B$15</f>
        <v>45839</v>
      </c>
      <c r="D1" s="10" t="s">
        <v>1</v>
      </c>
      <c r="E1" s="11" t="n">
        <f aca="false">F1-SUM(G1:Q1)</f>
        <v>0</v>
      </c>
      <c r="F1" s="12" t="n">
        <f aca="false">SUM(F6:F200)</f>
        <v>300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300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980</v>
      </c>
      <c r="B2" s="18" t="s">
        <v>2</v>
      </c>
      <c r="C2" s="9" t="n">
        <f aca="false">[1]Admin!$B$16</f>
        <v>45869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45869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980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45931</v>
      </c>
      <c r="B6" s="2" t="s">
        <v>58</v>
      </c>
      <c r="E6" s="37" t="s">
        <v>50</v>
      </c>
      <c r="F6" s="6" t="n">
        <v>300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300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Sep!A2</f>
        <v>980</v>
      </c>
      <c r="B1" s="8" t="s">
        <v>0</v>
      </c>
      <c r="C1" s="9" t="n">
        <f aca="false">[1]Admin!$B$17</f>
        <v>45870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980</v>
      </c>
      <c r="B2" s="18" t="s">
        <v>2</v>
      </c>
      <c r="C2" s="9" t="n">
        <f aca="false">[1]Admin!$B$18</f>
        <v>45900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45900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980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Oct!A2</f>
        <v>980</v>
      </c>
      <c r="B1" s="8" t="s">
        <v>0</v>
      </c>
      <c r="C1" s="9" t="n">
        <f aca="false">[1]Admin!$B$19</f>
        <v>45901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980</v>
      </c>
      <c r="B2" s="18" t="s">
        <v>2</v>
      </c>
      <c r="C2" s="9" t="n">
        <f aca="false">[1]Admin!$B$20</f>
        <v>45930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45930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980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Nov!A2</f>
        <v>980</v>
      </c>
      <c r="B1" s="8" t="s">
        <v>0</v>
      </c>
      <c r="C1" s="9" t="n">
        <f aca="false">[1]Admin!$B$21</f>
        <v>45931</v>
      </c>
      <c r="D1" s="10" t="s">
        <v>1</v>
      </c>
      <c r="E1" s="11" t="n">
        <f aca="false">F1-SUM(G1:Q1)</f>
        <v>120</v>
      </c>
      <c r="F1" s="12" t="n">
        <f aca="false">SUM(F6:F200)</f>
        <v>620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1600</v>
      </c>
      <c r="B2" s="18" t="s">
        <v>2</v>
      </c>
      <c r="C2" s="9" t="n">
        <f aca="false">[1]Admin!$B$22</f>
        <v>45961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Check all Receipts Code Letters entered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45961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1600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46009</v>
      </c>
      <c r="B6" s="2" t="s">
        <v>61</v>
      </c>
      <c r="E6" s="37" t="s">
        <v>51</v>
      </c>
      <c r="F6" s="6" t="n">
        <v>120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A7" s="1" t="n">
        <v>46022</v>
      </c>
      <c r="B7" s="2" t="s">
        <v>58</v>
      </c>
      <c r="E7" s="5" t="s">
        <v>50</v>
      </c>
      <c r="F7" s="6" t="n">
        <v>500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n">
        <f aca="false">IF(E7="X",F7," ")</f>
        <v>500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Dec!A2</f>
        <v>1600</v>
      </c>
      <c r="B1" s="8" t="s">
        <v>0</v>
      </c>
      <c r="C1" s="9" t="n">
        <f aca="false">[1]Admin!$B$23</f>
        <v>45962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1600</v>
      </c>
      <c r="B2" s="18" t="s">
        <v>2</v>
      </c>
      <c r="C2" s="9" t="n">
        <f aca="false">[1]Admin!$B$24</f>
        <v>45991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45991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1600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Jan!A2</f>
        <v>1600</v>
      </c>
      <c r="B1" s="8" t="s">
        <v>0</v>
      </c>
      <c r="C1" s="9" t="n">
        <f aca="false">[1]Admin!$B$25</f>
        <v>45992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1600</v>
      </c>
      <c r="B2" s="18" t="s">
        <v>2</v>
      </c>
      <c r="C2" s="9" t="n">
        <f aca="false">[1]Admin!$B$26</f>
        <v>46022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46022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1600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Feb!A2</f>
        <v>1600</v>
      </c>
      <c r="B1" s="8" t="s">
        <v>0</v>
      </c>
      <c r="C1" s="9" t="n">
        <f aca="false">[1]Admin!$B$27</f>
        <v>46023</v>
      </c>
      <c r="D1" s="10" t="s">
        <v>1</v>
      </c>
      <c r="E1" s="11" t="n">
        <f aca="false">F1-SUM(G1:Q1)</f>
        <v>0</v>
      </c>
      <c r="F1" s="12" t="n">
        <f aca="false">SUM(F6:F200)</f>
        <v>300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300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1900</v>
      </c>
      <c r="B2" s="18" t="s">
        <v>2</v>
      </c>
      <c r="C2" s="9" t="n">
        <f aca="false">[1]Admin!$B$28</f>
        <v>46053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46053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1900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46112</v>
      </c>
      <c r="B6" s="2" t="s">
        <v>58</v>
      </c>
      <c r="E6" s="37" t="s">
        <v>50</v>
      </c>
      <c r="F6" s="6" t="n">
        <v>300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300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Mar!A2</f>
        <v>1900</v>
      </c>
      <c r="B1" s="8" t="s">
        <v>0</v>
      </c>
      <c r="C1" s="9" t="n">
        <f aca="false">[1]Admin!$B$29</f>
        <v>46054</v>
      </c>
      <c r="D1" s="10" t="s">
        <v>1</v>
      </c>
      <c r="E1" s="11" t="n">
        <f aca="false">F1-SUM(G1:Q1)</f>
        <v>240</v>
      </c>
      <c r="F1" s="12" t="n">
        <f aca="false">SUM(F6:F200)</f>
        <v>240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2140</v>
      </c>
      <c r="B2" s="18" t="s">
        <v>2</v>
      </c>
      <c r="C2" s="9" t="n">
        <f aca="false">[1]Admin!$B$30</f>
        <v>46081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Check all Receipts Code Letters entered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46081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2140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46130</v>
      </c>
      <c r="B6" s="2" t="s">
        <v>60</v>
      </c>
      <c r="E6" s="37" t="s">
        <v>51</v>
      </c>
      <c r="F6" s="6" t="n">
        <v>240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Apr!A2</f>
        <v>2140</v>
      </c>
      <c r="B1" s="8" t="s">
        <v>0</v>
      </c>
      <c r="C1" s="9" t="n">
        <f aca="false">[1]Admin!$B$31</f>
        <v>46082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2140</v>
      </c>
      <c r="B2" s="18" t="s">
        <v>2</v>
      </c>
      <c r="C2" s="9" t="n">
        <f aca="false">[1]Admin!$B$32</f>
        <v>46112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46112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2140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2007-03-01T02:22:31Z</cp:lastPrinted>
  <dcterms:modified xsi:type="dcterms:W3CDTF">2025-04-03T23:05:18Z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