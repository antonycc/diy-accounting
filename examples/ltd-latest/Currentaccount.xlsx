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" sheetId="1" state="visible" r:id="rId3"/>
    <sheet name="Jul" sheetId="2" state="visible" r:id="rId4"/>
    <sheet name="Aug" sheetId="3" state="visible" r:id="rId5"/>
    <sheet name="Sep" sheetId="4" state="visible" r:id="rId6"/>
    <sheet name="Oct" sheetId="5" state="visible" r:id="rId7"/>
    <sheet name="Nov" sheetId="6" state="visible" r:id="rId8"/>
    <sheet name="Dec" sheetId="7" state="visible" r:id="rId9"/>
    <sheet name="Jan" sheetId="8" state="visible" r:id="rId10"/>
    <sheet name="Feb" sheetId="9" state="visible" r:id="rId11"/>
    <sheet name="Mar" sheetId="10" state="visible" r:id="rId12"/>
    <sheet name="Apr" sheetId="11" state="visible" r:id="rId13"/>
    <sheet name="May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Apr!$A$1:$AI$75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Feb!$A$1:$AJ$75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<sst xmlns="http://schemas.openxmlformats.org/spreadsheetml/2006/main" count="1149" uniqueCount="78">
  <si>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</si>
  <si>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</si>
  <si>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</si>
  <si>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</si>
  <si>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CURRENT ACCOUNT STATEMENT RECEIPTS</t>
  </si>
  <si>
    <t xml:space="preserve">Enter Purchase Invoice No.</t>
  </si>
  <si>
    <t xml:space="preserve">Cheque number  Direct Debit</t>
  </si>
  <si>
    <t xml:space="preserve">CURRENT ACCOUNT STATEMENT PAYMENTS</t>
  </si>
  <si>
    <t xml:space="preserve">&lt;  Statement Bank Balance</t>
  </si>
  <si>
    <t xml:space="preserve">Amounts received from each Source</t>
  </si>
  <si>
    <t xml:space="preserve">Transfers From Savings</t>
  </si>
  <si>
    <t xml:space="preserve">Transfers   From        Cr Card</t>
  </si>
  <si>
    <t xml:space="preserve">Transfers     From      Cash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</si>
  <si>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</si>
  <si>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</si>
  <si>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</si>
  <si>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</si>
  <si>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HMRC   Vat Refunded</t>
  </si>
  <si>
    <t xml:space="preserve">HMRC CIS Refunded</t>
  </si>
  <si>
    <t xml:space="preserve">Directors Loan Account</t>
  </si>
  <si>
    <t xml:space="preserve">Bank Contra items</t>
  </si>
  <si>
    <t xml:space="preserve">Amounts Paid by invoice number</t>
  </si>
  <si>
    <t xml:space="preserve">Transfers  To   Savings</t>
  </si>
  <si>
    <t xml:space="preserve">Transfers      To     Credit Card</t>
  </si>
  <si>
    <t xml:space="preserve">Transfers      To       Cash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</si>
  <si>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</si>
  <si>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</si>
  <si>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</si>
  <si>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</si>
  <si>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</si>
  <si>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</si>
  <si>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</si>
  <si>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</si>
  <si>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</si>
  <si>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</si>
  <si>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</si>
  <si>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</si>
  <si>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</si>
  <si>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</si>
  <si>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BS</t>
  </si>
  <si>
    <t xml:space="preserve">BD</t>
  </si>
  <si>
    <t xml:space="preserve">BC</t>
  </si>
  <si>
    <t xml:space="preserve">DR</t>
  </si>
  <si>
    <t xml:space="preserve">K</t>
  </si>
  <si>
    <t xml:space="preserve">LDR</t>
  </si>
  <si>
    <t xml:space="preserve">LCR</t>
  </si>
  <si>
    <t xml:space="preserve">RV</t>
  </si>
  <si>
    <t xml:space="preserve">RC</t>
  </si>
  <si>
    <t xml:space="preserve">DL</t>
  </si>
  <si>
    <t xml:space="preserve">X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</si>
  <si>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</si>
  <si>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</si>
  <si>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</si>
  <si>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</si>
  <si>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</si>
  <si>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RT</t>
  </si>
  <si>
    <t xml:space="preserve">DV</t>
  </si>
  <si>
    <t xml:space="preserve">WorkSpace Ltd</t>
  </si>
  <si>
    <t xml:space="preserve">HMRC</t>
  </si>
  <si>
    <t xml:space="preserve">Director</t>
  </si>
  <si>
    <t xml:space="preserve">Payroll</t>
  </si>
  <si>
    <t xml:space="preserve">Various suppliers</t>
  </si>
  <si>
    <t xml:space="preserve">Acme Corp</t>
  </si>
  <si>
    <t xml:space="preserve">Beta Systems</t>
  </si>
  <si>
    <t xml:space="preserve">TechStart Ltd</t>
  </si>
  <si>
    <t xml:space="preserve">Gamma Ltd</t>
  </si>
  <si>
    <t xml:space="preserve">Various customers</t>
  </si>
  <si>
    <t xml:space="preserve">Smith &amp; Co</t>
  </si>
  <si>
    <t xml:space="preserve">Credit card payment</t>
  </si>
  <si>
    <t xml:space="preserve">&lt;  Opening Bank Balance</t>
  </si>
  <si>
    <t xml:space="preserve">HSBC</t>
  </si>
  <si>
    <t xml:space="preserve">Directors loan interest</t>
  </si>
  <si>
    <t xml:space="preserve">Dividend</t>
  </si>
  <si>
    <t xml:space="preserve">Innovate UK</t>
  </si>
  <si>
    <t xml:space="preserve">Private buyer</t>
  </si>
  <si>
    <t xml:space="preserve">Ford</t>
  </si>
  <si>
    <t xml:space="preserve">Director loan</t>
  </si>
  <si>
    <t xml:space="preserve">Internal transfer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</si>
</sst>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7" t="n">
        <v>25000</v>
      </c>
      <c r="C1" s="8" t="n">
        <f aca="false">[1]Admin!$B$9</f>
        <v>45748</v>
      </c>
      <c r="D1" s="9" t="s">
        <v>0</v>
      </c>
      <c r="E1" s="10" t="n">
        <f aca="false">F1-SUM(G1:Q1)</f>
        <v>-132637</v>
      </c>
      <c r="F1" s="11" t="n">
        <f aca="false">SUM(F6:F200)</f>
        <v>29600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24400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137837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54600</v>
      </c>
      <c r="B2" s="17" t="s">
        <v>1</v>
      </c>
      <c r="C2" s="8" t="n">
        <f aca="false">[1]Admin!$B$10</f>
        <v>45777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45777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54600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45809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45827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45809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45836</v>
      </c>
      <c r="Q7" s="6" t="s">
        <v>60</v>
      </c>
      <c r="R7" s="40"/>
      <c r="S7" s="1" t="s">
        <v>51</v>
      </c>
      <c r="T7" s="4" t="n">
        <v>5652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45813</v>
      </c>
      <c r="B8" s="2" t="s">
        <v>61</v>
      </c>
      <c r="E8" s="5" t="s">
        <v>50</v>
      </c>
      <c r="F8" s="6" t="n">
        <v>2200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46174</v>
      </c>
      <c r="Q8" s="6" t="s">
        <v>58</v>
      </c>
      <c r="R8" s="40"/>
      <c r="S8" s="1" t="s">
        <v>54</v>
      </c>
      <c r="T8" s="4" t="n">
        <v>2800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45818</v>
      </c>
      <c r="B9" s="2" t="s">
        <v>62</v>
      </c>
      <c r="E9" s="5" t="s">
        <v>42</v>
      </c>
      <c r="F9" s="6" t="n">
        <v>7200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7200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45823</v>
      </c>
      <c r="B10" s="2" t="s">
        <v>63</v>
      </c>
      <c r="E10" s="5" t="s">
        <v>42</v>
      </c>
      <c r="F10" s="6" t="n">
        <v>1200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1200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45828</v>
      </c>
      <c r="B11" s="2" t="s">
        <v>62</v>
      </c>
      <c r="E11" s="5" t="s">
        <v>42</v>
      </c>
      <c r="F11" s="6" t="n">
        <v>8000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8000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45833</v>
      </c>
      <c r="B12" s="2" t="s">
        <v>64</v>
      </c>
      <c r="E12" s="5" t="s">
        <v>42</v>
      </c>
      <c r="F12" s="6" t="n">
        <v>2400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n">
        <f aca="false">IF(E12="DR",F12," ")</f>
        <v>2400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A13" s="1" t="n">
        <v>45833</v>
      </c>
      <c r="B13" s="2" t="s">
        <v>65</v>
      </c>
      <c r="E13" s="5" t="s">
        <v>42</v>
      </c>
      <c r="F13" s="6" t="n">
        <v>2400</v>
      </c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n">
        <f aca="false">IF(E13="DR",F13," ")</f>
        <v>2400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A14" s="1" t="n">
        <v>45836</v>
      </c>
      <c r="B14" s="2" t="s">
        <v>66</v>
      </c>
      <c r="E14" s="5" t="s">
        <v>42</v>
      </c>
      <c r="F14" s="6" t="n">
        <v>3200</v>
      </c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n">
        <f aca="false">IF(E14="DR",F14," ")</f>
        <v>3200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A15" s="1" t="n">
        <v>45838</v>
      </c>
      <c r="B15" s="2" t="s">
        <v>67</v>
      </c>
      <c r="E15" s="5" t="s">
        <v>50</v>
      </c>
      <c r="F15" s="6" t="n">
        <v>300</v>
      </c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A16" s="1" t="n">
        <v>45838</v>
      </c>
      <c r="B16" s="2" t="s">
        <v>68</v>
      </c>
      <c r="E16" s="5" t="s">
        <v>49</v>
      </c>
      <c r="F16" s="6" t="n">
        <v>500</v>
      </c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Jun!A2</f>
        <v>54600</v>
      </c>
      <c r="B1" s="51" t="s">
        <v>69</v>
      </c>
      <c r="C1" s="8" t="n">
        <f aca="false">[1]Admin!$B$11</f>
        <v>45778</v>
      </c>
      <c r="D1" s="9" t="s">
        <v>0</v>
      </c>
      <c r="E1" s="10" t="n">
        <f aca="false">F1-SUM(G1:Q1)</f>
        <v>-132286</v>
      </c>
      <c r="F1" s="11" t="n">
        <f aca="false">SUM(F6:F200)</f>
        <v>19500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14200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137586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74100</v>
      </c>
      <c r="B2" s="17" t="s">
        <v>1</v>
      </c>
      <c r="C2" s="8" t="n">
        <f aca="false">[1]Admin!$B$12</f>
        <v>45808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45808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74100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45839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45857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45839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45863</v>
      </c>
      <c r="Q7" s="6" t="s">
        <v>70</v>
      </c>
      <c r="R7" s="40"/>
      <c r="S7" s="1" t="s">
        <v>52</v>
      </c>
      <c r="T7" s="4" t="n">
        <v>25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45843</v>
      </c>
      <c r="B8" s="2" t="s">
        <v>61</v>
      </c>
      <c r="E8" s="5" t="s">
        <v>50</v>
      </c>
      <c r="F8" s="6" t="n">
        <v>2800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45866</v>
      </c>
      <c r="Q8" s="6" t="s">
        <v>60</v>
      </c>
      <c r="R8" s="40"/>
      <c r="S8" s="1" t="s">
        <v>51</v>
      </c>
      <c r="T8" s="4" t="n">
        <v>5652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45858</v>
      </c>
      <c r="B9" s="2" t="s">
        <v>62</v>
      </c>
      <c r="E9" s="5" t="s">
        <v>42</v>
      </c>
      <c r="F9" s="6" t="n">
        <v>8000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8000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45863</v>
      </c>
      <c r="B10" s="2" t="s">
        <v>64</v>
      </c>
      <c r="E10" s="5" t="s">
        <v>42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45866</v>
      </c>
      <c r="B11" s="2" t="s">
        <v>66</v>
      </c>
      <c r="E11" s="5" t="s">
        <v>42</v>
      </c>
      <c r="F11" s="6" t="n">
        <v>3800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3800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45869</v>
      </c>
      <c r="B12" s="2" t="s">
        <v>67</v>
      </c>
      <c r="E12" s="5" t="s">
        <v>50</v>
      </c>
      <c r="F12" s="6" t="n">
        <v>300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Jul!A2</f>
        <v>74100</v>
      </c>
      <c r="B1" s="51" t="s">
        <v>69</v>
      </c>
      <c r="C1" s="8" t="n">
        <f aca="false">[1]Admin!$B$13</f>
        <v>45809</v>
      </c>
      <c r="D1" s="9" t="s">
        <v>0</v>
      </c>
      <c r="E1" s="10" t="n">
        <f aca="false">F1-SUM(G1:Q1)</f>
        <v>-132684</v>
      </c>
      <c r="F1" s="11" t="n">
        <f aca="false">SUM(F6:F200)</f>
        <v>19900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14900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137684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94000</v>
      </c>
      <c r="B2" s="17" t="s">
        <v>1</v>
      </c>
      <c r="C2" s="8" t="n">
        <f aca="false">[1]Admin!$B$14</f>
        <v>45838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45838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94000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45870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45888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45870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45897</v>
      </c>
      <c r="Q7" s="6" t="s">
        <v>60</v>
      </c>
      <c r="R7" s="40"/>
      <c r="S7" s="1" t="s">
        <v>51</v>
      </c>
      <c r="T7" s="4" t="n">
        <v>5652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45874</v>
      </c>
      <c r="B8" s="2" t="s">
        <v>61</v>
      </c>
      <c r="E8" s="5" t="s">
        <v>50</v>
      </c>
      <c r="F8" s="6" t="n">
        <v>2500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45899</v>
      </c>
      <c r="Q8" s="6" t="s">
        <v>71</v>
      </c>
      <c r="R8" s="40"/>
      <c r="S8" s="1" t="s">
        <v>52</v>
      </c>
      <c r="T8" s="4" t="n">
        <v>250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45889</v>
      </c>
      <c r="B9" s="2" t="s">
        <v>62</v>
      </c>
      <c r="E9" s="5" t="s">
        <v>42</v>
      </c>
      <c r="F9" s="6" t="n">
        <v>8000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8000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45894</v>
      </c>
      <c r="B10" s="2" t="s">
        <v>64</v>
      </c>
      <c r="E10" s="5" t="s">
        <v>42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45897</v>
      </c>
      <c r="B11" s="2" t="s">
        <v>66</v>
      </c>
      <c r="E11" s="5" t="s">
        <v>42</v>
      </c>
      <c r="F11" s="6" t="n">
        <v>4500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4500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45899</v>
      </c>
      <c r="B12" s="2" t="s">
        <v>67</v>
      </c>
      <c r="E12" s="5" t="s">
        <v>50</v>
      </c>
      <c r="F12" s="6" t="n">
        <v>300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Aug!A2</f>
        <v>94000</v>
      </c>
      <c r="B1" s="51" t="s">
        <v>69</v>
      </c>
      <c r="C1" s="8" t="n">
        <f aca="false">[1]Admin!$B$15</f>
        <v>45839</v>
      </c>
      <c r="D1" s="9" t="s">
        <v>0</v>
      </c>
      <c r="E1" s="10" t="n">
        <f aca="false">F1-SUM(G1:Q1)</f>
        <v>-224488</v>
      </c>
      <c r="F1" s="11" t="n">
        <f aca="false">SUM(F6:F200)</f>
        <v>19100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14000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229588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113100</v>
      </c>
      <c r="B2" s="17" t="s">
        <v>1</v>
      </c>
      <c r="C2" s="8" t="n">
        <f aca="false">[1]Admin!$B$16</f>
        <v>45869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45869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113100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45901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45907</v>
      </c>
      <c r="Q6" s="6" t="s">
        <v>58</v>
      </c>
      <c r="R6" s="38"/>
      <c r="S6" s="1" t="s">
        <v>54</v>
      </c>
      <c r="T6" s="4" t="n">
        <v>3800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45901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45915</v>
      </c>
      <c r="Q7" s="6" t="s">
        <v>72</v>
      </c>
      <c r="R7" s="40"/>
      <c r="S7" s="1" t="s">
        <v>56</v>
      </c>
      <c r="T7" s="4" t="n">
        <v>3000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45905</v>
      </c>
      <c r="B8" s="2" t="s">
        <v>61</v>
      </c>
      <c r="E8" s="5" t="s">
        <v>50</v>
      </c>
      <c r="F8" s="6" t="n">
        <v>2300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45919</v>
      </c>
      <c r="Q8" s="6" t="s">
        <v>58</v>
      </c>
      <c r="R8" s="40"/>
      <c r="S8" s="1" t="s">
        <v>54</v>
      </c>
      <c r="T8" s="4" t="n">
        <v>1501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45920</v>
      </c>
      <c r="B9" s="2" t="s">
        <v>62</v>
      </c>
      <c r="E9" s="5" t="s">
        <v>42</v>
      </c>
      <c r="F9" s="6" t="n">
        <v>8000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8000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n">
        <v>45919</v>
      </c>
      <c r="Q9" s="6" t="s">
        <v>58</v>
      </c>
      <c r="R9" s="40"/>
      <c r="S9" s="1" t="s">
        <v>54</v>
      </c>
      <c r="T9" s="4" t="n">
        <v>1000</v>
      </c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45925</v>
      </c>
      <c r="B10" s="2" t="s">
        <v>64</v>
      </c>
      <c r="E10" s="5" t="s">
        <v>42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n">
        <v>45928</v>
      </c>
      <c r="Q10" s="6" t="s">
        <v>60</v>
      </c>
      <c r="R10" s="40"/>
      <c r="S10" s="1" t="s">
        <v>51</v>
      </c>
      <c r="T10" s="4" t="n">
        <v>5652</v>
      </c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45928</v>
      </c>
      <c r="B11" s="2" t="s">
        <v>66</v>
      </c>
      <c r="E11" s="5" t="s">
        <v>42</v>
      </c>
      <c r="F11" s="6" t="n">
        <v>3600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3600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45931</v>
      </c>
      <c r="B12" s="2" t="s">
        <v>67</v>
      </c>
      <c r="E12" s="5" t="s">
        <v>50</v>
      </c>
      <c r="F12" s="6" t="n">
        <v>300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A13" s="1" t="n">
        <v>45931</v>
      </c>
      <c r="B13" s="2" t="s">
        <v>68</v>
      </c>
      <c r="E13" s="5" t="s">
        <v>49</v>
      </c>
      <c r="F13" s="6" t="n">
        <v>300</v>
      </c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Sep!A2</f>
        <v>113100</v>
      </c>
      <c r="B1" s="51" t="s">
        <v>69</v>
      </c>
      <c r="C1" s="8" t="n">
        <f aca="false">[1]Admin!$B$17</f>
        <v>45870</v>
      </c>
      <c r="D1" s="9" t="s">
        <v>0</v>
      </c>
      <c r="E1" s="10" t="n">
        <f aca="false">F1-SUM(G1:Q1)</f>
        <v>-86807</v>
      </c>
      <c r="F1" s="11" t="n">
        <f aca="false">SUM(F6:F200)</f>
        <v>22200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14600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2500</v>
      </c>
      <c r="O1" s="11" t="n">
        <f aca="false">SUM(O6:O200)</f>
        <v>0</v>
      </c>
      <c r="P1" s="11" t="n">
        <f aca="false">SUM(P6:P200)</f>
        <v>91907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135300</v>
      </c>
      <c r="B2" s="17" t="s">
        <v>1</v>
      </c>
      <c r="C2" s="8" t="n">
        <f aca="false">[1]Admin!$B$18</f>
        <v>45900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45900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135300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45931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45949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45931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45958</v>
      </c>
      <c r="Q7" s="6" t="s">
        <v>60</v>
      </c>
      <c r="R7" s="40"/>
      <c r="S7" s="1" t="s">
        <v>51</v>
      </c>
      <c r="T7" s="4" t="n">
        <v>5652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45935</v>
      </c>
      <c r="B8" s="2" t="s">
        <v>61</v>
      </c>
      <c r="E8" s="5" t="s">
        <v>50</v>
      </c>
      <c r="F8" s="6" t="n">
        <v>2600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R8" s="40"/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45935</v>
      </c>
      <c r="B9" s="2" t="s">
        <v>73</v>
      </c>
      <c r="E9" s="5" t="s">
        <v>46</v>
      </c>
      <c r="F9" s="6" t="n">
        <v>2500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n">
        <f aca="false">IF(E9="RV",F9," ")</f>
        <v>2500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45950</v>
      </c>
      <c r="B10" s="2" t="s">
        <v>62</v>
      </c>
      <c r="E10" s="5" t="s">
        <v>42</v>
      </c>
      <c r="F10" s="6" t="n">
        <v>8000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8000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45955</v>
      </c>
      <c r="B11" s="2" t="s">
        <v>64</v>
      </c>
      <c r="E11" s="5" t="s">
        <v>42</v>
      </c>
      <c r="F11" s="6" t="n">
        <v>2400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2400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45958</v>
      </c>
      <c r="B12" s="2" t="s">
        <v>66</v>
      </c>
      <c r="E12" s="5" t="s">
        <v>42</v>
      </c>
      <c r="F12" s="6" t="n">
        <v>4200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n">
        <f aca="false">IF(E12="DR",F12," ")</f>
        <v>4200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A13" s="1" t="n">
        <v>45961</v>
      </c>
      <c r="B13" s="2" t="s">
        <v>67</v>
      </c>
      <c r="E13" s="5" t="s">
        <v>50</v>
      </c>
      <c r="F13" s="6" t="n">
        <v>300</v>
      </c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Oct!A2</f>
        <v>135300</v>
      </c>
      <c r="B1" s="51" t="s">
        <v>69</v>
      </c>
      <c r="C1" s="8" t="n">
        <f aca="false">[1]Admin!$B$19</f>
        <v>45901</v>
      </c>
      <c r="D1" s="9" t="s">
        <v>0</v>
      </c>
      <c r="E1" s="10" t="n">
        <f aca="false">F1-SUM(G1:Q1)</f>
        <v>-133360</v>
      </c>
      <c r="F1" s="11" t="n">
        <f aca="false">SUM(F6:F200)</f>
        <v>18000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13400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137960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153300</v>
      </c>
      <c r="B2" s="17" t="s">
        <v>1</v>
      </c>
      <c r="C2" s="8" t="n">
        <f aca="false">[1]Admin!$B$20</f>
        <v>45930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45930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153300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45962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45980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45962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45989</v>
      </c>
      <c r="Q7" s="6" t="s">
        <v>60</v>
      </c>
      <c r="R7" s="40"/>
      <c r="S7" s="1" t="s">
        <v>51</v>
      </c>
      <c r="T7" s="4" t="n">
        <v>5652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45966</v>
      </c>
      <c r="B8" s="2" t="s">
        <v>61</v>
      </c>
      <c r="E8" s="5" t="s">
        <v>50</v>
      </c>
      <c r="F8" s="6" t="n">
        <v>2100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45991</v>
      </c>
      <c r="Q8" s="6" t="s">
        <v>71</v>
      </c>
      <c r="R8" s="40"/>
      <c r="S8" s="1" t="s">
        <v>52</v>
      </c>
      <c r="T8" s="4" t="n">
        <v>208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45981</v>
      </c>
      <c r="B9" s="2" t="s">
        <v>62</v>
      </c>
      <c r="E9" s="5" t="s">
        <v>42</v>
      </c>
      <c r="F9" s="6" t="n">
        <v>8000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8000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45986</v>
      </c>
      <c r="B10" s="2" t="s">
        <v>64</v>
      </c>
      <c r="E10" s="5" t="s">
        <v>42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45989</v>
      </c>
      <c r="B11" s="2" t="s">
        <v>66</v>
      </c>
      <c r="E11" s="5" t="s">
        <v>42</v>
      </c>
      <c r="F11" s="6" t="n">
        <v>3000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3000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45991</v>
      </c>
      <c r="B12" s="2" t="s">
        <v>67</v>
      </c>
      <c r="E12" s="5" t="s">
        <v>50</v>
      </c>
      <c r="F12" s="6" t="n">
        <v>300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Nov!A2</f>
        <v>153300</v>
      </c>
      <c r="B1" s="51" t="s">
        <v>69</v>
      </c>
      <c r="C1" s="8" t="n">
        <f aca="false">[1]Admin!$B$21</f>
        <v>45931</v>
      </c>
      <c r="D1" s="9" t="s">
        <v>0</v>
      </c>
      <c r="E1" s="10" t="n">
        <f aca="false">F1-SUM(G1:Q1)</f>
        <v>-188025</v>
      </c>
      <c r="F1" s="11" t="n">
        <f aca="false">SUM(F6:F200)</f>
        <v>72400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30400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230025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225700</v>
      </c>
      <c r="B2" s="17" t="s">
        <v>1</v>
      </c>
      <c r="C2" s="8" t="n">
        <f aca="false">[1]Admin!$B$22</f>
        <v>45961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45961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225700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45992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45992</v>
      </c>
      <c r="Q6" s="6" t="s">
        <v>58</v>
      </c>
      <c r="R6" s="38"/>
      <c r="S6" s="1" t="s">
        <v>54</v>
      </c>
      <c r="T6" s="4" t="n">
        <v>4500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45992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45998</v>
      </c>
      <c r="Q7" s="6" t="s">
        <v>58</v>
      </c>
      <c r="R7" s="40"/>
      <c r="S7" s="1" t="s">
        <v>54</v>
      </c>
      <c r="T7" s="4" t="n">
        <v>3200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45996</v>
      </c>
      <c r="B8" s="2" t="s">
        <v>61</v>
      </c>
      <c r="E8" s="5" t="s">
        <v>50</v>
      </c>
      <c r="F8" s="6" t="n">
        <v>3000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46006</v>
      </c>
      <c r="Q8" s="6" t="s">
        <v>72</v>
      </c>
      <c r="R8" s="40"/>
      <c r="S8" s="1" t="s">
        <v>56</v>
      </c>
      <c r="T8" s="4" t="n">
        <v>3000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46006</v>
      </c>
      <c r="B9" s="2" t="s">
        <v>74</v>
      </c>
      <c r="E9" s="5" t="s">
        <v>42</v>
      </c>
      <c r="F9" s="6" t="n">
        <v>15000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15000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n">
        <v>46010</v>
      </c>
      <c r="Q9" s="6" t="s">
        <v>58</v>
      </c>
      <c r="R9" s="40"/>
      <c r="S9" s="1" t="s">
        <v>54</v>
      </c>
      <c r="T9" s="4" t="n">
        <v>1501</v>
      </c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46011</v>
      </c>
      <c r="B10" s="2" t="s">
        <v>62</v>
      </c>
      <c r="E10" s="5" t="s">
        <v>42</v>
      </c>
      <c r="F10" s="6" t="n">
        <v>8000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8000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n">
        <v>46019</v>
      </c>
      <c r="Q10" s="6" t="s">
        <v>60</v>
      </c>
      <c r="R10" s="40"/>
      <c r="S10" s="1" t="s">
        <v>51</v>
      </c>
      <c r="T10" s="4" t="n">
        <v>5652</v>
      </c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46016</v>
      </c>
      <c r="B11" s="2" t="s">
        <v>75</v>
      </c>
      <c r="E11" s="5" t="s">
        <v>50</v>
      </c>
      <c r="F11" s="6" t="n">
        <v>36000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46016</v>
      </c>
      <c r="B12" s="2" t="s">
        <v>64</v>
      </c>
      <c r="E12" s="5" t="s">
        <v>42</v>
      </c>
      <c r="F12" s="6" t="n">
        <v>2400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n">
        <f aca="false">IF(E12="DR",F12," ")</f>
        <v>2400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A13" s="1" t="n">
        <v>46019</v>
      </c>
      <c r="B13" s="2" t="s">
        <v>66</v>
      </c>
      <c r="E13" s="5" t="s">
        <v>42</v>
      </c>
      <c r="F13" s="6" t="n">
        <v>5000</v>
      </c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n">
        <f aca="false">IF(E13="DR",F13," ")</f>
        <v>5000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A14" s="1" t="n">
        <v>46022</v>
      </c>
      <c r="B14" s="2" t="s">
        <v>67</v>
      </c>
      <c r="E14" s="5" t="s">
        <v>50</v>
      </c>
      <c r="F14" s="6" t="n">
        <v>300</v>
      </c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A15" s="1" t="n">
        <v>46022</v>
      </c>
      <c r="B15" s="2" t="s">
        <v>68</v>
      </c>
      <c r="E15" s="5" t="s">
        <v>49</v>
      </c>
      <c r="F15" s="6" t="n">
        <v>500</v>
      </c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Dec!A2</f>
        <v>225700</v>
      </c>
      <c r="B1" s="51" t="s">
        <v>69</v>
      </c>
      <c r="C1" s="8" t="n">
        <f aca="false">[1]Admin!$B$23</f>
        <v>45962</v>
      </c>
      <c r="D1" s="9" t="s">
        <v>0</v>
      </c>
      <c r="E1" s="10" t="n">
        <f aca="false">F1-SUM(G1:Q1)</f>
        <v>-133238</v>
      </c>
      <c r="F1" s="11" t="n">
        <f aca="false">SUM(F6:F200)</f>
        <v>19400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14500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138138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245100</v>
      </c>
      <c r="B2" s="17" t="s">
        <v>1</v>
      </c>
      <c r="C2" s="8" t="n">
        <f aca="false">[1]Admin!$B$24</f>
        <v>45991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45991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245100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46023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46041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46023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46047</v>
      </c>
      <c r="Q7" s="6" t="s">
        <v>70</v>
      </c>
      <c r="R7" s="40"/>
      <c r="S7" s="1" t="s">
        <v>52</v>
      </c>
      <c r="T7" s="4" t="n">
        <v>25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46027</v>
      </c>
      <c r="B8" s="2" t="s">
        <v>61</v>
      </c>
      <c r="E8" s="5" t="s">
        <v>50</v>
      </c>
      <c r="F8" s="6" t="n">
        <v>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46050</v>
      </c>
      <c r="Q8" s="6" t="s">
        <v>60</v>
      </c>
      <c r="R8" s="40"/>
      <c r="S8" s="1" t="s">
        <v>51</v>
      </c>
      <c r="T8" s="4" t="n">
        <v>5652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46042</v>
      </c>
      <c r="B9" s="2" t="s">
        <v>62</v>
      </c>
      <c r="E9" s="5" t="s">
        <v>42</v>
      </c>
      <c r="F9" s="6" t="n">
        <v>8000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8000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46047</v>
      </c>
      <c r="B10" s="2" t="s">
        <v>64</v>
      </c>
      <c r="E10" s="5" t="s">
        <v>42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46050</v>
      </c>
      <c r="B11" s="2" t="s">
        <v>66</v>
      </c>
      <c r="E11" s="5" t="s">
        <v>42</v>
      </c>
      <c r="F11" s="6" t="n">
        <v>4100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4100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46052</v>
      </c>
      <c r="B12" s="2" t="s">
        <v>67</v>
      </c>
      <c r="E12" s="5" t="s">
        <v>50</v>
      </c>
      <c r="F12" s="6" t="n">
        <v>300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Jan!A2</f>
        <v>245100</v>
      </c>
      <c r="B1" s="51" t="s">
        <v>69</v>
      </c>
      <c r="C1" s="8" t="n">
        <f aca="false">[1]Admin!$B$25</f>
        <v>45992</v>
      </c>
      <c r="D1" s="9" t="s">
        <v>0</v>
      </c>
      <c r="E1" s="10" t="n">
        <f aca="false">F1-SUM(G1:Q1)</f>
        <v>-179109</v>
      </c>
      <c r="F1" s="11" t="n">
        <f aca="false">SUM(F6:F200)</f>
        <v>19100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13900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184309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.75" hidden="false" customHeight="true" outlineLevel="0" collapsed="false">
      <c r="A2" s="16" t="n">
        <f aca="false">A1+F1-X1</f>
        <v>264200</v>
      </c>
      <c r="B2" s="17" t="s">
        <v>1</v>
      </c>
      <c r="C2" s="8" t="n">
        <f aca="false">[1]Admin!$B$26</f>
        <v>46022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46022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264200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46054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46072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46054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46072</v>
      </c>
      <c r="Q7" s="6" t="s">
        <v>58</v>
      </c>
      <c r="R7" s="40"/>
      <c r="S7" s="1" t="s">
        <v>54</v>
      </c>
      <c r="T7" s="4" t="n">
        <v>600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46058</v>
      </c>
      <c r="B8" s="2" t="s">
        <v>61</v>
      </c>
      <c r="E8" s="5" t="s">
        <v>50</v>
      </c>
      <c r="F8" s="6" t="n">
        <v>2700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46081</v>
      </c>
      <c r="Q8" s="6" t="s">
        <v>60</v>
      </c>
      <c r="R8" s="40"/>
      <c r="S8" s="1" t="s">
        <v>51</v>
      </c>
      <c r="T8" s="4" t="n">
        <v>5652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46073</v>
      </c>
      <c r="B9" s="2" t="s">
        <v>62</v>
      </c>
      <c r="E9" s="5" t="s">
        <v>42</v>
      </c>
      <c r="F9" s="6" t="n">
        <v>8000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8000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n">
        <v>46084</v>
      </c>
      <c r="Q9" s="6" t="s">
        <v>71</v>
      </c>
      <c r="R9" s="40"/>
      <c r="S9" s="1" t="s">
        <v>52</v>
      </c>
      <c r="T9" s="4" t="n">
        <v>167</v>
      </c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46078</v>
      </c>
      <c r="B10" s="2" t="s">
        <v>64</v>
      </c>
      <c r="E10" s="5" t="s">
        <v>42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46081</v>
      </c>
      <c r="B11" s="2" t="s">
        <v>66</v>
      </c>
      <c r="E11" s="5" t="s">
        <v>42</v>
      </c>
      <c r="F11" s="6" t="n">
        <v>3500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3500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46084</v>
      </c>
      <c r="B12" s="2" t="s">
        <v>67</v>
      </c>
      <c r="E12" s="5" t="s">
        <v>50</v>
      </c>
      <c r="F12" s="6" t="n">
        <v>300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Feb!A2</f>
        <v>264200</v>
      </c>
      <c r="B1" s="51" t="s">
        <v>69</v>
      </c>
      <c r="C1" s="8" t="n">
        <f aca="false">[1]Admin!$B$27</f>
        <v>46023</v>
      </c>
      <c r="D1" s="9" t="s">
        <v>0</v>
      </c>
      <c r="E1" s="10" t="n">
        <f aca="false">F1-SUM(G1:Q1)</f>
        <v>-128005</v>
      </c>
      <c r="F1" s="11" t="n">
        <f aca="false">SUM(F6:F200)</f>
        <v>27000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15200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1500</v>
      </c>
      <c r="O1" s="11" t="n">
        <f aca="false">SUM(O6:O200)</f>
        <v>0</v>
      </c>
      <c r="P1" s="11" t="n">
        <f aca="false">SUM(P6:P200)</f>
        <v>138305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291200</v>
      </c>
      <c r="B2" s="17" t="s">
        <v>1</v>
      </c>
      <c r="C2" s="8" t="n">
        <f aca="false">[1]Admin!$B$28</f>
        <v>46053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46053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291200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46082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46096</v>
      </c>
      <c r="Q6" s="6" t="s">
        <v>72</v>
      </c>
      <c r="R6" s="38"/>
      <c r="S6" s="1" t="s">
        <v>56</v>
      </c>
      <c r="T6" s="4" t="n">
        <v>3000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46082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46100</v>
      </c>
      <c r="Q7" s="6" t="s">
        <v>58</v>
      </c>
      <c r="R7" s="40"/>
      <c r="S7" s="1" t="s">
        <v>54</v>
      </c>
      <c r="T7" s="4" t="n">
        <v>1501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46086</v>
      </c>
      <c r="B8" s="2" t="s">
        <v>61</v>
      </c>
      <c r="E8" s="5" t="s">
        <v>50</v>
      </c>
      <c r="F8" s="6" t="n">
        <v>2500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46109</v>
      </c>
      <c r="Q8" s="6" t="s">
        <v>60</v>
      </c>
      <c r="R8" s="40"/>
      <c r="S8" s="1" t="s">
        <v>51</v>
      </c>
      <c r="T8" s="4" t="n">
        <v>5652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46088</v>
      </c>
      <c r="B9" s="2" t="s">
        <v>58</v>
      </c>
      <c r="E9" s="5" t="s">
        <v>46</v>
      </c>
      <c r="F9" s="6" t="n">
        <v>1500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n">
        <f aca="false">IF(E9="RV",F9," ")</f>
        <v>1500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46096</v>
      </c>
      <c r="B10" s="2" t="s">
        <v>76</v>
      </c>
      <c r="E10" s="5" t="s">
        <v>48</v>
      </c>
      <c r="F10" s="6" t="n">
        <v>5000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46101</v>
      </c>
      <c r="B11" s="2" t="s">
        <v>62</v>
      </c>
      <c r="E11" s="5" t="s">
        <v>42</v>
      </c>
      <c r="F11" s="6" t="n">
        <v>8000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8000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46106</v>
      </c>
      <c r="B12" s="2" t="s">
        <v>64</v>
      </c>
      <c r="E12" s="5" t="s">
        <v>42</v>
      </c>
      <c r="F12" s="6" t="n">
        <v>2400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n">
        <f aca="false">IF(E12="DR",F12," ")</f>
        <v>2400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A13" s="1" t="n">
        <v>46109</v>
      </c>
      <c r="B13" s="2" t="s">
        <v>66</v>
      </c>
      <c r="E13" s="5" t="s">
        <v>42</v>
      </c>
      <c r="F13" s="6" t="n">
        <v>4800</v>
      </c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n">
        <f aca="false">IF(E13="DR",F13," ")</f>
        <v>4800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A14" s="1" t="n">
        <v>46112</v>
      </c>
      <c r="B14" s="2" t="s">
        <v>67</v>
      </c>
      <c r="E14" s="5" t="s">
        <v>50</v>
      </c>
      <c r="F14" s="6" t="n">
        <v>300</v>
      </c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A15" s="1" t="n">
        <v>46112</v>
      </c>
      <c r="B15" s="2" t="s">
        <v>68</v>
      </c>
      <c r="E15" s="5" t="s">
        <v>49</v>
      </c>
      <c r="F15" s="6" t="n">
        <v>300</v>
      </c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Mar!A2</f>
        <v>291200</v>
      </c>
      <c r="B1" s="51" t="s">
        <v>69</v>
      </c>
      <c r="C1" s="8" t="n">
        <f aca="false">[1]Admin!$B$29</f>
        <v>46054</v>
      </c>
      <c r="D1" s="9" t="s">
        <v>0</v>
      </c>
      <c r="E1" s="10" t="n">
        <f aca="false">F1-SUM(G1:Q1)</f>
        <v>-86871</v>
      </c>
      <c r="F1" s="11" t="n">
        <f aca="false">SUM(F6:F200)</f>
        <v>19700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14300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92271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310900</v>
      </c>
      <c r="B2" s="17" t="s">
        <v>1</v>
      </c>
      <c r="C2" s="8" t="n">
        <f aca="false">[1]Admin!$B$30</f>
        <v>46081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46081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310900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46113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46131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46113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46140</v>
      </c>
      <c r="Q7" s="6" t="s">
        <v>60</v>
      </c>
      <c r="R7" s="40"/>
      <c r="S7" s="1" t="s">
        <v>51</v>
      </c>
      <c r="T7" s="4" t="n">
        <v>5652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46117</v>
      </c>
      <c r="B8" s="2" t="s">
        <v>61</v>
      </c>
      <c r="E8" s="5" t="s">
        <v>50</v>
      </c>
      <c r="F8" s="6" t="n">
        <v>2900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R8" s="40"/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46132</v>
      </c>
      <c r="B9" s="2" t="s">
        <v>62</v>
      </c>
      <c r="E9" s="5" t="s">
        <v>42</v>
      </c>
      <c r="F9" s="6" t="n">
        <v>8000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8000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R9" s="40"/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46137</v>
      </c>
      <c r="B10" s="2" t="s">
        <v>64</v>
      </c>
      <c r="E10" s="5" t="s">
        <v>42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46140</v>
      </c>
      <c r="B11" s="2" t="s">
        <v>67</v>
      </c>
      <c r="E11" s="5" t="s">
        <v>50</v>
      </c>
      <c r="F11" s="6" t="n">
        <v>300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46140</v>
      </c>
      <c r="B12" s="2" t="s">
        <v>66</v>
      </c>
      <c r="E12" s="5" t="s">
        <v>42</v>
      </c>
      <c r="F12" s="6" t="n">
        <v>3900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n">
        <f aca="false">IF(E12="DR",F12," ")</f>
        <v>3900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of  &amp;N&amp;R&amp;F  &amp;A</oddFooter>
  </headerFooter>
  <colBreaks count="1" manualBreakCount="1">
    <brk id="17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0" t="n">
        <f aca="false">Apr!A2</f>
        <v>310900</v>
      </c>
      <c r="B1" s="51" t="s">
        <v>69</v>
      </c>
      <c r="C1" s="8" t="n">
        <f aca="false">[1]Admin!$B$31</f>
        <v>46082</v>
      </c>
      <c r="D1" s="9" t="s">
        <v>0</v>
      </c>
      <c r="E1" s="10" t="n">
        <f aca="false">F1-SUM(G1:Q1)</f>
        <v>-174877</v>
      </c>
      <c r="F1" s="11" t="n">
        <f aca="false">SUM(F6:F200)</f>
        <v>24600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14800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184677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335500</v>
      </c>
      <c r="B2" s="17" t="s">
        <v>1</v>
      </c>
      <c r="C2" s="8" t="n">
        <f aca="false">[1]Admin!$B$32</f>
        <v>46112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Check all Receipts Code Letters entered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46112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32" customFormat="true" ht="19.5" hidden="false" customHeight="true" outlineLevel="0" collapsed="false">
      <c r="A4" s="28" t="n">
        <f aca="false">A2-A3</f>
        <v>335500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32" customFormat="true" ht="15" hidden="false" customHeight="true" outlineLevel="0" collapsed="false">
      <c r="A5" s="33" t="s">
        <v>36</v>
      </c>
      <c r="B5" s="34" t="s">
        <v>37</v>
      </c>
      <c r="C5" s="35" t="s">
        <v>38</v>
      </c>
      <c r="D5" s="18"/>
      <c r="E5" s="19"/>
      <c r="F5" s="25"/>
      <c r="G5" s="36" t="s">
        <v>39</v>
      </c>
      <c r="H5" s="36" t="s">
        <v>40</v>
      </c>
      <c r="I5" s="36" t="s">
        <v>41</v>
      </c>
      <c r="J5" s="36" t="s">
        <v>42</v>
      </c>
      <c r="K5" s="36" t="s">
        <v>43</v>
      </c>
      <c r="L5" s="36" t="s">
        <v>44</v>
      </c>
      <c r="M5" s="36" t="s">
        <v>45</v>
      </c>
      <c r="N5" s="36" t="s">
        <v>46</v>
      </c>
      <c r="O5" s="36" t="s">
        <v>47</v>
      </c>
      <c r="P5" s="36" t="s">
        <v>48</v>
      </c>
      <c r="Q5" s="36" t="s">
        <v>49</v>
      </c>
      <c r="R5" s="12"/>
      <c r="S5" s="30"/>
      <c r="T5" s="31"/>
      <c r="U5" s="21"/>
      <c r="V5" s="22"/>
      <c r="W5" s="19"/>
      <c r="X5" s="25"/>
      <c r="Y5" s="36" t="s">
        <v>39</v>
      </c>
      <c r="Z5" s="36" t="s">
        <v>40</v>
      </c>
      <c r="AA5" s="36" t="s">
        <v>41</v>
      </c>
      <c r="AB5" s="36" t="s">
        <v>50</v>
      </c>
      <c r="AC5" s="36" t="s">
        <v>51</v>
      </c>
      <c r="AD5" s="36" t="s">
        <v>52</v>
      </c>
      <c r="AE5" s="36" t="s">
        <v>53</v>
      </c>
      <c r="AF5" s="36" t="s">
        <v>44</v>
      </c>
      <c r="AG5" s="36" t="s">
        <v>45</v>
      </c>
      <c r="AH5" s="36" t="s">
        <v>54</v>
      </c>
      <c r="AI5" s="36" t="s">
        <v>46</v>
      </c>
      <c r="AJ5" s="36" t="s">
        <v>47</v>
      </c>
      <c r="AK5" s="36" t="s">
        <v>55</v>
      </c>
      <c r="AL5" s="36" t="s">
        <v>56</v>
      </c>
      <c r="AM5" s="36" t="s">
        <v>48</v>
      </c>
      <c r="AN5" s="36" t="s">
        <v>49</v>
      </c>
    </row>
    <row r="6" customFormat="false" ht="12.75" hidden="false" customHeight="false" outlineLevel="0" collapsed="false">
      <c r="A6" s="1" t="n">
        <v>46143</v>
      </c>
      <c r="B6" s="2" t="s">
        <v>57</v>
      </c>
      <c r="E6" s="37" t="s">
        <v>50</v>
      </c>
      <c r="F6" s="6" t="n">
        <v>1200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46161</v>
      </c>
      <c r="Q6" s="6" t="s">
        <v>58</v>
      </c>
      <c r="R6" s="38"/>
      <c r="S6" s="1" t="s">
        <v>54</v>
      </c>
      <c r="T6" s="4" t="n">
        <v>1501</v>
      </c>
      <c r="W6" s="39" t="str">
        <f aca="false">IF(X6&lt;&gt;0,"Enter Code"," ")</f>
        <v> 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46143</v>
      </c>
      <c r="B7" s="2" t="s">
        <v>59</v>
      </c>
      <c r="E7" s="5" t="s">
        <v>48</v>
      </c>
      <c r="F7" s="6" t="n">
        <v>1000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n">
        <v>46170</v>
      </c>
      <c r="Q7" s="6" t="s">
        <v>60</v>
      </c>
      <c r="R7" s="40"/>
      <c r="S7" s="1" t="s">
        <v>51</v>
      </c>
      <c r="T7" s="4" t="n">
        <v>5652</v>
      </c>
      <c r="W7" s="41" t="str">
        <f aca="false">IF(X7&lt;&gt;0,"Enter Code"," ")</f>
        <v> 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46147</v>
      </c>
      <c r="B8" s="2" t="s">
        <v>61</v>
      </c>
      <c r="E8" s="5" t="s">
        <v>50</v>
      </c>
      <c r="F8" s="6" t="n">
        <v>2300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n">
        <v>46173</v>
      </c>
      <c r="Q8" s="6" t="s">
        <v>71</v>
      </c>
      <c r="R8" s="40"/>
      <c r="S8" s="1" t="s">
        <v>52</v>
      </c>
      <c r="T8" s="4" t="n">
        <v>125</v>
      </c>
      <c r="W8" s="41" t="str">
        <f aca="false">IF(X8&lt;&gt;0,"Enter Code"," ")</f>
        <v> 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46157</v>
      </c>
      <c r="B9" s="2" t="s">
        <v>77</v>
      </c>
      <c r="E9" s="5" t="s">
        <v>49</v>
      </c>
      <c r="F9" s="6" t="n">
        <v>5000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n">
        <v>46173</v>
      </c>
      <c r="Q9" s="6" t="s">
        <v>72</v>
      </c>
      <c r="R9" s="40"/>
      <c r="S9" s="1" t="s">
        <v>56</v>
      </c>
      <c r="T9" s="4" t="n">
        <v>6000</v>
      </c>
      <c r="W9" s="41" t="str">
        <f aca="false">IF(X9&lt;&gt;0,"Enter Code"," ")</f>
        <v> 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46162</v>
      </c>
      <c r="B10" s="2" t="s">
        <v>62</v>
      </c>
      <c r="E10" s="5" t="s">
        <v>42</v>
      </c>
      <c r="F10" s="6" t="n">
        <v>8000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8000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41" t="str">
        <f aca="false">IF(X10&lt;&gt;0,"Enter Code"," ")</f>
        <v> 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46167</v>
      </c>
      <c r="B11" s="2" t="s">
        <v>64</v>
      </c>
      <c r="E11" s="5" t="s">
        <v>42</v>
      </c>
      <c r="F11" s="6" t="n">
        <v>2400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2400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41" t="str">
        <f aca="false">IF(X11&lt;&gt;0,"Enter Code"," ")</f>
        <v> 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A12" s="1" t="n">
        <v>46170</v>
      </c>
      <c r="B12" s="2" t="s">
        <v>66</v>
      </c>
      <c r="E12" s="5" t="s">
        <v>42</v>
      </c>
      <c r="F12" s="6" t="n">
        <v>4400</v>
      </c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n">
        <f aca="false">IF(E12="DR",F12," ")</f>
        <v>4400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41" t="str">
        <f aca="false">IF(X12&lt;&gt;0,"Enter Code"," ")</f>
        <v> 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A13" s="1" t="n">
        <v>46173</v>
      </c>
      <c r="B13" s="2" t="s">
        <v>67</v>
      </c>
      <c r="E13" s="5" t="s">
        <v>50</v>
      </c>
      <c r="F13" s="6" t="n">
        <v>300</v>
      </c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41" t="str">
        <f aca="false">IF(X13&lt;&gt;0,"Enter Code"," ")</f>
        <v> 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41" t="str">
        <f aca="false">IF(X14&lt;&gt;0,"Enter Code"," ")</f>
        <v> 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41" t="str">
        <f aca="false">IF(X15&lt;&gt;0,"Enter Code"," ")</f>
        <v> 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41" t="str">
        <f aca="false">IF(X16&lt;&gt;0,"Enter Code"," ")</f>
        <v> </v>
      </c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41" t="str">
        <f aca="false">IF(X17&lt;&gt;0,"Enter Code"," ")</f>
        <v> </v>
      </c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41" t="str">
        <f aca="false">IF(X18&lt;&gt;0,"Enter Code"," ")</f>
        <v> </v>
      </c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41" t="str">
        <f aca="false">IF(X19&lt;&gt;0,"Enter Code"," ")</f>
        <v> </v>
      </c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41" t="str">
        <f aca="false">IF(X20&lt;&gt;0,"Enter Code"," ")</f>
        <v> </v>
      </c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41" t="str">
        <f aca="false">IF(X21&lt;&gt;0,"Enter Code"," ")</f>
        <v> </v>
      </c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41" t="str">
        <f aca="false">IF(X22&lt;&gt;0,"Enter Code"," ")</f>
        <v> </v>
      </c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41" t="str">
        <f aca="false">IF(X23&lt;&gt;0,"Enter Code"," ")</f>
        <v> </v>
      </c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41" t="str">
        <f aca="false">IF(X24&lt;&gt;0,"Enter Code"," ")</f>
        <v> </v>
      </c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41" t="str">
        <f aca="false">IF(X25&lt;&gt;0,"Enter Code"," ")</f>
        <v> </v>
      </c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41" t="str">
        <f aca="false">IF(X26&lt;&gt;0,"Enter Code"," ")</f>
        <v> </v>
      </c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41" t="str">
        <f aca="false">IF(X27&lt;&gt;0,"Enter Code"," ")</f>
        <v> </v>
      </c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41" t="str">
        <f aca="false">IF(X28&lt;&gt;0,"Enter Code"," ")</f>
        <v> </v>
      </c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41" t="str">
        <f aca="false">IF(X29&lt;&gt;0,"Enter Code"," ")</f>
        <v> </v>
      </c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41" t="str">
        <f aca="false">IF(X30&lt;&gt;0,"Enter Code"," ")</f>
        <v> </v>
      </c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41" t="str">
        <f aca="false">IF(X31&lt;&gt;0,"Enter Code"," ")</f>
        <v> </v>
      </c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41" t="str">
        <f aca="false">IF(X32&lt;&gt;0,"Enter Code"," ")</f>
        <v> </v>
      </c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41" t="str">
        <f aca="false">IF(X33&lt;&gt;0,"Enter Code"," ")</f>
        <v> </v>
      </c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41" t="str">
        <f aca="false">IF(X34&lt;&gt;0,"Enter Code"," ")</f>
        <v> </v>
      </c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41" t="str">
        <f aca="false">IF(X35&lt;&gt;0,"Enter Code"," ")</f>
        <v> </v>
      </c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41" t="str">
        <f aca="false">IF(X36&lt;&gt;0,"Enter Code"," ")</f>
        <v> </v>
      </c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41" t="str">
        <f aca="false">IF(X37&lt;&gt;0,"Enter Code"," ")</f>
        <v> </v>
      </c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41" t="str">
        <f aca="false">IF(X38&lt;&gt;0,"Enter Code"," ")</f>
        <v> </v>
      </c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41" t="str">
        <f aca="false">IF(X39&lt;&gt;0,"Enter Code"," ")</f>
        <v> </v>
      </c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41" t="str">
        <f aca="false">IF(X40&lt;&gt;0,"Enter Code"," ")</f>
        <v> </v>
      </c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41" t="str">
        <f aca="false">IF(X41&lt;&gt;0,"Enter Code"," ")</f>
        <v> </v>
      </c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41" t="str">
        <f aca="false">IF(X42&lt;&gt;0,"Enter Code"," ")</f>
        <v> </v>
      </c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41" t="str">
        <f aca="false">IF(X43&lt;&gt;0,"Enter Code"," ")</f>
        <v> </v>
      </c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41" t="str">
        <f aca="false">IF(X44&lt;&gt;0,"Enter Code"," ")</f>
        <v> </v>
      </c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41" t="str">
        <f aca="false">IF(X45&lt;&gt;0,"Enter Code"," ")</f>
        <v> </v>
      </c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41" t="str">
        <f aca="false">IF(X46&lt;&gt;0,"Enter Code"," ")</f>
        <v> </v>
      </c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41" t="str">
        <f aca="false">IF(X47&lt;&gt;0,"Enter Code"," ")</f>
        <v> </v>
      </c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41" t="str">
        <f aca="false">IF(X48&lt;&gt;0,"Enter Code"," ")</f>
        <v> </v>
      </c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41" t="str">
        <f aca="false">IF(X49&lt;&gt;0,"Enter Code"," ")</f>
        <v> </v>
      </c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41" t="str">
        <f aca="false">IF(X50&lt;&gt;0,"Enter Code"," ")</f>
        <v> </v>
      </c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41" t="str">
        <f aca="false">IF(X51&lt;&gt;0,"Enter Code"," ")</f>
        <v> </v>
      </c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41" t="str">
        <f aca="false">IF(X52&lt;&gt;0,"Enter Code"," ")</f>
        <v> </v>
      </c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41" t="str">
        <f aca="false">IF(X53&lt;&gt;0,"Enter Code"," ")</f>
        <v> </v>
      </c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41" t="str">
        <f aca="false">IF(X54&lt;&gt;0,"Enter Code"," ")</f>
        <v> </v>
      </c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41" t="str">
        <f aca="false">IF(X55&lt;&gt;0,"Enter Code"," ")</f>
        <v> </v>
      </c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41" t="str">
        <f aca="false">IF(X56&lt;&gt;0,"Enter Code"," ")</f>
        <v> </v>
      </c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41" t="str">
        <f aca="false">IF(X57&lt;&gt;0,"Enter Code"," ")</f>
        <v> </v>
      </c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41" t="str">
        <f aca="false">IF(X58&lt;&gt;0,"Enter Code"," ")</f>
        <v> </v>
      </c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41" t="str">
        <f aca="false">IF(X59&lt;&gt;0,"Enter Code"," ")</f>
        <v> </v>
      </c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41" t="str">
        <f aca="false">IF(X60&lt;&gt;0,"Enter Code"," ")</f>
        <v> </v>
      </c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41" t="str">
        <f aca="false">IF(X61&lt;&gt;0,"Enter Code"," ")</f>
        <v> </v>
      </c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41" t="str">
        <f aca="false">IF(X62&lt;&gt;0,"Enter Code"," ")</f>
        <v> </v>
      </c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41" t="str">
        <f aca="false">IF(X63&lt;&gt;0,"Enter Code"," ")</f>
        <v> </v>
      </c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41" t="str">
        <f aca="false">IF(X64&lt;&gt;0,"Enter Code"," ")</f>
        <v> </v>
      </c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41" t="str">
        <f aca="false">IF(X65&lt;&gt;0,"Enter Code"," ")</f>
        <v> </v>
      </c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41" t="str">
        <f aca="false">IF(X66&lt;&gt;0,"Enter Code"," ")</f>
        <v> </v>
      </c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41" t="str">
        <f aca="false">IF(X67&lt;&gt;0,"Enter Code"," ")</f>
        <v> </v>
      </c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41" t="str">
        <f aca="false">IF(X68&lt;&gt;0,"Enter Code"," ")</f>
        <v> </v>
      </c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41" t="str">
        <f aca="false">IF(X69&lt;&gt;0,"Enter Code"," ")</f>
        <v> </v>
      </c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41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41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41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41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41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41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41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41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41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41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41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41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41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41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41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41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41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41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41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41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41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41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41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41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41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41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41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41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41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41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41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41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41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41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41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41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41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41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41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41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41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41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41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41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41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41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41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41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41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41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41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41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41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41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41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41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41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41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41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41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41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41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41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41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41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41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41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41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41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41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41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41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41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41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41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41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41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41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41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41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41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41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41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41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41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41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41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41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41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41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41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41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41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41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41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41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41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41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41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41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41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41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41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41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41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2"/>
      <c r="W175" s="41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41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41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41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41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41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41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41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41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41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41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41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41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41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41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41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41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41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41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41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41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41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41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41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41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3"/>
      <c r="B200" s="44"/>
      <c r="C200" s="45"/>
      <c r="D200" s="46"/>
      <c r="E200" s="47" t="str">
        <f aca="false">IF(F200&lt;&gt;0,"Enter Code"," ")</f>
        <v> </v>
      </c>
      <c r="F200" s="48"/>
      <c r="G200" s="48" t="str">
        <f aca="false">IF(E200="BS",F200," ")</f>
        <v> </v>
      </c>
      <c r="H200" s="48" t="str">
        <f aca="false">IF(E200="BD",F200," ")</f>
        <v> </v>
      </c>
      <c r="I200" s="48" t="str">
        <f aca="false">IF(E200="BC",F200," ")</f>
        <v> </v>
      </c>
      <c r="J200" s="48" t="str">
        <f aca="false">IF(E200="DR",F200," ")</f>
        <v> </v>
      </c>
      <c r="K200" s="48" t="str">
        <f aca="false">IF(E200="K",F200," ")</f>
        <v> </v>
      </c>
      <c r="L200" s="48" t="str">
        <f aca="false">IF(E200="LDR",F200," ")</f>
        <v> </v>
      </c>
      <c r="M200" s="48" t="str">
        <f aca="false">IF(E200="LCR",F200," ")</f>
        <v> </v>
      </c>
      <c r="N200" s="48" t="str">
        <f aca="false">IF(E200="RV",F200," ")</f>
        <v> </v>
      </c>
      <c r="O200" s="48" t="str">
        <f aca="false">IF(E200="RC",F200," ")</f>
        <v> </v>
      </c>
      <c r="P200" s="48" t="str">
        <f aca="false">IF(E200="DL",F200," ")</f>
        <v> </v>
      </c>
      <c r="Q200" s="48" t="str">
        <f aca="false">IF(E200="X",F200," ")</f>
        <v> </v>
      </c>
      <c r="R200" s="42"/>
      <c r="S200" s="43"/>
      <c r="T200" s="46"/>
      <c r="U200" s="45"/>
      <c r="V200" s="45"/>
      <c r="W200" s="49" t="str">
        <f aca="false">IF(X200&lt;&gt;0,"Enter Code"," ")</f>
        <v> </v>
      </c>
      <c r="X200" s="48"/>
      <c r="Y200" s="48" t="str">
        <f aca="false">IF(W200="BS",X200," ")</f>
        <v> </v>
      </c>
      <c r="Z200" s="48" t="str">
        <f aca="false">IF(W200="BD",X200," ")</f>
        <v> </v>
      </c>
      <c r="AA200" s="48" t="str">
        <f aca="false">IF(W200="BC",X200," ")</f>
        <v> </v>
      </c>
      <c r="AB200" s="48" t="str">
        <f aca="false">IF(W200="CR",X200," ")</f>
        <v> </v>
      </c>
      <c r="AC200" s="48" t="str">
        <f aca="false">IF(W200="W",X200," ")</f>
        <v> </v>
      </c>
      <c r="AD200" s="48" t="str">
        <f aca="false">IF(W200="B",X200," ")</f>
        <v> </v>
      </c>
      <c r="AE200" s="48" t="str">
        <f aca="false">IF(W200="J",X200," ")</f>
        <v> </v>
      </c>
      <c r="AF200" s="48" t="str">
        <f aca="false">IF(W200="LDR",X200," ")</f>
        <v> </v>
      </c>
      <c r="AG200" s="48" t="str">
        <f aca="false">IF(W200="LCR",X200," ")</f>
        <v> </v>
      </c>
      <c r="AH200" s="48" t="str">
        <f aca="false">IF(W200="RP",X200," ")</f>
        <v> </v>
      </c>
      <c r="AI200" s="48" t="str">
        <f aca="false">IF(W200="RV",X200," ")</f>
        <v> </v>
      </c>
      <c r="AJ200" s="48" t="str">
        <f aca="false">IF(W200="RC",X200," ")</f>
        <v> </v>
      </c>
      <c r="AK200" s="48" t="str">
        <f aca="false">IF(W200="RT",X200," ")</f>
        <v> </v>
      </c>
      <c r="AL200" s="48" t="str">
        <f aca="false">IF(W200="DV",X200," ")</f>
        <v> </v>
      </c>
      <c r="AM200" s="48" t="str">
        <f aca="false">IF(W200="DL",X200," ")</f>
        <v> </v>
      </c>
      <c r="AN200" s="48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</dc:creator>
  <dc:description/>
  <dc:language>en-US</dc:language>
  <cp:lastModifiedBy>Cartwright, Antony</cp:lastModifiedBy>
  <cp:lastPrinted>2007-03-03T16:28:32Z</cp:lastPrinted>
  <dcterms:modified xsi:type="dcterms:W3CDTF">2025-04-03T23:05:12Z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