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<sst xmlns="http://schemas.openxmlformats.org/spreadsheetml/2006/main" count="1017" uniqueCount="620">
  <si>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</si>
  <si>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</si>
  <si>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</si>
  <si>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</si>
  <si>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</si>
  <si>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</si>
  <si>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</si>
  <si>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</si>
  <si>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</si>
  <si>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</si>
  <si>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</si>
  <si>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</si>
  <si>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</si>
  <si>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</si>
  <si>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</si>
  <si>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</si>
  <si>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</si>
  <si>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</si>
  <si>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</si>
  <si>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</si>
  <si>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</si>
  <si>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</si>
  <si>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</si>
  <si>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Stock at cost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</si>
  <si>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</si>
  <si>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</si>
  <si>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</si>
  <si>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</si>
  <si>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Current Liabilities</t>
  </si>
  <si>
    <t xml:space="preserve">Trade Creditors</t>
  </si>
  <si>
    <t xml:space="preserve">Wage deductions due</t>
  </si>
  <si>
    <t xml:space="preserve">Dividends due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</si>
  <si>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</si>
  <si>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</si>
  <si>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</si>
  <si>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</si>
  <si>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Other Creditors</t>
  </si>
  <si>
    <t xml:space="preserve">Directors Loan Account</t>
  </si>
  <si>
    <t xml:space="preserve">Capital and Reserves</t>
  </si>
  <si>
    <t xml:space="preserve">Called up share capital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</si>
  <si>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</si>
  <si>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</si>
  <si>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</si>
  <si>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</si>
  <si>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</si>
  <si>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</si>
  <si>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</si>
  <si>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</si>
  <si>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</si>
  <si>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</si>
  <si>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</si>
  <si>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</si>
  <si>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</si>
  <si>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</si>
  <si>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</si>
  <si>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</si>
  <si>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</si>
  <si>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</si>
  <si>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</si>
  <si>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</si>
  <si>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</si>
  <si>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</si>
  <si>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</si>
  <si>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</si>
  <si>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</si>
  <si>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</si>
  <si>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</si>
  <si>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</si>
  <si>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</si>
  <si>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</si>
  <si>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</si>
  <si>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</si>
  <si>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</si>
  <si>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</si>
  <si>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</si>
  <si>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</si>
  <si>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</si>
  <si>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</si>
  <si>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</si>
  <si>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</si>
  <si>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</si>
  <si>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</si>
  <si>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</si>
  <si>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</si>
  <si>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</si>
  <si>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</si>
  <si>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</si>
  <si>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</si>
  <si>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</si>
  <si>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</si>
  <si>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</si>
  <si>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</si>
  <si>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</si>
  <si>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</si>
  <si>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</si>
  <si>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</si>
  <si>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</si>
  <si>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</si>
  <si>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</si>
  <si>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</si>
  <si>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</si>
  <si>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</si>
  <si>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</si>
  <si>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</si>
  <si>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</si>
  <si>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</si>
  <si>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</si>
  <si>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</si>
  <si>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</si>
  <si>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</si>
  <si>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</si>
  <si>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</si>
  <si>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</si>
  <si>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</si>
  <si>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</si>
  <si>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</si>
  <si>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</si>
  <si>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</si>
  <si>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</si>
  <si>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</si>
  <si>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</si>
  <si>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</si>
  <si>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</si>
  <si>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</si>
  <si>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</si>
  <si>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</si>
  <si>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</si>
  <si>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</si>
  <si>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</si>
  <si>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</si>
  <si>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</si>
  <si>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</si>
  <si>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</si>
  <si>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</si>
  <si>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</si>
  <si>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</si>
  <si>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</si>
  <si>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</si>
  <si>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</si>
  <si>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</si>
  <si>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</si>
  <si>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</si>
  <si>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</si>
  <si>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</si>
  <si>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</si>
  <si>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</si>
  <si>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</si>
  <si>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</si>
  <si>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</si>
  <si>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</si>
  <si>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</si>
  <si>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</si>
  <si>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</si>
  <si>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</si>
  <si>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</si>
  <si>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</si>
  <si>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</si>
  <si>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</si>
  <si>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</si>
  <si>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</si>
  <si>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</si>
  <si>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</si>
  <si>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</si>
  <si>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</si>
  <si>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</si>
  <si>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</si>
  <si>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</si>
  <si>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</si>
  <si>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</si>
  <si>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</si>
  <si>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</si>
  <si>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</si>
  <si>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</si>
  <si>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</si>
  <si>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</si>
  <si>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</si>
  <si>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</si>
  <si>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</si>
  <si>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</si>
  <si>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</si>
  <si>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</si>
  <si>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</si>
  <si>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</si>
  <si>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</si>
  <si>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</si>
  <si>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</si>
  <si>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</si>
  <si>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</si>
  <si>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</si>
  <si>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</si>
  <si>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</si>
  <si>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</si>
  <si>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</si>
  <si>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</si>
  <si>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</si>
  <si>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</si>
  <si>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</si>
  <si>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</si>
  <si>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</si>
  <si>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</si>
  <si>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</si>
  <si>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</si>
  <si>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</si>
  <si>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</si>
  <si>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</si>
  <si>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</si>
  <si>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</si>
  <si>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</si>
  <si>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</si>
  <si>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Current Assets</t>
  </si>
  <si>
    <t xml:space="preserve">Cash at bank and in hand</t>
  </si>
  <si>
    <t xml:space="preserve">Current Liabilities (due within one year)</t>
  </si>
  <si>
    <t xml:space="preserve">Corporation Tax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</si>
  <si>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</si>
  <si>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</si>
  <si>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</si>
  <si>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</si>
  <si>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</si>
  <si>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</si>
  <si>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</si>
  <si>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Retained Profit and Loss account</t>
  </si>
  <si>
    <t xml:space="preserve">Capital Reserves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</si>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</sst>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270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9828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2.65" hidden="false" customHeight="false" outlineLevel="0" collapsed="false">
      <c r="A12" s="2"/>
      <c r="B12" s="2"/>
      <c r="C12" s="23" t="s">
        <v>21</v>
      </c>
      <c r="D12" s="23"/>
      <c r="E12" s="2"/>
      <c r="F12" s="2"/>
      <c r="G12" s="24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5" t="n">
        <f aca="false">E13-G13-H13-I13-J13-K13+M13+N13+O13+P13+Q13</f>
        <v>-43989</v>
      </c>
      <c r="C13" s="2" t="s">
        <v>22</v>
      </c>
      <c r="D13" s="2"/>
      <c r="E13" s="9"/>
      <c r="F13" s="2"/>
      <c r="G13" s="9" t="n">
        <v>21087</v>
      </c>
      <c r="J13" s="1" t="n">
        <v>3000</v>
      </c>
      <c r="K13" s="1" t="n">
        <v>30000</v>
      </c>
      <c r="P13" s="1" t="n">
        <v>270</v>
      </c>
      <c r="Q13" s="1" t="n">
        <v>9828</v>
      </c>
    </row>
    <row r="14" customFormat="false" ht="10.5" hidden="false" customHeight="false" outlineLevel="0" collapsed="false">
      <c r="D14" s="2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23</v>
      </c>
      <c r="D15" s="2"/>
      <c r="E15" s="9" t="n">
        <v>10000</v>
      </c>
    </row>
    <row r="16" customFormat="false" ht="10.5" hidden="false" customHeight="false" outlineLevel="0" collapsed="false">
      <c r="D16" s="2"/>
      <c r="E16" s="9" t="n">
        <v>10800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false" outlineLevel="0" collapsed="false">
      <c r="A18" s="2"/>
      <c r="B18" s="25" t="n">
        <f aca="false">E18-G18-H18-I18-J18</f>
        <v>-30500</v>
      </c>
      <c r="C18" s="2" t="s">
        <v>27</v>
      </c>
      <c r="D18" s="2"/>
      <c r="E18" s="9"/>
      <c r="F18" s="2"/>
      <c r="G18" s="9" t="n">
        <v>25000</v>
      </c>
      <c r="H18" s="1" t="n">
        <v>5000</v>
      </c>
      <c r="J18" s="1" t="n">
        <v>500</v>
      </c>
      <c r="K18" s="6"/>
      <c r="L18" s="6"/>
      <c r="M18" s="6"/>
      <c r="N18" s="6"/>
      <c r="O18" s="6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28</v>
      </c>
      <c r="D19" s="23"/>
      <c r="E19" s="2"/>
      <c r="F19" s="2"/>
      <c r="G19" s="2"/>
      <c r="H19" s="2"/>
      <c r="I19" s="2"/>
      <c r="J19" s="2"/>
      <c r="K19" s="6"/>
      <c r="L19" s="6"/>
      <c r="M19" s="6"/>
      <c r="N19" s="6"/>
      <c r="O19" s="6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29</v>
      </c>
      <c r="D20" s="2"/>
      <c r="E20" s="9" t="n">
        <v>2400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 t="n">
        <v>4500</v>
      </c>
    </row>
    <row r="24" customFormat="false" ht="10.5" hidden="false" customHeight="false" outlineLevel="0" collapsed="false">
      <c r="D24" s="2"/>
      <c r="E24" s="9"/>
      <c r="F24" s="2"/>
      <c r="G24" s="19"/>
      <c r="H24" s="19"/>
      <c r="I24" s="19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32</v>
      </c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5" t="n">
        <f aca="false">E26-G26-H26-I26</f>
        <v>-1500</v>
      </c>
      <c r="C26" s="2" t="s">
        <v>35</v>
      </c>
      <c r="D26" s="2"/>
      <c r="E26" s="9"/>
      <c r="F26" s="2"/>
      <c r="G26" s="9"/>
      <c r="H26" s="9" t="n">
        <v>1500</v>
      </c>
    </row>
    <row r="28" customFormat="false" ht="10.5" hidden="false" customHeight="false" outlineLevel="0" collapsed="false"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36</v>
      </c>
      <c r="D29" s="2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37</v>
      </c>
      <c r="D30" s="2"/>
      <c r="E30" s="9" t="n">
        <v>20000</v>
      </c>
    </row>
    <row r="31" customFormat="false" ht="10.5" hidden="false" customHeight="false" outlineLevel="0" collapsed="false">
      <c r="D31" s="23"/>
      <c r="E31" s="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3" t="s">
        <v>38</v>
      </c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39</v>
      </c>
      <c r="D33" s="2"/>
      <c r="E33" s="9" t="n">
        <v>100</v>
      </c>
    </row>
    <row r="34" customFormat="false" ht="10.5" hidden="false" customHeight="false" outlineLevel="0" collapsed="false">
      <c r="D34" s="2"/>
      <c r="E34" s="9" t="n">
        <v>45702</v>
      </c>
    </row>
    <row r="35" customFormat="false" ht="10.5" hidden="false" customHeight="false" outlineLevel="0" collapsed="false"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40</v>
      </c>
      <c r="D37" s="26"/>
      <c r="E37" s="25" t="n">
        <f aca="false">E13+E15+E16+E18-E20-E21-E22-E23-E24-E26+E28-E30-E31-E33-E34-E35</f>
        <v>-51902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41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42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43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42</v>
      </c>
      <c r="D45" s="2"/>
      <c r="E45" s="2"/>
      <c r="F45" s="2"/>
      <c r="G45" s="25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44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45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46</v>
      </c>
      <c r="D48" s="2"/>
      <c r="E48" s="9" t="n">
        <f aca="false">E15</f>
        <v>10000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47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48</v>
      </c>
      <c r="D50" s="2"/>
      <c r="E50" s="2"/>
      <c r="F50" s="2"/>
      <c r="G50" s="25" t="n">
        <f aca="false">E46+E47-E48+E49</f>
        <v>-10000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49</v>
      </c>
      <c r="D52" s="2"/>
      <c r="E52" s="2"/>
      <c r="F52" s="2"/>
      <c r="G52" s="25" t="n">
        <f aca="false">G45-G50</f>
        <v>10000</v>
      </c>
      <c r="H52" s="2"/>
    </row>
    <row r="53" customFormat="false" ht="10.5" hidden="false" customHeight="false" outlineLevel="0" collapsed="false">
      <c r="A53" s="2"/>
      <c r="B53" s="2"/>
      <c r="C53" s="32" t="s">
        <v>50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51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52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53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54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55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56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57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58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59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60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61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62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63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64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65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66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67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68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69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70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71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72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73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50</v>
      </c>
      <c r="D77" s="2"/>
      <c r="E77" s="2"/>
      <c r="F77" s="2"/>
      <c r="G77" s="25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74</v>
      </c>
      <c r="D79" s="2"/>
      <c r="E79" s="2"/>
      <c r="F79" s="2"/>
      <c r="G79" s="25" t="n">
        <f aca="false">G52-G77</f>
        <v>10000</v>
      </c>
      <c r="H79" s="2"/>
    </row>
    <row r="80" customFormat="false" ht="10.5" hidden="false" customHeight="false" outlineLevel="0" collapsed="false">
      <c r="B80" s="2"/>
      <c r="C80" s="30" t="s">
        <v>75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76</v>
      </c>
      <c r="D81" s="2"/>
      <c r="E81" s="2"/>
      <c r="F81" s="2"/>
      <c r="G81" s="25" t="n">
        <f aca="false">G79+E80</f>
        <v>10000</v>
      </c>
      <c r="H81" s="2"/>
    </row>
    <row r="82" customFormat="false" ht="10.5" hidden="false" customHeight="false" outlineLevel="0" collapsed="false">
      <c r="B82" s="2"/>
      <c r="C82" s="30" t="s">
        <v>77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78</v>
      </c>
      <c r="D83" s="2"/>
      <c r="E83" s="2"/>
      <c r="F83" s="2"/>
      <c r="G83" s="25" t="n">
        <f aca="false">G81-E82</f>
        <v>10000</v>
      </c>
      <c r="H83" s="2"/>
    </row>
    <row r="84" customFormat="false" ht="10.5" hidden="false" customHeight="false" outlineLevel="0" collapsed="false">
      <c r="B84" s="2"/>
      <c r="C84" s="30" t="s">
        <v>79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80</v>
      </c>
      <c r="D85" s="2"/>
      <c r="E85" s="2"/>
      <c r="F85" s="2"/>
      <c r="G85" s="25" t="n">
        <f aca="false">G83-E84</f>
        <v>10000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81</v>
      </c>
      <c r="C1" s="39" t="s">
        <v>82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83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84</v>
      </c>
      <c r="C2" s="39"/>
      <c r="D2" s="45" t="s">
        <v>85</v>
      </c>
      <c r="E2" s="39"/>
      <c r="F2" s="39" t="s">
        <v>86</v>
      </c>
      <c r="G2" s="39" t="s">
        <v>45</v>
      </c>
      <c r="H2" s="39" t="s">
        <v>87</v>
      </c>
      <c r="I2" s="39" t="s">
        <v>88</v>
      </c>
      <c r="J2" s="39" t="s">
        <v>89</v>
      </c>
      <c r="K2" s="39" t="s">
        <v>26</v>
      </c>
      <c r="L2" s="39" t="s">
        <v>90</v>
      </c>
      <c r="M2" s="39" t="s">
        <v>91</v>
      </c>
      <c r="N2" s="39"/>
      <c r="O2" s="45" t="s">
        <v>92</v>
      </c>
      <c r="P2" s="39"/>
      <c r="Q2" s="39" t="s">
        <v>86</v>
      </c>
      <c r="R2" s="39" t="s">
        <v>45</v>
      </c>
      <c r="S2" s="39" t="s">
        <v>87</v>
      </c>
      <c r="T2" s="39" t="s">
        <v>88</v>
      </c>
      <c r="U2" s="39" t="s">
        <v>89</v>
      </c>
      <c r="V2" s="39" t="s">
        <v>26</v>
      </c>
      <c r="W2" s="39" t="s">
        <v>90</v>
      </c>
      <c r="X2" s="39" t="s">
        <v>91</v>
      </c>
      <c r="Y2" s="39"/>
      <c r="Z2" s="45" t="s">
        <v>92</v>
      </c>
      <c r="AA2" s="39"/>
      <c r="AB2" s="39" t="s">
        <v>86</v>
      </c>
      <c r="AC2" s="39" t="s">
        <v>45</v>
      </c>
      <c r="AD2" s="39" t="s">
        <v>87</v>
      </c>
      <c r="AE2" s="39" t="s">
        <v>88</v>
      </c>
      <c r="AF2" s="39" t="s">
        <v>89</v>
      </c>
      <c r="AG2" s="39" t="s">
        <v>26</v>
      </c>
      <c r="AH2" s="39" t="s">
        <v>90</v>
      </c>
      <c r="AI2" s="39" t="s">
        <v>91</v>
      </c>
      <c r="AJ2" s="39"/>
      <c r="AK2" s="45" t="s">
        <v>92</v>
      </c>
      <c r="AL2" s="39"/>
      <c r="AM2" s="39" t="s">
        <v>86</v>
      </c>
      <c r="AN2" s="39" t="s">
        <v>45</v>
      </c>
      <c r="AO2" s="39" t="s">
        <v>87</v>
      </c>
      <c r="AP2" s="39" t="s">
        <v>88</v>
      </c>
      <c r="AQ2" s="39" t="s">
        <v>89</v>
      </c>
      <c r="AR2" s="39" t="s">
        <v>26</v>
      </c>
      <c r="AS2" s="39" t="s">
        <v>90</v>
      </c>
      <c r="AT2" s="39" t="s">
        <v>91</v>
      </c>
      <c r="AU2" s="39"/>
      <c r="AV2" s="45" t="s">
        <v>92</v>
      </c>
      <c r="AW2" s="39"/>
      <c r="AX2" s="39" t="s">
        <v>86</v>
      </c>
      <c r="AY2" s="39" t="s">
        <v>45</v>
      </c>
      <c r="AZ2" s="39" t="s">
        <v>87</v>
      </c>
      <c r="BA2" s="39" t="s">
        <v>88</v>
      </c>
      <c r="BB2" s="39" t="s">
        <v>89</v>
      </c>
      <c r="BC2" s="39" t="s">
        <v>26</v>
      </c>
      <c r="BD2" s="39" t="s">
        <v>90</v>
      </c>
      <c r="BE2" s="39" t="s">
        <v>91</v>
      </c>
      <c r="BF2" s="39"/>
      <c r="BG2" s="45" t="s">
        <v>92</v>
      </c>
      <c r="BH2" s="39"/>
      <c r="BI2" s="39" t="s">
        <v>86</v>
      </c>
      <c r="BJ2" s="39" t="s">
        <v>45</v>
      </c>
      <c r="BK2" s="39" t="s">
        <v>87</v>
      </c>
      <c r="BL2" s="39" t="s">
        <v>88</v>
      </c>
      <c r="BM2" s="39" t="s">
        <v>89</v>
      </c>
      <c r="BN2" s="39" t="s">
        <v>26</v>
      </c>
      <c r="BO2" s="39" t="s">
        <v>90</v>
      </c>
      <c r="BP2" s="39" t="s">
        <v>91</v>
      </c>
      <c r="BQ2" s="39"/>
      <c r="BR2" s="45" t="s">
        <v>92</v>
      </c>
      <c r="BS2" s="39"/>
      <c r="BT2" s="39" t="s">
        <v>86</v>
      </c>
      <c r="BU2" s="39" t="s">
        <v>45</v>
      </c>
      <c r="BV2" s="39" t="s">
        <v>87</v>
      </c>
      <c r="BW2" s="39" t="s">
        <v>88</v>
      </c>
      <c r="BX2" s="39" t="s">
        <v>89</v>
      </c>
      <c r="BY2" s="39" t="s">
        <v>26</v>
      </c>
      <c r="BZ2" s="39" t="s">
        <v>90</v>
      </c>
      <c r="CA2" s="39" t="s">
        <v>91</v>
      </c>
      <c r="CB2" s="39"/>
      <c r="CC2" s="45" t="s">
        <v>92</v>
      </c>
      <c r="CD2" s="39"/>
      <c r="CE2" s="39" t="s">
        <v>86</v>
      </c>
      <c r="CF2" s="39" t="s">
        <v>45</v>
      </c>
      <c r="CG2" s="39" t="s">
        <v>87</v>
      </c>
      <c r="CH2" s="39" t="s">
        <v>88</v>
      </c>
      <c r="CI2" s="39" t="s">
        <v>89</v>
      </c>
      <c r="CJ2" s="39" t="s">
        <v>26</v>
      </c>
      <c r="CK2" s="39" t="s">
        <v>90</v>
      </c>
      <c r="CL2" s="39" t="s">
        <v>91</v>
      </c>
      <c r="CM2" s="39"/>
      <c r="CN2" s="45" t="s">
        <v>92</v>
      </c>
      <c r="CO2" s="39"/>
      <c r="CP2" s="39" t="s">
        <v>86</v>
      </c>
      <c r="CQ2" s="39" t="s">
        <v>45</v>
      </c>
      <c r="CR2" s="39" t="s">
        <v>87</v>
      </c>
      <c r="CS2" s="39" t="s">
        <v>88</v>
      </c>
      <c r="CT2" s="39" t="s">
        <v>89</v>
      </c>
      <c r="CU2" s="39" t="s">
        <v>26</v>
      </c>
      <c r="CV2" s="39" t="s">
        <v>90</v>
      </c>
      <c r="CW2" s="39" t="s">
        <v>91</v>
      </c>
      <c r="CX2" s="39"/>
      <c r="CY2" s="45" t="s">
        <v>92</v>
      </c>
      <c r="CZ2" s="39"/>
      <c r="DA2" s="39" t="s">
        <v>86</v>
      </c>
      <c r="DB2" s="39" t="s">
        <v>45</v>
      </c>
      <c r="DC2" s="39" t="s">
        <v>87</v>
      </c>
      <c r="DD2" s="39" t="s">
        <v>88</v>
      </c>
      <c r="DE2" s="39" t="s">
        <v>89</v>
      </c>
      <c r="DF2" s="39" t="s">
        <v>26</v>
      </c>
      <c r="DG2" s="39" t="s">
        <v>90</v>
      </c>
      <c r="DH2" s="39" t="s">
        <v>91</v>
      </c>
      <c r="DI2" s="39"/>
      <c r="DJ2" s="45" t="s">
        <v>92</v>
      </c>
      <c r="DK2" s="39"/>
      <c r="DL2" s="39" t="s">
        <v>86</v>
      </c>
      <c r="DM2" s="39" t="s">
        <v>45</v>
      </c>
      <c r="DN2" s="39" t="s">
        <v>87</v>
      </c>
      <c r="DO2" s="39" t="s">
        <v>88</v>
      </c>
      <c r="DP2" s="39" t="s">
        <v>89</v>
      </c>
      <c r="DQ2" s="39" t="s">
        <v>26</v>
      </c>
      <c r="DR2" s="39" t="s">
        <v>90</v>
      </c>
      <c r="DS2" s="39" t="s">
        <v>91</v>
      </c>
      <c r="DT2" s="39"/>
      <c r="DU2" s="45" t="s">
        <v>92</v>
      </c>
      <c r="DV2" s="39"/>
      <c r="DW2" s="39" t="s">
        <v>86</v>
      </c>
      <c r="DX2" s="39" t="s">
        <v>45</v>
      </c>
      <c r="DY2" s="39" t="s">
        <v>87</v>
      </c>
      <c r="DZ2" s="39" t="s">
        <v>88</v>
      </c>
      <c r="EA2" s="39" t="s">
        <v>89</v>
      </c>
      <c r="EB2" s="39" t="s">
        <v>26</v>
      </c>
      <c r="EC2" s="39" t="s">
        <v>90</v>
      </c>
      <c r="ED2" s="39" t="s">
        <v>91</v>
      </c>
      <c r="EE2" s="39"/>
      <c r="EF2" s="45" t="s">
        <v>92</v>
      </c>
      <c r="EG2" s="39"/>
      <c r="EH2" s="39"/>
      <c r="EI2" s="39"/>
      <c r="EJ2" s="45" t="s">
        <v>93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94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95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96</v>
      </c>
      <c r="C6" s="56" t="s">
        <v>97</v>
      </c>
      <c r="D6" s="36" t="n">
        <f aca="false">OpenAccounts!G13</f>
        <v>21087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21087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21087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21087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21087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21087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21087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21087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21087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21087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21087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21087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21087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21087</v>
      </c>
      <c r="EK6" s="54"/>
    </row>
    <row r="7" customFormat="false" ht="12" hidden="false" customHeight="false" outlineLevel="0" collapsed="false">
      <c r="A7" s="54"/>
      <c r="B7" s="54" t="s">
        <v>98</v>
      </c>
      <c r="C7" s="56" t="s">
        <v>99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100</v>
      </c>
      <c r="C8" s="56" t="s">
        <v>101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102</v>
      </c>
      <c r="C9" s="56" t="s">
        <v>103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104</v>
      </c>
      <c r="C10" s="56" t="s">
        <v>105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30000</v>
      </c>
      <c r="EK10" s="54"/>
    </row>
    <row r="11" customFormat="false" ht="12" hidden="false" customHeight="false" outlineLevel="0" collapsed="false">
      <c r="A11" s="54"/>
      <c r="B11" s="54" t="s">
        <v>106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107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108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109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-270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-270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-270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-270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-270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-270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-270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-270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-270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-270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-270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-270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-270</v>
      </c>
      <c r="EK14" s="54"/>
    </row>
    <row r="15" customFormat="false" ht="12" hidden="false" customHeight="false" outlineLevel="0" collapsed="false">
      <c r="A15" s="54"/>
      <c r="B15" s="54" t="s">
        <v>110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-9828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-9828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-9828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-9828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-9828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-9828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-9828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-9828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-9828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-9828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-9828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-9828</v>
      </c>
      <c r="EG15" s="54"/>
      <c r="EH15" s="36" t="n">
        <f aca="false">[1]Schedule!$X$55+[1]Schedule!$X$108</f>
        <v>0</v>
      </c>
      <c r="EI15" s="54"/>
      <c r="EJ15" s="36" t="n">
        <f aca="false">SUM(EF15:EH15)</f>
        <v>-9828</v>
      </c>
      <c r="EK15" s="54"/>
    </row>
    <row r="16" customFormat="false" ht="12" hidden="false" customHeight="false" outlineLevel="0" collapsed="false">
      <c r="A16" s="54"/>
      <c r="B16" s="54" t="s">
        <v>111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112</v>
      </c>
      <c r="C17" s="56" t="s">
        <v>113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114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115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10000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10000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10000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10000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10000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10000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10000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10000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10000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10000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10000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10000</v>
      </c>
      <c r="EG19" s="54"/>
      <c r="EI19" s="54"/>
      <c r="EJ19" s="36" t="n">
        <f aca="false">SUM(EF19:EH19)</f>
        <v>10000</v>
      </c>
      <c r="EK19" s="54"/>
    </row>
    <row r="20" customFormat="false" ht="12" hidden="false" customHeight="false" outlineLevel="0" collapsed="false">
      <c r="A20" s="54"/>
      <c r="B20" s="54" t="s">
        <v>116</v>
      </c>
      <c r="C20" s="56" t="s">
        <v>117</v>
      </c>
      <c r="D20" s="36" t="n">
        <f aca="false">OpenAccounts!E16</f>
        <v>10800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19800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118</v>
      </c>
      <c r="Y20" s="54"/>
      <c r="Z20" s="36" t="n">
        <f aca="false">SUM(O20:Y20)</f>
        <v>38520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58820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78580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100000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120360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140520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161340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180240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200480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220540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237100</v>
      </c>
      <c r="EG20" s="54"/>
      <c r="EI20" s="54"/>
      <c r="EJ20" s="36" t="n">
        <f aca="false">SUM(EF20:EH20)</f>
        <v>237100</v>
      </c>
      <c r="EK20" s="54"/>
    </row>
    <row r="21" s="57" customFormat="true" ht="12" hidden="false" customHeight="false" outlineLevel="0" collapsed="false">
      <c r="A21" s="54"/>
      <c r="B21" s="58" t="s">
        <v>119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120</v>
      </c>
      <c r="C22" s="56" t="s">
        <v>121</v>
      </c>
      <c r="D22" s="36" t="n">
        <f aca="false">OpenAccounts!G18</f>
        <v>25000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54600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74100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94000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113100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135300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153300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225700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245100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264200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291200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310900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335500</v>
      </c>
      <c r="EG22" s="54"/>
      <c r="EI22" s="54"/>
      <c r="EJ22" s="36" t="n">
        <f aca="false">SUM(EF22:EH22)</f>
        <v>335500</v>
      </c>
      <c r="EK22" s="54"/>
    </row>
    <row r="23" customFormat="false" ht="12" hidden="false" customHeight="false" outlineLevel="0" collapsed="false">
      <c r="A23" s="54"/>
      <c r="B23" s="54" t="s">
        <v>122</v>
      </c>
      <c r="C23" s="56" t="s">
        <v>123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124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125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515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515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640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640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640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658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658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658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708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708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708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720</v>
      </c>
      <c r="EG25" s="54"/>
      <c r="EH25" s="36" t="n">
        <f aca="false">[8]Boardmeeting!$E$6</f>
        <v>0</v>
      </c>
      <c r="EI25" s="54"/>
      <c r="EJ25" s="36" t="n">
        <f aca="false">SUM(EF25:EH25)</f>
        <v>720</v>
      </c>
      <c r="EK25" s="54"/>
    </row>
    <row r="26" customFormat="false" ht="12" hidden="false" customHeight="false" outlineLevel="0" collapsed="false">
      <c r="A26" s="54"/>
      <c r="B26" s="54" t="s">
        <v>126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127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29</v>
      </c>
      <c r="C28" s="56" t="s">
        <v>128</v>
      </c>
      <c r="D28" s="36" t="n">
        <f aca="false">-OpenAccounts!E20</f>
        <v>-2400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-7511.25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-13886.25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-22943.25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-31702.5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-36407.75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-41382.75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-84388.5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-91306.5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-95291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-105269.25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-109665.75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-113392.25</v>
      </c>
      <c r="EG28" s="54"/>
      <c r="EH28" s="36" t="n">
        <f aca="false">[1]HPfinance!$E$2</f>
        <v>0</v>
      </c>
      <c r="EI28" s="54"/>
      <c r="EJ28" s="36" t="n">
        <f aca="false">SUM(EF28:EH28)</f>
        <v>-113392.25</v>
      </c>
      <c r="EK28" s="54"/>
    </row>
    <row r="29" customFormat="false" ht="12" hidden="false" customHeight="false" outlineLevel="0" collapsed="false">
      <c r="A29" s="54"/>
      <c r="B29" s="54" t="s">
        <v>129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130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131</v>
      </c>
      <c r="C31" s="56" t="s">
        <v>132</v>
      </c>
      <c r="D31" s="36" t="n">
        <f aca="false">-OpenAccounts!E23</f>
        <v>-4500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-4500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-4500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-4500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-4500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-4500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-4500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-4500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-4500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-4500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-4500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-4500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-4500</v>
      </c>
      <c r="EG31" s="54"/>
      <c r="EH31" s="36" t="n">
        <f aca="false">-[8]Boardmeeting!$E$4</f>
        <v>-0</v>
      </c>
      <c r="EI31" s="54"/>
      <c r="EJ31" s="36" t="n">
        <f aca="false">SUM(EF31:EH31)</f>
        <v>-4500</v>
      </c>
      <c r="EK31" s="54"/>
    </row>
    <row r="32" customFormat="false" ht="12" hidden="false" customHeight="false" outlineLevel="0" collapsed="false">
      <c r="A32" s="54"/>
      <c r="B32" s="54" t="s">
        <v>133</v>
      </c>
      <c r="C32" s="56" t="s">
        <v>134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135</v>
      </c>
      <c r="C33" s="56" t="s">
        <v>136</v>
      </c>
      <c r="D33" s="36" t="n">
        <f aca="false">-OpenAccounts!H26</f>
        <v>-1500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-7066.66666666667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-12553.3333333333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-18420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-24046.6666666667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-32550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-38301.6666666667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-46728.3333333334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-52615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-58081.6666666667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-65488.3333333334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-71215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-76591.6666666667</v>
      </c>
      <c r="EG33" s="54"/>
      <c r="EI33" s="54"/>
      <c r="EJ33" s="36" t="n">
        <f aca="false">SUM(EF33:EH33)</f>
        <v>-76591.6666666667</v>
      </c>
      <c r="EK33" s="54"/>
    </row>
    <row r="34" customFormat="false" ht="12" hidden="false" customHeight="false" outlineLevel="0" collapsed="false">
      <c r="A34" s="54"/>
      <c r="B34" s="54" t="s">
        <v>137</v>
      </c>
      <c r="C34" s="56" t="s">
        <v>138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139</v>
      </c>
      <c r="C35" s="56" t="s">
        <v>140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141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142</v>
      </c>
      <c r="C37" s="56" t="s">
        <v>143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144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37</v>
      </c>
      <c r="C39" s="56" t="s">
        <v>145</v>
      </c>
      <c r="D39" s="36" t="n">
        <f aca="false">-OpenAccounts!E30</f>
        <v>-20000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-157837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-341281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-478965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-708553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-800460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-938420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-1168445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-1306583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-1490892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-1629197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-1721468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-1906145</v>
      </c>
      <c r="EG39" s="54"/>
      <c r="EI39" s="54"/>
      <c r="EJ39" s="36" t="n">
        <f aca="false">SUM(EF39:EH39)</f>
        <v>-1906145</v>
      </c>
      <c r="EK39" s="54"/>
    </row>
    <row r="40" customFormat="false" ht="12" hidden="false" customHeight="false" outlineLevel="0" collapsed="false">
      <c r="A40" s="54"/>
      <c r="B40" s="54" t="s">
        <v>146</v>
      </c>
      <c r="C40" s="56" t="s">
        <v>147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148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149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150</v>
      </c>
      <c r="C43" s="56"/>
      <c r="D43" s="36" t="n">
        <f aca="false">-OpenAccounts!E34</f>
        <v>-45702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-45702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-45702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-45702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-45702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-45702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-45702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-45702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-45702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-45702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-45702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-45702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-45702</v>
      </c>
      <c r="EG43" s="54"/>
      <c r="EH43" s="36" t="n">
        <f aca="false">-'PubP&amp;L'!F54</f>
        <v>-223144.7775</v>
      </c>
      <c r="EI43" s="54"/>
      <c r="EJ43" s="36" t="n">
        <f aca="false">SUM(EF43:EH43)</f>
        <v>-268846.7775</v>
      </c>
      <c r="EK43" s="54"/>
    </row>
    <row r="44" customFormat="false" ht="12" hidden="false" customHeight="false" outlineLevel="0" collapsed="false">
      <c r="A44" s="54"/>
      <c r="B44" s="54" t="s">
        <v>151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152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153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79</v>
      </c>
      <c r="C48" s="56" t="s">
        <v>132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154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155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156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157</v>
      </c>
      <c r="C53" s="56" t="s">
        <v>158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159</v>
      </c>
      <c r="C54" s="56" t="s">
        <v>160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161</v>
      </c>
      <c r="C55" s="56" t="s">
        <v>162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75</v>
      </c>
      <c r="C56" s="56" t="s">
        <v>163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164</v>
      </c>
      <c r="C57" s="56" t="s">
        <v>165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166</v>
      </c>
      <c r="C58" s="56" t="s">
        <v>167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168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169</v>
      </c>
      <c r="C60" s="56" t="s">
        <v>170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171</v>
      </c>
      <c r="C61" s="56" t="s">
        <v>162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172</v>
      </c>
      <c r="C62" s="56" t="s">
        <v>173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174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175</v>
      </c>
      <c r="C64" s="56" t="s">
        <v>176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177</v>
      </c>
      <c r="C65" s="56" t="s">
        <v>178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52</v>
      </c>
      <c r="C66" s="56" t="s">
        <v>163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179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54</v>
      </c>
      <c r="C68" s="56" t="s">
        <v>180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55</v>
      </c>
      <c r="C69" s="56" t="s">
        <v>181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56</v>
      </c>
      <c r="C70" s="56" t="s">
        <v>182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57</v>
      </c>
      <c r="C71" s="56" t="s">
        <v>183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58</v>
      </c>
      <c r="C72" s="56" t="s">
        <v>184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59</v>
      </c>
      <c r="C73" s="56" t="s">
        <v>185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60</v>
      </c>
      <c r="C74" s="56" t="s">
        <v>158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61</v>
      </c>
      <c r="C75" s="56" t="s">
        <v>165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62</v>
      </c>
      <c r="C76" s="56" t="s">
        <v>186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63</v>
      </c>
      <c r="C77" s="56" t="s">
        <v>187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64</v>
      </c>
      <c r="C78" s="56" t="s">
        <v>188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65</v>
      </c>
      <c r="C79" s="56" t="s">
        <v>189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66</v>
      </c>
      <c r="C80" s="56" t="s">
        <v>190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67</v>
      </c>
      <c r="C81" s="56" t="s">
        <v>173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68</v>
      </c>
      <c r="C82" s="56" t="s">
        <v>191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69</v>
      </c>
      <c r="C83" s="56" t="s">
        <v>160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70</v>
      </c>
      <c r="C84" s="56" t="s">
        <v>192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71</v>
      </c>
      <c r="C85" s="56" t="s">
        <v>193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72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73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194</v>
      </c>
      <c r="C88" s="56" t="s">
        <v>195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196</v>
      </c>
      <c r="C89" s="56" t="s">
        <v>195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197</v>
      </c>
      <c r="C91" s="60"/>
      <c r="D91" s="36" t="n">
        <f aca="false">SUM(D4:D90)</f>
        <v>21087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-111535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-289679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-422058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-646546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-733353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-866695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-1054600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-1187838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-1366897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-1494902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-1581533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-1756398</v>
      </c>
      <c r="EG91" s="54"/>
      <c r="EH91" s="36" t="n">
        <f aca="false">SUM(EH4:EH90)</f>
        <v>0</v>
      </c>
      <c r="EI91" s="54"/>
      <c r="EJ91" s="36" t="n">
        <f aca="false">SUM(EJ4:EJ90)</f>
        <v>-1756398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198</v>
      </c>
      <c r="B1" s="63" t="s">
        <v>199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200</v>
      </c>
      <c r="C3" s="69" t="s">
        <v>200</v>
      </c>
      <c r="D3" s="69" t="s">
        <v>200</v>
      </c>
      <c r="E3" s="69" t="s">
        <v>200</v>
      </c>
      <c r="F3" s="69" t="s">
        <v>200</v>
      </c>
      <c r="G3" s="69" t="s">
        <v>200</v>
      </c>
      <c r="H3" s="69" t="s">
        <v>200</v>
      </c>
      <c r="I3" s="69" t="s">
        <v>200</v>
      </c>
      <c r="J3" s="69" t="s">
        <v>200</v>
      </c>
      <c r="K3" s="69" t="s">
        <v>200</v>
      </c>
      <c r="L3" s="69" t="s">
        <v>200</v>
      </c>
      <c r="M3" s="69" t="s">
        <v>200</v>
      </c>
      <c r="N3" s="69" t="s">
        <v>200</v>
      </c>
      <c r="O3" s="68"/>
    </row>
    <row r="4" customFormat="false" ht="12" hidden="false" customHeight="false" outlineLevel="0" collapsed="false">
      <c r="A4" s="70" t="s">
        <v>157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159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161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75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43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42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48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45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47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201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48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49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50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51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52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179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54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55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56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57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58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59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60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61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62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63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64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65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66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67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68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69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70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71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72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73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50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74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202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76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203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204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200</v>
      </c>
      <c r="B6" s="99" t="s">
        <v>200</v>
      </c>
      <c r="C6" s="100"/>
      <c r="D6" s="100"/>
      <c r="E6" s="99" t="s">
        <v>200</v>
      </c>
      <c r="F6" s="99" t="s">
        <v>200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42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43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42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48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205</v>
      </c>
      <c r="D12" s="107" t="n">
        <f aca="false">Admin!B9</f>
        <v>46174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45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10000</v>
      </c>
      <c r="B14" s="86" t="n">
        <f aca="false">A12+A13-A14</f>
        <v>-10000</v>
      </c>
      <c r="C14" s="101" t="s">
        <v>206</v>
      </c>
      <c r="D14" s="107" t="n">
        <f aca="false">D3</f>
        <v>46538</v>
      </c>
      <c r="E14" s="86" t="n">
        <f aca="false">TrialBalance!EJ19</f>
        <v>10000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47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-10000</v>
      </c>
      <c r="C16" s="105" t="s">
        <v>48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10000</v>
      </c>
      <c r="C18" s="105" t="s">
        <v>49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50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51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52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53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54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55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56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57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58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59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60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61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62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63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64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65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66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67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68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69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70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71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72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73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50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10000</v>
      </c>
      <c r="C46" s="109" t="s">
        <v>74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75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10000</v>
      </c>
      <c r="C49" s="106" t="s">
        <v>76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77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10000</v>
      </c>
      <c r="C51" s="106" t="s">
        <v>78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79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200</v>
      </c>
      <c r="B54" s="104" t="n">
        <f aca="false">B51-B52</f>
        <v>10000</v>
      </c>
      <c r="C54" s="106" t="s">
        <v>80</v>
      </c>
      <c r="D54" s="106"/>
      <c r="E54" s="110" t="s">
        <v>200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207</v>
      </c>
      <c r="D1" s="111"/>
      <c r="E1" s="90"/>
    </row>
    <row r="2" customFormat="false" ht="12" hidden="false" customHeight="false" outlineLevel="0" collapsed="false">
      <c r="C2" s="112" t="s">
        <v>208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200</v>
      </c>
      <c r="B4" s="99" t="s">
        <v>200</v>
      </c>
      <c r="C4" s="88"/>
      <c r="D4" s="88"/>
      <c r="E4" s="99" t="s">
        <v>200</v>
      </c>
      <c r="F4" s="99" t="s">
        <v>200</v>
      </c>
    </row>
    <row r="6" customFormat="false" ht="12" hidden="false" customHeight="false" outlineLevel="0" collapsed="false">
      <c r="A6" s="115"/>
      <c r="B6" s="116" t="n">
        <f aca="false">SUM(TrialBalance!D6:D17)</f>
        <v>43989</v>
      </c>
      <c r="C6" s="117" t="s">
        <v>21</v>
      </c>
      <c r="D6" s="117"/>
      <c r="E6" s="115"/>
      <c r="F6" s="116" t="n">
        <f aca="false">SUM(TrialBalance!EJ6:EJ17)</f>
        <v>70489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209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23</v>
      </c>
      <c r="E10" s="115" t="n">
        <f aca="false">TrialBalance!EJ19</f>
        <v>10000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116</v>
      </c>
      <c r="E11" s="115" t="n">
        <f aca="false">TrialBalance!EJ20</f>
        <v>237100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210</v>
      </c>
      <c r="E12" s="119" t="n">
        <f aca="false">IF(SUM(TrialBalance!EJ22:EJ24)&gt;0,SUM(TrialBalance!EJ22:EJ24)+TrialBalance!EJ25+TrialBalance!EJ26,TrialBalance!EJ25)</f>
        <v>348635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209</v>
      </c>
      <c r="D13" s="117"/>
      <c r="E13" s="116" t="n">
        <f aca="false">SUM(E10:E12)</f>
        <v>595735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211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6900</v>
      </c>
      <c r="B16" s="115"/>
      <c r="C16" s="88" t="s">
        <v>29</v>
      </c>
      <c r="E16" s="115" t="n">
        <f aca="false">-SUM(TrialBalance!EJ28:EJ31)</f>
        <v>117892.25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212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35</v>
      </c>
      <c r="E18" s="115" t="n">
        <f aca="false">-SUM(TrialBalance!EJ32:EJ34)</f>
        <v>76591.6666666667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213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28</v>
      </c>
      <c r="D20" s="117"/>
      <c r="E20" s="116" t="n">
        <f aca="false">SUM(E16:E19)</f>
        <v>247530.2225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214</v>
      </c>
      <c r="D22" s="117"/>
      <c r="E22" s="118"/>
      <c r="F22" s="116" t="n">
        <f aca="false">E13-E20</f>
        <v>348204.7775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215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86889</v>
      </c>
      <c r="C26" s="117" t="s">
        <v>216</v>
      </c>
      <c r="D26" s="117"/>
      <c r="E26" s="118"/>
      <c r="F26" s="116" t="n">
        <f aca="false">SUM(F6:F25)</f>
        <v>418693.7775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36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37</v>
      </c>
      <c r="D29" s="88"/>
      <c r="E29" s="115" t="n">
        <f aca="false">-TrialBalance!EJ39</f>
        <v>1906145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217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20000</v>
      </c>
      <c r="E31" s="115"/>
      <c r="F31" s="116" t="n">
        <f aca="false">SUM(E29:E30)</f>
        <v>1906145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200</v>
      </c>
      <c r="B33" s="116" t="n">
        <f aca="false">B26-B31</f>
        <v>66889</v>
      </c>
      <c r="C33" s="117" t="s">
        <v>218</v>
      </c>
      <c r="D33" s="117"/>
      <c r="E33" s="118" t="s">
        <v>200</v>
      </c>
      <c r="F33" s="116" t="n">
        <f aca="false">F26-F31</f>
        <v>-1487451.2225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38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219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45702</v>
      </c>
      <c r="C37" s="88" t="s">
        <v>220</v>
      </c>
      <c r="D37" s="88"/>
      <c r="E37" s="115"/>
      <c r="F37" s="115" t="n">
        <f aca="false">-TrialBalance!EJ43</f>
        <v>268846.7775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221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200</v>
      </c>
      <c r="B39" s="116" t="n">
        <f aca="false">SUM(B36:B38)</f>
        <v>45802</v>
      </c>
      <c r="C39" s="117" t="s">
        <v>222</v>
      </c>
      <c r="D39" s="117"/>
      <c r="E39" s="118" t="s">
        <v>200</v>
      </c>
      <c r="F39" s="116" t="n">
        <f aca="false">SUM(F36:F38)</f>
        <v>268946.7775</v>
      </c>
      <c r="G39" s="120"/>
    </row>
    <row r="41" s="87" customFormat="true" ht="12" hidden="false" customHeight="true" outlineLevel="0" collapsed="false">
      <c r="A41" s="121" t="s">
        <v>223</v>
      </c>
      <c r="B41" s="122" t="n">
        <f aca="false">D2</f>
        <v>46538</v>
      </c>
      <c r="C41" s="123" t="s">
        <v>224</v>
      </c>
      <c r="D41" s="123"/>
      <c r="E41" s="123"/>
    </row>
    <row r="42" s="87" customFormat="true" ht="12" hidden="false" customHeight="true" outlineLevel="0" collapsed="false">
      <c r="A42" s="124" t="s">
        <v>225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226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227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228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229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230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231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232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233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234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235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236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237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238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239</v>
      </c>
      <c r="B57" s="129"/>
      <c r="C57" s="130" t="n">
        <f aca="true">TODAY()</f>
        <v>46118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240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241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242</v>
      </c>
    </row>
    <row r="3" customFormat="false" ht="12" hidden="false" customHeight="false" outlineLevel="0" collapsed="false">
      <c r="A3" s="106" t="s">
        <v>243</v>
      </c>
    </row>
    <row r="4" s="114" customFormat="true" ht="17.25" hidden="false" customHeight="true" outlineLevel="0" collapsed="false">
      <c r="A4" s="131"/>
      <c r="B4" s="132" t="s">
        <v>244</v>
      </c>
      <c r="C4" s="132" t="s">
        <v>245</v>
      </c>
      <c r="D4" s="132" t="s">
        <v>18</v>
      </c>
      <c r="E4" s="132" t="s">
        <v>246</v>
      </c>
      <c r="F4" s="132" t="s">
        <v>247</v>
      </c>
      <c r="G4" s="132" t="s">
        <v>248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200</v>
      </c>
      <c r="C6" s="131" t="s">
        <v>200</v>
      </c>
      <c r="D6" s="131" t="s">
        <v>200</v>
      </c>
      <c r="E6" s="131" t="s">
        <v>200</v>
      </c>
      <c r="F6" s="131" t="s">
        <v>200</v>
      </c>
      <c r="G6" s="131" t="s">
        <v>200</v>
      </c>
    </row>
    <row r="7" customFormat="false" ht="12" hidden="false" customHeight="false" outlineLevel="0" collapsed="false">
      <c r="A7" s="106" t="s">
        <v>249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250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251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73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252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253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270</v>
      </c>
      <c r="F17" s="108" t="n">
        <f aca="false">F14-F16+F15</f>
        <v>9828</v>
      </c>
      <c r="G17" s="108" t="n">
        <f aca="false">SUM(B17:F17)</f>
        <v>10098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254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-270</v>
      </c>
      <c r="F20" s="134" t="n">
        <f aca="false">F11-F17</f>
        <v>-9828</v>
      </c>
      <c r="G20" s="134" t="n">
        <f aca="false">G11-G17</f>
        <v>-10098</v>
      </c>
    </row>
    <row r="23" customFormat="false" ht="12" hidden="false" customHeight="false" outlineLevel="0" collapsed="false">
      <c r="A23" s="101" t="s">
        <v>255</v>
      </c>
    </row>
    <row r="24" customFormat="false" ht="12" hidden="false" customHeight="false" outlineLevel="0" collapsed="false">
      <c r="A24" s="101" t="s">
        <v>256</v>
      </c>
    </row>
    <row r="25" customFormat="false" ht="12" hidden="false" customHeight="false" outlineLevel="0" collapsed="false">
      <c r="A25" s="101" t="s">
        <v>257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258</v>
      </c>
    </row>
    <row r="28" customFormat="false" ht="12" hidden="false" customHeight="false" outlineLevel="0" collapsed="false">
      <c r="A28" s="101" t="s">
        <v>259</v>
      </c>
      <c r="B28" s="135" t="n">
        <f aca="false">[1]Schedule!$H$13</f>
        <v>0.1</v>
      </c>
      <c r="C28" s="89" t="s">
        <v>258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258</v>
      </c>
    </row>
    <row r="30" customFormat="false" ht="12" hidden="false" customHeight="false" outlineLevel="0" collapsed="false">
      <c r="A30" s="101" t="s">
        <v>260</v>
      </c>
      <c r="B30" s="135" t="n">
        <f aca="false">[1]Schedule!$H$32</f>
        <v>0.33</v>
      </c>
      <c r="C30" s="89" t="s">
        <v>258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258</v>
      </c>
    </row>
    <row r="34" customFormat="false" ht="12" hidden="false" customHeight="false" outlineLevel="0" collapsed="false">
      <c r="A34" s="106" t="s">
        <v>261</v>
      </c>
    </row>
    <row r="35" customFormat="false" ht="12" hidden="false" customHeight="false" outlineLevel="0" collapsed="false">
      <c r="A35" s="101" t="s">
        <v>262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263</v>
      </c>
    </row>
    <row r="38" customFormat="false" ht="12" hidden="false" customHeight="false" outlineLevel="0" collapsed="false">
      <c r="A38" s="101" t="s">
        <v>264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265</v>
      </c>
    </row>
    <row r="41" s="87" customFormat="true" ht="12" hidden="false" customHeight="false" outlineLevel="0" collapsed="false">
      <c r="A41" s="101" t="s">
        <v>266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267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268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269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270</v>
      </c>
      <c r="E60" s="149"/>
    </row>
    <row r="62" customFormat="false" ht="12.75" hidden="false" customHeight="false" outlineLevel="0" collapsed="false">
      <c r="B62" s="0" t="s">
        <v>271</v>
      </c>
    </row>
    <row r="63" customFormat="false" ht="12.75" hidden="false" customHeight="false" outlineLevel="0" collapsed="false">
      <c r="B63" s="0" t="s">
        <v>272</v>
      </c>
    </row>
    <row r="64" customFormat="false" ht="12.75" hidden="false" customHeight="false" outlineLevel="0" collapsed="false">
      <c r="B64" s="0" t="s">
        <v>273</v>
      </c>
    </row>
    <row r="65" customFormat="false" ht="12.75" hidden="false" customHeight="false" outlineLevel="0" collapsed="false">
      <c r="B65" s="0" t="s">
        <v>274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275</v>
      </c>
    </row>
    <row r="69" customFormat="false" ht="12.75" hidden="false" customHeight="false" outlineLevel="0" collapsed="false">
      <c r="B69" s="0" t="s">
        <v>276</v>
      </c>
    </row>
    <row r="71" customFormat="false" ht="12.75" hidden="false" customHeight="false" outlineLevel="0" collapsed="false">
      <c r="B71" s="0" t="s">
        <v>277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278</v>
      </c>
      <c r="D74" s="152" t="n">
        <f aca="true">TODAY()</f>
        <v>46118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279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280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281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282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283</v>
      </c>
      <c r="B87" s="160"/>
      <c r="C87" s="160"/>
      <c r="D87" s="160"/>
      <c r="E87" s="165" t="n">
        <f aca="false">'PubP&amp;L'!F9</f>
        <v>341283.333333333</v>
      </c>
      <c r="F87" s="166" t="s">
        <v>284</v>
      </c>
      <c r="G87" s="166"/>
      <c r="H87" s="165" t="n">
        <f aca="false">'PubP&amp;L'!B9</f>
        <v>0</v>
      </c>
      <c r="I87" s="144" t="s">
        <v>285</v>
      </c>
    </row>
    <row r="88" s="144" customFormat="true" ht="12.75" hidden="false" customHeight="true" outlineLevel="0" collapsed="false">
      <c r="A88" s="160" t="s">
        <v>286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287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288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289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290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291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292</v>
      </c>
      <c r="B94" s="160"/>
      <c r="C94" s="160"/>
      <c r="D94" s="165" t="n">
        <f aca="false">[8]Boardmeeting!$E$4</f>
        <v>0</v>
      </c>
      <c r="E94" s="170" t="s">
        <v>293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294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295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296</v>
      </c>
      <c r="E97" s="147"/>
      <c r="F97" s="173" t="n">
        <f aca="false">[8]RegisterofMembers!$G$3</f>
        <v>0</v>
      </c>
      <c r="G97" s="174" t="s">
        <v>297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296</v>
      </c>
      <c r="E98" s="147"/>
      <c r="F98" s="173" t="n">
        <f aca="false">[8]RegisterofMembers!$G$4</f>
        <v>0</v>
      </c>
      <c r="G98" s="174" t="s">
        <v>297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298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299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300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301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302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303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304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305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306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307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308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309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310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311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312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313</v>
      </c>
      <c r="F119" s="144" t="s">
        <v>314</v>
      </c>
      <c r="G119" s="159" t="n">
        <f aca="true">TODAY()</f>
        <v>46118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315</v>
      </c>
      <c r="F2" s="182"/>
      <c r="G2" s="182"/>
      <c r="H2" s="182"/>
      <c r="I2" s="182"/>
      <c r="J2" s="183"/>
      <c r="K2" s="184" t="s">
        <v>316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200</v>
      </c>
      <c r="J3" s="186"/>
      <c r="K3" s="186" t="s">
        <v>200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317</v>
      </c>
      <c r="C5" s="188"/>
      <c r="D5" s="188"/>
      <c r="E5" s="189" t="n">
        <f aca="false">Admin!L6</f>
        <v>46174</v>
      </c>
      <c r="F5" s="189"/>
      <c r="G5" s="190" t="s">
        <v>318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319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320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321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322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323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324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325</v>
      </c>
      <c r="L15" s="202"/>
    </row>
    <row r="16" s="120" customFormat="true" ht="12.65" hidden="false" customHeight="false" outlineLevel="0" collapsed="false">
      <c r="A16" s="187"/>
      <c r="B16" s="193" t="s">
        <v>326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327</v>
      </c>
      <c r="L16" s="202"/>
    </row>
    <row r="17" s="120" customFormat="true" ht="12.65" hidden="false" customHeight="false" outlineLevel="0" collapsed="false">
      <c r="A17" s="187"/>
      <c r="B17" s="193" t="s">
        <v>328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329</v>
      </c>
      <c r="L17" s="202"/>
    </row>
    <row r="18" s="120" customFormat="true" ht="12.65" hidden="false" customHeight="false" outlineLevel="0" collapsed="false">
      <c r="A18" s="187"/>
      <c r="B18" s="193" t="s">
        <v>330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331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323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332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333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334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335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336</v>
      </c>
      <c r="B31" s="217" t="s">
        <v>316</v>
      </c>
      <c r="C31" s="218" t="s">
        <v>337</v>
      </c>
      <c r="D31" s="218" t="s">
        <v>338</v>
      </c>
      <c r="E31" s="218" t="s">
        <v>339</v>
      </c>
      <c r="F31" s="219" t="s">
        <v>340</v>
      </c>
      <c r="G31" s="219" t="s">
        <v>341</v>
      </c>
      <c r="H31" s="219"/>
      <c r="I31" s="219" t="s">
        <v>342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212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212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343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344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345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346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347</v>
      </c>
      <c r="G45" s="178"/>
      <c r="H45" s="179"/>
      <c r="I45" s="233" t="s">
        <v>348</v>
      </c>
      <c r="J45" s="178"/>
      <c r="K45" s="178"/>
      <c r="L45" s="177"/>
    </row>
    <row r="46" customFormat="false" ht="25.5" hidden="false" customHeight="true" outlineLevel="0" collapsed="false">
      <c r="A46" s="234" t="s">
        <v>349</v>
      </c>
      <c r="B46" s="235" t="s">
        <v>348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200</v>
      </c>
      <c r="G47" s="178"/>
      <c r="H47" s="179"/>
      <c r="I47" s="238" t="s">
        <v>200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350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351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352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353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354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347</v>
      </c>
      <c r="G81" s="178"/>
      <c r="H81" s="179"/>
      <c r="I81" s="233" t="s">
        <v>355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356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200</v>
      </c>
      <c r="G83" s="178"/>
      <c r="H83" s="179"/>
      <c r="I83" s="238" t="s">
        <v>200</v>
      </c>
      <c r="J83" s="178"/>
      <c r="K83" s="178"/>
      <c r="L83" s="185"/>
    </row>
    <row r="84" customFormat="false" ht="12" hidden="false" customHeight="true" outlineLevel="0" collapsed="false">
      <c r="A84" s="247" t="s">
        <v>357</v>
      </c>
      <c r="B84" s="243" t="s">
        <v>358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359</v>
      </c>
      <c r="C91" s="249"/>
      <c r="D91" s="250" t="n">
        <f aca="false">E5</f>
        <v>46174</v>
      </c>
      <c r="E91" s="250" t="n">
        <f aca="false">H5</f>
        <v>46904</v>
      </c>
      <c r="F91" s="251" t="s">
        <v>360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361</v>
      </c>
      <c r="B93" s="196" t="s">
        <v>362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363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364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365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366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362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367</v>
      </c>
      <c r="B102" s="196" t="s">
        <v>330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368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369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370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371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372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373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374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375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376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377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378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379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380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381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382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383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384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385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386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387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388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389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390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391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392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393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394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195</v>
      </c>
      <c r="AR34" s="272"/>
    </row>
    <row r="35" s="87" customFormat="true" ht="12.75" hidden="false" customHeight="false" outlineLevel="0" collapsed="false">
      <c r="A35" s="272"/>
      <c r="B35" s="292" t="s">
        <v>395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396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397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398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399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400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401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402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403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404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405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406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407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408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409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410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411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412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413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414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415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416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417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418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419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420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421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422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200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423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424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200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425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200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426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427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200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428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429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200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430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200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431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200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432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433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200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434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200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435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436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200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437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438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200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439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440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200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441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200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442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443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444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445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200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446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200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447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448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200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449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450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200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451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452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453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454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455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195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456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457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458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459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460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461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200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200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462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200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200</v>
      </c>
      <c r="AJ128" s="330"/>
      <c r="AK128" s="330"/>
      <c r="AL128" s="330"/>
      <c r="AM128" s="330"/>
      <c r="AN128" s="330"/>
      <c r="AO128" s="330"/>
      <c r="AP128" s="330"/>
      <c r="AQ128" s="331" t="s">
        <v>462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463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77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200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462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464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200</v>
      </c>
      <c r="X133" s="333"/>
      <c r="Y133" s="333"/>
      <c r="Z133" s="333"/>
      <c r="AA133" s="333"/>
      <c r="AB133" s="333"/>
      <c r="AC133" s="333"/>
      <c r="AD133" s="333"/>
      <c r="AE133" s="331" t="s">
        <v>462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465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200</v>
      </c>
      <c r="X135" s="333"/>
      <c r="Y135" s="333"/>
      <c r="Z135" s="333"/>
      <c r="AA135" s="333"/>
      <c r="AB135" s="333"/>
      <c r="AC135" s="333"/>
      <c r="AD135" s="333"/>
      <c r="AE135" s="331" t="s">
        <v>462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466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341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467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468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200</v>
      </c>
      <c r="X141" s="333"/>
      <c r="Y141" s="333"/>
      <c r="Z141" s="333"/>
      <c r="AA141" s="333"/>
      <c r="AB141" s="333"/>
      <c r="AC141" s="333"/>
      <c r="AD141" s="333"/>
      <c r="AE141" s="331" t="s">
        <v>462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469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200</v>
      </c>
      <c r="X143" s="333"/>
      <c r="Y143" s="333"/>
      <c r="Z143" s="333"/>
      <c r="AA143" s="333"/>
      <c r="AB143" s="333"/>
      <c r="AC143" s="333"/>
      <c r="AD143" s="333"/>
      <c r="AE143" s="331" t="s">
        <v>462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470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471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200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462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472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473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200</v>
      </c>
      <c r="AJ149" s="333"/>
      <c r="AK149" s="333"/>
      <c r="AL149" s="333"/>
      <c r="AM149" s="333"/>
      <c r="AN149" s="333"/>
      <c r="AO149" s="333"/>
      <c r="AP149" s="333"/>
      <c r="AQ149" s="331" t="s">
        <v>462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474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475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476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200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462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477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200</v>
      </c>
      <c r="AJ156" s="333"/>
      <c r="AK156" s="333"/>
      <c r="AL156" s="333"/>
      <c r="AM156" s="333"/>
      <c r="AN156" s="333"/>
      <c r="AO156" s="333"/>
      <c r="AP156" s="333"/>
      <c r="AQ156" s="331" t="s">
        <v>462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478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479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200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462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480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481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200</v>
      </c>
      <c r="AJ163" s="330"/>
      <c r="AK163" s="330"/>
      <c r="AL163" s="330"/>
      <c r="AM163" s="330"/>
      <c r="AN163" s="330"/>
      <c r="AO163" s="330"/>
      <c r="AP163" s="330"/>
      <c r="AQ163" s="331" t="s">
        <v>462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482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483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200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462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484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485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200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462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486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487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488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489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490</v>
      </c>
      <c r="C175" s="274"/>
      <c r="D175" s="274"/>
      <c r="E175" s="274"/>
      <c r="F175" s="276"/>
      <c r="G175" s="276"/>
      <c r="H175" s="276" t="s">
        <v>491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200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200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492</v>
      </c>
      <c r="C177" s="274"/>
      <c r="D177" s="274"/>
      <c r="E177" s="274"/>
      <c r="F177" s="276"/>
      <c r="G177" s="276"/>
      <c r="H177" s="276" t="s">
        <v>493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200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200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494</v>
      </c>
      <c r="C179" s="274"/>
      <c r="D179" s="274"/>
      <c r="E179" s="274"/>
      <c r="F179" s="276"/>
      <c r="G179" s="276"/>
      <c r="H179" s="276" t="s">
        <v>495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200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200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496</v>
      </c>
      <c r="C181" s="274"/>
      <c r="D181" s="274"/>
      <c r="E181" s="274"/>
      <c r="F181" s="276"/>
      <c r="G181" s="276"/>
      <c r="H181" s="276" t="s">
        <v>497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200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200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498</v>
      </c>
      <c r="C183" s="274"/>
      <c r="D183" s="274"/>
      <c r="E183" s="274"/>
      <c r="F183" s="276"/>
      <c r="G183" s="276"/>
      <c r="H183" s="276" t="s">
        <v>499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200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200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500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488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489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501</v>
      </c>
      <c r="C187" s="274"/>
      <c r="D187" s="274"/>
      <c r="E187" s="274"/>
      <c r="F187" s="276"/>
      <c r="G187" s="276"/>
      <c r="H187" s="276" t="s">
        <v>502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200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200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503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504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505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506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200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507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508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509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200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510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200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511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512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513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514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515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200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516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200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517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518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519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520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521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200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200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522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523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524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525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526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527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200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200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528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529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530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531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200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532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200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533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534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535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536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537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538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539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200</v>
      </c>
      <c r="AD224" s="309"/>
      <c r="AE224" s="309"/>
      <c r="AF224" s="309"/>
      <c r="AG224" s="309"/>
      <c r="AH224" s="309"/>
      <c r="AI224" s="276" t="s">
        <v>540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541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542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543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544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545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546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547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548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549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550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551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552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553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554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387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555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556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276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557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558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559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560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558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561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562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276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557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563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564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277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565</v>
      </c>
      <c r="C2" s="388" t="s">
        <v>566</v>
      </c>
      <c r="D2" s="388" t="s">
        <v>567</v>
      </c>
      <c r="E2" s="388" t="s">
        <v>568</v>
      </c>
      <c r="F2" s="388" t="s">
        <v>569</v>
      </c>
      <c r="G2" s="388" t="s">
        <v>570</v>
      </c>
      <c r="H2" s="388" t="s">
        <v>179</v>
      </c>
      <c r="I2" s="388" t="s">
        <v>571</v>
      </c>
      <c r="J2" s="47"/>
      <c r="K2" s="387" t="s">
        <v>572</v>
      </c>
      <c r="L2" s="389"/>
    </row>
    <row r="3" s="53" customFormat="true" ht="15" hidden="false" customHeight="true" outlineLevel="0" collapsed="false">
      <c r="A3" s="386"/>
      <c r="B3" s="390" t="s">
        <v>573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574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575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576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577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578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579</v>
      </c>
      <c r="I1" s="406"/>
      <c r="J1" s="406"/>
      <c r="K1" s="406"/>
      <c r="L1" s="406"/>
      <c r="M1" s="405"/>
      <c r="N1" s="406" t="s">
        <v>579</v>
      </c>
      <c r="O1" s="406"/>
      <c r="P1" s="406"/>
      <c r="Q1" s="406"/>
      <c r="R1" s="406"/>
      <c r="S1" s="405"/>
      <c r="T1" s="406" t="s">
        <v>579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580</v>
      </c>
      <c r="C2" s="412"/>
      <c r="D2" s="413" t="s">
        <v>581</v>
      </c>
      <c r="E2" s="414"/>
      <c r="F2" s="413" t="s">
        <v>582</v>
      </c>
      <c r="G2" s="414"/>
      <c r="H2" s="415" t="s">
        <v>583</v>
      </c>
      <c r="I2" s="414"/>
      <c r="J2" s="413" t="s">
        <v>584</v>
      </c>
      <c r="K2" s="414"/>
      <c r="L2" s="413" t="s">
        <v>585</v>
      </c>
      <c r="M2" s="414"/>
      <c r="N2" s="415" t="s">
        <v>586</v>
      </c>
      <c r="O2" s="414"/>
      <c r="P2" s="413" t="s">
        <v>587</v>
      </c>
      <c r="Q2" s="414"/>
      <c r="R2" s="413" t="s">
        <v>585</v>
      </c>
      <c r="S2" s="414"/>
      <c r="T2" s="415" t="s">
        <v>588</v>
      </c>
      <c r="U2" s="414"/>
      <c r="V2" s="413" t="s">
        <v>589</v>
      </c>
      <c r="W2" s="414"/>
      <c r="X2" s="416" t="s">
        <v>585</v>
      </c>
      <c r="Y2" s="417"/>
      <c r="Z2" s="413" t="s">
        <v>590</v>
      </c>
      <c r="AA2" s="414"/>
      <c r="AB2" s="413" t="s">
        <v>591</v>
      </c>
      <c r="AC2" s="418"/>
      <c r="AD2" s="419" t="s">
        <v>592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593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594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10000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10000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10000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10000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10000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595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10000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10000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10000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10000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596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10000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10000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10000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10000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597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10000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10000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10000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10000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598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10000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10000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10000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10000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10000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10000</v>
      </c>
      <c r="AC28" s="68"/>
      <c r="AD28" s="427" t="s">
        <v>599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10000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10000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600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601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602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603</v>
      </c>
      <c r="G4" s="453" t="s">
        <v>341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604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605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606</v>
      </c>
      <c r="E6" s="451"/>
      <c r="F6" s="463" t="n">
        <f aca="false">B8</f>
        <v>46173</v>
      </c>
      <c r="G6" s="464" t="n">
        <v>14</v>
      </c>
      <c r="H6" s="451"/>
      <c r="I6" s="465" t="s">
        <v>212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341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604</v>
      </c>
      <c r="E7" s="451"/>
      <c r="F7" s="463" t="n">
        <f aca="false">B32</f>
        <v>46538</v>
      </c>
      <c r="G7" s="464" t="n">
        <v>100</v>
      </c>
      <c r="H7" s="451"/>
      <c r="I7" s="465" t="s">
        <v>212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341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606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580</v>
      </c>
      <c r="M9" s="451"/>
      <c r="N9" s="469" t="s">
        <v>607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608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609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610</v>
      </c>
      <c r="E11" s="468" t="n">
        <v>12000</v>
      </c>
      <c r="F11" s="451" t="s">
        <v>611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609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612</v>
      </c>
      <c r="E13" s="458"/>
      <c r="F13" s="458"/>
      <c r="G13" s="453" t="s">
        <v>341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613</v>
      </c>
      <c r="J14" s="458"/>
      <c r="K14" s="458"/>
      <c r="L14" s="456"/>
      <c r="M14" s="451"/>
      <c r="N14" s="453" t="s">
        <v>614</v>
      </c>
      <c r="O14" s="453" t="s">
        <v>615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616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617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618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246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619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603</v>
      </c>
      <c r="E21" s="2"/>
      <c r="F21" s="482" t="n">
        <v>46538</v>
      </c>
      <c r="G21" s="453"/>
      <c r="H21" s="451"/>
      <c r="I21" s="458" t="s">
        <v>619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