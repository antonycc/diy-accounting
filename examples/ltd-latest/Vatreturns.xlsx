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<sst xmlns="http://schemas.openxmlformats.org/spreadsheetml/2006/main" count="182" uniqueCount="45">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</sst>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45838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45869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45900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46265</v>
      </c>
      <c r="H5" s="13"/>
      <c r="I5" s="14"/>
      <c r="K5" s="15" t="n">
        <f aca="false">Vatinterface!B9</f>
        <v>45930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45961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45991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46022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46053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46081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46112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46142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46173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46203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45838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45869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45900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46356</v>
      </c>
      <c r="H5" s="13"/>
      <c r="I5" s="14"/>
      <c r="K5" s="15" t="n">
        <f aca="false">Vatinterface!B9</f>
        <v>45930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45961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45991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46022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46053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46081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46112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46142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46173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46203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45838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45869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45900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46446</v>
      </c>
      <c r="H5" s="13"/>
      <c r="I5" s="14"/>
      <c r="K5" s="15" t="n">
        <f aca="false">Vatinterface!B9</f>
        <v>45930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45961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45991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46022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46053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46081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46112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46142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46173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46203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45838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45869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45900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46538</v>
      </c>
      <c r="H5" s="13"/>
      <c r="I5" s="14"/>
      <c r="K5" s="15" t="n">
        <f aca="false">Vatinterface!B9</f>
        <v>45930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45961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45991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46022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46053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46081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46112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46142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46173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46203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45838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45869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45900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45930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45961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45991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46022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46053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46081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46112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46142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46173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46203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[1]Admin!$B$10</f>
        <v>45777</v>
      </c>
      <c r="C4" s="85" t="n">
        <f aca="false">B5</f>
        <v>45808</v>
      </c>
      <c r="D4" s="86" t="n">
        <f aca="false">S02Y1!$H$1</f>
        <v>0</v>
      </c>
      <c r="E4" s="87"/>
      <c r="F4" s="87" t="n">
        <f aca="false">S02Y1!$G$1</f>
        <v>0</v>
      </c>
      <c r="G4" s="87"/>
      <c r="H4" s="87" t="n">
        <f aca="false">P02Y1!$H$1</f>
        <v>0</v>
      </c>
      <c r="I4" s="87"/>
      <c r="J4" s="87" t="n">
        <f aca="false">P02Y1!$G$1</f>
        <v>0</v>
      </c>
      <c r="K4" s="87"/>
      <c r="L4" s="88"/>
      <c r="M4" s="89" t="n">
        <f aca="false">IF([2]Apr!$G$4&gt;0,[2]Apr!$G$4,0)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[1]Admin!$B$12</f>
        <v>45808</v>
      </c>
      <c r="C5" s="85" t="n">
        <f aca="false">B6</f>
        <v>45838</v>
      </c>
      <c r="D5" s="86" t="n">
        <f aca="false">S03Y1!$H$1</f>
        <v>0</v>
      </c>
      <c r="E5" s="87"/>
      <c r="F5" s="87" t="n">
        <f aca="false">S03Y1!$G$1</f>
        <v>0</v>
      </c>
      <c r="G5" s="87"/>
      <c r="H5" s="87" t="n">
        <f aca="false">P03Y1!$H$1</f>
        <v>0</v>
      </c>
      <c r="I5" s="87"/>
      <c r="J5" s="87" t="n">
        <f aca="false">P03Y1!$G$1</f>
        <v>0</v>
      </c>
      <c r="K5" s="87"/>
      <c r="L5" s="88"/>
      <c r="M5" s="89" t="n">
        <f aca="false">IF([2]Apr!$G$4&gt;0,[2]Apr!$G$4,0)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[1]Admin!$B$14</f>
        <v>45838</v>
      </c>
      <c r="C6" s="85" t="n">
        <f aca="false">B7</f>
        <v>45869</v>
      </c>
      <c r="D6" s="86" t="n">
        <f aca="false">[2]Apr!$H$1</f>
        <v>0</v>
      </c>
      <c r="E6" s="87" t="n">
        <f aca="false">SUM(D4:D6)</f>
        <v>0</v>
      </c>
      <c r="F6" s="87" t="n">
        <f aca="false">[2]Apr!$G$1</f>
        <v>0</v>
      </c>
      <c r="G6" s="87" t="n">
        <f aca="false">SUM(F4:F6)</f>
        <v>0</v>
      </c>
      <c r="H6" s="87" t="n">
        <f aca="false">[3]Apr!$H$1</f>
        <v>0</v>
      </c>
      <c r="I6" s="87" t="n">
        <f aca="false">SUM(H4:H6)</f>
        <v>0</v>
      </c>
      <c r="J6" s="87" t="n">
        <f aca="false">[3]Apr!$G$1</f>
        <v>0</v>
      </c>
      <c r="K6" s="87" t="n">
        <f aca="false">SUM(J4:J6)</f>
        <v>0</v>
      </c>
      <c r="L6" s="88"/>
      <c r="M6" s="89" t="n">
        <f aca="false">IF([2]Apr!$G$4&gt;0,[2]Apr!$G$4,0)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[1]Admin!$B$16</f>
        <v>45869</v>
      </c>
      <c r="C7" s="85" t="n">
        <f aca="false">B8</f>
        <v>45900</v>
      </c>
      <c r="D7" s="86" t="n">
        <f aca="false">[2]May!$H$1</f>
        <v>0</v>
      </c>
      <c r="E7" s="87" t="n">
        <f aca="false">SUM(D5:D7)</f>
        <v>0</v>
      </c>
      <c r="F7" s="87" t="n">
        <f aca="false">[2]May!$G$1</f>
        <v>0</v>
      </c>
      <c r="G7" s="87" t="n">
        <f aca="false">SUM(F5:F7)</f>
        <v>0</v>
      </c>
      <c r="H7" s="87" t="n">
        <f aca="false">[3]May!$H$1</f>
        <v>0</v>
      </c>
      <c r="I7" s="87" t="n">
        <f aca="false">SUM(H5:H7)</f>
        <v>0</v>
      </c>
      <c r="J7" s="87" t="n">
        <f aca="false">[3]May!$G$1</f>
        <v>0</v>
      </c>
      <c r="K7" s="87" t="n">
        <f aca="false">SUM(J5:J7)</f>
        <v>0</v>
      </c>
      <c r="L7" s="88"/>
      <c r="M7" s="89" t="n">
        <f aca="false">IF([2]May!$G$4&gt;0,[2]May!$G$4,0)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[1]Admin!$B$18</f>
        <v>45900</v>
      </c>
      <c r="C8" s="85" t="n">
        <f aca="false">B9</f>
        <v>45930</v>
      </c>
      <c r="D8" s="86" t="n">
        <f aca="false">[2]Apr!$H$1</f>
        <v>0</v>
      </c>
      <c r="E8" s="87" t="n">
        <f aca="false">SUM(D6:D8)</f>
        <v>0</v>
      </c>
      <c r="F8" s="87" t="n">
        <f aca="false">[2]Apr!$G$1</f>
        <v>0</v>
      </c>
      <c r="G8" s="87" t="n">
        <f aca="false">SUM(F6:F8)</f>
        <v>0</v>
      </c>
      <c r="H8" s="87" t="n">
        <f aca="false">[3]Apr!$H$1</f>
        <v>0</v>
      </c>
      <c r="I8" s="87" t="n">
        <f aca="false">SUM(H6:H8)</f>
        <v>0</v>
      </c>
      <c r="J8" s="87" t="n">
        <f aca="false">[3]Apr!$G$1</f>
        <v>0</v>
      </c>
      <c r="K8" s="87" t="n">
        <f aca="false">SUM(J6:J8)</f>
        <v>0</v>
      </c>
      <c r="L8" s="88"/>
      <c r="M8" s="89" t="n">
        <f aca="false">IF([2]May!$G$4&gt;0,[2]May!$G$4,0)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[1]Admin!$B$20</f>
        <v>45930</v>
      </c>
      <c r="C9" s="85" t="n">
        <f aca="false">B10</f>
        <v>45961</v>
      </c>
      <c r="D9" s="86" t="n">
        <f aca="false">[2]May!$H$1</f>
        <v>0</v>
      </c>
      <c r="E9" s="87" t="n">
        <f aca="false">SUM(D7:D9)</f>
        <v>0</v>
      </c>
      <c r="F9" s="87" t="n">
        <f aca="false">[2]May!$G$1</f>
        <v>0</v>
      </c>
      <c r="G9" s="87" t="n">
        <f aca="false">SUM(F7:F9)</f>
        <v>0</v>
      </c>
      <c r="H9" s="87" t="n">
        <f aca="false">[3]May!$H$1</f>
        <v>0</v>
      </c>
      <c r="I9" s="87" t="n">
        <f aca="false">SUM(H7:H9)</f>
        <v>0</v>
      </c>
      <c r="J9" s="87" t="n">
        <f aca="false">[3]May!$G$1</f>
        <v>0</v>
      </c>
      <c r="K9" s="87" t="n">
        <f aca="false">SUM(J7:J9)</f>
        <v>0</v>
      </c>
      <c r="L9" s="88"/>
      <c r="M9" s="89" t="n">
        <f aca="false">IF([2]May!$G$4&gt;0,[2]May!$G$4,0)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[1]Admin!$B$22</f>
        <v>45961</v>
      </c>
      <c r="C10" s="85" t="n">
        <f aca="false">B11</f>
        <v>45991</v>
      </c>
      <c r="D10" s="86" t="n">
        <f aca="false">[2]Apr!$H$1</f>
        <v>0</v>
      </c>
      <c r="E10" s="87" t="n">
        <f aca="false">SUM(D8:D10)</f>
        <v>0</v>
      </c>
      <c r="F10" s="87" t="n">
        <f aca="false">[2]Apr!$G$1</f>
        <v>0</v>
      </c>
      <c r="G10" s="87" t="n">
        <f aca="false">SUM(F8:F10)</f>
        <v>0</v>
      </c>
      <c r="H10" s="87" t="n">
        <f aca="false">[3]Apr!$H$1</f>
        <v>0</v>
      </c>
      <c r="I10" s="87" t="n">
        <f aca="false">SUM(H8:H10)</f>
        <v>0</v>
      </c>
      <c r="J10" s="87" t="n">
        <f aca="false">[3]Apr!$G$1</f>
        <v>0</v>
      </c>
      <c r="K10" s="87" t="n">
        <f aca="false">SUM(J8:J10)</f>
        <v>0</v>
      </c>
      <c r="L10" s="88"/>
      <c r="M10" s="89" t="n">
        <f aca="false">IF([2]May!$G$4&gt;0,[2]May!$G$4,0)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[1]Admin!$B$24</f>
        <v>45991</v>
      </c>
      <c r="C11" s="85" t="n">
        <f aca="false">B12</f>
        <v>46022</v>
      </c>
      <c r="D11" s="86" t="n">
        <f aca="false">[2]May!$H$1</f>
        <v>0</v>
      </c>
      <c r="E11" s="87" t="n">
        <f aca="false">SUM(D9:D11)</f>
        <v>0</v>
      </c>
      <c r="F11" s="87" t="n">
        <f aca="false">[2]May!$G$1</f>
        <v>0</v>
      </c>
      <c r="G11" s="87" t="n">
        <f aca="false">SUM(F9:F11)</f>
        <v>0</v>
      </c>
      <c r="H11" s="87" t="n">
        <f aca="false">[3]May!$H$1</f>
        <v>0</v>
      </c>
      <c r="I11" s="87" t="n">
        <f aca="false">SUM(H9:H11)</f>
        <v>0</v>
      </c>
      <c r="J11" s="87" t="n">
        <f aca="false">[3]May!$G$1</f>
        <v>0</v>
      </c>
      <c r="K11" s="87" t="n">
        <f aca="false">SUM(J9:J11)</f>
        <v>0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[1]Admin!$B$26</f>
        <v>46022</v>
      </c>
      <c r="C12" s="85" t="n">
        <f aca="false">B13</f>
        <v>46053</v>
      </c>
      <c r="D12" s="86" t="n">
        <f aca="false">[2]Apr!$H$1</f>
        <v>0</v>
      </c>
      <c r="E12" s="87" t="n">
        <f aca="false">SUM(D10:D12)</f>
        <v>0</v>
      </c>
      <c r="F12" s="87" t="n">
        <f aca="false">[2]Apr!$G$1</f>
        <v>0</v>
      </c>
      <c r="G12" s="87" t="n">
        <f aca="false">SUM(F10:F12)</f>
        <v>0</v>
      </c>
      <c r="H12" s="87" t="n">
        <f aca="false">[3]Apr!$H$1</f>
        <v>0</v>
      </c>
      <c r="I12" s="87" t="n">
        <f aca="false">SUM(H10:H12)</f>
        <v>0</v>
      </c>
      <c r="J12" s="87" t="n">
        <f aca="false">[3]Apr!$G$1</f>
        <v>0</v>
      </c>
      <c r="K12" s="87" t="n">
        <f aca="false">SUM(J10:J12)</f>
        <v>0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[1]Admin!$B$28</f>
        <v>46053</v>
      </c>
      <c r="C13" s="85" t="n">
        <f aca="false">B14</f>
        <v>46081</v>
      </c>
      <c r="D13" s="86" t="n">
        <f aca="false">[2]May!$H$1</f>
        <v>0</v>
      </c>
      <c r="E13" s="87" t="n">
        <f aca="false">SUM(D11:D13)</f>
        <v>0</v>
      </c>
      <c r="F13" s="87" t="n">
        <f aca="false">[2]May!$G$1</f>
        <v>0</v>
      </c>
      <c r="G13" s="87" t="n">
        <f aca="false">SUM(F11:F13)</f>
        <v>0</v>
      </c>
      <c r="H13" s="87" t="n">
        <f aca="false">[3]May!$H$1</f>
        <v>0</v>
      </c>
      <c r="I13" s="87" t="n">
        <f aca="false">SUM(H11:H13)</f>
        <v>0</v>
      </c>
      <c r="J13" s="87" t="n">
        <f aca="false">[3]May!$G$1</f>
        <v>0</v>
      </c>
      <c r="K13" s="87" t="n">
        <f aca="false">SUM(J11:J13)</f>
        <v>0</v>
      </c>
      <c r="L13" s="88"/>
      <c r="M13" s="89" t="n">
        <f aca="false">IF([2]Apr!$G$4&gt;0,[2]Apr!$G$4,0)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[1]Admin!$B$30</f>
        <v>46081</v>
      </c>
      <c r="C14" s="85" t="n">
        <f aca="false">B15</f>
        <v>46112</v>
      </c>
      <c r="D14" s="86" t="n">
        <f aca="false">[2]Apr!$H$1</f>
        <v>0</v>
      </c>
      <c r="E14" s="87" t="n">
        <f aca="false">SUM(D12:D14)</f>
        <v>0</v>
      </c>
      <c r="F14" s="87" t="n">
        <f aca="false">[2]Apr!$G$1</f>
        <v>0</v>
      </c>
      <c r="G14" s="87" t="n">
        <f aca="false">SUM(F12:F14)</f>
        <v>0</v>
      </c>
      <c r="H14" s="87" t="n">
        <f aca="false">[3]Apr!$H$1</f>
        <v>0</v>
      </c>
      <c r="I14" s="87" t="n">
        <f aca="false">SUM(H12:H14)</f>
        <v>0</v>
      </c>
      <c r="J14" s="87" t="n">
        <f aca="false">[3]Apr!$G$1</f>
        <v>0</v>
      </c>
      <c r="K14" s="87" t="n">
        <f aca="false">SUM(J12:J14)</f>
        <v>0</v>
      </c>
      <c r="L14" s="88"/>
      <c r="M14" s="89" t="n">
        <f aca="false">IF([2]Apr!$G$4&gt;0,[2]Apr!$G$4,0)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[1]Admin!$B$32</f>
        <v>46112</v>
      </c>
      <c r="C15" s="85" t="n">
        <f aca="false">B16</f>
        <v>46142</v>
      </c>
      <c r="D15" s="86" t="n">
        <f aca="false">[2]May!$H$1</f>
        <v>0</v>
      </c>
      <c r="E15" s="87" t="n">
        <f aca="false">SUM(D13:D15)</f>
        <v>0</v>
      </c>
      <c r="F15" s="87" t="n">
        <f aca="false">[2]May!$G$1</f>
        <v>0</v>
      </c>
      <c r="G15" s="87" t="n">
        <f aca="false">SUM(F13:F15)</f>
        <v>0</v>
      </c>
      <c r="H15" s="87" t="n">
        <f aca="false">[3]May!$H$1</f>
        <v>0</v>
      </c>
      <c r="I15" s="87" t="n">
        <f aca="false">SUM(H13:H15)</f>
        <v>0</v>
      </c>
      <c r="J15" s="87" t="n">
        <f aca="false">[3]May!$G$1</f>
        <v>0</v>
      </c>
      <c r="K15" s="87" t="n">
        <f aca="false">SUM(J13:J15)</f>
        <v>0</v>
      </c>
      <c r="L15" s="88"/>
      <c r="M15" s="89" t="n">
        <f aca="false">IF([2]May!$G$4&gt;0,[2]May!$G$4,0)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[1]Admin!$B$34</f>
        <v>46142</v>
      </c>
      <c r="C16" s="85" t="n">
        <f aca="false">B17</f>
        <v>46173</v>
      </c>
      <c r="D16" s="86" t="n">
        <f aca="false">[2]Apr!$H$1</f>
        <v>0</v>
      </c>
      <c r="E16" s="87" t="n">
        <f aca="false">SUM(D14:D16)</f>
        <v>0</v>
      </c>
      <c r="F16" s="87" t="n">
        <f aca="false">[2]Apr!$G$1</f>
        <v>0</v>
      </c>
      <c r="G16" s="87" t="n">
        <f aca="false">SUM(F14:F16)</f>
        <v>0</v>
      </c>
      <c r="H16" s="87" t="n">
        <f aca="false">[3]Apr!$H$1</f>
        <v>0</v>
      </c>
      <c r="I16" s="87" t="n">
        <f aca="false">SUM(H14:H16)</f>
        <v>0</v>
      </c>
      <c r="J16" s="87" t="n">
        <f aca="false">[3]Apr!$G$1</f>
        <v>0</v>
      </c>
      <c r="K16" s="87" t="n">
        <f aca="false">SUM(J14:J16)</f>
        <v>0</v>
      </c>
      <c r="L16" s="88"/>
      <c r="M16" s="89" t="n">
        <f aca="false">IF([2]Apr!$G$4&gt;0,[2]Apr!$G$4,0)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[1]Admin!$B$36</f>
        <v>46173</v>
      </c>
      <c r="C17" s="85" t="n">
        <f aca="false">B18</f>
        <v>46203</v>
      </c>
      <c r="D17" s="86" t="n">
        <f aca="false">[2]May!$H$1</f>
        <v>0</v>
      </c>
      <c r="E17" s="87" t="n">
        <f aca="false">SUM(D15:D17)</f>
        <v>0</v>
      </c>
      <c r="F17" s="87" t="n">
        <f aca="false">[2]May!$G$1</f>
        <v>0</v>
      </c>
      <c r="G17" s="87" t="n">
        <f aca="false">SUM(F15:F17)</f>
        <v>0</v>
      </c>
      <c r="H17" s="87" t="n">
        <f aca="false">[3]May!$H$1</f>
        <v>0</v>
      </c>
      <c r="I17" s="87" t="n">
        <f aca="false">SUM(H15:H17)</f>
        <v>0</v>
      </c>
      <c r="J17" s="87" t="n">
        <f aca="false">[3]May!$G$1</f>
        <v>0</v>
      </c>
      <c r="K17" s="87" t="n">
        <f aca="false">SUM(J15:J17)</f>
        <v>0</v>
      </c>
      <c r="L17" s="88"/>
      <c r="M17" s="89" t="n">
        <f aca="false">IF([2]May!$G$4&gt;0,[2]May!$G$4,0)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[1]Admin!$B$38</f>
        <v>46203</v>
      </c>
      <c r="C18" s="85" t="n">
        <f aca="false">B19</f>
        <v>0</v>
      </c>
      <c r="D18" s="86" t="n">
        <f aca="false">S04Y2!$H$1</f>
        <v>0</v>
      </c>
      <c r="E18" s="87" t="n">
        <f aca="false">SUM(D16:D18)</f>
        <v>0</v>
      </c>
      <c r="F18" s="87" t="n">
        <f aca="false">S04Y2!$G$1</f>
        <v>0</v>
      </c>
      <c r="G18" s="87" t="n">
        <f aca="false">SUM(F16:F18)</f>
        <v>0</v>
      </c>
      <c r="H18" s="87" t="n">
        <f aca="false">P04Y2!$H$1</f>
        <v>0</v>
      </c>
      <c r="I18" s="87" t="n">
        <f aca="false">SUM(H16:H18)</f>
        <v>0</v>
      </c>
      <c r="J18" s="87" t="n">
        <f aca="false">P04Y2!$G$1</f>
        <v>0</v>
      </c>
      <c r="K18" s="87" t="n">
        <f aca="false">SUM(J16:J18)</f>
        <v>0</v>
      </c>
      <c r="L18" s="88"/>
      <c r="M18" s="89" t="n">
        <f aca="false">IF([2]May!$G$4&gt;0,[2]May!$G$4,0)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[1]Admin!$B$40</f>
        <v>0</v>
      </c>
      <c r="C19" s="91" t="n">
        <f aca="false">[1]Admin!$B$38</f>
        <v>46203</v>
      </c>
      <c r="D19" s="86" t="n">
        <f aca="false">S05Y2!$H$1</f>
        <v>0</v>
      </c>
      <c r="E19" s="87" t="n">
        <f aca="false">SUM(D17:D19)</f>
        <v>0</v>
      </c>
      <c r="F19" s="87" t="n">
        <f aca="false">S05Y2!$G$1</f>
        <v>0</v>
      </c>
      <c r="G19" s="87" t="n">
        <f aca="false">SUM(F17:F19)</f>
        <v>0</v>
      </c>
      <c r="H19" s="87" t="n">
        <f aca="false">P05Y2!$H$1</f>
        <v>0</v>
      </c>
      <c r="I19" s="87" t="n">
        <f aca="false">SUM(H17:H19)</f>
        <v>0</v>
      </c>
      <c r="J19" s="87" t="n">
        <f aca="false">P05Y2!$G$1</f>
        <v>0</v>
      </c>
      <c r="K19" s="87" t="n">
        <f aca="false">SUM(J17:J19)</f>
        <v>0</v>
      </c>
      <c r="L19" s="88"/>
      <c r="M19" s="89" t="n">
        <f aca="false">IF([2]May!$G$4&gt;0,[2]May!$G$4,0)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