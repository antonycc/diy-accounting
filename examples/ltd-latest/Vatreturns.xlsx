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TQtr1" sheetId="1" state="visible" r:id="rId3"/>
    <sheet name="VATQtr2" sheetId="2" state="visible" r:id="rId4"/>
    <sheet name="VATQtr3" sheetId="3" state="visible" r:id="rId5"/>
    <sheet name="VATQtr4" sheetId="4" state="visible" r:id="rId6"/>
    <sheet name="VATQtr5" sheetId="5" state="visible" r:id="rId7"/>
    <sheet name="Vatinterface" sheetId="6" state="visible" r:id="rId8"/>
    <sheet name="S02Y1" sheetId="7" state="visible" r:id="rId9"/>
    <sheet name="S03Y1" sheetId="8" state="visible" r:id="rId10"/>
    <sheet name="S04Y2" sheetId="9" state="visible" r:id="rId11"/>
    <sheet name="S05Y2" sheetId="10" state="visible" r:id="rId12"/>
    <sheet name="P02Y1" sheetId="11" state="visible" r:id="rId13"/>
    <sheet name="P03Y1" sheetId="12" state="visible" r:id="rId14"/>
    <sheet name="P04Y2" sheetId="13" state="visible" r:id="rId15"/>
    <sheet name="P05Y2" sheetId="14" state="visible" r:id="rId16"/>
  </sheets>
  <externalReferences>
    <externalReference r:id="rId17"/>
    <externalReference r:id="rId18"/>
    <externalReference r:id="rId19"/>
  </externalReferences>
  <definedNames>
    <definedName function="false" hidden="false" localSheetId="0" name="_xlnm.Print_Area" vbProcedure="false">VATQtr1!$A$1:$I$32</definedName>
    <definedName function="false" hidden="false" localSheetId="1" name="_xlnm.Print_Area" vbProcedure="false">VATQtr2!$A$1:$I$31</definedName>
    <definedName function="false" hidden="false" localSheetId="2" name="_xlnm.Print_Area" vbProcedure="false">VATQtr3!$A$1:$I$31</definedName>
    <definedName function="false" hidden="false" localSheetId="3" name="_xlnm.Print_Area" vbProcedure="false">VATQtr4!$A$1:$I$31</definedName>
    <definedName function="false" hidden="false" localSheetId="4" name="_xlnm.Print_Area" vbProcedure="false">VATQtr5!$A$1:$I$31</definedName>
    <definedName function="false" hidden="false" localSheetId="0" name="_xlnm_Print_Area" vbProcedure="false">VATQtr1!$A$1:$I$32</definedName>
    <definedName function="false" hidden="false" localSheetId="1" name="_xlnm_Print_Area" vbProcedure="false">VATQtr2!$A$1:$I$31</definedName>
    <definedName function="false" hidden="false" localSheetId="2" name="_xlnm_Print_Area" vbProcedure="false">VATQtr3!$A$1:$I$31</definedName>
    <definedName function="false" hidden="false" localSheetId="3" name="_xlnm_Print_Area" vbProcedure="false">VATQtr4!$A$1:$I$31</definedName>
    <definedName function="false" hidden="false" localSheetId="4" name="_xlnm_Print_Area" vbProcedure="false">VATQtr5!$A$1:$I$31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<sst xmlns="http://schemas.openxmlformats.org/spreadsheetml/2006/main" count="182" uniqueCount="45">
  <si>
    <t xml:space="preserve">Value  Added  Tax  Return</t>
  </si>
  <si>
    <t xml:space="preserve">Copy values in boxes to your Vat return</t>
  </si>
  <si>
    <t xml:space="preserve">To calculate vat payable                       1.Click Cell G5 Vat Period                       2.Click down arrow                              3.Select Vat quarter end date</t>
  </si>
  <si>
    <t xml:space="preserve">VAT Period ends</t>
  </si>
  <si>
    <t xml:space="preserve">Due date:</t>
  </si>
  <si>
    <r>
      <rPr>
        <sz val="10"/>
        <rFont val="Times New Roman"/>
        <family val="1"/>
        <charset val="1"/>
      </rPr>
      <t xml:space="preserve">VAT due on </t>
    </r>
    <r>
      <rPr>
        <b val="true"/>
        <sz val="10"/>
        <rFont val="Times New Roman"/>
        <family val="1"/>
        <charset val="1"/>
      </rPr>
      <t xml:space="preserve">sales</t>
    </r>
  </si>
  <si>
    <r>
      <rPr>
        <sz val="10"/>
        <rFont val="Times New Roman"/>
        <family val="1"/>
        <charset val="1"/>
      </rPr>
      <t xml:space="preserve">VAT due on </t>
    </r>
    <r>
      <rPr>
        <b val="true"/>
        <sz val="10"/>
        <rFont val="Times New Roman"/>
        <family val="1"/>
        <charset val="1"/>
      </rPr>
      <t xml:space="preserve">purchases </t>
    </r>
    <r>
      <rPr>
        <sz val="10"/>
        <rFont val="Times New Roman"/>
        <family val="1"/>
        <charset val="1"/>
      </rPr>
      <t xml:space="preserve">from </t>
    </r>
    <r>
      <rPr>
        <b val="true"/>
        <sz val="10"/>
        <rFont val="Times New Roman"/>
        <family val="1"/>
        <charset val="1"/>
      </rPr>
      <t xml:space="preserve">other EU states</t>
    </r>
  </si>
  <si>
    <r>
      <rPr>
        <sz val="10"/>
        <rFont val="Times New Roman"/>
        <family val="1"/>
        <charset val="1"/>
      </rPr>
      <t xml:space="preserve">VAT reclaimed on </t>
    </r>
    <r>
      <rPr>
        <b val="true"/>
        <sz val="10"/>
        <rFont val="Times New Roman"/>
        <family val="1"/>
        <charset val="1"/>
      </rPr>
      <t xml:space="preserve">purchases</t>
    </r>
  </si>
  <si>
    <r>
      <rPr>
        <sz val="10"/>
        <rFont val="Times New Roman"/>
        <family val="1"/>
        <charset val="1"/>
      </rPr>
      <t xml:space="preserve">Total value of </t>
    </r>
    <r>
      <rPr>
        <b val="true"/>
        <sz val="10"/>
        <rFont val="Times New Roman"/>
        <family val="1"/>
        <charset val="1"/>
      </rPr>
      <t xml:space="preserve">purchases</t>
    </r>
    <r>
      <rPr>
        <sz val="10"/>
        <rFont val="Times New Roman"/>
        <family val="1"/>
        <charset val="1"/>
      </rPr>
      <t xml:space="preserve"> excluding VAT</t>
    </r>
  </si>
  <si>
    <t xml:space="preserve">Note: </t>
  </si>
  <si>
    <t xml:space="preserve">Box 2 is set to zero, any amounts due should be calculated and inserted manually</t>
  </si>
  <si>
    <t xml:space="preserve">If goods are bought or sold to other EU states boxes 8 &amp; 9 on the return will require completion</t>
  </si>
  <si>
    <t xml:space="preserve">Vat returns must be received by HM Revenue &amp; Customs on or before the due date to avoid surcharges</t>
  </si>
  <si>
    <t xml:space="preserve">Make cheques payable to "H M Revenue &amp; Customs" and write your VAT registration number on the back</t>
  </si>
  <si>
    <t xml:space="preserve">Quote your VAT registration number as a reference if paying direct by bank</t>
  </si>
  <si>
    <t xml:space="preserve">Account Name: HMRC VAT: Account No: 11963155 Sort Code: 08 32 00</t>
  </si>
  <si>
    <t xml:space="preserve">box8</t>
  </si>
  <si>
    <t xml:space="preserve">box9</t>
  </si>
  <si>
    <t xml:space="preserve">Vat Period End</t>
  </si>
  <si>
    <t xml:space="preserve">Final Date for Vat Payment</t>
  </si>
  <si>
    <t xml:space="preserve">Month         Sales</t>
  </si>
  <si>
    <t xml:space="preserve">Quarter Sales          Net of Vat</t>
  </si>
  <si>
    <t xml:space="preserve">Month Vat Output</t>
  </si>
  <si>
    <t xml:space="preserve">Quarter Vat Due       Sales</t>
  </si>
  <si>
    <t xml:space="preserve">Month Purchases</t>
  </si>
  <si>
    <t xml:space="preserve">Quarter Purchases Net of vat</t>
  </si>
  <si>
    <t xml:space="preserve">Month Vat Input</t>
  </si>
  <si>
    <t xml:space="preserve">Quarter Vat Reclaimed Purchases</t>
  </si>
  <si>
    <t xml:space="preserve">Flat rate Scheme Applied</t>
  </si>
  <si>
    <t xml:space="preserve">USE FOR VAT PERIODS OUTSIDE FINANCIAL YEAR</t>
  </si>
  <si>
    <t xml:space="preserve">Total for Month</t>
  </si>
  <si>
    <t xml:space="preserve">Sales      Date</t>
  </si>
  <si>
    <t xml:space="preserve">Customer Name</t>
  </si>
  <si>
    <t xml:space="preserve">Sales Invoice Number or reference</t>
  </si>
  <si>
    <t xml:space="preserve">Sales             Description</t>
  </si>
  <si>
    <t xml:space="preserve">Sales Value including   Vat</t>
  </si>
  <si>
    <t xml:space="preserve">Sales         Net of Vat</t>
  </si>
  <si>
    <t xml:space="preserve">Vat       Output</t>
  </si>
  <si>
    <t xml:space="preserve">Entries below this row are not included in Row 1 Totals</t>
  </si>
  <si>
    <t xml:space="preserve">Purchase Date</t>
  </si>
  <si>
    <t xml:space="preserve">Purchase Invoice Number or Reference</t>
  </si>
  <si>
    <t xml:space="preserve">Purchase Description</t>
  </si>
  <si>
    <t xml:space="preserve">Total Purchase Value incl Vat</t>
  </si>
  <si>
    <t xml:space="preserve">Purchases           Net of Vat</t>
  </si>
  <si>
    <t xml:space="preserve">Vat Input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</si>
</sst>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_ ;[RED]\-#,##0.00\ "/>
    <numFmt numFmtId="166" formatCode="[$-F800]dddd&quot;, &quot;mmmm\ dd&quot;, &quot;yyyy"/>
    <numFmt numFmtId="167" formatCode="d\-mmm\-yy"/>
    <numFmt numFmtId="168" formatCode="[$-809]dd\ mmmm\ yyyy;@"/>
    <numFmt numFmtId="169" formatCode="General"/>
    <numFmt numFmtId="170" formatCode="#,##0_ ;[RED]\-#,##0\ "/>
    <numFmt numFmtId="171" formatCode="0"/>
    <numFmt numFmtId="172" formatCode="#,##0"/>
    <numFmt numFmtId="173" formatCode="#,##0.0_ ;[RED]\-#,##0.0\ "/>
    <numFmt numFmtId="174" formatCode="0.00"/>
  </numFmts>
  <fonts count="2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color rgb="FFFFFFFF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2"/>
      <color rgb="FF008000"/>
      <name val="Arial"/>
      <family val="2"/>
      <charset val="1"/>
    </font>
    <font>
      <sz val="8"/>
      <color rgb="FFFFFFFF"/>
      <name val="Times New Roman"/>
      <family val="1"/>
      <charset val="1"/>
    </font>
    <font>
      <sz val="8"/>
      <color rgb="FFCCFFCC"/>
      <name val="Arial"/>
      <family val="2"/>
      <charset val="1"/>
    </font>
    <font>
      <b val="true"/>
      <i val="true"/>
      <sz val="10"/>
      <color rgb="FFFF00FF"/>
      <name val="Arial"/>
      <family val="2"/>
      <charset val="1"/>
    </font>
    <font>
      <b val="true"/>
      <sz val="10"/>
      <color rgb="FFFF00FF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Arial"/>
      <family val="2"/>
      <charset val="1"/>
    </font>
    <font>
      <sz val="9"/>
      <name val="Times New Roman"/>
      <family val="1"/>
      <charset val="1"/>
    </font>
    <font>
      <sz val="8"/>
      <color rgb="FF339966"/>
      <name val="Times New Roman"/>
      <family val="1"/>
      <charset val="1"/>
    </font>
    <font>
      <sz val="10"/>
      <color rgb="FFCCFFFF"/>
      <name val="Times New Roman"/>
      <family val="1"/>
      <charset val="1"/>
    </font>
    <font>
      <b val="true"/>
      <sz val="9"/>
      <color rgb="FFFFFFFF"/>
      <name val="Arial"/>
      <family val="2"/>
      <charset val="1"/>
    </font>
    <font>
      <i val="true"/>
      <sz val="9"/>
      <color rgb="FFFF00FF"/>
      <name val="Times New Roman"/>
      <family val="1"/>
      <charset val="1"/>
    </font>
    <font>
      <i val="true"/>
      <sz val="9"/>
      <name val="Times New Roman"/>
      <family val="1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sz val="8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9966"/>
        <bgColor rgb="FF00808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4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12" fillId="2" borderId="6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6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3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6" fillId="0" borderId="8" xfId="0" applyFont="true" applyBorder="true" applyAlignment="true" applyProtection="true">
      <alignment horizontal="right" vertical="center" textRotation="0" wrapText="false" indent="1" shrinkToFit="false"/>
      <protection locked="true" hidden="tru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6" fillId="2" borderId="0" xfId="0" applyFont="true" applyBorder="false" applyAlignment="true" applyProtection="true">
      <alignment horizontal="right" vertical="center" textRotation="0" wrapText="false" indent="1" shrinkToFit="false"/>
      <protection locked="true" hidden="true"/>
    </xf>
    <xf numFmtId="166" fontId="16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1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18" fillId="3" borderId="8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6" fontId="1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6" fontId="16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6" fillId="2" borderId="8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9" fontId="6" fillId="2" borderId="0" xfId="0" applyFont="true" applyBorder="false" applyAlignment="true" applyProtection="true">
      <alignment horizontal="left" vertical="center" textRotation="0" wrapText="false" indent="2" shrinkToFit="false"/>
      <protection locked="true" hidden="true"/>
    </xf>
    <xf numFmtId="164" fontId="6" fillId="2" borderId="1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70" fontId="6" fillId="0" borderId="8" xfId="0" applyFont="true" applyBorder="true" applyAlignment="true" applyProtection="true">
      <alignment horizontal="right" vertical="center" textRotation="0" wrapText="false" indent="1" shrinkToFit="false"/>
      <protection locked="true" hidden="true"/>
    </xf>
    <xf numFmtId="164" fontId="19" fillId="2" borderId="4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1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0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5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1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1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1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21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1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3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7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1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externalLink" Target="externalLinks/externalLink3.xml"/><Relationship Id="rId20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Vatinterface!B6</f>
        <v>45838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Vatinterface!B7</f>
        <v>45869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Vatinterface!B8</f>
        <v>45900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46265</v>
      </c>
      <c r="H5" s="13"/>
      <c r="I5" s="14"/>
      <c r="K5" s="15" t="n">
        <f aca="false">Vatinterface!B9</f>
        <v>45930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Vatinterface!B10</f>
        <v>45961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LOOKUP(G$5,Vatinterface!B1:B20,Vatinterface!C1:C20)</f>
        <v>46203</v>
      </c>
      <c r="H7" s="13"/>
      <c r="I7" s="14"/>
      <c r="K7" s="15" t="n">
        <f aca="false">Vatinterface!B11</f>
        <v>45991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Vatinterface!B12</f>
        <v>46022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LOOKUP(G$5,Vatinterface!B1:B20,Vatinterface!G1:G20)</f>
        <v>0</v>
      </c>
      <c r="H9" s="13"/>
      <c r="I9" s="14"/>
      <c r="K9" s="15" t="n">
        <f aca="false">Vatinterface!B13</f>
        <v>46053</v>
      </c>
    </row>
    <row r="10" customFormat="false" ht="15" hidden="false" customHeight="true" outlineLevel="0" collapsed="false">
      <c r="A10" s="16"/>
      <c r="B10" s="38"/>
      <c r="C10" s="38"/>
      <c r="D10" s="38"/>
      <c r="E10" s="38"/>
      <c r="F10" s="39"/>
      <c r="G10" s="40"/>
      <c r="H10" s="13"/>
      <c r="I10" s="14"/>
      <c r="K10" s="15" t="n">
        <f aca="false">Vatinterface!B14</f>
        <v>46081</v>
      </c>
    </row>
    <row r="11" customFormat="false" ht="15" hidden="false" customHeight="true" outlineLevel="0" collapsed="false">
      <c r="A11" s="41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Vatinterface!B15</f>
        <v>46112</v>
      </c>
    </row>
    <row r="12" customFormat="false" ht="15" hidden="false" customHeight="true" outlineLevel="0" collapsed="false">
      <c r="A12" s="16"/>
      <c r="B12" s="38"/>
      <c r="C12" s="38"/>
      <c r="D12" s="38"/>
      <c r="E12" s="38"/>
      <c r="F12" s="39"/>
      <c r="G12" s="40"/>
      <c r="H12" s="13"/>
      <c r="I12" s="14"/>
      <c r="K12" s="15" t="n">
        <f aca="false">Vatinterface!B16</f>
        <v>46142</v>
      </c>
    </row>
    <row r="13" customFormat="false" ht="15" hidden="false" customHeight="true" outlineLevel="0" collapsed="false">
      <c r="A13" s="41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Vatinterface!B17</f>
        <v>46173</v>
      </c>
    </row>
    <row r="14" customFormat="false" ht="12" hidden="false" customHeight="true" outlineLevel="0" collapsed="false">
      <c r="A14" s="16"/>
      <c r="B14" s="13"/>
      <c r="C14" s="13"/>
      <c r="D14" s="13"/>
      <c r="E14" s="13"/>
      <c r="F14" s="25"/>
      <c r="G14" s="40"/>
      <c r="H14" s="13"/>
      <c r="I14" s="14"/>
      <c r="K14" s="15" t="n">
        <f aca="false">Vatinterface!B18</f>
        <v>46203</v>
      </c>
    </row>
    <row r="15" customFormat="false" ht="15" hidden="false" customHeight="true" outlineLevel="0" collapsed="false">
      <c r="A15" s="41"/>
      <c r="B15" s="35" t="s">
        <v>7</v>
      </c>
      <c r="C15" s="35"/>
      <c r="D15" s="35"/>
      <c r="E15" s="35"/>
      <c r="F15" s="36" t="n">
        <v>4</v>
      </c>
      <c r="G15" s="37" t="n">
        <f aca="false">LOOKUP(G$5,Vatinterface!B1:B20,Vatinterface!K1:K20)</f>
        <v>0</v>
      </c>
      <c r="H15" s="13"/>
      <c r="I15" s="14"/>
      <c r="K15" s="15" t="n">
        <f aca="false">Vatinterface!B19</f>
        <v>0</v>
      </c>
    </row>
    <row r="16" customFormat="false" ht="12.75" hidden="false" customHeight="false" outlineLevel="0" collapsed="false">
      <c r="A16" s="16"/>
      <c r="B16" s="13"/>
      <c r="C16" s="13"/>
      <c r="D16" s="13"/>
      <c r="E16" s="13"/>
      <c r="F16" s="25"/>
      <c r="G16" s="40"/>
      <c r="H16" s="13"/>
      <c r="I16" s="14"/>
      <c r="K16" s="42"/>
    </row>
    <row r="17" customFormat="false" ht="15" hidden="false" customHeight="true" outlineLevel="0" collapsed="false">
      <c r="A17" s="41"/>
      <c r="B17" s="43" t="str">
        <f aca="false">IF(G17&gt;0,"Net VAT to be PAID to Customs","Net VAT to be RECLIAMED from Customs")</f>
        <v>Net VAT to be RECLIAMED from Customs</v>
      </c>
      <c r="C17" s="43"/>
      <c r="D17" s="43"/>
      <c r="E17" s="43"/>
      <c r="F17" s="36" t="n">
        <v>5</v>
      </c>
      <c r="G17" s="37" t="n">
        <f aca="false">G13-G15</f>
        <v>0</v>
      </c>
      <c r="H17" s="13"/>
      <c r="I17" s="14"/>
      <c r="K17" s="42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0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IF(LOOKUP(G$5,Vatinterface!B1:B20,Vatinterface!M1:M20)&gt;0,"FLAT RATE SCHEME APPLIED"," ")</f>
        <v> </v>
      </c>
      <c r="C19" s="48"/>
      <c r="D19" s="48"/>
      <c r="E19" s="49" t="str">
        <f aca="false">IF(LOOKUP(G$5,Vatinterface!B1:B20,Vatinterface!M1:M20)&gt;0,LOOKUP(G$5,Vatinterface!B1:B20,Vatinterface!M1:M20)," ")</f>
        <v> </v>
      </c>
      <c r="F19" s="25"/>
      <c r="G19" s="40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0"/>
      <c r="H20" s="13"/>
      <c r="I20" s="14"/>
    </row>
    <row r="21" customFormat="false" ht="15" hidden="false" customHeight="true" outlineLevel="0" collapsed="false">
      <c r="A21" s="41"/>
      <c r="B21" s="35" t="str">
        <f aca="false">IF(LOOKUP(G$5,Vatinterface!B1:B20,Vatinterface!M1:M20)&gt;0,"Total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IF(LOOKUP(G$5,Vatinterface!B1:B20,Vatinterface!M1:M20)&gt;0,(LOOKUP(G$5,Vatinterface!B1:B20,Vatinterface!E1:E20)+LOOKUP(G$5,Vatinterface!B1:B20,Vatinterface!G1:G20)),LOOKUP(G$5,Vatinterface!B1:B20,Vatinterface!E1:E20))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0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LOOKUP(G$5,Vatinterface!B1:B20,Vatinterface!I1:I20)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  <row r="34" customFormat="false" ht="12.75" hidden="false" customHeight="false" outlineLevel="0" collapsed="false">
      <c r="F34" s="2" t="s">
        <v>16</v>
      </c>
      <c r="G34" s="3" t="n">
        <v>0</v>
      </c>
    </row>
    <row r="36" customFormat="false" ht="12.75" hidden="false" customHeight="false" outlineLevel="0" collapsed="false">
      <c r="F36" s="2" t="s">
        <v>17</v>
      </c>
      <c r="G36" s="3" t="n">
        <v>0</v>
      </c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Vatinterface!B6</f>
        <v>45838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Vatinterface!B7</f>
        <v>45869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Vatinterface!B8</f>
        <v>45900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46356</v>
      </c>
      <c r="H5" s="13"/>
      <c r="I5" s="14"/>
      <c r="K5" s="15" t="n">
        <f aca="false">Vatinterface!B9</f>
        <v>45930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Vatinterface!B10</f>
        <v>45961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LOOKUP(G$5,Vatinterface!B1:B20,Vatinterface!C1:C20)</f>
        <v>46203</v>
      </c>
      <c r="H7" s="13"/>
      <c r="I7" s="14"/>
      <c r="K7" s="15" t="n">
        <f aca="false">Vatinterface!B11</f>
        <v>45991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Vatinterface!B12</f>
        <v>46022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LOOKUP(G$5,Vatinterface!B1:B20,Vatinterface!G1:G20)</f>
        <v>0</v>
      </c>
      <c r="H9" s="13"/>
      <c r="I9" s="14"/>
      <c r="K9" s="15" t="n">
        <f aca="false">Vatinterface!B13</f>
        <v>46053</v>
      </c>
    </row>
    <row r="10" customFormat="false" ht="15" hidden="false" customHeight="true" outlineLevel="0" collapsed="false">
      <c r="A10" s="16"/>
      <c r="B10" s="38"/>
      <c r="C10" s="38"/>
      <c r="D10" s="38"/>
      <c r="E10" s="38"/>
      <c r="F10" s="39"/>
      <c r="G10" s="40"/>
      <c r="H10" s="13"/>
      <c r="I10" s="14"/>
      <c r="K10" s="15" t="n">
        <f aca="false">Vatinterface!B14</f>
        <v>46081</v>
      </c>
    </row>
    <row r="11" customFormat="false" ht="15" hidden="false" customHeight="true" outlineLevel="0" collapsed="false">
      <c r="A11" s="41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Vatinterface!B15</f>
        <v>46112</v>
      </c>
    </row>
    <row r="12" customFormat="false" ht="15" hidden="false" customHeight="true" outlineLevel="0" collapsed="false">
      <c r="A12" s="16"/>
      <c r="B12" s="38"/>
      <c r="C12" s="38"/>
      <c r="D12" s="38"/>
      <c r="E12" s="38"/>
      <c r="F12" s="39"/>
      <c r="G12" s="40"/>
      <c r="H12" s="13"/>
      <c r="I12" s="14"/>
      <c r="K12" s="15" t="n">
        <f aca="false">Vatinterface!B16</f>
        <v>46142</v>
      </c>
    </row>
    <row r="13" customFormat="false" ht="15" hidden="false" customHeight="true" outlineLevel="0" collapsed="false">
      <c r="A13" s="41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Vatinterface!B17</f>
        <v>46173</v>
      </c>
    </row>
    <row r="14" customFormat="false" ht="12" hidden="false" customHeight="true" outlineLevel="0" collapsed="false">
      <c r="A14" s="16"/>
      <c r="B14" s="13"/>
      <c r="C14" s="13"/>
      <c r="D14" s="13"/>
      <c r="E14" s="13"/>
      <c r="F14" s="25"/>
      <c r="G14" s="40"/>
      <c r="H14" s="13"/>
      <c r="I14" s="14"/>
      <c r="K14" s="15" t="n">
        <f aca="false">Vatinterface!B18</f>
        <v>46203</v>
      </c>
    </row>
    <row r="15" customFormat="false" ht="15" hidden="false" customHeight="true" outlineLevel="0" collapsed="false">
      <c r="A15" s="41"/>
      <c r="B15" s="35" t="s">
        <v>7</v>
      </c>
      <c r="C15" s="35"/>
      <c r="D15" s="35"/>
      <c r="E15" s="35"/>
      <c r="F15" s="36" t="n">
        <v>4</v>
      </c>
      <c r="G15" s="37" t="n">
        <f aca="false">LOOKUP(G$5,Vatinterface!B1:B20,Vatinterface!K1:K20)</f>
        <v>0</v>
      </c>
      <c r="H15" s="13"/>
      <c r="I15" s="14"/>
      <c r="K15" s="15" t="n">
        <f aca="false">Vatinterface!B19</f>
        <v>0</v>
      </c>
    </row>
    <row r="16" customFormat="false" ht="12.75" hidden="false" customHeight="false" outlineLevel="0" collapsed="false">
      <c r="A16" s="16"/>
      <c r="B16" s="13"/>
      <c r="C16" s="13"/>
      <c r="D16" s="13"/>
      <c r="E16" s="13"/>
      <c r="F16" s="25"/>
      <c r="G16" s="40"/>
      <c r="H16" s="13"/>
      <c r="I16" s="14"/>
      <c r="K16" s="42"/>
    </row>
    <row r="17" customFormat="false" ht="15" hidden="false" customHeight="true" outlineLevel="0" collapsed="false">
      <c r="A17" s="41"/>
      <c r="B17" s="43" t="str">
        <f aca="false">IF(G17&gt;0,"Net VAT to be PAID to Customs","Net VAT to be RECLIAMED from Customs")</f>
        <v>Net VAT to be RECLIAMED from Customs</v>
      </c>
      <c r="C17" s="43"/>
      <c r="D17" s="43"/>
      <c r="E17" s="43"/>
      <c r="F17" s="36" t="n">
        <v>5</v>
      </c>
      <c r="G17" s="37" t="n">
        <f aca="false">G13-G15</f>
        <v>0</v>
      </c>
      <c r="H17" s="13"/>
      <c r="I17" s="14"/>
      <c r="K17" s="42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0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IF(LOOKUP(G$5,Vatinterface!B1:B20,Vatinterface!M1:M20)&gt;0,"FLAT RATE SCHEME APPLIED"," ")</f>
        <v> </v>
      </c>
      <c r="C19" s="48"/>
      <c r="D19" s="48"/>
      <c r="E19" s="49" t="str">
        <f aca="false">IF(LOOKUP(G$5,Vatinterface!B1:B20,Vatinterface!M1:M20)&gt;0,LOOKUP(G$5,Vatinterface!B1:B20,Vatinterface!M1:M20)," ")</f>
        <v> </v>
      </c>
      <c r="F19" s="25"/>
      <c r="G19" s="40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0"/>
      <c r="H20" s="13"/>
      <c r="I20" s="14"/>
    </row>
    <row r="21" customFormat="false" ht="15" hidden="false" customHeight="true" outlineLevel="0" collapsed="false">
      <c r="A21" s="41"/>
      <c r="B21" s="35" t="str">
        <f aca="false">IF(LOOKUP(G$5,Vatinterface!B1:B20,Vatinterface!M1:M20)&gt;0,"Total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IF(LOOKUP(G$5,Vatinterface!B1:B20,Vatinterface!M1:M20)&gt;0,(LOOKUP(G$5,Vatinterface!B1:B20,Vatinterface!E1:E20)+LOOKUP(G$5,Vatinterface!B1:B20,Vatinterface!G1:G20)),LOOKUP(G$5,Vatinterface!B1:B20,Vatinterface!E1:E20))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0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LOOKUP(G$5,Vatinterface!B1:B20,Vatinterface!I1:I20)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  <row r="34" customFormat="false" ht="12.75" hidden="false" customHeight="false" outlineLevel="0" collapsed="false">
      <c r="F34" s="2" t="s">
        <v>16</v>
      </c>
      <c r="G34" s="3" t="n">
        <v>0</v>
      </c>
    </row>
    <row r="36" customFormat="false" ht="12.75" hidden="false" customHeight="false" outlineLevel="0" collapsed="false">
      <c r="F36" s="2" t="s">
        <v>17</v>
      </c>
      <c r="G36" s="3" t="n">
        <v>0</v>
      </c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Vatinterface!B6</f>
        <v>45838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Vatinterface!B7</f>
        <v>45869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Vatinterface!B8</f>
        <v>45900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46446</v>
      </c>
      <c r="H5" s="13"/>
      <c r="I5" s="14"/>
      <c r="K5" s="15" t="n">
        <f aca="false">Vatinterface!B9</f>
        <v>45930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Vatinterface!B10</f>
        <v>45961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LOOKUP(G$5,Vatinterface!B1:B20,Vatinterface!C1:C20)</f>
        <v>46203</v>
      </c>
      <c r="H7" s="13"/>
      <c r="I7" s="14"/>
      <c r="K7" s="15" t="n">
        <f aca="false">Vatinterface!B11</f>
        <v>45991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Vatinterface!B12</f>
        <v>46022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LOOKUP(G$5,Vatinterface!B1:B20,Vatinterface!G1:G20)</f>
        <v>0</v>
      </c>
      <c r="H9" s="13"/>
      <c r="I9" s="14"/>
      <c r="K9" s="15" t="n">
        <f aca="false">Vatinterface!B13</f>
        <v>46053</v>
      </c>
    </row>
    <row r="10" customFormat="false" ht="15" hidden="false" customHeight="true" outlineLevel="0" collapsed="false">
      <c r="A10" s="16"/>
      <c r="B10" s="38"/>
      <c r="C10" s="38"/>
      <c r="D10" s="38"/>
      <c r="E10" s="38"/>
      <c r="F10" s="39"/>
      <c r="G10" s="40"/>
      <c r="H10" s="13"/>
      <c r="I10" s="14"/>
      <c r="K10" s="15" t="n">
        <f aca="false">Vatinterface!B14</f>
        <v>46081</v>
      </c>
    </row>
    <row r="11" customFormat="false" ht="15" hidden="false" customHeight="true" outlineLevel="0" collapsed="false">
      <c r="A11" s="41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Vatinterface!B15</f>
        <v>46112</v>
      </c>
    </row>
    <row r="12" customFormat="false" ht="15" hidden="false" customHeight="true" outlineLevel="0" collapsed="false">
      <c r="A12" s="16"/>
      <c r="B12" s="38"/>
      <c r="C12" s="38"/>
      <c r="D12" s="38"/>
      <c r="E12" s="38"/>
      <c r="F12" s="39"/>
      <c r="G12" s="40"/>
      <c r="H12" s="13"/>
      <c r="I12" s="14"/>
      <c r="K12" s="15" t="n">
        <f aca="false">Vatinterface!B16</f>
        <v>46142</v>
      </c>
    </row>
    <row r="13" customFormat="false" ht="15" hidden="false" customHeight="true" outlineLevel="0" collapsed="false">
      <c r="A13" s="41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Vatinterface!B17</f>
        <v>46173</v>
      </c>
    </row>
    <row r="14" customFormat="false" ht="12" hidden="false" customHeight="true" outlineLevel="0" collapsed="false">
      <c r="A14" s="16"/>
      <c r="B14" s="13"/>
      <c r="C14" s="13"/>
      <c r="D14" s="13"/>
      <c r="E14" s="13"/>
      <c r="F14" s="25"/>
      <c r="G14" s="40"/>
      <c r="H14" s="13"/>
      <c r="I14" s="14"/>
      <c r="K14" s="15" t="n">
        <f aca="false">Vatinterface!B18</f>
        <v>46203</v>
      </c>
    </row>
    <row r="15" customFormat="false" ht="15" hidden="false" customHeight="true" outlineLevel="0" collapsed="false">
      <c r="A15" s="41"/>
      <c r="B15" s="35" t="s">
        <v>7</v>
      </c>
      <c r="C15" s="35"/>
      <c r="D15" s="35"/>
      <c r="E15" s="35"/>
      <c r="F15" s="36" t="n">
        <v>4</v>
      </c>
      <c r="G15" s="37" t="n">
        <f aca="false">LOOKUP(G$5,Vatinterface!B1:B20,Vatinterface!K1:K20)</f>
        <v>0</v>
      </c>
      <c r="H15" s="13"/>
      <c r="I15" s="14"/>
      <c r="K15" s="15" t="n">
        <f aca="false">Vatinterface!B19</f>
        <v>0</v>
      </c>
    </row>
    <row r="16" customFormat="false" ht="12.75" hidden="false" customHeight="false" outlineLevel="0" collapsed="false">
      <c r="A16" s="16"/>
      <c r="B16" s="13"/>
      <c r="C16" s="13"/>
      <c r="D16" s="13"/>
      <c r="E16" s="13"/>
      <c r="F16" s="25"/>
      <c r="G16" s="40"/>
      <c r="H16" s="13"/>
      <c r="I16" s="14"/>
      <c r="K16" s="42"/>
    </row>
    <row r="17" customFormat="false" ht="15" hidden="false" customHeight="true" outlineLevel="0" collapsed="false">
      <c r="A17" s="41"/>
      <c r="B17" s="43" t="str">
        <f aca="false">IF(G17&gt;0,"Net VAT to be PAID to Customs","Net VAT to be RECLIAMED from Customs")</f>
        <v>Net VAT to be RECLIAMED from Customs</v>
      </c>
      <c r="C17" s="43"/>
      <c r="D17" s="43"/>
      <c r="E17" s="43"/>
      <c r="F17" s="36" t="n">
        <v>5</v>
      </c>
      <c r="G17" s="37" t="n">
        <f aca="false">G13-G15</f>
        <v>0</v>
      </c>
      <c r="H17" s="13"/>
      <c r="I17" s="14"/>
      <c r="K17" s="42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0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IF(LOOKUP(G$5,Vatinterface!B1:B20,Vatinterface!M1:M20)&gt;0,"FLAT RATE SCHEME APPLIED"," ")</f>
        <v> </v>
      </c>
      <c r="C19" s="48"/>
      <c r="D19" s="48"/>
      <c r="E19" s="49" t="str">
        <f aca="false">IF(LOOKUP(G$5,Vatinterface!B1:B20,Vatinterface!M1:M20)&gt;0,LOOKUP(G$5,Vatinterface!B1:B20,Vatinterface!M1:M20)," ")</f>
        <v> </v>
      </c>
      <c r="F19" s="25"/>
      <c r="G19" s="40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0"/>
      <c r="H20" s="13"/>
      <c r="I20" s="14"/>
    </row>
    <row r="21" customFormat="false" ht="15" hidden="false" customHeight="true" outlineLevel="0" collapsed="false">
      <c r="A21" s="41"/>
      <c r="B21" s="35" t="str">
        <f aca="false">IF(LOOKUP(G$5,Vatinterface!B1:B20,Vatinterface!M1:M20)&gt;0,"Total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IF(LOOKUP(G$5,Vatinterface!B1:B20,Vatinterface!M1:M20)&gt;0,(LOOKUP(G$5,Vatinterface!B1:B20,Vatinterface!E1:E20)+LOOKUP(G$5,Vatinterface!B1:B20,Vatinterface!G1:G20)),LOOKUP(G$5,Vatinterface!B1:B20,Vatinterface!E1:E20))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0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LOOKUP(G$5,Vatinterface!B1:B20,Vatinterface!I1:I20)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  <row r="34" customFormat="false" ht="12.75" hidden="false" customHeight="false" outlineLevel="0" collapsed="false">
      <c r="F34" s="2" t="s">
        <v>16</v>
      </c>
      <c r="G34" s="3" t="n">
        <v>0</v>
      </c>
    </row>
    <row r="36" customFormat="false" ht="12.75" hidden="false" customHeight="false" outlineLevel="0" collapsed="false">
      <c r="F36" s="2" t="s">
        <v>17</v>
      </c>
      <c r="G36" s="3" t="n">
        <v>0</v>
      </c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Vatinterface!B6</f>
        <v>45838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Vatinterface!B7</f>
        <v>45869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Vatinterface!B8</f>
        <v>45900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46538</v>
      </c>
      <c r="H5" s="13"/>
      <c r="I5" s="14"/>
      <c r="K5" s="15" t="n">
        <f aca="false">Vatinterface!B9</f>
        <v>45930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Vatinterface!B10</f>
        <v>45961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LOOKUP(G$5,Vatinterface!B1:B20,Vatinterface!C1:C20)</f>
        <v>46203</v>
      </c>
      <c r="H7" s="13"/>
      <c r="I7" s="14"/>
      <c r="K7" s="15" t="n">
        <f aca="false">Vatinterface!B11</f>
        <v>45991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Vatinterface!B12</f>
        <v>46022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LOOKUP(G$5,Vatinterface!B1:B20,Vatinterface!G1:G20)</f>
        <v>0</v>
      </c>
      <c r="H9" s="13"/>
      <c r="I9" s="14"/>
      <c r="K9" s="15" t="n">
        <f aca="false">Vatinterface!B13</f>
        <v>46053</v>
      </c>
    </row>
    <row r="10" customFormat="false" ht="15" hidden="false" customHeight="true" outlineLevel="0" collapsed="false">
      <c r="A10" s="16"/>
      <c r="B10" s="38"/>
      <c r="C10" s="38"/>
      <c r="D10" s="38"/>
      <c r="E10" s="38"/>
      <c r="F10" s="39"/>
      <c r="G10" s="40"/>
      <c r="H10" s="13"/>
      <c r="I10" s="14"/>
      <c r="K10" s="15" t="n">
        <f aca="false">Vatinterface!B14</f>
        <v>46081</v>
      </c>
    </row>
    <row r="11" customFormat="false" ht="15" hidden="false" customHeight="true" outlineLevel="0" collapsed="false">
      <c r="A11" s="41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Vatinterface!B15</f>
        <v>46112</v>
      </c>
    </row>
    <row r="12" customFormat="false" ht="15" hidden="false" customHeight="true" outlineLevel="0" collapsed="false">
      <c r="A12" s="16"/>
      <c r="B12" s="38"/>
      <c r="C12" s="38"/>
      <c r="D12" s="38"/>
      <c r="E12" s="38"/>
      <c r="F12" s="39"/>
      <c r="G12" s="40"/>
      <c r="H12" s="13"/>
      <c r="I12" s="14"/>
      <c r="K12" s="15" t="n">
        <f aca="false">Vatinterface!B16</f>
        <v>46142</v>
      </c>
    </row>
    <row r="13" customFormat="false" ht="15" hidden="false" customHeight="true" outlineLevel="0" collapsed="false">
      <c r="A13" s="41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Vatinterface!B17</f>
        <v>46173</v>
      </c>
    </row>
    <row r="14" customFormat="false" ht="12" hidden="false" customHeight="true" outlineLevel="0" collapsed="false">
      <c r="A14" s="16"/>
      <c r="B14" s="13"/>
      <c r="C14" s="13"/>
      <c r="D14" s="13"/>
      <c r="E14" s="13"/>
      <c r="F14" s="25"/>
      <c r="G14" s="40"/>
      <c r="H14" s="13"/>
      <c r="I14" s="14"/>
      <c r="K14" s="15" t="n">
        <f aca="false">Vatinterface!B18</f>
        <v>46203</v>
      </c>
    </row>
    <row r="15" customFormat="false" ht="15" hidden="false" customHeight="true" outlineLevel="0" collapsed="false">
      <c r="A15" s="41"/>
      <c r="B15" s="35" t="s">
        <v>7</v>
      </c>
      <c r="C15" s="35"/>
      <c r="D15" s="35"/>
      <c r="E15" s="35"/>
      <c r="F15" s="36" t="n">
        <v>4</v>
      </c>
      <c r="G15" s="37" t="n">
        <f aca="false">LOOKUP(G$5,Vatinterface!B1:B20,Vatinterface!K1:K20)</f>
        <v>0</v>
      </c>
      <c r="H15" s="13"/>
      <c r="I15" s="14"/>
      <c r="K15" s="15" t="n">
        <f aca="false">Vatinterface!B19</f>
        <v>0</v>
      </c>
    </row>
    <row r="16" customFormat="false" ht="12.75" hidden="false" customHeight="false" outlineLevel="0" collapsed="false">
      <c r="A16" s="16"/>
      <c r="B16" s="13"/>
      <c r="C16" s="13"/>
      <c r="D16" s="13"/>
      <c r="E16" s="13"/>
      <c r="F16" s="25"/>
      <c r="G16" s="40"/>
      <c r="H16" s="13"/>
      <c r="I16" s="14"/>
      <c r="K16" s="42"/>
    </row>
    <row r="17" customFormat="false" ht="15" hidden="false" customHeight="true" outlineLevel="0" collapsed="false">
      <c r="A17" s="41"/>
      <c r="B17" s="43" t="str">
        <f aca="false">IF(G17&gt;0,"Net VAT to be PAID to Customs","Net VAT to be RECLIAMED from Customs")</f>
        <v>Net VAT to be RECLIAMED from Customs</v>
      </c>
      <c r="C17" s="43"/>
      <c r="D17" s="43"/>
      <c r="E17" s="43"/>
      <c r="F17" s="36" t="n">
        <v>5</v>
      </c>
      <c r="G17" s="37" t="n">
        <f aca="false">G13-G15</f>
        <v>0</v>
      </c>
      <c r="H17" s="13"/>
      <c r="I17" s="14"/>
      <c r="K17" s="42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0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IF(LOOKUP(G$5,Vatinterface!B1:B20,Vatinterface!M1:M20)&gt;0,"FLAT RATE SCHEME APPLIED"," ")</f>
        <v> </v>
      </c>
      <c r="C19" s="48"/>
      <c r="D19" s="48"/>
      <c r="E19" s="49" t="str">
        <f aca="false">IF(LOOKUP(G$5,Vatinterface!B1:B20,Vatinterface!M1:M20)&gt;0,LOOKUP(G$5,Vatinterface!B1:B20,Vatinterface!M1:M20)," ")</f>
        <v> </v>
      </c>
      <c r="F19" s="25"/>
      <c r="G19" s="40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0"/>
      <c r="H20" s="13"/>
      <c r="I20" s="14"/>
    </row>
    <row r="21" customFormat="false" ht="15" hidden="false" customHeight="true" outlineLevel="0" collapsed="false">
      <c r="A21" s="41"/>
      <c r="B21" s="35" t="str">
        <f aca="false">IF(LOOKUP(G$5,Vatinterface!B1:B20,Vatinterface!M1:M20)&gt;0,"Total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IF(LOOKUP(G$5,Vatinterface!B1:B20,Vatinterface!M1:M20)&gt;0,(LOOKUP(G$5,Vatinterface!B1:B20,Vatinterface!E1:E20)+LOOKUP(G$5,Vatinterface!B1:B20,Vatinterface!G1:G20)),LOOKUP(G$5,Vatinterface!B1:B20,Vatinterface!E1:E20))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0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LOOKUP(G$5,Vatinterface!B1:B20,Vatinterface!I1:I20)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  <row r="34" customFormat="false" ht="12.75" hidden="false" customHeight="false" outlineLevel="0" collapsed="false">
      <c r="F34" s="2" t="s">
        <v>16</v>
      </c>
      <c r="G34" s="3" t="n">
        <v>0</v>
      </c>
    </row>
    <row r="36" customFormat="false" ht="12.75" hidden="false" customHeight="false" outlineLevel="0" collapsed="false">
      <c r="F36" s="2" t="s">
        <v>17</v>
      </c>
      <c r="G36" s="3" t="n">
        <v>0</v>
      </c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Vatinterface!B6</f>
        <v>45838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Vatinterface!B7</f>
        <v>45869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Vatinterface!B8</f>
        <v>45900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46568</v>
      </c>
      <c r="H5" s="13"/>
      <c r="I5" s="14"/>
      <c r="K5" s="15" t="n">
        <f aca="false">Vatinterface!B9</f>
        <v>45930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Vatinterface!B10</f>
        <v>45961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LOOKUP(G$5,Vatinterface!B1:B20,Vatinterface!C1:C20)</f>
        <v>46203</v>
      </c>
      <c r="H7" s="13"/>
      <c r="I7" s="14"/>
      <c r="K7" s="15" t="n">
        <f aca="false">Vatinterface!B11</f>
        <v>45991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Vatinterface!B12</f>
        <v>46022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LOOKUP(G$5,Vatinterface!B1:B20,Vatinterface!G1:G20)</f>
        <v>0</v>
      </c>
      <c r="H9" s="13"/>
      <c r="I9" s="14"/>
      <c r="K9" s="15" t="n">
        <f aca="false">Vatinterface!B13</f>
        <v>46053</v>
      </c>
    </row>
    <row r="10" customFormat="false" ht="15" hidden="false" customHeight="true" outlineLevel="0" collapsed="false">
      <c r="A10" s="16"/>
      <c r="B10" s="38"/>
      <c r="C10" s="38"/>
      <c r="D10" s="38"/>
      <c r="E10" s="38"/>
      <c r="F10" s="39"/>
      <c r="G10" s="40"/>
      <c r="H10" s="13"/>
      <c r="I10" s="14"/>
      <c r="K10" s="15" t="n">
        <f aca="false">Vatinterface!B14</f>
        <v>46081</v>
      </c>
    </row>
    <row r="11" customFormat="false" ht="15" hidden="false" customHeight="true" outlineLevel="0" collapsed="false">
      <c r="A11" s="41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Vatinterface!B15</f>
        <v>46112</v>
      </c>
    </row>
    <row r="12" customFormat="false" ht="15" hidden="false" customHeight="true" outlineLevel="0" collapsed="false">
      <c r="A12" s="16"/>
      <c r="B12" s="38"/>
      <c r="C12" s="38"/>
      <c r="D12" s="38"/>
      <c r="E12" s="38"/>
      <c r="F12" s="39"/>
      <c r="G12" s="40"/>
      <c r="H12" s="13"/>
      <c r="I12" s="14"/>
      <c r="K12" s="15" t="n">
        <f aca="false">Vatinterface!B16</f>
        <v>46142</v>
      </c>
    </row>
    <row r="13" customFormat="false" ht="15" hidden="false" customHeight="true" outlineLevel="0" collapsed="false">
      <c r="A13" s="41"/>
      <c r="B13" s="35" t="s">
        <v>5</v>
      </c>
      <c r="C13" s="35"/>
      <c r="D13" s="35"/>
      <c r="E13" s="35"/>
      <c r="F13" s="36" t="n">
        <v>3</v>
      </c>
      <c r="G13" s="37" t="n">
        <f aca="false">G9+G11</f>
        <v>0</v>
      </c>
      <c r="H13" s="13"/>
      <c r="I13" s="14"/>
      <c r="K13" s="15" t="n">
        <f aca="false">Vatinterface!B17</f>
        <v>46173</v>
      </c>
    </row>
    <row r="14" customFormat="false" ht="12" hidden="false" customHeight="true" outlineLevel="0" collapsed="false">
      <c r="A14" s="16"/>
      <c r="B14" s="13"/>
      <c r="C14" s="13"/>
      <c r="D14" s="13"/>
      <c r="E14" s="13"/>
      <c r="F14" s="25"/>
      <c r="G14" s="40"/>
      <c r="H14" s="13"/>
      <c r="I14" s="14"/>
      <c r="K14" s="15" t="n">
        <f aca="false">Vatinterface!B18</f>
        <v>46203</v>
      </c>
    </row>
    <row r="15" customFormat="false" ht="15" hidden="false" customHeight="true" outlineLevel="0" collapsed="false">
      <c r="A15" s="41"/>
      <c r="B15" s="35" t="s">
        <v>7</v>
      </c>
      <c r="C15" s="35"/>
      <c r="D15" s="35"/>
      <c r="E15" s="35"/>
      <c r="F15" s="36" t="n">
        <v>4</v>
      </c>
      <c r="G15" s="37" t="n">
        <f aca="false">LOOKUP(G$5,Vatinterface!B1:B20,Vatinterface!K1:K20)</f>
        <v>0</v>
      </c>
      <c r="H15" s="13"/>
      <c r="I15" s="14"/>
      <c r="K15" s="15" t="n">
        <f aca="false">Vatinterface!B19</f>
        <v>0</v>
      </c>
    </row>
    <row r="16" customFormat="false" ht="12.75" hidden="false" customHeight="false" outlineLevel="0" collapsed="false">
      <c r="A16" s="16"/>
      <c r="B16" s="13"/>
      <c r="C16" s="13"/>
      <c r="D16" s="13"/>
      <c r="E16" s="13"/>
      <c r="F16" s="25"/>
      <c r="G16" s="40"/>
      <c r="H16" s="13"/>
      <c r="I16" s="14"/>
      <c r="K16" s="42"/>
    </row>
    <row r="17" customFormat="false" ht="15" hidden="false" customHeight="true" outlineLevel="0" collapsed="false">
      <c r="A17" s="41"/>
      <c r="B17" s="43" t="str">
        <f aca="false">IF(G17&gt;0,"Net VAT to be PAID to Customs","Net VAT to be RECLIAMED from Customs")</f>
        <v>Net VAT to be RECLIAMED from Customs</v>
      </c>
      <c r="C17" s="43"/>
      <c r="D17" s="43"/>
      <c r="E17" s="43"/>
      <c r="F17" s="36" t="n">
        <v>5</v>
      </c>
      <c r="G17" s="37" t="n">
        <f aca="false">G13-G15</f>
        <v>0</v>
      </c>
      <c r="H17" s="13"/>
      <c r="I17" s="14"/>
      <c r="K17" s="42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0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IF(LOOKUP(G$5,Vatinterface!B1:B20,Vatinterface!M1:M20)&gt;0,"FLAT RATE SCHEME APPLIED"," ")</f>
        <v> </v>
      </c>
      <c r="C19" s="48"/>
      <c r="D19" s="48"/>
      <c r="E19" s="49" t="str">
        <f aca="false">IF(LOOKUP(G$5,Vatinterface!B1:B20,Vatinterface!M1:M20)&gt;0,LOOKUP(G$5,Vatinterface!B1:B20,Vatinterface!M1:M20)," ")</f>
        <v> </v>
      </c>
      <c r="F19" s="25"/>
      <c r="G19" s="40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0"/>
      <c r="H20" s="13"/>
      <c r="I20" s="14"/>
    </row>
    <row r="21" customFormat="false" ht="15" hidden="false" customHeight="true" outlineLevel="0" collapsed="false">
      <c r="A21" s="41"/>
      <c r="B21" s="35" t="str">
        <f aca="false">IF(LOOKUP(G$5,Vatinterface!B1:B20,Vatinterface!M1:M20)&gt;0,"Total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IF(LOOKUP(G$5,Vatinterface!B1:B20,Vatinterface!M1:M20)&gt;0,(LOOKUP(G$5,Vatinterface!B1:B20,Vatinterface!E1:E20)+LOOKUP(G$5,Vatinterface!B1:B20,Vatinterface!G1:G20)),LOOKUP(G$5,Vatinterface!B1:B20,Vatinterface!E1:E20))</f>
        <v>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0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LOOKUP(G$5,Vatinterface!B1:B20,Vatinterface!I1:I20)</f>
        <v>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  <row r="34" customFormat="false" ht="12.75" hidden="false" customHeight="false" outlineLevel="0" collapsed="false">
      <c r="F34" s="2" t="s">
        <v>16</v>
      </c>
      <c r="G34" s="3" t="n">
        <v>0</v>
      </c>
    </row>
    <row r="36" customFormat="false" ht="12.75" hidden="false" customHeight="false" outlineLevel="0" collapsed="false">
      <c r="F36" s="2" t="s">
        <v>17</v>
      </c>
      <c r="G36" s="3" t="n">
        <v>0</v>
      </c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$K$2:$K$15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315277777777778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63" width="1.99"/>
    <col collapsed="false" customWidth="true" hidden="false" outlineLevel="0" max="3" min="2" style="64" width="24.82"/>
    <col collapsed="false" customWidth="true" hidden="false" outlineLevel="0" max="11" min="4" style="65" width="10.66"/>
    <col collapsed="false" customWidth="true" hidden="false" outlineLevel="0" max="12" min="12" style="63" width="1.66"/>
    <col collapsed="false" customWidth="false" hidden="false" outlineLevel="0" max="13" min="13" style="66" width="9.15"/>
    <col collapsed="false" customWidth="true" hidden="false" outlineLevel="0" max="14" min="14" style="63" width="1.66"/>
    <col collapsed="false" customWidth="false" hidden="false" outlineLevel="0" max="257" min="15" style="63" width="9.15"/>
  </cols>
  <sheetData>
    <row r="1" customFormat="false" ht="9" hidden="false" customHeight="true" outlineLevel="0" collapsed="false">
      <c r="A1" s="67"/>
      <c r="B1" s="68"/>
      <c r="C1" s="68"/>
      <c r="D1" s="69"/>
      <c r="E1" s="69"/>
      <c r="F1" s="69"/>
      <c r="G1" s="69"/>
      <c r="H1" s="69"/>
      <c r="I1" s="69"/>
      <c r="J1" s="69"/>
      <c r="K1" s="69"/>
      <c r="L1" s="70"/>
      <c r="M1" s="71"/>
      <c r="N1" s="72"/>
    </row>
    <row r="2" s="80" customFormat="true" ht="37.5" hidden="false" customHeight="true" outlineLevel="0" collapsed="false">
      <c r="A2" s="73"/>
      <c r="B2" s="74" t="s">
        <v>18</v>
      </c>
      <c r="C2" s="74" t="s">
        <v>19</v>
      </c>
      <c r="D2" s="75" t="s">
        <v>20</v>
      </c>
      <c r="E2" s="75" t="s">
        <v>21</v>
      </c>
      <c r="F2" s="75" t="s">
        <v>22</v>
      </c>
      <c r="G2" s="76" t="s">
        <v>23</v>
      </c>
      <c r="H2" s="75" t="s">
        <v>24</v>
      </c>
      <c r="I2" s="75" t="s">
        <v>25</v>
      </c>
      <c r="J2" s="75" t="s">
        <v>26</v>
      </c>
      <c r="K2" s="76" t="s">
        <v>27</v>
      </c>
      <c r="L2" s="77"/>
      <c r="M2" s="78" t="s">
        <v>28</v>
      </c>
      <c r="N2" s="79"/>
    </row>
    <row r="3" s="80" customFormat="true" ht="11.25" hidden="false" customHeight="true" outlineLevel="0" collapsed="false">
      <c r="A3" s="73"/>
      <c r="B3" s="81"/>
      <c r="C3" s="81"/>
      <c r="D3" s="82"/>
      <c r="E3" s="83"/>
      <c r="F3" s="83"/>
      <c r="G3" s="83"/>
      <c r="H3" s="83"/>
      <c r="I3" s="83"/>
      <c r="J3" s="83"/>
      <c r="K3" s="83"/>
      <c r="L3" s="77"/>
      <c r="M3" s="77"/>
      <c r="N3" s="79"/>
    </row>
    <row r="4" customFormat="false" ht="12" hidden="false" customHeight="false" outlineLevel="0" collapsed="false">
      <c r="A4" s="84"/>
      <c r="B4" s="85" t="n">
        <f aca="false">[1]Admin!$B$10</f>
        <v>45777</v>
      </c>
      <c r="C4" s="85" t="n">
        <f aca="false">B5</f>
        <v>45808</v>
      </c>
      <c r="D4" s="86" t="n">
        <f aca="false">S02Y1!$H$1</f>
        <v>0</v>
      </c>
      <c r="E4" s="87"/>
      <c r="F4" s="87" t="n">
        <f aca="false">S02Y1!$G$1</f>
        <v>0</v>
      </c>
      <c r="G4" s="87"/>
      <c r="H4" s="87" t="n">
        <f aca="false">P02Y1!$H$1</f>
        <v>0</v>
      </c>
      <c r="I4" s="87"/>
      <c r="J4" s="87" t="n">
        <f aca="false">P02Y1!$G$1</f>
        <v>0</v>
      </c>
      <c r="K4" s="87"/>
      <c r="L4" s="88"/>
      <c r="M4" s="89" t="n">
        <f aca="false">IF([2]Apr!$G$4&gt;0,[2]Apr!$G$4,0)</f>
        <v>0</v>
      </c>
      <c r="N4" s="90"/>
    </row>
    <row r="5" customFormat="false" ht="12" hidden="false" customHeight="false" outlineLevel="0" collapsed="false">
      <c r="A5" s="84"/>
      <c r="B5" s="85" t="n">
        <f aca="false">[1]Admin!$B$12</f>
        <v>45808</v>
      </c>
      <c r="C5" s="85" t="n">
        <f aca="false">B6</f>
        <v>45838</v>
      </c>
      <c r="D5" s="86" t="n">
        <f aca="false">S03Y1!$H$1</f>
        <v>0</v>
      </c>
      <c r="E5" s="87"/>
      <c r="F5" s="87" t="n">
        <f aca="false">S03Y1!$G$1</f>
        <v>0</v>
      </c>
      <c r="G5" s="87"/>
      <c r="H5" s="87" t="n">
        <f aca="false">P03Y1!$H$1</f>
        <v>0</v>
      </c>
      <c r="I5" s="87"/>
      <c r="J5" s="87" t="n">
        <f aca="false">P03Y1!$G$1</f>
        <v>0</v>
      </c>
      <c r="K5" s="87"/>
      <c r="L5" s="88"/>
      <c r="M5" s="89" t="n">
        <f aca="false">IF([2]Apr!$G$4&gt;0,[2]Apr!$G$4,0)</f>
        <v>0</v>
      </c>
      <c r="N5" s="90"/>
    </row>
    <row r="6" customFormat="false" ht="12" hidden="false" customHeight="false" outlineLevel="0" collapsed="false">
      <c r="A6" s="84"/>
      <c r="B6" s="85" t="n">
        <f aca="false">[1]Admin!$B$14</f>
        <v>45838</v>
      </c>
      <c r="C6" s="85" t="n">
        <f aca="false">B7</f>
        <v>45869</v>
      </c>
      <c r="D6" s="86" t="n">
        <f aca="false">[2]Apr!$H$1</f>
        <v>0</v>
      </c>
      <c r="E6" s="87" t="n">
        <f aca="false">SUM(D4:D6)</f>
        <v>0</v>
      </c>
      <c r="F6" s="87" t="n">
        <f aca="false">[2]Apr!$G$1</f>
        <v>0</v>
      </c>
      <c r="G6" s="87" t="n">
        <f aca="false">SUM(F4:F6)</f>
        <v>0</v>
      </c>
      <c r="H6" s="87" t="n">
        <f aca="false">[3]Apr!$H$1</f>
        <v>0</v>
      </c>
      <c r="I6" s="87" t="n">
        <f aca="false">SUM(H4:H6)</f>
        <v>0</v>
      </c>
      <c r="J6" s="87" t="n">
        <f aca="false">[3]Apr!$G$1</f>
        <v>0</v>
      </c>
      <c r="K6" s="87" t="n">
        <f aca="false">SUM(J4:J6)</f>
        <v>0</v>
      </c>
      <c r="L6" s="88"/>
      <c r="M6" s="89" t="n">
        <f aca="false">IF([2]Apr!$G$4&gt;0,[2]Apr!$G$4,0)</f>
        <v>0</v>
      </c>
      <c r="N6" s="90"/>
    </row>
    <row r="7" customFormat="false" ht="12" hidden="false" customHeight="false" outlineLevel="0" collapsed="false">
      <c r="A7" s="84"/>
      <c r="B7" s="85" t="n">
        <f aca="false">[1]Admin!$B$16</f>
        <v>45869</v>
      </c>
      <c r="C7" s="85" t="n">
        <f aca="false">B8</f>
        <v>45900</v>
      </c>
      <c r="D7" s="86" t="n">
        <f aca="false">[2]May!$H$1</f>
        <v>0</v>
      </c>
      <c r="E7" s="87" t="n">
        <f aca="false">SUM(D5:D7)</f>
        <v>0</v>
      </c>
      <c r="F7" s="87" t="n">
        <f aca="false">[2]May!$G$1</f>
        <v>0</v>
      </c>
      <c r="G7" s="87" t="n">
        <f aca="false">SUM(F5:F7)</f>
        <v>0</v>
      </c>
      <c r="H7" s="87" t="n">
        <f aca="false">[3]May!$H$1</f>
        <v>0</v>
      </c>
      <c r="I7" s="87" t="n">
        <f aca="false">SUM(H5:H7)</f>
        <v>0</v>
      </c>
      <c r="J7" s="87" t="n">
        <f aca="false">[3]May!$G$1</f>
        <v>0</v>
      </c>
      <c r="K7" s="87" t="n">
        <f aca="false">SUM(J5:J7)</f>
        <v>0</v>
      </c>
      <c r="L7" s="88"/>
      <c r="M7" s="89" t="n">
        <f aca="false">IF([2]May!$G$4&gt;0,[2]May!$G$4,0)</f>
        <v>0</v>
      </c>
      <c r="N7" s="90"/>
    </row>
    <row r="8" customFormat="false" ht="12" hidden="false" customHeight="false" outlineLevel="0" collapsed="false">
      <c r="A8" s="84"/>
      <c r="B8" s="85" t="n">
        <f aca="false">[1]Admin!$B$18</f>
        <v>45900</v>
      </c>
      <c r="C8" s="85" t="n">
        <f aca="false">B9</f>
        <v>45930</v>
      </c>
      <c r="D8" s="86" t="n">
        <f aca="false">[2]Apr!$H$1</f>
        <v>0</v>
      </c>
      <c r="E8" s="87" t="n">
        <f aca="false">SUM(D6:D8)</f>
        <v>0</v>
      </c>
      <c r="F8" s="87" t="n">
        <f aca="false">[2]Apr!$G$1</f>
        <v>0</v>
      </c>
      <c r="G8" s="87" t="n">
        <f aca="false">SUM(F6:F8)</f>
        <v>0</v>
      </c>
      <c r="H8" s="87" t="n">
        <f aca="false">[3]Apr!$H$1</f>
        <v>0</v>
      </c>
      <c r="I8" s="87" t="n">
        <f aca="false">SUM(H6:H8)</f>
        <v>0</v>
      </c>
      <c r="J8" s="87" t="n">
        <f aca="false">[3]Apr!$G$1</f>
        <v>0</v>
      </c>
      <c r="K8" s="87" t="n">
        <f aca="false">SUM(J6:J8)</f>
        <v>0</v>
      </c>
      <c r="L8" s="88"/>
      <c r="M8" s="89" t="n">
        <f aca="false">IF([2]May!$G$4&gt;0,[2]May!$G$4,0)</f>
        <v>0</v>
      </c>
      <c r="N8" s="90"/>
    </row>
    <row r="9" customFormat="false" ht="12" hidden="false" customHeight="false" outlineLevel="0" collapsed="false">
      <c r="A9" s="84"/>
      <c r="B9" s="85" t="n">
        <f aca="false">[1]Admin!$B$20</f>
        <v>45930</v>
      </c>
      <c r="C9" s="85" t="n">
        <f aca="false">B10</f>
        <v>45961</v>
      </c>
      <c r="D9" s="86" t="n">
        <f aca="false">[2]May!$H$1</f>
        <v>0</v>
      </c>
      <c r="E9" s="87" t="n">
        <f aca="false">SUM(D7:D9)</f>
        <v>0</v>
      </c>
      <c r="F9" s="87" t="n">
        <f aca="false">[2]May!$G$1</f>
        <v>0</v>
      </c>
      <c r="G9" s="87" t="n">
        <f aca="false">SUM(F7:F9)</f>
        <v>0</v>
      </c>
      <c r="H9" s="87" t="n">
        <f aca="false">[3]May!$H$1</f>
        <v>0</v>
      </c>
      <c r="I9" s="87" t="n">
        <f aca="false">SUM(H7:H9)</f>
        <v>0</v>
      </c>
      <c r="J9" s="87" t="n">
        <f aca="false">[3]May!$G$1</f>
        <v>0</v>
      </c>
      <c r="K9" s="87" t="n">
        <f aca="false">SUM(J7:J9)</f>
        <v>0</v>
      </c>
      <c r="L9" s="88"/>
      <c r="M9" s="89" t="n">
        <f aca="false">IF([2]May!$G$4&gt;0,[2]May!$G$4,0)</f>
        <v>0</v>
      </c>
      <c r="N9" s="90"/>
    </row>
    <row r="10" customFormat="false" ht="12" hidden="false" customHeight="false" outlineLevel="0" collapsed="false">
      <c r="A10" s="84"/>
      <c r="B10" s="85" t="n">
        <f aca="false">[1]Admin!$B$22</f>
        <v>45961</v>
      </c>
      <c r="C10" s="85" t="n">
        <f aca="false">B11</f>
        <v>45991</v>
      </c>
      <c r="D10" s="86" t="n">
        <f aca="false">[2]Apr!$H$1</f>
        <v>0</v>
      </c>
      <c r="E10" s="87" t="n">
        <f aca="false">SUM(D8:D10)</f>
        <v>0</v>
      </c>
      <c r="F10" s="87" t="n">
        <f aca="false">[2]Apr!$G$1</f>
        <v>0</v>
      </c>
      <c r="G10" s="87" t="n">
        <f aca="false">SUM(F8:F10)</f>
        <v>0</v>
      </c>
      <c r="H10" s="87" t="n">
        <f aca="false">[3]Apr!$H$1</f>
        <v>0</v>
      </c>
      <c r="I10" s="87" t="n">
        <f aca="false">SUM(H8:H10)</f>
        <v>0</v>
      </c>
      <c r="J10" s="87" t="n">
        <f aca="false">[3]Apr!$G$1</f>
        <v>0</v>
      </c>
      <c r="K10" s="87" t="n">
        <f aca="false">SUM(J8:J10)</f>
        <v>0</v>
      </c>
      <c r="L10" s="88"/>
      <c r="M10" s="89" t="n">
        <f aca="false">IF([2]May!$G$4&gt;0,[2]May!$G$4,0)</f>
        <v>0</v>
      </c>
      <c r="N10" s="90"/>
    </row>
    <row r="11" customFormat="false" ht="12" hidden="false" customHeight="false" outlineLevel="0" collapsed="false">
      <c r="A11" s="84"/>
      <c r="B11" s="85" t="n">
        <f aca="false">[1]Admin!$B$24</f>
        <v>45991</v>
      </c>
      <c r="C11" s="85" t="n">
        <f aca="false">B12</f>
        <v>46022</v>
      </c>
      <c r="D11" s="86" t="n">
        <f aca="false">[2]May!$H$1</f>
        <v>0</v>
      </c>
      <c r="E11" s="87" t="n">
        <f aca="false">SUM(D9:D11)</f>
        <v>0</v>
      </c>
      <c r="F11" s="87" t="n">
        <f aca="false">[2]May!$G$1</f>
        <v>0</v>
      </c>
      <c r="G11" s="87" t="n">
        <f aca="false">SUM(F9:F11)</f>
        <v>0</v>
      </c>
      <c r="H11" s="87" t="n">
        <f aca="false">[3]May!$H$1</f>
        <v>0</v>
      </c>
      <c r="I11" s="87" t="n">
        <f aca="false">SUM(H9:H11)</f>
        <v>0</v>
      </c>
      <c r="J11" s="87" t="n">
        <f aca="false">[3]May!$G$1</f>
        <v>0</v>
      </c>
      <c r="K11" s="87" t="n">
        <f aca="false">SUM(J9:J11)</f>
        <v>0</v>
      </c>
      <c r="L11" s="88"/>
      <c r="M11" s="89" t="n">
        <f aca="false">IF([2]Apr!$G$4&gt;0,[2]Apr!$G$4,0)</f>
        <v>0</v>
      </c>
      <c r="N11" s="90"/>
    </row>
    <row r="12" customFormat="false" ht="12" hidden="false" customHeight="false" outlineLevel="0" collapsed="false">
      <c r="A12" s="84"/>
      <c r="B12" s="85" t="n">
        <f aca="false">[1]Admin!$B$26</f>
        <v>46022</v>
      </c>
      <c r="C12" s="85" t="n">
        <f aca="false">B13</f>
        <v>46053</v>
      </c>
      <c r="D12" s="86" t="n">
        <f aca="false">[2]Apr!$H$1</f>
        <v>0</v>
      </c>
      <c r="E12" s="87" t="n">
        <f aca="false">SUM(D10:D12)</f>
        <v>0</v>
      </c>
      <c r="F12" s="87" t="n">
        <f aca="false">[2]Apr!$G$1</f>
        <v>0</v>
      </c>
      <c r="G12" s="87" t="n">
        <f aca="false">SUM(F10:F12)</f>
        <v>0</v>
      </c>
      <c r="H12" s="87" t="n">
        <f aca="false">[3]Apr!$H$1</f>
        <v>0</v>
      </c>
      <c r="I12" s="87" t="n">
        <f aca="false">SUM(H10:H12)</f>
        <v>0</v>
      </c>
      <c r="J12" s="87" t="n">
        <f aca="false">[3]Apr!$G$1</f>
        <v>0</v>
      </c>
      <c r="K12" s="87" t="n">
        <f aca="false">SUM(J10:J12)</f>
        <v>0</v>
      </c>
      <c r="L12" s="88"/>
      <c r="M12" s="89" t="n">
        <f aca="false">IF([2]May!$G$4&gt;0,[2]May!$G$4,0)</f>
        <v>0</v>
      </c>
      <c r="N12" s="90"/>
    </row>
    <row r="13" customFormat="false" ht="12" hidden="false" customHeight="false" outlineLevel="0" collapsed="false">
      <c r="A13" s="84"/>
      <c r="B13" s="85" t="n">
        <f aca="false">[1]Admin!$B$28</f>
        <v>46053</v>
      </c>
      <c r="C13" s="85" t="n">
        <f aca="false">B14</f>
        <v>46081</v>
      </c>
      <c r="D13" s="86" t="n">
        <f aca="false">[2]May!$H$1</f>
        <v>0</v>
      </c>
      <c r="E13" s="87" t="n">
        <f aca="false">SUM(D11:D13)</f>
        <v>0</v>
      </c>
      <c r="F13" s="87" t="n">
        <f aca="false">[2]May!$G$1</f>
        <v>0</v>
      </c>
      <c r="G13" s="87" t="n">
        <f aca="false">SUM(F11:F13)</f>
        <v>0</v>
      </c>
      <c r="H13" s="87" t="n">
        <f aca="false">[3]May!$H$1</f>
        <v>0</v>
      </c>
      <c r="I13" s="87" t="n">
        <f aca="false">SUM(H11:H13)</f>
        <v>0</v>
      </c>
      <c r="J13" s="87" t="n">
        <f aca="false">[3]May!$G$1</f>
        <v>0</v>
      </c>
      <c r="K13" s="87" t="n">
        <f aca="false">SUM(J11:J13)</f>
        <v>0</v>
      </c>
      <c r="L13" s="88"/>
      <c r="M13" s="89" t="n">
        <f aca="false">IF([2]Apr!$G$4&gt;0,[2]Apr!$G$4,0)</f>
        <v>0</v>
      </c>
      <c r="N13" s="90"/>
    </row>
    <row r="14" customFormat="false" ht="12" hidden="false" customHeight="false" outlineLevel="0" collapsed="false">
      <c r="A14" s="84"/>
      <c r="B14" s="85" t="n">
        <f aca="false">[1]Admin!$B$30</f>
        <v>46081</v>
      </c>
      <c r="C14" s="85" t="n">
        <f aca="false">B15</f>
        <v>46112</v>
      </c>
      <c r="D14" s="86" t="n">
        <f aca="false">[2]Apr!$H$1</f>
        <v>0</v>
      </c>
      <c r="E14" s="87" t="n">
        <f aca="false">SUM(D12:D14)</f>
        <v>0</v>
      </c>
      <c r="F14" s="87" t="n">
        <f aca="false">[2]Apr!$G$1</f>
        <v>0</v>
      </c>
      <c r="G14" s="87" t="n">
        <f aca="false">SUM(F12:F14)</f>
        <v>0</v>
      </c>
      <c r="H14" s="87" t="n">
        <f aca="false">[3]Apr!$H$1</f>
        <v>0</v>
      </c>
      <c r="I14" s="87" t="n">
        <f aca="false">SUM(H12:H14)</f>
        <v>0</v>
      </c>
      <c r="J14" s="87" t="n">
        <f aca="false">[3]Apr!$G$1</f>
        <v>0</v>
      </c>
      <c r="K14" s="87" t="n">
        <f aca="false">SUM(J12:J14)</f>
        <v>0</v>
      </c>
      <c r="L14" s="88"/>
      <c r="M14" s="89" t="n">
        <f aca="false">IF([2]Apr!$G$4&gt;0,[2]Apr!$G$4,0)</f>
        <v>0</v>
      </c>
      <c r="N14" s="90"/>
    </row>
    <row r="15" customFormat="false" ht="12" hidden="false" customHeight="false" outlineLevel="0" collapsed="false">
      <c r="A15" s="84"/>
      <c r="B15" s="85" t="n">
        <f aca="false">[1]Admin!$B$32</f>
        <v>46112</v>
      </c>
      <c r="C15" s="85" t="n">
        <f aca="false">B16</f>
        <v>46142</v>
      </c>
      <c r="D15" s="86" t="n">
        <f aca="false">[2]May!$H$1</f>
        <v>0</v>
      </c>
      <c r="E15" s="87" t="n">
        <f aca="false">SUM(D13:D15)</f>
        <v>0</v>
      </c>
      <c r="F15" s="87" t="n">
        <f aca="false">[2]May!$G$1</f>
        <v>0</v>
      </c>
      <c r="G15" s="87" t="n">
        <f aca="false">SUM(F13:F15)</f>
        <v>0</v>
      </c>
      <c r="H15" s="87" t="n">
        <f aca="false">[3]May!$H$1</f>
        <v>0</v>
      </c>
      <c r="I15" s="87" t="n">
        <f aca="false">SUM(H13:H15)</f>
        <v>0</v>
      </c>
      <c r="J15" s="87" t="n">
        <f aca="false">[3]May!$G$1</f>
        <v>0</v>
      </c>
      <c r="K15" s="87" t="n">
        <f aca="false">SUM(J13:J15)</f>
        <v>0</v>
      </c>
      <c r="L15" s="88"/>
      <c r="M15" s="89" t="n">
        <f aca="false">IF([2]May!$G$4&gt;0,[2]May!$G$4,0)</f>
        <v>0</v>
      </c>
      <c r="N15" s="90"/>
    </row>
    <row r="16" customFormat="false" ht="12" hidden="false" customHeight="false" outlineLevel="0" collapsed="false">
      <c r="A16" s="84"/>
      <c r="B16" s="85" t="n">
        <f aca="false">[1]Admin!$B$34</f>
        <v>46142</v>
      </c>
      <c r="C16" s="85" t="n">
        <f aca="false">B17</f>
        <v>46173</v>
      </c>
      <c r="D16" s="86" t="n">
        <f aca="false">[2]Apr!$H$1</f>
        <v>0</v>
      </c>
      <c r="E16" s="87" t="n">
        <f aca="false">SUM(D14:D16)</f>
        <v>0</v>
      </c>
      <c r="F16" s="87" t="n">
        <f aca="false">[2]Apr!$G$1</f>
        <v>0</v>
      </c>
      <c r="G16" s="87" t="n">
        <f aca="false">SUM(F14:F16)</f>
        <v>0</v>
      </c>
      <c r="H16" s="87" t="n">
        <f aca="false">[3]Apr!$H$1</f>
        <v>0</v>
      </c>
      <c r="I16" s="87" t="n">
        <f aca="false">SUM(H14:H16)</f>
        <v>0</v>
      </c>
      <c r="J16" s="87" t="n">
        <f aca="false">[3]Apr!$G$1</f>
        <v>0</v>
      </c>
      <c r="K16" s="87" t="n">
        <f aca="false">SUM(J14:J16)</f>
        <v>0</v>
      </c>
      <c r="L16" s="88"/>
      <c r="M16" s="89" t="n">
        <f aca="false">IF([2]Apr!$G$4&gt;0,[2]Apr!$G$4,0)</f>
        <v>0</v>
      </c>
      <c r="N16" s="90"/>
    </row>
    <row r="17" customFormat="false" ht="12" hidden="false" customHeight="false" outlineLevel="0" collapsed="false">
      <c r="A17" s="84"/>
      <c r="B17" s="85" t="n">
        <f aca="false">[1]Admin!$B$36</f>
        <v>46173</v>
      </c>
      <c r="C17" s="85" t="n">
        <f aca="false">B18</f>
        <v>46203</v>
      </c>
      <c r="D17" s="86" t="n">
        <f aca="false">[2]May!$H$1</f>
        <v>0</v>
      </c>
      <c r="E17" s="87" t="n">
        <f aca="false">SUM(D15:D17)</f>
        <v>0</v>
      </c>
      <c r="F17" s="87" t="n">
        <f aca="false">[2]May!$G$1</f>
        <v>0</v>
      </c>
      <c r="G17" s="87" t="n">
        <f aca="false">SUM(F15:F17)</f>
        <v>0</v>
      </c>
      <c r="H17" s="87" t="n">
        <f aca="false">[3]May!$H$1</f>
        <v>0</v>
      </c>
      <c r="I17" s="87" t="n">
        <f aca="false">SUM(H15:H17)</f>
        <v>0</v>
      </c>
      <c r="J17" s="87" t="n">
        <f aca="false">[3]May!$G$1</f>
        <v>0</v>
      </c>
      <c r="K17" s="87" t="n">
        <f aca="false">SUM(J15:J17)</f>
        <v>0</v>
      </c>
      <c r="L17" s="88"/>
      <c r="M17" s="89" t="n">
        <f aca="false">IF([2]May!$G$4&gt;0,[2]May!$G$4,0)</f>
        <v>0</v>
      </c>
      <c r="N17" s="90"/>
    </row>
    <row r="18" customFormat="false" ht="12" hidden="false" customHeight="false" outlineLevel="0" collapsed="false">
      <c r="A18" s="84"/>
      <c r="B18" s="85" t="n">
        <f aca="false">[1]Admin!$B$38</f>
        <v>46203</v>
      </c>
      <c r="C18" s="85" t="n">
        <f aca="false">B19</f>
        <v>0</v>
      </c>
      <c r="D18" s="86" t="n">
        <f aca="false">S04Y2!$H$1</f>
        <v>0</v>
      </c>
      <c r="E18" s="87" t="n">
        <f aca="false">SUM(D16:D18)</f>
        <v>0</v>
      </c>
      <c r="F18" s="87" t="n">
        <f aca="false">S04Y2!$G$1</f>
        <v>0</v>
      </c>
      <c r="G18" s="87" t="n">
        <f aca="false">SUM(F16:F18)</f>
        <v>0</v>
      </c>
      <c r="H18" s="87" t="n">
        <f aca="false">P04Y2!$H$1</f>
        <v>0</v>
      </c>
      <c r="I18" s="87" t="n">
        <f aca="false">SUM(H16:H18)</f>
        <v>0</v>
      </c>
      <c r="J18" s="87" t="n">
        <f aca="false">P04Y2!$G$1</f>
        <v>0</v>
      </c>
      <c r="K18" s="87" t="n">
        <f aca="false">SUM(J16:J18)</f>
        <v>0</v>
      </c>
      <c r="L18" s="88"/>
      <c r="M18" s="89" t="n">
        <f aca="false">IF([2]May!$G$4&gt;0,[2]May!$G$4,0)</f>
        <v>0</v>
      </c>
      <c r="N18" s="90"/>
    </row>
    <row r="19" customFormat="false" ht="12" hidden="false" customHeight="false" outlineLevel="0" collapsed="false">
      <c r="A19" s="84"/>
      <c r="B19" s="85" t="n">
        <f aca="false">[1]Admin!$B$40</f>
        <v>0</v>
      </c>
      <c r="C19" s="91" t="n">
        <f aca="false">[1]Admin!$B$38</f>
        <v>46203</v>
      </c>
      <c r="D19" s="86" t="n">
        <f aca="false">S05Y2!$H$1</f>
        <v>0</v>
      </c>
      <c r="E19" s="87" t="n">
        <f aca="false">SUM(D17:D19)</f>
        <v>0</v>
      </c>
      <c r="F19" s="87" t="n">
        <f aca="false">S05Y2!$G$1</f>
        <v>0</v>
      </c>
      <c r="G19" s="87" t="n">
        <f aca="false">SUM(F17:F19)</f>
        <v>0</v>
      </c>
      <c r="H19" s="87" t="n">
        <f aca="false">P05Y2!$H$1</f>
        <v>0</v>
      </c>
      <c r="I19" s="87" t="n">
        <f aca="false">SUM(H17:H19)</f>
        <v>0</v>
      </c>
      <c r="J19" s="87" t="n">
        <f aca="false">P05Y2!$G$1</f>
        <v>0</v>
      </c>
      <c r="K19" s="87" t="n">
        <f aca="false">SUM(J17:J19)</f>
        <v>0</v>
      </c>
      <c r="L19" s="88"/>
      <c r="M19" s="89" t="n">
        <f aca="false">IF([2]May!$G$4&gt;0,[2]May!$G$4,0)</f>
        <v>0</v>
      </c>
      <c r="N19" s="90"/>
    </row>
    <row r="20" customFormat="false" ht="9" hidden="false" customHeight="true" outlineLevel="0" collapsed="false">
      <c r="A20" s="92"/>
      <c r="B20" s="93"/>
      <c r="C20" s="93"/>
      <c r="D20" s="94"/>
      <c r="E20" s="94"/>
      <c r="F20" s="94"/>
      <c r="G20" s="94"/>
      <c r="H20" s="94"/>
      <c r="I20" s="94"/>
      <c r="J20" s="94"/>
      <c r="K20" s="94"/>
      <c r="L20" s="95"/>
      <c r="M20" s="96"/>
      <c r="N20" s="97"/>
    </row>
  </sheetData>
  <printOptions headings="false" gridLines="false" gridLinesSet="true" horizontalCentered="true" verticalCentered="false"/>
  <pageMargins left="0.551388888888889" right="0.551388888888889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4" min="3" style="100" width="12.82"/>
    <col collapsed="false" customWidth="true" hidden="false" outlineLevel="0" max="5" min="5" style="101" width="7.66"/>
    <col collapsed="false" customWidth="true" hidden="false" outlineLevel="0" max="6" min="6" style="99" width="9.66"/>
    <col collapsed="false" customWidth="true" hidden="false" outlineLevel="0" max="7" min="7" style="99" width="8.66"/>
    <col collapsed="false" customWidth="true" hidden="false" outlineLevel="0" max="8" min="8" style="99" width="9.66"/>
    <col collapsed="false" customWidth="false" hidden="false" outlineLevel="0" max="257" min="9" style="102" width="9.15"/>
  </cols>
  <sheetData>
    <row r="1" s="106" customFormat="true" ht="15" hidden="false" customHeight="true" outlineLevel="0" collapsed="false">
      <c r="A1" s="103" t="s">
        <v>29</v>
      </c>
      <c r="B1" s="103"/>
      <c r="C1" s="103"/>
      <c r="D1" s="104" t="s">
        <v>30</v>
      </c>
      <c r="E1" s="104"/>
      <c r="F1" s="105" t="n">
        <f aca="false">SUM(F5:F500)</f>
        <v>0</v>
      </c>
      <c r="G1" s="105" t="n">
        <f aca="false">SUM(G5:G500)</f>
        <v>0</v>
      </c>
      <c r="H1" s="105" t="n">
        <f aca="false">SUM(H5:H500)</f>
        <v>0</v>
      </c>
    </row>
    <row r="2" s="106" customFormat="true" ht="12.75" hidden="false" customHeight="true" outlineLevel="0" collapsed="false">
      <c r="A2" s="107" t="s">
        <v>31</v>
      </c>
      <c r="B2" s="108" t="s">
        <v>32</v>
      </c>
      <c r="C2" s="109" t="s">
        <v>33</v>
      </c>
      <c r="D2" s="109" t="s">
        <v>34</v>
      </c>
      <c r="E2" s="110"/>
      <c r="F2" s="108" t="s">
        <v>35</v>
      </c>
      <c r="G2" s="111" t="n">
        <f aca="false">[2]OpeningDebtors!$G$2</f>
        <v>20</v>
      </c>
      <c r="H2" s="108" t="s">
        <v>36</v>
      </c>
    </row>
    <row r="3" s="112" customFormat="true" ht="22.35" hidden="false" customHeight="false" outlineLevel="0" collapsed="false">
      <c r="A3" s="107"/>
      <c r="B3" s="108"/>
      <c r="C3" s="109"/>
      <c r="D3" s="109"/>
      <c r="E3" s="110"/>
      <c r="F3" s="108"/>
      <c r="G3" s="108" t="s">
        <v>37</v>
      </c>
      <c r="H3" s="108"/>
    </row>
    <row r="4" customFormat="false" ht="12.75" hidden="false" customHeight="false" outlineLevel="0" collapsed="false">
      <c r="A4" s="107"/>
      <c r="B4" s="107"/>
      <c r="C4" s="107"/>
      <c r="D4" s="109"/>
      <c r="E4" s="110"/>
      <c r="F4" s="108"/>
      <c r="G4" s="113" t="n">
        <f aca="false">[2]OpeningDebtors!$G$4</f>
        <v>0</v>
      </c>
      <c r="H4" s="108"/>
    </row>
    <row r="5" customFormat="false" ht="12.75" hidden="false" customHeight="false" outlineLevel="0" collapsed="false">
      <c r="G5" s="99" t="str">
        <f aca="false">IF(G$4&gt;0,(IF(F5&lt;&gt;0,F5*G$4/100," ")),IF(F5&lt;&gt;0,F5*G$2/(100+G$2)," "))</f>
        <v> </v>
      </c>
      <c r="H5" s="99" t="str">
        <f aca="false">IF((F5&lt;&gt;0),F5-G5," ")</f>
        <v> </v>
      </c>
    </row>
    <row r="6" customFormat="false" ht="12.75" hidden="false" customHeight="false" outlineLevel="0" collapsed="false">
      <c r="G6" s="99" t="str">
        <f aca="false">IF(G$4&gt;0,(IF(F6&lt;&gt;0,F6*G$4/100," ")),IF(F6&lt;&gt;0,F6*G$2/(100+G$2)," "))</f>
        <v> </v>
      </c>
      <c r="H6" s="99" t="str">
        <f aca="false">IF((F6&lt;&gt;0),F6-G6," ")</f>
        <v> </v>
      </c>
    </row>
    <row r="7" customFormat="false" ht="12.75" hidden="false" customHeight="false" outlineLevel="0" collapsed="false">
      <c r="G7" s="99" t="str">
        <f aca="false">IF(G$4&gt;0,(IF(F7&lt;&gt;0,F7*G$4/100," ")),IF(F7&lt;&gt;0,F7*G$2/(100+G$2)," "))</f>
        <v> </v>
      </c>
      <c r="H7" s="99" t="str">
        <f aca="false">IF((F7&lt;&gt;0),F7-G7," ")</f>
        <v> </v>
      </c>
    </row>
    <row r="8" customFormat="false" ht="12.75" hidden="false" customHeight="false" outlineLevel="0" collapsed="false">
      <c r="G8" s="99" t="str">
        <f aca="false">IF(G$4&gt;0,(IF(F8&lt;&gt;0,F8*G$4/100," ")),IF(F8&lt;&gt;0,F8*G$2/(100+G$2)," "))</f>
        <v> </v>
      </c>
      <c r="H8" s="99" t="str">
        <f aca="false">IF((F8&lt;&gt;0),F8-G8," ")</f>
        <v> </v>
      </c>
    </row>
    <row r="9" customFormat="false" ht="12.75" hidden="false" customHeight="false" outlineLevel="0" collapsed="false">
      <c r="G9" s="99" t="str">
        <f aca="false">IF(G$4&gt;0,(IF(F9&lt;&gt;0,F9*G$4/100," ")),IF(F9&lt;&gt;0,F9*G$2/(100+G$2)," "))</f>
        <v> </v>
      </c>
      <c r="H9" s="99" t="str">
        <f aca="false">IF((F9&lt;&gt;0),F9-G9," ")</f>
        <v> </v>
      </c>
    </row>
    <row r="10" customFormat="false" ht="12.75" hidden="false" customHeight="false" outlineLevel="0" collapsed="false">
      <c r="G10" s="99" t="str">
        <f aca="false">IF(G$4&gt;0,(IF(F10&lt;&gt;0,F10*G$4/100," ")),IF(F10&lt;&gt;0,F10*G$2/(100+G$2)," "))</f>
        <v> </v>
      </c>
      <c r="H10" s="99" t="str">
        <f aca="false">IF((F10&lt;&gt;0),F10-G10," ")</f>
        <v> </v>
      </c>
    </row>
    <row r="11" customFormat="false" ht="12.75" hidden="false" customHeight="false" outlineLevel="0" collapsed="false">
      <c r="G11" s="99" t="str">
        <f aca="false">IF(G$4&gt;0,(IF(F11&lt;&gt;0,F11*G$4/100," ")),IF(F11&lt;&gt;0,F11*G$2/(100+G$2)," "))</f>
        <v> </v>
      </c>
      <c r="H11" s="99" t="str">
        <f aca="false">IF((F11&lt;&gt;0),F11-G11," ")</f>
        <v> </v>
      </c>
    </row>
    <row r="12" customFormat="false" ht="12.75" hidden="false" customHeight="false" outlineLevel="0" collapsed="false">
      <c r="G12" s="99" t="str">
        <f aca="false">IF(G$4&gt;0,(IF(F12&lt;&gt;0,F12*G$4/100," ")),IF(F12&lt;&gt;0,F12*G$2/(100+G$2)," "))</f>
        <v> </v>
      </c>
      <c r="H12" s="99" t="str">
        <f aca="false">IF((F12&lt;&gt;0),F12-G12," ")</f>
        <v> </v>
      </c>
    </row>
    <row r="13" customFormat="false" ht="12.75" hidden="false" customHeight="false" outlineLevel="0" collapsed="false">
      <c r="G13" s="99" t="str">
        <f aca="false">IF(G$4&gt;0,(IF(F13&lt;&gt;0,F13*G$4/100," ")),IF(F13&lt;&gt;0,F13*G$2/(100+G$2)," "))</f>
        <v> </v>
      </c>
      <c r="H13" s="99" t="str">
        <f aca="false">IF((F13&lt;&gt;0),F13-G13," ")</f>
        <v> </v>
      </c>
    </row>
    <row r="14" customFormat="false" ht="12.75" hidden="false" customHeight="false" outlineLevel="0" collapsed="false">
      <c r="G14" s="99" t="str">
        <f aca="false">IF(G$4&gt;0,(IF(F14&lt;&gt;0,F14*G$4/100," ")),IF(F14&lt;&gt;0,F14*G$2/(100+G$2)," "))</f>
        <v> </v>
      </c>
      <c r="H14" s="99" t="str">
        <f aca="false">IF((F14&lt;&gt;0),F14-G14," ")</f>
        <v> </v>
      </c>
    </row>
    <row r="15" customFormat="false" ht="12.75" hidden="false" customHeight="false" outlineLevel="0" collapsed="false">
      <c r="G15" s="99" t="str">
        <f aca="false">IF(G$4&gt;0,(IF(F15&lt;&gt;0,F15*G$4/100," ")),IF(F15&lt;&gt;0,F15*G$2/(100+G$2)," "))</f>
        <v> </v>
      </c>
      <c r="H15" s="99" t="str">
        <f aca="false">IF((F15&lt;&gt;0),F15-G15," ")</f>
        <v> </v>
      </c>
    </row>
    <row r="16" customFormat="false" ht="12.75" hidden="false" customHeight="false" outlineLevel="0" collapsed="false">
      <c r="G16" s="99" t="str">
        <f aca="false">IF(G$4&gt;0,(IF(F16&lt;&gt;0,F16*G$4/100," ")),IF(F16&lt;&gt;0,F16*G$2/(100+G$2)," "))</f>
        <v> </v>
      </c>
      <c r="H16" s="99" t="str">
        <f aca="false">IF((F16&lt;&gt;0),F16-G16," ")</f>
        <v> </v>
      </c>
    </row>
    <row r="17" customFormat="false" ht="12.75" hidden="false" customHeight="false" outlineLevel="0" collapsed="false">
      <c r="G17" s="99" t="str">
        <f aca="false">IF(G$4&gt;0,(IF(F17&lt;&gt;0,F17*G$4/100," ")),IF(F17&lt;&gt;0,F17*G$2/(100+G$2)," "))</f>
        <v> </v>
      </c>
      <c r="H17" s="99" t="str">
        <f aca="false">IF((F17&lt;&gt;0),F17-G17," ")</f>
        <v> </v>
      </c>
    </row>
    <row r="18" customFormat="false" ht="12.75" hidden="false" customHeight="false" outlineLevel="0" collapsed="false">
      <c r="G18" s="99" t="str">
        <f aca="false">IF(G$4&gt;0,(IF(F18&lt;&gt;0,F18*G$4/100," ")),IF(F18&lt;&gt;0,F18*G$2/(100+G$2)," "))</f>
        <v> </v>
      </c>
      <c r="H18" s="99" t="str">
        <f aca="false">IF((F18&lt;&gt;0),F18-G18," ")</f>
        <v> </v>
      </c>
    </row>
    <row r="19" customFormat="false" ht="12.75" hidden="false" customHeight="false" outlineLevel="0" collapsed="false">
      <c r="G19" s="99" t="str">
        <f aca="false">IF(G$4&gt;0,(IF(F19&lt;&gt;0,F19*G$4/100," ")),IF(F19&lt;&gt;0,F19*G$2/(100+G$2)," "))</f>
        <v> </v>
      </c>
      <c r="H19" s="99" t="str">
        <f aca="false">IF((F19&lt;&gt;0),F19-G19," ")</f>
        <v> </v>
      </c>
    </row>
    <row r="20" customFormat="false" ht="12.75" hidden="false" customHeight="false" outlineLevel="0" collapsed="false">
      <c r="G20" s="99" t="str">
        <f aca="false">IF(G$4&gt;0,(IF(F20&lt;&gt;0,F20*G$4/100," ")),IF(F20&lt;&gt;0,F20*G$2/(100+G$2)," "))</f>
        <v> </v>
      </c>
      <c r="H20" s="99" t="str">
        <f aca="false">IF((F20&lt;&gt;0),F20-G20," ")</f>
        <v> </v>
      </c>
    </row>
    <row r="21" customFormat="false" ht="12.75" hidden="false" customHeight="false" outlineLevel="0" collapsed="false">
      <c r="G21" s="99" t="str">
        <f aca="false">IF(G$4&gt;0,(IF(F21&lt;&gt;0,F21*G$4/100," ")),IF(F21&lt;&gt;0,F21*G$2/(100+G$2)," "))</f>
        <v> </v>
      </c>
      <c r="H21" s="99" t="str">
        <f aca="false">IF((F21&lt;&gt;0),F21-G21," ")</f>
        <v> </v>
      </c>
    </row>
    <row r="22" customFormat="false" ht="12.75" hidden="false" customHeight="false" outlineLevel="0" collapsed="false">
      <c r="G22" s="99" t="str">
        <f aca="false">IF(G$4&gt;0,(IF(F22&lt;&gt;0,F22*G$4/100," ")),IF(F22&lt;&gt;0,F22*G$2/(100+G$2)," "))</f>
        <v> </v>
      </c>
      <c r="H22" s="99" t="str">
        <f aca="false">IF((F22&lt;&gt;0),F22-G22," ")</f>
        <v> </v>
      </c>
    </row>
    <row r="23" customFormat="false" ht="12.75" hidden="false" customHeight="false" outlineLevel="0" collapsed="false">
      <c r="G23" s="99" t="str">
        <f aca="false">IF(G$4&gt;0,(IF(F23&lt;&gt;0,F23*G$4/100," ")),IF(F23&lt;&gt;0,F23*G$2/(100+G$2)," "))</f>
        <v> </v>
      </c>
      <c r="H23" s="99" t="str">
        <f aca="false">IF((F23&lt;&gt;0),F23-G23," ")</f>
        <v> </v>
      </c>
    </row>
    <row r="24" customFormat="false" ht="12.75" hidden="false" customHeight="false" outlineLevel="0" collapsed="false">
      <c r="G24" s="99" t="str">
        <f aca="false">IF(G$4&gt;0,(IF(F24&lt;&gt;0,F24*G$4/100," ")),IF(F24&lt;&gt;0,F24*G$2/(100+G$2)," "))</f>
        <v> </v>
      </c>
      <c r="H24" s="99" t="str">
        <f aca="false">IF((F24&lt;&gt;0),F24-G24," ")</f>
        <v> </v>
      </c>
    </row>
    <row r="25" customFormat="false" ht="12.75" hidden="false" customHeight="false" outlineLevel="0" collapsed="false">
      <c r="G25" s="99" t="str">
        <f aca="false">IF(G$4&gt;0,(IF(F25&lt;&gt;0,F25*G$4/100," ")),IF(F25&lt;&gt;0,F25*G$2/(100+G$2)," "))</f>
        <v> </v>
      </c>
      <c r="H25" s="99" t="str">
        <f aca="false">IF((F25&lt;&gt;0),F25-G25," ")</f>
        <v> </v>
      </c>
    </row>
    <row r="26" customFormat="false" ht="12.75" hidden="false" customHeight="false" outlineLevel="0" collapsed="false">
      <c r="G26" s="99" t="str">
        <f aca="false">IF(G$4&gt;0,(IF(F26&lt;&gt;0,F26*G$4/100," ")),IF(F26&lt;&gt;0,F26*G$2/(100+G$2)," "))</f>
        <v> </v>
      </c>
      <c r="H26" s="99" t="str">
        <f aca="false">IF((F26&lt;&gt;0),F26-G26," ")</f>
        <v> </v>
      </c>
    </row>
    <row r="27" customFormat="false" ht="12.75" hidden="false" customHeight="false" outlineLevel="0" collapsed="false">
      <c r="G27" s="99" t="str">
        <f aca="false">IF(G$4&gt;0,(IF(F27&lt;&gt;0,F27*G$4/100," ")),IF(F27&lt;&gt;0,F27*G$2/(100+G$2)," "))</f>
        <v> </v>
      </c>
      <c r="H27" s="99" t="str">
        <f aca="false">IF((F27&lt;&gt;0),F27-G27," ")</f>
        <v> </v>
      </c>
    </row>
    <row r="28" customFormat="false" ht="12.75" hidden="false" customHeight="false" outlineLevel="0" collapsed="false">
      <c r="G28" s="99" t="str">
        <f aca="false">IF(G$4&gt;0,(IF(F28&lt;&gt;0,F28*G$4/100," ")),IF(F28&lt;&gt;0,F28*G$2/(100+G$2)," "))</f>
        <v> </v>
      </c>
      <c r="H28" s="99" t="str">
        <f aca="false">IF((F28&lt;&gt;0),F28-G28," ")</f>
        <v> </v>
      </c>
    </row>
    <row r="29" customFormat="false" ht="12.75" hidden="false" customHeight="false" outlineLevel="0" collapsed="false">
      <c r="G29" s="99" t="str">
        <f aca="false">IF(G$4&gt;0,(IF(F29&lt;&gt;0,F29*G$4/100," ")),IF(F29&lt;&gt;0,F29*G$2/(100+G$2)," "))</f>
        <v> </v>
      </c>
      <c r="H29" s="99" t="str">
        <f aca="false">IF((F29&lt;&gt;0),F29-G29," ")</f>
        <v> </v>
      </c>
    </row>
    <row r="30" customFormat="false" ht="12.75" hidden="false" customHeight="false" outlineLevel="0" collapsed="false">
      <c r="G30" s="99" t="str">
        <f aca="false">IF(G$4&gt;0,(IF(F30&lt;&gt;0,F30*G$4/100," ")),IF(F30&lt;&gt;0,F30*G$2/(100+G$2)," "))</f>
        <v> </v>
      </c>
      <c r="H30" s="99" t="str">
        <f aca="false">IF((F30&lt;&gt;0),F30-G30," ")</f>
        <v> </v>
      </c>
    </row>
    <row r="31" customFormat="false" ht="12.75" hidden="false" customHeight="false" outlineLevel="0" collapsed="false">
      <c r="G31" s="99" t="str">
        <f aca="false">IF(G$4&gt;0,(IF(F31&lt;&gt;0,F31*G$4/100," ")),IF(F31&lt;&gt;0,F31*G$2/(100+G$2)," "))</f>
        <v> </v>
      </c>
      <c r="H31" s="99" t="str">
        <f aca="false">IF((F31&lt;&gt;0),F31-G31," ")</f>
        <v> </v>
      </c>
    </row>
    <row r="32" customFormat="false" ht="12.75" hidden="false" customHeight="false" outlineLevel="0" collapsed="false">
      <c r="G32" s="99" t="str">
        <f aca="false">IF(G$4&gt;0,(IF(F32&lt;&gt;0,F32*G$4/100," ")),IF(F32&lt;&gt;0,F32*G$2/(100+G$2)," "))</f>
        <v> </v>
      </c>
      <c r="H32" s="99" t="str">
        <f aca="false">IF((F32&lt;&gt;0),F32-G32," ")</f>
        <v> </v>
      </c>
    </row>
    <row r="33" customFormat="false" ht="12.75" hidden="false" customHeight="false" outlineLevel="0" collapsed="false">
      <c r="G33" s="99" t="str">
        <f aca="false">IF(G$4&gt;0,(IF(F33&lt;&gt;0,F33*G$4/100," ")),IF(F33&lt;&gt;0,F33*G$2/(100+G$2)," "))</f>
        <v> </v>
      </c>
      <c r="H33" s="99" t="str">
        <f aca="false">IF((F33&lt;&gt;0),F33-G33," ")</f>
        <v> </v>
      </c>
    </row>
    <row r="34" customFormat="false" ht="12.75" hidden="false" customHeight="false" outlineLevel="0" collapsed="false">
      <c r="G34" s="99" t="str">
        <f aca="false">IF(G$4&gt;0,(IF(F34&lt;&gt;0,F34*G$4/100," ")),IF(F34&lt;&gt;0,F34*G$2/(100+G$2)," "))</f>
        <v> </v>
      </c>
      <c r="H34" s="99" t="str">
        <f aca="false">IF((F34&lt;&gt;0),F34-G34," ")</f>
        <v> </v>
      </c>
    </row>
    <row r="35" customFormat="false" ht="12.75" hidden="false" customHeight="false" outlineLevel="0" collapsed="false">
      <c r="G35" s="99" t="str">
        <f aca="false">IF(G$4&gt;0,(IF(F35&lt;&gt;0,F35*G$4/100," ")),IF(F35&lt;&gt;0,F35*G$2/(100+G$2)," "))</f>
        <v> </v>
      </c>
      <c r="H35" s="99" t="str">
        <f aca="false">IF((F35&lt;&gt;0),F35-G35," ")</f>
        <v> </v>
      </c>
    </row>
    <row r="36" customFormat="false" ht="12.75" hidden="false" customHeight="false" outlineLevel="0" collapsed="false">
      <c r="G36" s="99" t="str">
        <f aca="false">IF(G$4&gt;0,(IF(F36&lt;&gt;0,F36*G$4/100," ")),IF(F36&lt;&gt;0,F36*G$2/(100+G$2)," "))</f>
        <v> </v>
      </c>
      <c r="H36" s="99" t="str">
        <f aca="false">IF((F36&lt;&gt;0),F36-G36," ")</f>
        <v> </v>
      </c>
    </row>
    <row r="37" customFormat="false" ht="12.75" hidden="false" customHeight="false" outlineLevel="0" collapsed="false">
      <c r="G37" s="99" t="str">
        <f aca="false">IF(G$4&gt;0,(IF(F37&lt;&gt;0,F37*G$4/100," ")),IF(F37&lt;&gt;0,F37*G$2/(100+G$2)," "))</f>
        <v> </v>
      </c>
      <c r="H37" s="99" t="str">
        <f aca="false">IF((F37&lt;&gt;0),F37-G37," ")</f>
        <v> </v>
      </c>
    </row>
    <row r="38" customFormat="false" ht="12.75" hidden="false" customHeight="false" outlineLevel="0" collapsed="false">
      <c r="G38" s="99" t="str">
        <f aca="false">IF(G$4&gt;0,(IF(F38&lt;&gt;0,F38*G$4/100," ")),IF(F38&lt;&gt;0,F38*G$2/(100+G$2)," "))</f>
        <v> </v>
      </c>
      <c r="H38" s="99" t="str">
        <f aca="false">IF((F38&lt;&gt;0),F38-G38," ")</f>
        <v> </v>
      </c>
    </row>
    <row r="39" customFormat="false" ht="12.75" hidden="false" customHeight="false" outlineLevel="0" collapsed="false">
      <c r="G39" s="99" t="str">
        <f aca="false">IF(G$4&gt;0,(IF(F39&lt;&gt;0,F39*G$4/100," ")),IF(F39&lt;&gt;0,F39*G$2/(100+G$2)," "))</f>
        <v> </v>
      </c>
      <c r="H39" s="99" t="str">
        <f aca="false">IF((F39&lt;&gt;0),F39-G39," ")</f>
        <v> </v>
      </c>
    </row>
    <row r="40" customFormat="false" ht="12.75" hidden="false" customHeight="false" outlineLevel="0" collapsed="false">
      <c r="G40" s="99" t="str">
        <f aca="false">IF(G$4&gt;0,(IF(F40&lt;&gt;0,F40*G$4/100," ")),IF(F40&lt;&gt;0,F40*G$2/(100+G$2)," "))</f>
        <v> </v>
      </c>
      <c r="H40" s="99" t="str">
        <f aca="false">IF((F40&lt;&gt;0),F40-G40," ")</f>
        <v> </v>
      </c>
    </row>
    <row r="41" customFormat="false" ht="12.75" hidden="false" customHeight="false" outlineLevel="0" collapsed="false">
      <c r="G41" s="99" t="str">
        <f aca="false">IF(G$4&gt;0,(IF(F41&lt;&gt;0,F41*G$4/100," ")),IF(F41&lt;&gt;0,F41*G$2/(100+G$2)," "))</f>
        <v> </v>
      </c>
      <c r="H41" s="99" t="str">
        <f aca="false">IF((F41&lt;&gt;0),F41-G41," ")</f>
        <v> </v>
      </c>
    </row>
    <row r="42" customFormat="false" ht="12.75" hidden="false" customHeight="false" outlineLevel="0" collapsed="false">
      <c r="G42" s="99" t="str">
        <f aca="false">IF(G$4&gt;0,(IF(F42&lt;&gt;0,F42*G$4/100," ")),IF(F42&lt;&gt;0,F42*G$2/(100+G$2)," "))</f>
        <v> </v>
      </c>
      <c r="H42" s="99" t="str">
        <f aca="false">IF((F42&lt;&gt;0),F42-G42," ")</f>
        <v> </v>
      </c>
    </row>
    <row r="43" customFormat="false" ht="12.75" hidden="false" customHeight="false" outlineLevel="0" collapsed="false">
      <c r="G43" s="99" t="str">
        <f aca="false">IF(G$4&gt;0,(IF(F43&lt;&gt;0,F43*G$4/100," ")),IF(F43&lt;&gt;0,F43*G$2/(100+G$2)," "))</f>
        <v> </v>
      </c>
      <c r="H43" s="99" t="str">
        <f aca="false">IF((F43&lt;&gt;0),F43-G43," ")</f>
        <v> </v>
      </c>
    </row>
    <row r="44" customFormat="false" ht="12.75" hidden="false" customHeight="false" outlineLevel="0" collapsed="false">
      <c r="G44" s="99" t="str">
        <f aca="false">IF(G$4&gt;0,(IF(F44&lt;&gt;0,F44*G$4/100," ")),IF(F44&lt;&gt;0,F44*G$2/(100+G$2)," "))</f>
        <v> </v>
      </c>
      <c r="H44" s="99" t="str">
        <f aca="false">IF((F44&lt;&gt;0),F44-G44," ")</f>
        <v> </v>
      </c>
    </row>
    <row r="45" customFormat="false" ht="12.75" hidden="false" customHeight="false" outlineLevel="0" collapsed="false">
      <c r="G45" s="99" t="str">
        <f aca="false">IF(G$4&gt;0,(IF(F45&lt;&gt;0,F45*G$4/100," ")),IF(F45&lt;&gt;0,F45*G$2/(100+G$2)," "))</f>
        <v> </v>
      </c>
      <c r="H45" s="99" t="str">
        <f aca="false">IF((F45&lt;&gt;0),F45-G45," ")</f>
        <v> </v>
      </c>
    </row>
    <row r="46" customFormat="false" ht="12.75" hidden="false" customHeight="false" outlineLevel="0" collapsed="false">
      <c r="G46" s="99" t="str">
        <f aca="false">IF(G$4&gt;0,(IF(F46&lt;&gt;0,F46*G$4/100," ")),IF(F46&lt;&gt;0,F46*G$2/(100+G$2)," "))</f>
        <v> </v>
      </c>
      <c r="H46" s="99" t="str">
        <f aca="false">IF((F46&lt;&gt;0),F46-G46," ")</f>
        <v> </v>
      </c>
    </row>
    <row r="47" customFormat="false" ht="12.75" hidden="false" customHeight="false" outlineLevel="0" collapsed="false">
      <c r="G47" s="99" t="str">
        <f aca="false">IF(G$4&gt;0,(IF(F47&lt;&gt;0,F47*G$4/100," ")),IF(F47&lt;&gt;0,F47*G$2/(100+G$2)," "))</f>
        <v> </v>
      </c>
      <c r="H47" s="99" t="str">
        <f aca="false">IF((F47&lt;&gt;0),F47-G47," ")</f>
        <v> </v>
      </c>
    </row>
    <row r="48" customFormat="false" ht="12.75" hidden="false" customHeight="false" outlineLevel="0" collapsed="false">
      <c r="G48" s="99" t="str">
        <f aca="false">IF(G$4&gt;0,(IF(F48&lt;&gt;0,F48*G$4/100," ")),IF(F48&lt;&gt;0,F48*G$2/(100+G$2)," "))</f>
        <v> </v>
      </c>
      <c r="H48" s="99" t="str">
        <f aca="false">IF((F48&lt;&gt;0),F48-G48," ")</f>
        <v> </v>
      </c>
    </row>
    <row r="49" customFormat="false" ht="12.75" hidden="false" customHeight="false" outlineLevel="0" collapsed="false">
      <c r="G49" s="99" t="str">
        <f aca="false">IF(G$4&gt;0,(IF(F49&lt;&gt;0,F49*G$4/100," ")),IF(F49&lt;&gt;0,F49*G$2/(100+G$2)," "))</f>
        <v> </v>
      </c>
      <c r="H49" s="99" t="str">
        <f aca="false">IF((F49&lt;&gt;0),F49-G49," ")</f>
        <v> </v>
      </c>
    </row>
    <row r="50" customFormat="false" ht="12.75" hidden="false" customHeight="false" outlineLevel="0" collapsed="false">
      <c r="G50" s="99" t="str">
        <f aca="false">IF(G$4&gt;0,(IF(F50&lt;&gt;0,F50*G$4/100," ")),IF(F50&lt;&gt;0,F50*G$2/(100+G$2)," "))</f>
        <v> </v>
      </c>
      <c r="H50" s="99" t="str">
        <f aca="false">IF((F50&lt;&gt;0),F50-G50," ")</f>
        <v> </v>
      </c>
    </row>
    <row r="51" customFormat="false" ht="12.75" hidden="false" customHeight="false" outlineLevel="0" collapsed="false">
      <c r="G51" s="99" t="str">
        <f aca="false">IF(G$4&gt;0,(IF(F51&lt;&gt;0,F51*G$4/100," ")),IF(F51&lt;&gt;0,F51*G$2/(100+G$2)," "))</f>
        <v> </v>
      </c>
      <c r="H51" s="99" t="str">
        <f aca="false">IF((F51&lt;&gt;0),F51-G51," ")</f>
        <v> </v>
      </c>
    </row>
    <row r="52" customFormat="false" ht="12.75" hidden="false" customHeight="false" outlineLevel="0" collapsed="false">
      <c r="G52" s="99" t="str">
        <f aca="false">IF(G$4&gt;0,(IF(F52&lt;&gt;0,F52*G$4/100," ")),IF(F52&lt;&gt;0,F52*G$2/(100+G$2)," "))</f>
        <v> </v>
      </c>
      <c r="H52" s="99" t="str">
        <f aca="false">IF((F52&lt;&gt;0),F52-G52," ")</f>
        <v> </v>
      </c>
    </row>
    <row r="53" customFormat="false" ht="12.75" hidden="false" customHeight="false" outlineLevel="0" collapsed="false">
      <c r="G53" s="99" t="str">
        <f aca="false">IF(G$4&gt;0,(IF(F53&lt;&gt;0,F53*G$4/100," ")),IF(F53&lt;&gt;0,F53*G$2/(100+G$2)," "))</f>
        <v> </v>
      </c>
      <c r="H53" s="99" t="str">
        <f aca="false">IF((F53&lt;&gt;0),F53-G53," ")</f>
        <v> </v>
      </c>
    </row>
    <row r="54" customFormat="false" ht="12.75" hidden="false" customHeight="false" outlineLevel="0" collapsed="false">
      <c r="G54" s="99" t="str">
        <f aca="false">IF(G$4&gt;0,(IF(F54&lt;&gt;0,F54*G$4/100," ")),IF(F54&lt;&gt;0,F54*G$2/(100+G$2)," "))</f>
        <v> </v>
      </c>
      <c r="H54" s="99" t="str">
        <f aca="false">IF((F54&lt;&gt;0),F54-G54," ")</f>
        <v> </v>
      </c>
    </row>
    <row r="55" customFormat="false" ht="12.75" hidden="false" customHeight="false" outlineLevel="0" collapsed="false">
      <c r="G55" s="99" t="str">
        <f aca="false">IF(G$4&gt;0,(IF(F55&lt;&gt;0,F55*G$4/100," ")),IF(F55&lt;&gt;0,F55*G$2/(100+G$2)," "))</f>
        <v> </v>
      </c>
      <c r="H55" s="99" t="str">
        <f aca="false">IF((F55&lt;&gt;0),F55-G55," ")</f>
        <v> </v>
      </c>
    </row>
    <row r="56" customFormat="false" ht="12.75" hidden="false" customHeight="false" outlineLevel="0" collapsed="false">
      <c r="G56" s="99" t="str">
        <f aca="false">IF(G$4&gt;0,(IF(F56&lt;&gt;0,F56*G$4/100," ")),IF(F56&lt;&gt;0,F56*G$2/(100+G$2)," "))</f>
        <v> </v>
      </c>
      <c r="H56" s="99" t="str">
        <f aca="false">IF((F56&lt;&gt;0),F56-G56," ")</f>
        <v> </v>
      </c>
    </row>
    <row r="57" customFormat="false" ht="12.75" hidden="false" customHeight="false" outlineLevel="0" collapsed="false">
      <c r="G57" s="99" t="str">
        <f aca="false">IF(G$4&gt;0,(IF(F57&lt;&gt;0,F57*G$4/100," ")),IF(F57&lt;&gt;0,F57*G$2/(100+G$2)," "))</f>
        <v> </v>
      </c>
      <c r="H57" s="99" t="str">
        <f aca="false">IF((F57&lt;&gt;0),F57-G57," ")</f>
        <v> </v>
      </c>
    </row>
    <row r="58" customFormat="false" ht="12.75" hidden="false" customHeight="false" outlineLevel="0" collapsed="false">
      <c r="G58" s="99" t="str">
        <f aca="false">IF(G$4&gt;0,(IF(F58&lt;&gt;0,F58*G$4/100," ")),IF(F58&lt;&gt;0,F58*G$2/(100+G$2)," "))</f>
        <v> </v>
      </c>
      <c r="H58" s="99" t="str">
        <f aca="false">IF((F58&lt;&gt;0),F58-G58," ")</f>
        <v> </v>
      </c>
    </row>
    <row r="59" customFormat="false" ht="12.75" hidden="false" customHeight="false" outlineLevel="0" collapsed="false">
      <c r="G59" s="99" t="str">
        <f aca="false">IF(G$4&gt;0,(IF(F59&lt;&gt;0,F59*G$4/100," ")),IF(F59&lt;&gt;0,F59*G$2/(100+G$2)," "))</f>
        <v> </v>
      </c>
      <c r="H59" s="99" t="str">
        <f aca="false">IF((F59&lt;&gt;0),F59-G59," ")</f>
        <v> </v>
      </c>
    </row>
    <row r="60" customFormat="false" ht="12.75" hidden="false" customHeight="false" outlineLevel="0" collapsed="false">
      <c r="G60" s="99" t="str">
        <f aca="false">IF(G$4&gt;0,(IF(F60&lt;&gt;0,F60*G$4/100," ")),IF(F60&lt;&gt;0,F60*G$2/(100+G$2)," "))</f>
        <v> </v>
      </c>
      <c r="H60" s="99" t="str">
        <f aca="false">IF((F60&lt;&gt;0),F60-G60," ")</f>
        <v> </v>
      </c>
    </row>
    <row r="61" customFormat="false" ht="12.75" hidden="false" customHeight="false" outlineLevel="0" collapsed="false">
      <c r="G61" s="99" t="str">
        <f aca="false">IF(G$4&gt;0,(IF(F61&lt;&gt;0,F61*G$4/100," ")),IF(F61&lt;&gt;0,F61*G$2/(100+G$2)," "))</f>
        <v> </v>
      </c>
      <c r="H61" s="99" t="str">
        <f aca="false">IF((F61&lt;&gt;0),F61-G61," ")</f>
        <v> </v>
      </c>
    </row>
    <row r="62" customFormat="false" ht="12.75" hidden="false" customHeight="false" outlineLevel="0" collapsed="false">
      <c r="G62" s="99" t="str">
        <f aca="false">IF(G$4&gt;0,(IF(F62&lt;&gt;0,F62*G$4/100," ")),IF(F62&lt;&gt;0,F62*G$2/(100+G$2)," "))</f>
        <v> </v>
      </c>
      <c r="H62" s="99" t="str">
        <f aca="false">IF((F62&lt;&gt;0),F62-G62," ")</f>
        <v> </v>
      </c>
    </row>
    <row r="63" customFormat="false" ht="12.75" hidden="false" customHeight="false" outlineLevel="0" collapsed="false">
      <c r="G63" s="99" t="str">
        <f aca="false">IF(G$4&gt;0,(IF(F63&lt;&gt;0,F63*G$4/100," ")),IF(F63&lt;&gt;0,F63*G$2/(100+G$2)," "))</f>
        <v> </v>
      </c>
      <c r="H63" s="99" t="str">
        <f aca="false">IF((F63&lt;&gt;0),F63-G63," ")</f>
        <v> </v>
      </c>
    </row>
    <row r="64" customFormat="false" ht="12.75" hidden="false" customHeight="false" outlineLevel="0" collapsed="false">
      <c r="G64" s="99" t="str">
        <f aca="false">IF(G$4&gt;0,(IF(F64&lt;&gt;0,F64*G$4/100," ")),IF(F64&lt;&gt;0,F64*G$2/(100+G$2)," "))</f>
        <v> </v>
      </c>
      <c r="H64" s="99" t="str">
        <f aca="false">IF((F64&lt;&gt;0),F64-G64," ")</f>
        <v> </v>
      </c>
    </row>
    <row r="65" customFormat="false" ht="12.75" hidden="false" customHeight="false" outlineLevel="0" collapsed="false">
      <c r="G65" s="99" t="str">
        <f aca="false">IF(G$4&gt;0,(IF(F65&lt;&gt;0,F65*G$4/100," ")),IF(F65&lt;&gt;0,F65*G$2/(100+G$2)," "))</f>
        <v> </v>
      </c>
      <c r="H65" s="99" t="str">
        <f aca="false">IF((F65&lt;&gt;0),F65-G65," ")</f>
        <v> </v>
      </c>
    </row>
    <row r="66" customFormat="false" ht="12.75" hidden="false" customHeight="false" outlineLevel="0" collapsed="false">
      <c r="G66" s="99" t="str">
        <f aca="false">IF(G$4&gt;0,(IF(F66&lt;&gt;0,F66*G$4/100," ")),IF(F66&lt;&gt;0,F66*G$2/(100+G$2)," "))</f>
        <v> </v>
      </c>
      <c r="H66" s="99" t="str">
        <f aca="false">IF((F66&lt;&gt;0),F66-G66," ")</f>
        <v> </v>
      </c>
    </row>
    <row r="67" customFormat="false" ht="12.75" hidden="false" customHeight="false" outlineLevel="0" collapsed="false">
      <c r="G67" s="99" t="str">
        <f aca="false">IF(G$4&gt;0,(IF(F67&lt;&gt;0,F67*G$4/100," ")),IF(F67&lt;&gt;0,F67*G$2/(100+G$2)," "))</f>
        <v> </v>
      </c>
      <c r="H67" s="99" t="str">
        <f aca="false">IF((F67&lt;&gt;0),F67-G67," ")</f>
        <v> </v>
      </c>
    </row>
    <row r="68" customFormat="false" ht="12.75" hidden="false" customHeight="false" outlineLevel="0" collapsed="false">
      <c r="G68" s="99" t="str">
        <f aca="false">IF(G$4&gt;0,(IF(F68&lt;&gt;0,F68*G$4/100," ")),IF(F68&lt;&gt;0,F68*G$2/(100+G$2)," "))</f>
        <v> </v>
      </c>
      <c r="H68" s="99" t="str">
        <f aca="false">IF((F68&lt;&gt;0),F68-G68," ")</f>
        <v> </v>
      </c>
    </row>
    <row r="69" customFormat="false" ht="12.75" hidden="false" customHeight="false" outlineLevel="0" collapsed="false">
      <c r="G69" s="99" t="str">
        <f aca="false">IF(G$4&gt;0,(IF(F69&lt;&gt;0,F69*G$4/100," ")),IF(F69&lt;&gt;0,F69*G$2/(100+G$2)," "))</f>
        <v> </v>
      </c>
      <c r="H69" s="99" t="str">
        <f aca="false">IF((F69&lt;&gt;0),F69-G69," ")</f>
        <v> </v>
      </c>
    </row>
    <row r="70" customFormat="false" ht="12.75" hidden="false" customHeight="false" outlineLevel="0" collapsed="false">
      <c r="G70" s="99" t="str">
        <f aca="false">IF(G$4&gt;0,(IF(F70&lt;&gt;0,F70*G$4/100," ")),IF(F70&lt;&gt;0,F70*G$2/(100+G$2)," "))</f>
        <v> </v>
      </c>
      <c r="H70" s="99" t="str">
        <f aca="false">IF((F70&lt;&gt;0),F70-G70," ")</f>
        <v> </v>
      </c>
    </row>
    <row r="71" customFormat="false" ht="12.75" hidden="false" customHeight="false" outlineLevel="0" collapsed="false">
      <c r="G71" s="99" t="str">
        <f aca="false">IF(G$4&gt;0,(IF(F71&lt;&gt;0,F71*G$4/100," ")),IF(F71&lt;&gt;0,F71*G$2/(100+G$2)," "))</f>
        <v> </v>
      </c>
      <c r="H71" s="99" t="str">
        <f aca="false">IF((F71&lt;&gt;0),F71-G71," ")</f>
        <v> </v>
      </c>
    </row>
    <row r="72" customFormat="false" ht="12.75" hidden="false" customHeight="false" outlineLevel="0" collapsed="false">
      <c r="G72" s="99" t="str">
        <f aca="false">IF(G$4&gt;0,(IF(F72&lt;&gt;0,F72*G$4/100," ")),IF(F72&lt;&gt;0,F72*G$2/(100+G$2)," "))</f>
        <v> </v>
      </c>
      <c r="H72" s="99" t="str">
        <f aca="false">IF((F72&lt;&gt;0),F72-G72," ")</f>
        <v> </v>
      </c>
    </row>
    <row r="73" customFormat="false" ht="12.75" hidden="false" customHeight="false" outlineLevel="0" collapsed="false">
      <c r="G73" s="99" t="str">
        <f aca="false">IF(G$4&gt;0,(IF(F73&lt;&gt;0,F73*G$4/100," ")),IF(F73&lt;&gt;0,F73*G$2/(100+G$2)," "))</f>
        <v> </v>
      </c>
      <c r="H73" s="99" t="str">
        <f aca="false">IF((F73&lt;&gt;0),F73-G73," ")</f>
        <v> </v>
      </c>
    </row>
    <row r="74" customFormat="false" ht="12.75" hidden="false" customHeight="false" outlineLevel="0" collapsed="false">
      <c r="G74" s="99" t="str">
        <f aca="false">IF(G$4&gt;0,(IF(F74&lt;&gt;0,F74*G$4/100," ")),IF(F74&lt;&gt;0,F74*G$2/(100+G$2)," "))</f>
        <v> </v>
      </c>
      <c r="H74" s="99" t="str">
        <f aca="false">IF((F74&lt;&gt;0),F74-G74," ")</f>
        <v> </v>
      </c>
    </row>
    <row r="75" customFormat="false" ht="12.75" hidden="false" customHeight="false" outlineLevel="0" collapsed="false">
      <c r="G75" s="99" t="str">
        <f aca="false">IF(G$4&gt;0,(IF(F75&lt;&gt;0,F75*G$4/100," ")),IF(F75&lt;&gt;0,F75*G$2/(100+G$2)," "))</f>
        <v> </v>
      </c>
      <c r="H75" s="99" t="str">
        <f aca="false">IF((F75&lt;&gt;0),F75-G75," ")</f>
        <v> </v>
      </c>
    </row>
    <row r="76" customFormat="false" ht="12.75" hidden="false" customHeight="false" outlineLevel="0" collapsed="false">
      <c r="G76" s="99" t="str">
        <f aca="false">IF(G$4&gt;0,(IF(F76&lt;&gt;0,F76*G$4/100," ")),IF(F76&lt;&gt;0,F76*G$2/(100+G$2)," "))</f>
        <v> </v>
      </c>
      <c r="H76" s="99" t="str">
        <f aca="false">IF((F76&lt;&gt;0),F76-G76," ")</f>
        <v> </v>
      </c>
    </row>
    <row r="77" customFormat="false" ht="12.75" hidden="false" customHeight="false" outlineLevel="0" collapsed="false">
      <c r="G77" s="99" t="str">
        <f aca="false">IF(G$4&gt;0,(IF(F77&lt;&gt;0,F77*G$4/100," ")),IF(F77&lt;&gt;0,F77*G$2/(100+G$2)," "))</f>
        <v> </v>
      </c>
      <c r="H77" s="99" t="str">
        <f aca="false">IF((F77&lt;&gt;0),F77-G77," ")</f>
        <v> </v>
      </c>
    </row>
    <row r="78" customFormat="false" ht="12.75" hidden="false" customHeight="false" outlineLevel="0" collapsed="false">
      <c r="G78" s="99" t="str">
        <f aca="false">IF(G$4&gt;0,(IF(F78&lt;&gt;0,F78*G$4/100," ")),IF(F78&lt;&gt;0,F78*G$2/(100+G$2)," "))</f>
        <v> </v>
      </c>
      <c r="H78" s="99" t="str">
        <f aca="false">IF((F78&lt;&gt;0),F78-G78," ")</f>
        <v> </v>
      </c>
    </row>
    <row r="79" customFormat="false" ht="12.75" hidden="false" customHeight="false" outlineLevel="0" collapsed="false">
      <c r="G79" s="99" t="str">
        <f aca="false">IF(G$4&gt;0,(IF(F79&lt;&gt;0,F79*G$4/100," ")),IF(F79&lt;&gt;0,F79*G$2/(100+G$2)," "))</f>
        <v> </v>
      </c>
      <c r="H79" s="99" t="str">
        <f aca="false">IF((F79&lt;&gt;0),F79-G79," ")</f>
        <v> </v>
      </c>
    </row>
    <row r="80" customFormat="false" ht="12.75" hidden="false" customHeight="false" outlineLevel="0" collapsed="false">
      <c r="G80" s="99" t="str">
        <f aca="false">IF(G$4&gt;0,(IF(F80&lt;&gt;0,F80*G$4/100," ")),IF(F80&lt;&gt;0,F80*G$2/(100+G$2)," "))</f>
        <v> </v>
      </c>
      <c r="H80" s="99" t="str">
        <f aca="false">IF((F80&lt;&gt;0),F80-G80," ")</f>
        <v> </v>
      </c>
    </row>
    <row r="81" customFormat="false" ht="12.75" hidden="false" customHeight="false" outlineLevel="0" collapsed="false">
      <c r="G81" s="99" t="str">
        <f aca="false">IF(G$4&gt;0,(IF(F81&lt;&gt;0,F81*G$4/100," ")),IF(F81&lt;&gt;0,F81*G$2/(100+G$2)," "))</f>
        <v> </v>
      </c>
      <c r="H81" s="99" t="str">
        <f aca="false">IF((F81&lt;&gt;0),F81-G81," ")</f>
        <v> </v>
      </c>
    </row>
    <row r="82" customFormat="false" ht="12.75" hidden="false" customHeight="false" outlineLevel="0" collapsed="false">
      <c r="G82" s="99" t="str">
        <f aca="false">IF(G$4&gt;0,(IF(F82&lt;&gt;0,F82*G$4/100," ")),IF(F82&lt;&gt;0,F82*G$2/(100+G$2)," "))</f>
        <v> </v>
      </c>
      <c r="H82" s="99" t="str">
        <f aca="false">IF((F82&lt;&gt;0),F82-G82," ")</f>
        <v> </v>
      </c>
    </row>
    <row r="83" customFormat="false" ht="12.75" hidden="false" customHeight="false" outlineLevel="0" collapsed="false">
      <c r="G83" s="99" t="str">
        <f aca="false">IF(G$4&gt;0,(IF(F83&lt;&gt;0,F83*G$4/100," ")),IF(F83&lt;&gt;0,F83*G$2/(100+G$2)," "))</f>
        <v> </v>
      </c>
      <c r="H83" s="99" t="str">
        <f aca="false">IF((F83&lt;&gt;0),F83-G83," ")</f>
        <v> </v>
      </c>
    </row>
    <row r="84" customFormat="false" ht="12.75" hidden="false" customHeight="false" outlineLevel="0" collapsed="false">
      <c r="G84" s="99" t="str">
        <f aca="false">IF(G$4&gt;0,(IF(F84&lt;&gt;0,F84*G$4/100," ")),IF(F84&lt;&gt;0,F84*G$2/(100+G$2)," "))</f>
        <v> </v>
      </c>
      <c r="H84" s="99" t="str">
        <f aca="false">IF((F84&lt;&gt;0),F84-G84," ")</f>
        <v> </v>
      </c>
    </row>
    <row r="85" customFormat="false" ht="12.75" hidden="false" customHeight="false" outlineLevel="0" collapsed="false">
      <c r="G85" s="99" t="str">
        <f aca="false">IF(G$4&gt;0,(IF(F85&lt;&gt;0,F85*G$4/100," ")),IF(F85&lt;&gt;0,F85*G$2/(100+G$2)," "))</f>
        <v> </v>
      </c>
      <c r="H85" s="99" t="str">
        <f aca="false">IF((F85&lt;&gt;0),F85-G85," ")</f>
        <v> </v>
      </c>
    </row>
    <row r="86" customFormat="false" ht="12.75" hidden="false" customHeight="false" outlineLevel="0" collapsed="false">
      <c r="G86" s="99" t="str">
        <f aca="false">IF(G$4&gt;0,(IF(F86&lt;&gt;0,F86*G$4/100," ")),IF(F86&lt;&gt;0,F86*G$2/(100+G$2)," "))</f>
        <v> </v>
      </c>
      <c r="H86" s="99" t="str">
        <f aca="false">IF((F86&lt;&gt;0),F86-G86," ")</f>
        <v> </v>
      </c>
    </row>
    <row r="87" customFormat="false" ht="12.75" hidden="false" customHeight="false" outlineLevel="0" collapsed="false">
      <c r="G87" s="99" t="str">
        <f aca="false">IF(G$4&gt;0,(IF(F87&lt;&gt;0,F87*G$4/100," ")),IF(F87&lt;&gt;0,F87*G$2/(100+G$2)," "))</f>
        <v> </v>
      </c>
      <c r="H87" s="99" t="str">
        <f aca="false">IF((F87&lt;&gt;0),F87-G87," ")</f>
        <v> </v>
      </c>
    </row>
    <row r="88" customFormat="false" ht="12.75" hidden="false" customHeight="false" outlineLevel="0" collapsed="false">
      <c r="G88" s="99" t="str">
        <f aca="false">IF(G$4&gt;0,(IF(F88&lt;&gt;0,F88*G$4/100," ")),IF(F88&lt;&gt;0,F88*G$2/(100+G$2)," "))</f>
        <v> </v>
      </c>
      <c r="H88" s="99" t="str">
        <f aca="false">IF((F88&lt;&gt;0),F88-G88," ")</f>
        <v> </v>
      </c>
    </row>
    <row r="89" customFormat="false" ht="12.75" hidden="false" customHeight="false" outlineLevel="0" collapsed="false">
      <c r="G89" s="99" t="str">
        <f aca="false">IF(G$4&gt;0,(IF(F89&lt;&gt;0,F89*G$4/100," ")),IF(F89&lt;&gt;0,F89*G$2/(100+G$2)," "))</f>
        <v> </v>
      </c>
      <c r="H89" s="99" t="str">
        <f aca="false">IF((F89&lt;&gt;0),F89-G89," ")</f>
        <v> </v>
      </c>
    </row>
    <row r="90" customFormat="false" ht="12.75" hidden="false" customHeight="false" outlineLevel="0" collapsed="false">
      <c r="G90" s="99" t="str">
        <f aca="false">IF(G$4&gt;0,(IF(F90&lt;&gt;0,F90*G$4/100," ")),IF(F90&lt;&gt;0,F90*G$2/(100+G$2)," "))</f>
        <v> </v>
      </c>
      <c r="H90" s="99" t="str">
        <f aca="false">IF((F90&lt;&gt;0),F90-G90," ")</f>
        <v> </v>
      </c>
    </row>
    <row r="91" customFormat="false" ht="12.75" hidden="false" customHeight="false" outlineLevel="0" collapsed="false">
      <c r="G91" s="99" t="str">
        <f aca="false">IF(G$4&gt;0,(IF(F91&lt;&gt;0,F91*G$4/100," ")),IF(F91&lt;&gt;0,F91*G$2/(100+G$2)," "))</f>
        <v> </v>
      </c>
      <c r="H91" s="99" t="str">
        <f aca="false">IF((F91&lt;&gt;0),F91-G91," ")</f>
        <v> </v>
      </c>
    </row>
    <row r="92" customFormat="false" ht="12.75" hidden="false" customHeight="false" outlineLevel="0" collapsed="false">
      <c r="G92" s="99" t="str">
        <f aca="false">IF(G$4&gt;0,(IF(F92&lt;&gt;0,F92*G$4/100," ")),IF(F92&lt;&gt;0,F92*G$2/(100+G$2)," "))</f>
        <v> </v>
      </c>
      <c r="H92" s="99" t="str">
        <f aca="false">IF((F92&lt;&gt;0),F92-G92," ")</f>
        <v> </v>
      </c>
    </row>
    <row r="93" customFormat="false" ht="12.75" hidden="false" customHeight="false" outlineLevel="0" collapsed="false">
      <c r="G93" s="99" t="str">
        <f aca="false">IF(G$4&gt;0,(IF(F93&lt;&gt;0,F93*G$4/100," ")),IF(F93&lt;&gt;0,F93*G$2/(100+G$2)," "))</f>
        <v> </v>
      </c>
      <c r="H93" s="99" t="str">
        <f aca="false">IF((F93&lt;&gt;0),F93-G93," ")</f>
        <v> </v>
      </c>
    </row>
    <row r="94" customFormat="false" ht="12.75" hidden="false" customHeight="false" outlineLevel="0" collapsed="false">
      <c r="G94" s="99" t="str">
        <f aca="false">IF(G$4&gt;0,(IF(F94&lt;&gt;0,F94*G$4/100," ")),IF(F94&lt;&gt;0,F94*G$2/(100+G$2)," "))</f>
        <v> </v>
      </c>
      <c r="H94" s="99" t="str">
        <f aca="false">IF((F94&lt;&gt;0),F94-G94," ")</f>
        <v> </v>
      </c>
    </row>
    <row r="95" customFormat="false" ht="12.75" hidden="false" customHeight="false" outlineLevel="0" collapsed="false">
      <c r="G95" s="99" t="str">
        <f aca="false">IF(G$4&gt;0,(IF(F95&lt;&gt;0,F95*G$4/100," ")),IF(F95&lt;&gt;0,F95*G$2/(100+G$2)," "))</f>
        <v> </v>
      </c>
      <c r="H95" s="99" t="str">
        <f aca="false">IF((F95&lt;&gt;0),F95-G95," ")</f>
        <v> </v>
      </c>
    </row>
    <row r="96" customFormat="false" ht="12.75" hidden="false" customHeight="false" outlineLevel="0" collapsed="false">
      <c r="G96" s="99" t="str">
        <f aca="false">IF(G$4&gt;0,(IF(F96&lt;&gt;0,F96*G$4/100," ")),IF(F96&lt;&gt;0,F96*G$2/(100+G$2)," "))</f>
        <v> </v>
      </c>
      <c r="H96" s="99" t="str">
        <f aca="false">IF((F96&lt;&gt;0),F96-G96," ")</f>
        <v> </v>
      </c>
    </row>
    <row r="97" customFormat="false" ht="12.75" hidden="false" customHeight="false" outlineLevel="0" collapsed="false">
      <c r="G97" s="99" t="str">
        <f aca="false">IF(G$4&gt;0,(IF(F97&lt;&gt;0,F97*G$4/100," ")),IF(F97&lt;&gt;0,F97*G$2/(100+G$2)," "))</f>
        <v> </v>
      </c>
      <c r="H97" s="99" t="str">
        <f aca="false">IF((F97&lt;&gt;0),F97-G97," ")</f>
        <v> </v>
      </c>
    </row>
    <row r="98" customFormat="false" ht="12.75" hidden="false" customHeight="false" outlineLevel="0" collapsed="false">
      <c r="G98" s="99" t="str">
        <f aca="false">IF(G$4&gt;0,(IF(F98&lt;&gt;0,F98*G$4/100," ")),IF(F98&lt;&gt;0,F98*G$2/(100+G$2)," "))</f>
        <v> </v>
      </c>
      <c r="H98" s="99" t="str">
        <f aca="false">IF((F98&lt;&gt;0),F98-G98," ")</f>
        <v> </v>
      </c>
    </row>
    <row r="99" customFormat="false" ht="12.75" hidden="false" customHeight="false" outlineLevel="0" collapsed="false">
      <c r="G99" s="99" t="str">
        <f aca="false">IF(G$4&gt;0,(IF(F99&lt;&gt;0,F99*G$4/100," ")),IF(F99&lt;&gt;0,F99*G$2/(100+G$2)," "))</f>
        <v> </v>
      </c>
      <c r="H99" s="99" t="str">
        <f aca="false">IF((F99&lt;&gt;0),F99-G99," ")</f>
        <v> </v>
      </c>
    </row>
    <row r="100" customFormat="false" ht="12.75" hidden="false" customHeight="false" outlineLevel="0" collapsed="false">
      <c r="G100" s="99" t="str">
        <f aca="false">IF(G$4&gt;0,(IF(F100&lt;&gt;0,F100*G$4/100," ")),IF(F100&lt;&gt;0,F100*G$2/(100+G$2)," "))</f>
        <v> </v>
      </c>
      <c r="H100" s="99" t="str">
        <f aca="false">IF((F100&lt;&gt;0),F100-G100," ")</f>
        <v> </v>
      </c>
    </row>
    <row r="101" customFormat="false" ht="12.75" hidden="false" customHeight="false" outlineLevel="0" collapsed="false">
      <c r="G101" s="99" t="str">
        <f aca="false">IF(G$4&gt;0,(IF(F101&lt;&gt;0,F101*G$4/100," ")),IF(F101&lt;&gt;0,F101*G$2/(100+G$2)," "))</f>
        <v> </v>
      </c>
      <c r="H101" s="99" t="str">
        <f aca="false">IF((F101&lt;&gt;0),F101-G101," ")</f>
        <v> </v>
      </c>
    </row>
    <row r="102" customFormat="false" ht="12.75" hidden="false" customHeight="false" outlineLevel="0" collapsed="false">
      <c r="G102" s="99" t="str">
        <f aca="false">IF(G$4&gt;0,(IF(F102&lt;&gt;0,F102*G$4/100," ")),IF(F102&lt;&gt;0,F102*G$2/(100+G$2)," "))</f>
        <v> </v>
      </c>
      <c r="H102" s="99" t="str">
        <f aca="false">IF((F102&lt;&gt;0),F102-G102," ")</f>
        <v> </v>
      </c>
    </row>
    <row r="103" customFormat="false" ht="12.75" hidden="false" customHeight="false" outlineLevel="0" collapsed="false">
      <c r="G103" s="99" t="str">
        <f aca="false">IF(G$4&gt;0,(IF(F103&lt;&gt;0,F103*G$4/100," ")),IF(F103&lt;&gt;0,F103*G$2/(100+G$2)," "))</f>
        <v> </v>
      </c>
      <c r="H103" s="99" t="str">
        <f aca="false">IF((F103&lt;&gt;0),F103-G103," ")</f>
        <v> </v>
      </c>
    </row>
    <row r="104" customFormat="false" ht="12.75" hidden="false" customHeight="false" outlineLevel="0" collapsed="false">
      <c r="G104" s="99" t="str">
        <f aca="false">IF(G$4&gt;0,(IF(F104&lt;&gt;0,F104*G$4/100," ")),IF(F104&lt;&gt;0,F104*G$2/(100+G$2)," "))</f>
        <v> </v>
      </c>
      <c r="H104" s="99" t="str">
        <f aca="false">IF((F104&lt;&gt;0),F104-G104," ")</f>
        <v> </v>
      </c>
    </row>
    <row r="105" customFormat="false" ht="12.75" hidden="false" customHeight="false" outlineLevel="0" collapsed="false">
      <c r="G105" s="99" t="str">
        <f aca="false">IF(G$4&gt;0,(IF(F105&lt;&gt;0,F105*G$4/100," ")),IF(F105&lt;&gt;0,F105*G$2/(100+G$2)," "))</f>
        <v> </v>
      </c>
      <c r="H105" s="99" t="str">
        <f aca="false">IF((F105&lt;&gt;0),F105-G105," ")</f>
        <v> </v>
      </c>
    </row>
    <row r="106" customFormat="false" ht="12.75" hidden="false" customHeight="false" outlineLevel="0" collapsed="false">
      <c r="G106" s="99" t="str">
        <f aca="false">IF(G$4&gt;0,(IF(F106&lt;&gt;0,F106*G$4/100," ")),IF(F106&lt;&gt;0,F106*G$2/(100+G$2)," "))</f>
        <v> </v>
      </c>
      <c r="H106" s="99" t="str">
        <f aca="false">IF((F106&lt;&gt;0),F106-G106," ")</f>
        <v> </v>
      </c>
    </row>
    <row r="107" customFormat="false" ht="12.75" hidden="false" customHeight="false" outlineLevel="0" collapsed="false">
      <c r="G107" s="99" t="str">
        <f aca="false">IF(G$4&gt;0,(IF(F107&lt;&gt;0,F107*G$4/100," ")),IF(F107&lt;&gt;0,F107*G$2/(100+G$2)," "))</f>
        <v> </v>
      </c>
      <c r="H107" s="99" t="str">
        <f aca="false">IF((F107&lt;&gt;0),F107-G107," ")</f>
        <v> </v>
      </c>
    </row>
    <row r="108" customFormat="false" ht="12.75" hidden="false" customHeight="false" outlineLevel="0" collapsed="false">
      <c r="G108" s="99" t="str">
        <f aca="false">IF(G$4&gt;0,(IF(F108&lt;&gt;0,F108*G$4/100," ")),IF(F108&lt;&gt;0,F108*G$2/(100+G$2)," "))</f>
        <v> </v>
      </c>
      <c r="H108" s="99" t="str">
        <f aca="false">IF((F108&lt;&gt;0),F108-G108," ")</f>
        <v> </v>
      </c>
    </row>
    <row r="109" customFormat="false" ht="12.75" hidden="false" customHeight="false" outlineLevel="0" collapsed="false">
      <c r="G109" s="99" t="str">
        <f aca="false">IF(G$4&gt;0,(IF(F109&lt;&gt;0,F109*G$4/100," ")),IF(F109&lt;&gt;0,F109*G$2/(100+G$2)," "))</f>
        <v> </v>
      </c>
      <c r="H109" s="99" t="str">
        <f aca="false">IF((F109&lt;&gt;0),F109-G109," ")</f>
        <v> </v>
      </c>
    </row>
    <row r="110" customFormat="false" ht="12.75" hidden="false" customHeight="false" outlineLevel="0" collapsed="false">
      <c r="G110" s="99" t="str">
        <f aca="false">IF(G$4&gt;0,(IF(F110&lt;&gt;0,F110*G$4/100," ")),IF(F110&lt;&gt;0,F110*G$2/(100+G$2)," "))</f>
        <v> </v>
      </c>
      <c r="H110" s="99" t="str">
        <f aca="false">IF((F110&lt;&gt;0),F110-G110," ")</f>
        <v> </v>
      </c>
    </row>
    <row r="111" customFormat="false" ht="12.75" hidden="false" customHeight="false" outlineLevel="0" collapsed="false">
      <c r="G111" s="99" t="str">
        <f aca="false">IF(G$4&gt;0,(IF(F111&lt;&gt;0,F111*G$4/100," ")),IF(F111&lt;&gt;0,F111*G$2/(100+G$2)," "))</f>
        <v> </v>
      </c>
      <c r="H111" s="99" t="str">
        <f aca="false">IF((F111&lt;&gt;0),F111-G111," ")</f>
        <v> </v>
      </c>
    </row>
    <row r="112" customFormat="false" ht="12.75" hidden="false" customHeight="false" outlineLevel="0" collapsed="false">
      <c r="G112" s="99" t="str">
        <f aca="false">IF(G$4&gt;0,(IF(F112&lt;&gt;0,F112*G$4/100," ")),IF(F112&lt;&gt;0,F112*G$2/(100+G$2)," "))</f>
        <v> </v>
      </c>
      <c r="H112" s="99" t="str">
        <f aca="false">IF((F112&lt;&gt;0),F112-G112," ")</f>
        <v> </v>
      </c>
    </row>
    <row r="113" customFormat="false" ht="12.75" hidden="false" customHeight="false" outlineLevel="0" collapsed="false">
      <c r="G113" s="99" t="str">
        <f aca="false">IF(G$4&gt;0,(IF(F113&lt;&gt;0,F113*G$4/100," ")),IF(F113&lt;&gt;0,F113*G$2/(100+G$2)," "))</f>
        <v> </v>
      </c>
      <c r="H113" s="99" t="str">
        <f aca="false">IF((F113&lt;&gt;0),F113-G113," ")</f>
        <v> </v>
      </c>
    </row>
    <row r="114" customFormat="false" ht="12.75" hidden="false" customHeight="false" outlineLevel="0" collapsed="false">
      <c r="G114" s="99" t="str">
        <f aca="false">IF(G$4&gt;0,(IF(F114&lt;&gt;0,F114*G$4/100," ")),IF(F114&lt;&gt;0,F114*G$2/(100+G$2)," "))</f>
        <v> </v>
      </c>
      <c r="H114" s="99" t="str">
        <f aca="false">IF((F114&lt;&gt;0),F114-G114," ")</f>
        <v> </v>
      </c>
    </row>
    <row r="115" customFormat="false" ht="12.75" hidden="false" customHeight="false" outlineLevel="0" collapsed="false">
      <c r="G115" s="99" t="str">
        <f aca="false">IF(G$4&gt;0,(IF(F115&lt;&gt;0,F115*G$4/100," ")),IF(F115&lt;&gt;0,F115*G$2/(100+G$2)," "))</f>
        <v> </v>
      </c>
      <c r="H115" s="99" t="str">
        <f aca="false">IF((F115&lt;&gt;0),F115-G115," ")</f>
        <v> </v>
      </c>
    </row>
    <row r="116" customFormat="false" ht="12.75" hidden="false" customHeight="false" outlineLevel="0" collapsed="false">
      <c r="G116" s="99" t="str">
        <f aca="false">IF(G$4&gt;0,(IF(F116&lt;&gt;0,F116*G$4/100," ")),IF(F116&lt;&gt;0,F116*G$2/(100+G$2)," "))</f>
        <v> </v>
      </c>
      <c r="H116" s="99" t="str">
        <f aca="false">IF((F116&lt;&gt;0),F116-G116," ")</f>
        <v> </v>
      </c>
    </row>
    <row r="117" customFormat="false" ht="12.75" hidden="false" customHeight="false" outlineLevel="0" collapsed="false">
      <c r="G117" s="99" t="str">
        <f aca="false">IF(G$4&gt;0,(IF(F117&lt;&gt;0,F117*G$4/100," ")),IF(F117&lt;&gt;0,F117*G$2/(100+G$2)," "))</f>
        <v> </v>
      </c>
      <c r="H117" s="99" t="str">
        <f aca="false">IF((F117&lt;&gt;0),F117-G117," ")</f>
        <v> </v>
      </c>
    </row>
    <row r="118" customFormat="false" ht="12.75" hidden="false" customHeight="false" outlineLevel="0" collapsed="false">
      <c r="G118" s="99" t="str">
        <f aca="false">IF(G$4&gt;0,(IF(F118&lt;&gt;0,F118*G$4/100," ")),IF(F118&lt;&gt;0,F118*G$2/(100+G$2)," "))</f>
        <v> </v>
      </c>
      <c r="H118" s="99" t="str">
        <f aca="false">IF((F118&lt;&gt;0),F118-G118," ")</f>
        <v> </v>
      </c>
    </row>
    <row r="119" customFormat="false" ht="12.75" hidden="false" customHeight="false" outlineLevel="0" collapsed="false">
      <c r="G119" s="99" t="str">
        <f aca="false">IF(G$4&gt;0,(IF(F119&lt;&gt;0,F119*G$4/100," ")),IF(F119&lt;&gt;0,F119*G$2/(100+G$2)," "))</f>
        <v> </v>
      </c>
      <c r="H119" s="99" t="str">
        <f aca="false">IF((F119&lt;&gt;0),F119-G119," ")</f>
        <v> </v>
      </c>
    </row>
    <row r="120" customFormat="false" ht="12.75" hidden="false" customHeight="false" outlineLevel="0" collapsed="false">
      <c r="G120" s="99" t="str">
        <f aca="false">IF(G$4&gt;0,(IF(F120&lt;&gt;0,F120*G$4/100," ")),IF(F120&lt;&gt;0,F120*G$2/(100+G$2)," "))</f>
        <v> </v>
      </c>
      <c r="H120" s="99" t="str">
        <f aca="false">IF((F120&lt;&gt;0),F120-G120," ")</f>
        <v> </v>
      </c>
    </row>
    <row r="121" customFormat="false" ht="12.75" hidden="false" customHeight="false" outlineLevel="0" collapsed="false">
      <c r="G121" s="99" t="str">
        <f aca="false">IF(G$4&gt;0,(IF(F121&lt;&gt;0,F121*G$4/100," ")),IF(F121&lt;&gt;0,F121*G$2/(100+G$2)," "))</f>
        <v> </v>
      </c>
      <c r="H121" s="99" t="str">
        <f aca="false">IF((F121&lt;&gt;0),F121-G121," ")</f>
        <v> </v>
      </c>
    </row>
    <row r="122" customFormat="false" ht="12.75" hidden="false" customHeight="false" outlineLevel="0" collapsed="false">
      <c r="G122" s="99" t="str">
        <f aca="false">IF(G$4&gt;0,(IF(F122&lt;&gt;0,F122*G$4/100," ")),IF(F122&lt;&gt;0,F122*G$2/(100+G$2)," "))</f>
        <v> </v>
      </c>
      <c r="H122" s="99" t="str">
        <f aca="false">IF((F122&lt;&gt;0),F122-G122," ")</f>
        <v> </v>
      </c>
    </row>
    <row r="123" customFormat="false" ht="12.75" hidden="false" customHeight="false" outlineLevel="0" collapsed="false">
      <c r="G123" s="99" t="str">
        <f aca="false">IF(G$4&gt;0,(IF(F123&lt;&gt;0,F123*G$4/100," ")),IF(F123&lt;&gt;0,F123*G$2/(100+G$2)," "))</f>
        <v> </v>
      </c>
      <c r="H123" s="99" t="str">
        <f aca="false">IF((F123&lt;&gt;0),F123-G123," ")</f>
        <v> </v>
      </c>
    </row>
    <row r="124" customFormat="false" ht="12.75" hidden="false" customHeight="false" outlineLevel="0" collapsed="false">
      <c r="G124" s="99" t="str">
        <f aca="false">IF(G$4&gt;0,(IF(F124&lt;&gt;0,F124*G$4/100," ")),IF(F124&lt;&gt;0,F124*G$2/(100+G$2)," "))</f>
        <v> </v>
      </c>
      <c r="H124" s="99" t="str">
        <f aca="false">IF((F124&lt;&gt;0),F124-G124," ")</f>
        <v> </v>
      </c>
    </row>
    <row r="125" customFormat="false" ht="12.75" hidden="false" customHeight="false" outlineLevel="0" collapsed="false">
      <c r="G125" s="99" t="str">
        <f aca="false">IF(G$4&gt;0,(IF(F125&lt;&gt;0,F125*G$4/100," ")),IF(F125&lt;&gt;0,F125*G$2/(100+G$2)," "))</f>
        <v> </v>
      </c>
      <c r="H125" s="99" t="str">
        <f aca="false">IF((F125&lt;&gt;0),F125-G125," ")</f>
        <v> </v>
      </c>
    </row>
    <row r="126" customFormat="false" ht="12.75" hidden="false" customHeight="false" outlineLevel="0" collapsed="false">
      <c r="G126" s="99" t="str">
        <f aca="false">IF(G$4&gt;0,(IF(F126&lt;&gt;0,F126*G$4/100," ")),IF(F126&lt;&gt;0,F126*G$2/(100+G$2)," "))</f>
        <v> </v>
      </c>
      <c r="H126" s="99" t="str">
        <f aca="false">IF((F126&lt;&gt;0),F126-G126," ")</f>
        <v> </v>
      </c>
    </row>
    <row r="127" customFormat="false" ht="12.75" hidden="false" customHeight="false" outlineLevel="0" collapsed="false">
      <c r="G127" s="99" t="str">
        <f aca="false">IF(G$4&gt;0,(IF(F127&lt;&gt;0,F127*G$4/100," ")),IF(F127&lt;&gt;0,F127*G$2/(100+G$2)," "))</f>
        <v> </v>
      </c>
      <c r="H127" s="99" t="str">
        <f aca="false">IF((F127&lt;&gt;0),F127-G127," ")</f>
        <v> </v>
      </c>
    </row>
    <row r="128" customFormat="false" ht="12.75" hidden="false" customHeight="false" outlineLevel="0" collapsed="false">
      <c r="G128" s="99" t="str">
        <f aca="false">IF(G$4&gt;0,(IF(F128&lt;&gt;0,F128*G$4/100," ")),IF(F128&lt;&gt;0,F128*G$2/(100+G$2)," "))</f>
        <v> </v>
      </c>
      <c r="H128" s="99" t="str">
        <f aca="false">IF((F128&lt;&gt;0),F128-G128," ")</f>
        <v> </v>
      </c>
    </row>
    <row r="129" customFormat="false" ht="12.75" hidden="false" customHeight="false" outlineLevel="0" collapsed="false">
      <c r="G129" s="99" t="str">
        <f aca="false">IF(G$4&gt;0,(IF(F129&lt;&gt;0,F129*G$4/100," ")),IF(F129&lt;&gt;0,F129*G$2/(100+G$2)," "))</f>
        <v> </v>
      </c>
      <c r="H129" s="99" t="str">
        <f aca="false">IF((F129&lt;&gt;0),F129-G129," ")</f>
        <v> </v>
      </c>
    </row>
    <row r="130" customFormat="false" ht="12.75" hidden="false" customHeight="false" outlineLevel="0" collapsed="false">
      <c r="G130" s="99" t="str">
        <f aca="false">IF(G$4&gt;0,(IF(F130&lt;&gt;0,F130*G$4/100," ")),IF(F130&lt;&gt;0,F130*G$2/(100+G$2)," "))</f>
        <v> </v>
      </c>
      <c r="H130" s="99" t="str">
        <f aca="false">IF((F130&lt;&gt;0),F130-G130," ")</f>
        <v> </v>
      </c>
    </row>
    <row r="131" customFormat="false" ht="12.75" hidden="false" customHeight="false" outlineLevel="0" collapsed="false">
      <c r="G131" s="99" t="str">
        <f aca="false">IF(G$4&gt;0,(IF(F131&lt;&gt;0,F131*G$4/100," ")),IF(F131&lt;&gt;0,F131*G$2/(100+G$2)," "))</f>
        <v> </v>
      </c>
      <c r="H131" s="99" t="str">
        <f aca="false">IF((F131&lt;&gt;0),F131-G131," ")</f>
        <v> </v>
      </c>
    </row>
    <row r="132" customFormat="false" ht="12.75" hidden="false" customHeight="false" outlineLevel="0" collapsed="false">
      <c r="G132" s="99" t="str">
        <f aca="false">IF(G$4&gt;0,(IF(F132&lt;&gt;0,F132*G$4/100," ")),IF(F132&lt;&gt;0,F132*G$2/(100+G$2)," "))</f>
        <v> </v>
      </c>
      <c r="H132" s="99" t="str">
        <f aca="false">IF((F132&lt;&gt;0),F132-G132," ")</f>
        <v> </v>
      </c>
    </row>
    <row r="133" customFormat="false" ht="12.75" hidden="false" customHeight="false" outlineLevel="0" collapsed="false">
      <c r="G133" s="99" t="str">
        <f aca="false">IF(G$4&gt;0,(IF(F133&lt;&gt;0,F133*G$4/100," ")),IF(F133&lt;&gt;0,F133*G$2/(100+G$2)," "))</f>
        <v> </v>
      </c>
      <c r="H133" s="99" t="str">
        <f aca="false">IF((F133&lt;&gt;0),F133-G133," ")</f>
        <v> </v>
      </c>
    </row>
    <row r="134" customFormat="false" ht="12.75" hidden="false" customHeight="false" outlineLevel="0" collapsed="false">
      <c r="G134" s="99" t="str">
        <f aca="false">IF(G$4&gt;0,(IF(F134&lt;&gt;0,F134*G$4/100," ")),IF(F134&lt;&gt;0,F134*G$2/(100+G$2)," "))</f>
        <v> </v>
      </c>
      <c r="H134" s="99" t="str">
        <f aca="false">IF((F134&lt;&gt;0),F134-G134," ")</f>
        <v> </v>
      </c>
    </row>
    <row r="135" customFormat="false" ht="12.75" hidden="false" customHeight="false" outlineLevel="0" collapsed="false">
      <c r="G135" s="99" t="str">
        <f aca="false">IF(G$4&gt;0,(IF(F135&lt;&gt;0,F135*G$4/100," ")),IF(F135&lt;&gt;0,F135*G$2/(100+G$2)," "))</f>
        <v> </v>
      </c>
      <c r="H135" s="99" t="str">
        <f aca="false">IF((F135&lt;&gt;0),F135-G135," ")</f>
        <v> </v>
      </c>
    </row>
    <row r="136" customFormat="false" ht="12.75" hidden="false" customHeight="false" outlineLevel="0" collapsed="false">
      <c r="G136" s="99" t="str">
        <f aca="false">IF(G$4&gt;0,(IF(F136&lt;&gt;0,F136*G$4/100," ")),IF(F136&lt;&gt;0,F136*G$2/(100+G$2)," "))</f>
        <v> </v>
      </c>
      <c r="H136" s="99" t="str">
        <f aca="false">IF((F136&lt;&gt;0),F136-G136," ")</f>
        <v> </v>
      </c>
    </row>
    <row r="137" customFormat="false" ht="12.75" hidden="false" customHeight="false" outlineLevel="0" collapsed="false">
      <c r="G137" s="99" t="str">
        <f aca="false">IF(G$4&gt;0,(IF(F137&lt;&gt;0,F137*G$4/100," ")),IF(F137&lt;&gt;0,F137*G$2/(100+G$2)," "))</f>
        <v> </v>
      </c>
      <c r="H137" s="99" t="str">
        <f aca="false">IF((F137&lt;&gt;0),F137-G137," ")</f>
        <v> </v>
      </c>
    </row>
    <row r="138" customFormat="false" ht="12.75" hidden="false" customHeight="false" outlineLevel="0" collapsed="false">
      <c r="G138" s="99" t="str">
        <f aca="false">IF(G$4&gt;0,(IF(F138&lt;&gt;0,F138*G$4/100," ")),IF(F138&lt;&gt;0,F138*G$2/(100+G$2)," "))</f>
        <v> </v>
      </c>
      <c r="H138" s="99" t="str">
        <f aca="false">IF((F138&lt;&gt;0),F138-G138," ")</f>
        <v> </v>
      </c>
    </row>
    <row r="139" customFormat="false" ht="12.75" hidden="false" customHeight="false" outlineLevel="0" collapsed="false">
      <c r="G139" s="99" t="str">
        <f aca="false">IF(G$4&gt;0,(IF(F139&lt;&gt;0,F139*G$4/100," ")),IF(F139&lt;&gt;0,F139*G$2/(100+G$2)," "))</f>
        <v> </v>
      </c>
      <c r="H139" s="99" t="str">
        <f aca="false">IF((F139&lt;&gt;0),F139-G139," ")</f>
        <v> </v>
      </c>
    </row>
    <row r="140" customFormat="false" ht="12.75" hidden="false" customHeight="false" outlineLevel="0" collapsed="false">
      <c r="G140" s="99" t="str">
        <f aca="false">IF(G$4&gt;0,(IF(F140&lt;&gt;0,F140*G$4/100," ")),IF(F140&lt;&gt;0,F140*G$2/(100+G$2)," "))</f>
        <v> </v>
      </c>
      <c r="H140" s="99" t="str">
        <f aca="false">IF((F140&lt;&gt;0),F140-G140," ")</f>
        <v> </v>
      </c>
    </row>
    <row r="141" customFormat="false" ht="12.75" hidden="false" customHeight="false" outlineLevel="0" collapsed="false">
      <c r="G141" s="99" t="str">
        <f aca="false">IF(G$4&gt;0,(IF(F141&lt;&gt;0,F141*G$4/100," ")),IF(F141&lt;&gt;0,F141*G$2/(100+G$2)," "))</f>
        <v> </v>
      </c>
      <c r="H141" s="99" t="str">
        <f aca="false">IF((F141&lt;&gt;0),F141-G141," ")</f>
        <v> </v>
      </c>
    </row>
    <row r="142" customFormat="false" ht="12.75" hidden="false" customHeight="false" outlineLevel="0" collapsed="false">
      <c r="G142" s="99" t="str">
        <f aca="false">IF(G$4&gt;0,(IF(F142&lt;&gt;0,F142*G$4/100," ")),IF(F142&lt;&gt;0,F142*G$2/(100+G$2)," "))</f>
        <v> </v>
      </c>
      <c r="H142" s="99" t="str">
        <f aca="false">IF((F142&lt;&gt;0),F142-G142," ")</f>
        <v> </v>
      </c>
    </row>
    <row r="143" customFormat="false" ht="12.75" hidden="false" customHeight="false" outlineLevel="0" collapsed="false">
      <c r="G143" s="99" t="str">
        <f aca="false">IF(G$4&gt;0,(IF(F143&lt;&gt;0,F143*G$4/100," ")),IF(F143&lt;&gt;0,F143*G$2/(100+G$2)," "))</f>
        <v> </v>
      </c>
      <c r="H143" s="99" t="str">
        <f aca="false">IF((F143&lt;&gt;0),F143-G143," ")</f>
        <v> </v>
      </c>
    </row>
    <row r="144" customFormat="false" ht="12.75" hidden="false" customHeight="false" outlineLevel="0" collapsed="false">
      <c r="G144" s="99" t="str">
        <f aca="false">IF(G$4&gt;0,(IF(F144&lt;&gt;0,F144*G$4/100," ")),IF(F144&lt;&gt;0,F144*G$2/(100+G$2)," "))</f>
        <v> </v>
      </c>
      <c r="H144" s="99" t="str">
        <f aca="false">IF((F144&lt;&gt;0),F144-G144," ")</f>
        <v> </v>
      </c>
    </row>
    <row r="145" customFormat="false" ht="12.75" hidden="false" customHeight="false" outlineLevel="0" collapsed="false">
      <c r="G145" s="99" t="str">
        <f aca="false">IF(G$4&gt;0,(IF(F145&lt;&gt;0,F145*G$4/100," ")),IF(F145&lt;&gt;0,F145*G$2/(100+G$2)," "))</f>
        <v> </v>
      </c>
      <c r="H145" s="99" t="str">
        <f aca="false">IF((F145&lt;&gt;0),F145-G145," ")</f>
        <v> </v>
      </c>
    </row>
    <row r="146" customFormat="false" ht="12.75" hidden="false" customHeight="false" outlineLevel="0" collapsed="false">
      <c r="G146" s="99" t="str">
        <f aca="false">IF(G$4&gt;0,(IF(F146&lt;&gt;0,F146*G$4/100," ")),IF(F146&lt;&gt;0,F146*G$2/(100+G$2)," "))</f>
        <v> </v>
      </c>
      <c r="H146" s="99" t="str">
        <f aca="false">IF((F146&lt;&gt;0),F146-G146," ")</f>
        <v> </v>
      </c>
    </row>
    <row r="147" customFormat="false" ht="12.75" hidden="false" customHeight="false" outlineLevel="0" collapsed="false">
      <c r="G147" s="99" t="str">
        <f aca="false">IF(G$4&gt;0,(IF(F147&lt;&gt;0,F147*G$4/100," ")),IF(F147&lt;&gt;0,F147*G$2/(100+G$2)," "))</f>
        <v> </v>
      </c>
      <c r="H147" s="99" t="str">
        <f aca="false">IF((F147&lt;&gt;0),F147-G147," ")</f>
        <v> </v>
      </c>
    </row>
    <row r="148" customFormat="false" ht="12.75" hidden="false" customHeight="false" outlineLevel="0" collapsed="false">
      <c r="G148" s="99" t="str">
        <f aca="false">IF(G$4&gt;0,(IF(F148&lt;&gt;0,F148*G$4/100," ")),IF(F148&lt;&gt;0,F148*G$2/(100+G$2)," "))</f>
        <v> </v>
      </c>
      <c r="H148" s="99" t="str">
        <f aca="false">IF((F148&lt;&gt;0),F148-G148," ")</f>
        <v> </v>
      </c>
    </row>
    <row r="149" customFormat="false" ht="12.75" hidden="false" customHeight="false" outlineLevel="0" collapsed="false">
      <c r="G149" s="99" t="str">
        <f aca="false">IF(G$4&gt;0,(IF(F149&lt;&gt;0,F149*G$4/100," ")),IF(F149&lt;&gt;0,F149*G$2/(100+G$2)," "))</f>
        <v> </v>
      </c>
      <c r="H149" s="99" t="str">
        <f aca="false">IF((F149&lt;&gt;0),F149-G149," ")</f>
        <v> </v>
      </c>
    </row>
    <row r="150" customFormat="false" ht="12.75" hidden="false" customHeight="false" outlineLevel="0" collapsed="false">
      <c r="G150" s="99" t="str">
        <f aca="false">IF(G$4&gt;0,(IF(F150&lt;&gt;0,F150*G$4/100," ")),IF(F150&lt;&gt;0,F150*G$2/(100+G$2)," "))</f>
        <v> </v>
      </c>
      <c r="H150" s="99" t="str">
        <f aca="false">IF((F150&lt;&gt;0),F150-G150," ")</f>
        <v> </v>
      </c>
    </row>
    <row r="151" customFormat="false" ht="12.75" hidden="false" customHeight="false" outlineLevel="0" collapsed="false">
      <c r="G151" s="99" t="str">
        <f aca="false">IF(G$4&gt;0,(IF(F151&lt;&gt;0,F151*G$4/100," ")),IF(F151&lt;&gt;0,F151*G$2/(100+G$2)," "))</f>
        <v> </v>
      </c>
      <c r="H151" s="99" t="str">
        <f aca="false">IF((F151&lt;&gt;0),F151-G151," ")</f>
        <v> </v>
      </c>
    </row>
    <row r="152" customFormat="false" ht="12.75" hidden="false" customHeight="false" outlineLevel="0" collapsed="false">
      <c r="G152" s="99" t="str">
        <f aca="false">IF(G$4&gt;0,(IF(F152&lt;&gt;0,F152*G$4/100," ")),IF(F152&lt;&gt;0,F152*G$2/(100+G$2)," "))</f>
        <v> </v>
      </c>
      <c r="H152" s="99" t="str">
        <f aca="false">IF((F152&lt;&gt;0),F152-G152," ")</f>
        <v> </v>
      </c>
    </row>
    <row r="153" customFormat="false" ht="12.75" hidden="false" customHeight="false" outlineLevel="0" collapsed="false">
      <c r="G153" s="99" t="str">
        <f aca="false">IF(G$4&gt;0,(IF(F153&lt;&gt;0,F153*G$4/100," ")),IF(F153&lt;&gt;0,F153*G$2/(100+G$2)," "))</f>
        <v> </v>
      </c>
      <c r="H153" s="99" t="str">
        <f aca="false">IF((F153&lt;&gt;0),F153-G153," ")</f>
        <v> </v>
      </c>
    </row>
    <row r="154" customFormat="false" ht="12.75" hidden="false" customHeight="false" outlineLevel="0" collapsed="false">
      <c r="G154" s="99" t="str">
        <f aca="false">IF(G$4&gt;0,(IF(F154&lt;&gt;0,F154*G$4/100," ")),IF(F154&lt;&gt;0,F154*G$2/(100+G$2)," "))</f>
        <v> </v>
      </c>
      <c r="H154" s="99" t="str">
        <f aca="false">IF((F154&lt;&gt;0),F154-G154," ")</f>
        <v> </v>
      </c>
    </row>
    <row r="155" customFormat="false" ht="12.75" hidden="false" customHeight="false" outlineLevel="0" collapsed="false">
      <c r="G155" s="99" t="str">
        <f aca="false">IF(G$4&gt;0,(IF(F155&lt;&gt;0,F155*G$4/100," ")),IF(F155&lt;&gt;0,F155*G$2/(100+G$2)," "))</f>
        <v> </v>
      </c>
      <c r="H155" s="99" t="str">
        <f aca="false">IF((F155&lt;&gt;0),F155-G155," ")</f>
        <v> </v>
      </c>
    </row>
    <row r="156" customFormat="false" ht="12.75" hidden="false" customHeight="false" outlineLevel="0" collapsed="false">
      <c r="G156" s="99" t="str">
        <f aca="false">IF(G$4&gt;0,(IF(F156&lt;&gt;0,F156*G$4/100," ")),IF(F156&lt;&gt;0,F156*G$2/(100+G$2)," "))</f>
        <v> </v>
      </c>
      <c r="H156" s="99" t="str">
        <f aca="false">IF((F156&lt;&gt;0),F156-G156," ")</f>
        <v> </v>
      </c>
    </row>
    <row r="157" customFormat="false" ht="12.75" hidden="false" customHeight="false" outlineLevel="0" collapsed="false">
      <c r="G157" s="99" t="str">
        <f aca="false">IF(G$4&gt;0,(IF(F157&lt;&gt;0,F157*G$4/100," ")),IF(F157&lt;&gt;0,F157*G$2/(100+G$2)," "))</f>
        <v> </v>
      </c>
      <c r="H157" s="99" t="str">
        <f aca="false">IF((F157&lt;&gt;0),F157-G157," ")</f>
        <v> </v>
      </c>
    </row>
    <row r="158" customFormat="false" ht="12.75" hidden="false" customHeight="false" outlineLevel="0" collapsed="false">
      <c r="G158" s="99" t="str">
        <f aca="false">IF(G$4&gt;0,(IF(F158&lt;&gt;0,F158*G$4/100," ")),IF(F158&lt;&gt;0,F158*G$2/(100+G$2)," "))</f>
        <v> </v>
      </c>
      <c r="H158" s="99" t="str">
        <f aca="false">IF((F158&lt;&gt;0),F158-G158," ")</f>
        <v> </v>
      </c>
    </row>
    <row r="159" customFormat="false" ht="12.75" hidden="false" customHeight="false" outlineLevel="0" collapsed="false">
      <c r="G159" s="99" t="str">
        <f aca="false">IF(G$4&gt;0,(IF(F159&lt;&gt;0,F159*G$4/100," ")),IF(F159&lt;&gt;0,F159*G$2/(100+G$2)," "))</f>
        <v> </v>
      </c>
      <c r="H159" s="99" t="str">
        <f aca="false">IF((F159&lt;&gt;0),F159-G159," ")</f>
        <v> </v>
      </c>
    </row>
    <row r="160" customFormat="false" ht="12.75" hidden="false" customHeight="false" outlineLevel="0" collapsed="false">
      <c r="G160" s="99" t="str">
        <f aca="false">IF(G$4&gt;0,(IF(F160&lt;&gt;0,F160*G$4/100," ")),IF(F160&lt;&gt;0,F160*G$2/(100+G$2)," "))</f>
        <v> </v>
      </c>
      <c r="H160" s="99" t="str">
        <f aca="false">IF((F160&lt;&gt;0),F160-G160," ")</f>
        <v> </v>
      </c>
    </row>
    <row r="161" customFormat="false" ht="12.75" hidden="false" customHeight="false" outlineLevel="0" collapsed="false">
      <c r="G161" s="99" t="str">
        <f aca="false">IF(G$4&gt;0,(IF(F161&lt;&gt;0,F161*G$4/100," ")),IF(F161&lt;&gt;0,F161*G$2/(100+G$2)," "))</f>
        <v> </v>
      </c>
      <c r="H161" s="99" t="str">
        <f aca="false">IF((F161&lt;&gt;0),F161-G161," ")</f>
        <v> </v>
      </c>
    </row>
    <row r="162" customFormat="false" ht="12.75" hidden="false" customHeight="false" outlineLevel="0" collapsed="false">
      <c r="G162" s="99" t="str">
        <f aca="false">IF(G$4&gt;0,(IF(F162&lt;&gt;0,F162*G$4/100," ")),IF(F162&lt;&gt;0,F162*G$2/(100+G$2)," "))</f>
        <v> </v>
      </c>
      <c r="H162" s="99" t="str">
        <f aca="false">IF((F162&lt;&gt;0),F162-G162," ")</f>
        <v> </v>
      </c>
    </row>
    <row r="163" customFormat="false" ht="12.75" hidden="false" customHeight="false" outlineLevel="0" collapsed="false">
      <c r="G163" s="99" t="str">
        <f aca="false">IF(G$4&gt;0,(IF(F163&lt;&gt;0,F163*G$4/100," ")),IF(F163&lt;&gt;0,F163*G$2/(100+G$2)," "))</f>
        <v> </v>
      </c>
      <c r="H163" s="99" t="str">
        <f aca="false">IF((F163&lt;&gt;0),F163-G163," ")</f>
        <v> </v>
      </c>
    </row>
    <row r="164" customFormat="false" ht="12.75" hidden="false" customHeight="false" outlineLevel="0" collapsed="false">
      <c r="G164" s="99" t="str">
        <f aca="false">IF(G$4&gt;0,(IF(F164&lt;&gt;0,F164*G$4/100," ")),IF(F164&lt;&gt;0,F164*G$2/(100+G$2)," "))</f>
        <v> </v>
      </c>
      <c r="H164" s="99" t="str">
        <f aca="false">IF((F164&lt;&gt;0),F164-G164," ")</f>
        <v> </v>
      </c>
    </row>
    <row r="165" customFormat="false" ht="12.75" hidden="false" customHeight="false" outlineLevel="0" collapsed="false">
      <c r="G165" s="99" t="str">
        <f aca="false">IF(G$4&gt;0,(IF(F165&lt;&gt;0,F165*G$4/100," ")),IF(F165&lt;&gt;0,F165*G$2/(100+G$2)," "))</f>
        <v> </v>
      </c>
      <c r="H165" s="99" t="str">
        <f aca="false">IF((F165&lt;&gt;0),F165-G165," ")</f>
        <v> </v>
      </c>
    </row>
    <row r="166" customFormat="false" ht="12.75" hidden="false" customHeight="false" outlineLevel="0" collapsed="false">
      <c r="G166" s="99" t="str">
        <f aca="false">IF(G$4&gt;0,(IF(F166&lt;&gt;0,F166*G$4/100," ")),IF(F166&lt;&gt;0,F166*G$2/(100+G$2)," "))</f>
        <v> </v>
      </c>
      <c r="H166" s="99" t="str">
        <f aca="false">IF((F166&lt;&gt;0),F166-G166," ")</f>
        <v> </v>
      </c>
    </row>
    <row r="167" customFormat="false" ht="12.75" hidden="false" customHeight="false" outlineLevel="0" collapsed="false">
      <c r="G167" s="99" t="str">
        <f aca="false">IF(G$4&gt;0,(IF(F167&lt;&gt;0,F167*G$4/100," ")),IF(F167&lt;&gt;0,F167*G$2/(100+G$2)," "))</f>
        <v> </v>
      </c>
      <c r="H167" s="99" t="str">
        <f aca="false">IF((F167&lt;&gt;0),F167-G167," ")</f>
        <v> </v>
      </c>
    </row>
    <row r="168" customFormat="false" ht="12.75" hidden="false" customHeight="false" outlineLevel="0" collapsed="false">
      <c r="G168" s="99" t="str">
        <f aca="false">IF(G$4&gt;0,(IF(F168&lt;&gt;0,F168*G$4/100," ")),IF(F168&lt;&gt;0,F168*G$2/(100+G$2)," "))</f>
        <v> </v>
      </c>
      <c r="H168" s="99" t="str">
        <f aca="false">IF((F168&lt;&gt;0),F168-G168," ")</f>
        <v> </v>
      </c>
    </row>
    <row r="169" customFormat="false" ht="12.75" hidden="false" customHeight="false" outlineLevel="0" collapsed="false">
      <c r="G169" s="99" t="str">
        <f aca="false">IF(G$4&gt;0,(IF(F169&lt;&gt;0,F169*G$4/100," ")),IF(F169&lt;&gt;0,F169*G$2/(100+G$2)," "))</f>
        <v> </v>
      </c>
      <c r="H169" s="99" t="str">
        <f aca="false">IF((F169&lt;&gt;0),F169-G169," ")</f>
        <v> </v>
      </c>
    </row>
    <row r="170" customFormat="false" ht="12.75" hidden="false" customHeight="false" outlineLevel="0" collapsed="false">
      <c r="G170" s="99" t="str">
        <f aca="false">IF(G$4&gt;0,(IF(F170&lt;&gt;0,F170*G$4/100," ")),IF(F170&lt;&gt;0,F170*G$2/(100+G$2)," "))</f>
        <v> </v>
      </c>
      <c r="H170" s="99" t="str">
        <f aca="false">IF((F170&lt;&gt;0),F170-G170," ")</f>
        <v> </v>
      </c>
    </row>
    <row r="171" customFormat="false" ht="12.75" hidden="false" customHeight="false" outlineLevel="0" collapsed="false">
      <c r="G171" s="99" t="str">
        <f aca="false">IF(G$4&gt;0,(IF(F171&lt;&gt;0,F171*G$4/100," ")),IF(F171&lt;&gt;0,F171*G$2/(100+G$2)," "))</f>
        <v> </v>
      </c>
      <c r="H171" s="99" t="str">
        <f aca="false">IF((F171&lt;&gt;0),F171-G171," ")</f>
        <v> </v>
      </c>
    </row>
    <row r="172" customFormat="false" ht="12.75" hidden="false" customHeight="false" outlineLevel="0" collapsed="false">
      <c r="G172" s="99" t="str">
        <f aca="false">IF(G$4&gt;0,(IF(F172&lt;&gt;0,F172*G$4/100," ")),IF(F172&lt;&gt;0,F172*G$2/(100+G$2)," "))</f>
        <v> </v>
      </c>
      <c r="H172" s="99" t="str">
        <f aca="false">IF((F172&lt;&gt;0),F172-G172," ")</f>
        <v> </v>
      </c>
    </row>
    <row r="173" customFormat="false" ht="12.75" hidden="false" customHeight="false" outlineLevel="0" collapsed="false">
      <c r="G173" s="99" t="str">
        <f aca="false">IF(G$4&gt;0,(IF(F173&lt;&gt;0,F173*G$4/100," ")),IF(F173&lt;&gt;0,F173*G$2/(100+G$2)," "))</f>
        <v> </v>
      </c>
      <c r="H173" s="99" t="str">
        <f aca="false">IF((F173&lt;&gt;0),F173-G173," ")</f>
        <v> </v>
      </c>
    </row>
    <row r="174" customFormat="false" ht="12.75" hidden="false" customHeight="false" outlineLevel="0" collapsed="false">
      <c r="G174" s="99" t="str">
        <f aca="false">IF(G$4&gt;0,(IF(F174&lt;&gt;0,F174*G$4/100," ")),IF(F174&lt;&gt;0,F174*G$2/(100+G$2)," "))</f>
        <v> </v>
      </c>
      <c r="H174" s="99" t="str">
        <f aca="false">IF((F174&lt;&gt;0),F174-G174," ")</f>
        <v> </v>
      </c>
    </row>
    <row r="175" customFormat="false" ht="12.75" hidden="false" customHeight="false" outlineLevel="0" collapsed="false">
      <c r="G175" s="99" t="str">
        <f aca="false">IF(G$4&gt;0,(IF(F175&lt;&gt;0,F175*G$4/100," ")),IF(F175&lt;&gt;0,F175*G$2/(100+G$2)," "))</f>
        <v> </v>
      </c>
      <c r="H175" s="99" t="str">
        <f aca="false">IF((F175&lt;&gt;0),F175-G175," ")</f>
        <v> </v>
      </c>
    </row>
    <row r="176" customFormat="false" ht="12.75" hidden="false" customHeight="false" outlineLevel="0" collapsed="false">
      <c r="G176" s="99" t="str">
        <f aca="false">IF(G$4&gt;0,(IF(F176&lt;&gt;0,F176*G$4/100," ")),IF(F176&lt;&gt;0,F176*G$2/(100+G$2)," "))</f>
        <v> </v>
      </c>
      <c r="H176" s="99" t="str">
        <f aca="false">IF((F176&lt;&gt;0),F176-G176," ")</f>
        <v> </v>
      </c>
    </row>
    <row r="177" customFormat="false" ht="12.75" hidden="false" customHeight="false" outlineLevel="0" collapsed="false">
      <c r="G177" s="99" t="str">
        <f aca="false">IF(G$4&gt;0,(IF(F177&lt;&gt;0,F177*G$4/100," ")),IF(F177&lt;&gt;0,F177*G$2/(100+G$2)," "))</f>
        <v> </v>
      </c>
      <c r="H177" s="99" t="str">
        <f aca="false">IF((F177&lt;&gt;0),F177-G177," ")</f>
        <v> </v>
      </c>
    </row>
    <row r="178" customFormat="false" ht="12.75" hidden="false" customHeight="false" outlineLevel="0" collapsed="false">
      <c r="G178" s="99" t="str">
        <f aca="false">IF(G$4&gt;0,(IF(F178&lt;&gt;0,F178*G$4/100," ")),IF(F178&lt;&gt;0,F178*G$2/(100+G$2)," "))</f>
        <v> </v>
      </c>
      <c r="H178" s="99" t="str">
        <f aca="false">IF((F178&lt;&gt;0),F178-G178," ")</f>
        <v> </v>
      </c>
    </row>
    <row r="179" customFormat="false" ht="12.75" hidden="false" customHeight="false" outlineLevel="0" collapsed="false">
      <c r="G179" s="99" t="str">
        <f aca="false">IF(G$4&gt;0,(IF(F179&lt;&gt;0,F179*G$4/100," ")),IF(F179&lt;&gt;0,F179*G$2/(100+G$2)," "))</f>
        <v> </v>
      </c>
      <c r="H179" s="99" t="str">
        <f aca="false">IF((F179&lt;&gt;0),F179-G179," ")</f>
        <v> </v>
      </c>
    </row>
    <row r="180" customFormat="false" ht="12.75" hidden="false" customHeight="false" outlineLevel="0" collapsed="false">
      <c r="G180" s="99" t="str">
        <f aca="false">IF(G$4&gt;0,(IF(F180&lt;&gt;0,F180*G$4/100," ")),IF(F180&lt;&gt;0,F180*G$2/(100+G$2)," "))</f>
        <v> </v>
      </c>
      <c r="H180" s="99" t="str">
        <f aca="false">IF((F180&lt;&gt;0),F180-G180," ")</f>
        <v> </v>
      </c>
    </row>
    <row r="181" customFormat="false" ht="12.75" hidden="false" customHeight="false" outlineLevel="0" collapsed="false">
      <c r="G181" s="99" t="str">
        <f aca="false">IF(G$4&gt;0,(IF(F181&lt;&gt;0,F181*G$4/100," ")),IF(F181&lt;&gt;0,F181*G$2/(100+G$2)," "))</f>
        <v> </v>
      </c>
      <c r="H181" s="99" t="str">
        <f aca="false">IF((F181&lt;&gt;0),F181-G181," ")</f>
        <v> </v>
      </c>
    </row>
    <row r="182" customFormat="false" ht="12.75" hidden="false" customHeight="false" outlineLevel="0" collapsed="false">
      <c r="G182" s="99" t="str">
        <f aca="false">IF(G$4&gt;0,(IF(F182&lt;&gt;0,F182*G$4/100," ")),IF(F182&lt;&gt;0,F182*G$2/(100+G$2)," "))</f>
        <v> </v>
      </c>
      <c r="H182" s="99" t="str">
        <f aca="false">IF((F182&lt;&gt;0),F182-G182," ")</f>
        <v> </v>
      </c>
    </row>
    <row r="183" customFormat="false" ht="12.75" hidden="false" customHeight="false" outlineLevel="0" collapsed="false">
      <c r="G183" s="99" t="str">
        <f aca="false">IF(G$4&gt;0,(IF(F183&lt;&gt;0,F183*G$4/100," ")),IF(F183&lt;&gt;0,F183*G$2/(100+G$2)," "))</f>
        <v> </v>
      </c>
      <c r="H183" s="99" t="str">
        <f aca="false">IF((F183&lt;&gt;0),F183-G183," ")</f>
        <v> </v>
      </c>
    </row>
    <row r="184" customFormat="false" ht="12.75" hidden="false" customHeight="false" outlineLevel="0" collapsed="false">
      <c r="G184" s="99" t="str">
        <f aca="false">IF(G$4&gt;0,(IF(F184&lt;&gt;0,F184*G$4/100," ")),IF(F184&lt;&gt;0,F184*G$2/(100+G$2)," "))</f>
        <v> </v>
      </c>
      <c r="H184" s="99" t="str">
        <f aca="false">IF((F184&lt;&gt;0),F184-G184," ")</f>
        <v> </v>
      </c>
    </row>
    <row r="185" customFormat="false" ht="12.75" hidden="false" customHeight="false" outlineLevel="0" collapsed="false">
      <c r="G185" s="99" t="str">
        <f aca="false">IF(G$4&gt;0,(IF(F185&lt;&gt;0,F185*G$4/100," ")),IF(F185&lt;&gt;0,F185*G$2/(100+G$2)," "))</f>
        <v> </v>
      </c>
      <c r="H185" s="99" t="str">
        <f aca="false">IF((F185&lt;&gt;0),F185-G185," ")</f>
        <v> </v>
      </c>
    </row>
    <row r="186" customFormat="false" ht="12.75" hidden="false" customHeight="false" outlineLevel="0" collapsed="false">
      <c r="G186" s="99" t="str">
        <f aca="false">IF(G$4&gt;0,(IF(F186&lt;&gt;0,F186*G$4/100," ")),IF(F186&lt;&gt;0,F186*G$2/(100+G$2)," "))</f>
        <v> </v>
      </c>
      <c r="H186" s="99" t="str">
        <f aca="false">IF((F186&lt;&gt;0),F186-G186," ")</f>
        <v> </v>
      </c>
    </row>
    <row r="187" customFormat="false" ht="12.75" hidden="false" customHeight="false" outlineLevel="0" collapsed="false">
      <c r="G187" s="99" t="str">
        <f aca="false">IF(G$4&gt;0,(IF(F187&lt;&gt;0,F187*G$4/100," ")),IF(F187&lt;&gt;0,F187*G$2/(100+G$2)," "))</f>
        <v> </v>
      </c>
      <c r="H187" s="99" t="str">
        <f aca="false">IF((F187&lt;&gt;0),F187-G187," ")</f>
        <v> </v>
      </c>
    </row>
    <row r="188" customFormat="false" ht="12.75" hidden="false" customHeight="false" outlineLevel="0" collapsed="false">
      <c r="G188" s="99" t="str">
        <f aca="false">IF(G$4&gt;0,(IF(F188&lt;&gt;0,F188*G$4/100," ")),IF(F188&lt;&gt;0,F188*G$2/(100+G$2)," "))</f>
        <v> </v>
      </c>
      <c r="H188" s="99" t="str">
        <f aca="false">IF((F188&lt;&gt;0),F188-G188," ")</f>
        <v> </v>
      </c>
    </row>
    <row r="189" customFormat="false" ht="12.75" hidden="false" customHeight="false" outlineLevel="0" collapsed="false">
      <c r="G189" s="99" t="str">
        <f aca="false">IF(G$4&gt;0,(IF(F189&lt;&gt;0,F189*G$4/100," ")),IF(F189&lt;&gt;0,F189*G$2/(100+G$2)," "))</f>
        <v> </v>
      </c>
      <c r="H189" s="99" t="str">
        <f aca="false">IF((F189&lt;&gt;0),F189-G189," ")</f>
        <v> </v>
      </c>
    </row>
    <row r="190" customFormat="false" ht="12.75" hidden="false" customHeight="false" outlineLevel="0" collapsed="false">
      <c r="G190" s="99" t="str">
        <f aca="false">IF(G$4&gt;0,(IF(F190&lt;&gt;0,F190*G$4/100," ")),IF(F190&lt;&gt;0,F190*G$2/(100+G$2)," "))</f>
        <v> </v>
      </c>
      <c r="H190" s="99" t="str">
        <f aca="false">IF((F190&lt;&gt;0),F190-G190," ")</f>
        <v> </v>
      </c>
    </row>
    <row r="191" customFormat="false" ht="12.75" hidden="false" customHeight="false" outlineLevel="0" collapsed="false">
      <c r="G191" s="99" t="str">
        <f aca="false">IF(G$4&gt;0,(IF(F191&lt;&gt;0,F191*G$4/100," ")),IF(F191&lt;&gt;0,F191*G$2/(100+G$2)," "))</f>
        <v> </v>
      </c>
      <c r="H191" s="99" t="str">
        <f aca="false">IF((F191&lt;&gt;0),F191-G191," ")</f>
        <v> </v>
      </c>
    </row>
    <row r="192" customFormat="false" ht="12.75" hidden="false" customHeight="false" outlineLevel="0" collapsed="false">
      <c r="G192" s="99" t="str">
        <f aca="false">IF(G$4&gt;0,(IF(F192&lt;&gt;0,F192*G$4/100," ")),IF(F192&lt;&gt;0,F192*G$2/(100+G$2)," "))</f>
        <v> </v>
      </c>
      <c r="H192" s="99" t="str">
        <f aca="false">IF((F192&lt;&gt;0),F192-G192," ")</f>
        <v> </v>
      </c>
    </row>
    <row r="193" customFormat="false" ht="12.75" hidden="false" customHeight="false" outlineLevel="0" collapsed="false">
      <c r="G193" s="99" t="str">
        <f aca="false">IF(G$4&gt;0,(IF(F193&lt;&gt;0,F193*G$4/100," ")),IF(F193&lt;&gt;0,F193*G$2/(100+G$2)," "))</f>
        <v> </v>
      </c>
      <c r="H193" s="99" t="str">
        <f aca="false">IF((F193&lt;&gt;0),F193-G193," ")</f>
        <v> </v>
      </c>
    </row>
    <row r="194" customFormat="false" ht="12.75" hidden="false" customHeight="false" outlineLevel="0" collapsed="false">
      <c r="G194" s="99" t="str">
        <f aca="false">IF(G$4&gt;0,(IF(F194&lt;&gt;0,F194*G$4/100," ")),IF(F194&lt;&gt;0,F194*G$2/(100+G$2)," "))</f>
        <v> </v>
      </c>
      <c r="H194" s="99" t="str">
        <f aca="false">IF((F194&lt;&gt;0),F194-G194," ")</f>
        <v> </v>
      </c>
    </row>
    <row r="195" customFormat="false" ht="12.75" hidden="false" customHeight="false" outlineLevel="0" collapsed="false">
      <c r="G195" s="99" t="str">
        <f aca="false">IF(G$4&gt;0,(IF(F195&lt;&gt;0,F195*G$4/100," ")),IF(F195&lt;&gt;0,F195*G$2/(100+G$2)," "))</f>
        <v> </v>
      </c>
      <c r="H195" s="99" t="str">
        <f aca="false">IF((F195&lt;&gt;0),F195-G195," ")</f>
        <v> </v>
      </c>
    </row>
    <row r="196" customFormat="false" ht="12.75" hidden="false" customHeight="false" outlineLevel="0" collapsed="false">
      <c r="G196" s="99" t="str">
        <f aca="false">IF(G$4&gt;0,(IF(F196&lt;&gt;0,F196*G$4/100," ")),IF(F196&lt;&gt;0,F196*G$2/(100+G$2)," "))</f>
        <v> </v>
      </c>
      <c r="H196" s="99" t="str">
        <f aca="false">IF((F196&lt;&gt;0),F196-G196," ")</f>
        <v> </v>
      </c>
    </row>
    <row r="197" customFormat="false" ht="12.75" hidden="false" customHeight="false" outlineLevel="0" collapsed="false">
      <c r="G197" s="99" t="str">
        <f aca="false">IF(G$4&gt;0,(IF(F197&lt;&gt;0,F197*G$4/100," ")),IF(F197&lt;&gt;0,F197*G$2/(100+G$2)," "))</f>
        <v> </v>
      </c>
      <c r="H197" s="99" t="str">
        <f aca="false">IF((F197&lt;&gt;0),F197-G197," ")</f>
        <v> </v>
      </c>
    </row>
    <row r="198" customFormat="false" ht="12.75" hidden="false" customHeight="false" outlineLevel="0" collapsed="false">
      <c r="G198" s="99" t="str">
        <f aca="false">IF(G$4&gt;0,(IF(F198&lt;&gt;0,F198*G$4/100," ")),IF(F198&lt;&gt;0,F198*G$2/(100+G$2)," "))</f>
        <v> </v>
      </c>
      <c r="H198" s="99" t="str">
        <f aca="false">IF((F198&lt;&gt;0),F198-G198," ")</f>
        <v> </v>
      </c>
    </row>
    <row r="199" customFormat="false" ht="12.75" hidden="false" customHeight="false" outlineLevel="0" collapsed="false">
      <c r="G199" s="99" t="str">
        <f aca="false">IF(G$4&gt;0,(IF(F199&lt;&gt;0,F199*G$4/100," ")),IF(F199&lt;&gt;0,F199*G$2/(100+G$2)," "))</f>
        <v> </v>
      </c>
      <c r="H199" s="99" t="str">
        <f aca="false">IF((F199&lt;&gt;0),F199-G199," ")</f>
        <v> </v>
      </c>
    </row>
    <row r="200" customFormat="false" ht="12.75" hidden="false" customHeight="false" outlineLevel="0" collapsed="false">
      <c r="A200" s="114"/>
      <c r="B200" s="115"/>
      <c r="C200" s="116"/>
      <c r="D200" s="116"/>
      <c r="E200" s="117"/>
      <c r="F200" s="115"/>
      <c r="G200" s="115" t="str">
        <f aca="false">IF(G$4&gt;0,(IF(F200&lt;&gt;0,F200*G$4/100," ")),IF(F200&lt;&gt;0,F200*G$2/(100+G$2)," "))</f>
        <v> </v>
      </c>
      <c r="H200" s="115" t="str">
        <f aca="false">IF((F200&lt;&gt;0),F200-G200," ")</f>
        <v> </v>
      </c>
    </row>
    <row r="201" customFormat="false" ht="12.75" hidden="false" customHeight="false" outlineLevel="0" collapsed="false">
      <c r="A201" s="98" t="s">
        <v>38</v>
      </c>
    </row>
  </sheetData>
  <mergeCells count="9">
    <mergeCell ref="A1:C1"/>
    <mergeCell ref="D1:E1"/>
    <mergeCell ref="A2:A4"/>
    <mergeCell ref="B2:B4"/>
    <mergeCell ref="C2:C4"/>
    <mergeCell ref="D2:D4"/>
    <mergeCell ref="E2:E4"/>
    <mergeCell ref="F2:F4"/>
    <mergeCell ref="H2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4" min="3" style="100" width="12.82"/>
    <col collapsed="false" customWidth="true" hidden="false" outlineLevel="0" max="5" min="5" style="101" width="7.66"/>
    <col collapsed="false" customWidth="true" hidden="false" outlineLevel="0" max="6" min="6" style="99" width="9.66"/>
    <col collapsed="false" customWidth="true" hidden="false" outlineLevel="0" max="7" min="7" style="99" width="8.66"/>
    <col collapsed="false" customWidth="true" hidden="false" outlineLevel="0" max="8" min="8" style="99" width="9.66"/>
    <col collapsed="false" customWidth="false" hidden="false" outlineLevel="0" max="257" min="9" style="102" width="9.15"/>
  </cols>
  <sheetData>
    <row r="1" s="106" customFormat="true" ht="15" hidden="false" customHeight="true" outlineLevel="0" collapsed="false">
      <c r="A1" s="103" t="s">
        <v>29</v>
      </c>
      <c r="B1" s="103"/>
      <c r="C1" s="103"/>
      <c r="D1" s="104" t="s">
        <v>30</v>
      </c>
      <c r="E1" s="104"/>
      <c r="F1" s="105" t="n">
        <f aca="false">SUM(F5:F500)</f>
        <v>0</v>
      </c>
      <c r="G1" s="105" t="n">
        <f aca="false">SUM(G5:G500)</f>
        <v>0</v>
      </c>
      <c r="H1" s="105" t="n">
        <f aca="false">SUM(H5:H500)</f>
        <v>0</v>
      </c>
    </row>
    <row r="2" s="106" customFormat="true" ht="12.75" hidden="false" customHeight="true" outlineLevel="0" collapsed="false">
      <c r="A2" s="107" t="s">
        <v>31</v>
      </c>
      <c r="B2" s="108" t="s">
        <v>32</v>
      </c>
      <c r="C2" s="109" t="s">
        <v>33</v>
      </c>
      <c r="D2" s="109" t="s">
        <v>34</v>
      </c>
      <c r="E2" s="110"/>
      <c r="F2" s="108" t="s">
        <v>35</v>
      </c>
      <c r="G2" s="111" t="n">
        <f aca="false">[2]OpeningDebtors!$G$2</f>
        <v>20</v>
      </c>
      <c r="H2" s="108" t="s">
        <v>36</v>
      </c>
    </row>
    <row r="3" s="112" customFormat="true" ht="22.35" hidden="false" customHeight="false" outlineLevel="0" collapsed="false">
      <c r="A3" s="107"/>
      <c r="B3" s="108"/>
      <c r="C3" s="109"/>
      <c r="D3" s="109"/>
      <c r="E3" s="110"/>
      <c r="F3" s="108"/>
      <c r="G3" s="108" t="s">
        <v>37</v>
      </c>
      <c r="H3" s="108"/>
    </row>
    <row r="4" customFormat="false" ht="12.75" hidden="false" customHeight="false" outlineLevel="0" collapsed="false">
      <c r="A4" s="107"/>
      <c r="B4" s="107"/>
      <c r="C4" s="107"/>
      <c r="D4" s="109"/>
      <c r="E4" s="110"/>
      <c r="F4" s="108"/>
      <c r="G4" s="113" t="n">
        <f aca="false">[2]OpeningDebtors!$G$4</f>
        <v>0</v>
      </c>
      <c r="H4" s="108"/>
    </row>
    <row r="5" customFormat="false" ht="12.75" hidden="false" customHeight="false" outlineLevel="0" collapsed="false">
      <c r="G5" s="99" t="str">
        <f aca="false">IF(G$4&gt;0,(IF(F5&lt;&gt;0,F5*G$4/100," ")),IF(F5&lt;&gt;0,F5*G$2/(100+G$2)," "))</f>
        <v> </v>
      </c>
      <c r="H5" s="99" t="str">
        <f aca="false">IF((F5&lt;&gt;0),F5-G5," ")</f>
        <v> </v>
      </c>
    </row>
    <row r="6" customFormat="false" ht="12.75" hidden="false" customHeight="false" outlineLevel="0" collapsed="false">
      <c r="G6" s="99" t="str">
        <f aca="false">IF(G$4&gt;0,(IF(F6&lt;&gt;0,F6*G$4/100," ")),IF(F6&lt;&gt;0,F6*G$2/(100+G$2)," "))</f>
        <v> </v>
      </c>
      <c r="H6" s="99" t="str">
        <f aca="false">IF((F6&lt;&gt;0),F6-G6," ")</f>
        <v> </v>
      </c>
    </row>
    <row r="7" customFormat="false" ht="12.75" hidden="false" customHeight="false" outlineLevel="0" collapsed="false">
      <c r="G7" s="99" t="str">
        <f aca="false">IF(G$4&gt;0,(IF(F7&lt;&gt;0,F7*G$4/100," ")),IF(F7&lt;&gt;0,F7*G$2/(100+G$2)," "))</f>
        <v> </v>
      </c>
      <c r="H7" s="99" t="str">
        <f aca="false">IF((F7&lt;&gt;0),F7-G7," ")</f>
        <v> </v>
      </c>
    </row>
    <row r="8" customFormat="false" ht="12.75" hidden="false" customHeight="false" outlineLevel="0" collapsed="false">
      <c r="G8" s="99" t="str">
        <f aca="false">IF(G$4&gt;0,(IF(F8&lt;&gt;0,F8*G$4/100," ")),IF(F8&lt;&gt;0,F8*G$2/(100+G$2)," "))</f>
        <v> </v>
      </c>
      <c r="H8" s="99" t="str">
        <f aca="false">IF((F8&lt;&gt;0),F8-G8," ")</f>
        <v> </v>
      </c>
    </row>
    <row r="9" customFormat="false" ht="12.75" hidden="false" customHeight="false" outlineLevel="0" collapsed="false">
      <c r="G9" s="99" t="str">
        <f aca="false">IF(G$4&gt;0,(IF(F9&lt;&gt;0,F9*G$4/100," ")),IF(F9&lt;&gt;0,F9*G$2/(100+G$2)," "))</f>
        <v> </v>
      </c>
      <c r="H9" s="99" t="str">
        <f aca="false">IF((F9&lt;&gt;0),F9-G9," ")</f>
        <v> </v>
      </c>
    </row>
    <row r="10" customFormat="false" ht="12.75" hidden="false" customHeight="false" outlineLevel="0" collapsed="false">
      <c r="G10" s="99" t="str">
        <f aca="false">IF(G$4&gt;0,(IF(F10&lt;&gt;0,F10*G$4/100," ")),IF(F10&lt;&gt;0,F10*G$2/(100+G$2)," "))</f>
        <v> </v>
      </c>
      <c r="H10" s="99" t="str">
        <f aca="false">IF((F10&lt;&gt;0),F10-G10," ")</f>
        <v> </v>
      </c>
    </row>
    <row r="11" customFormat="false" ht="12.75" hidden="false" customHeight="false" outlineLevel="0" collapsed="false">
      <c r="G11" s="99" t="str">
        <f aca="false">IF(G$4&gt;0,(IF(F11&lt;&gt;0,F11*G$4/100," ")),IF(F11&lt;&gt;0,F11*G$2/(100+G$2)," "))</f>
        <v> </v>
      </c>
      <c r="H11" s="99" t="str">
        <f aca="false">IF((F11&lt;&gt;0),F11-G11," ")</f>
        <v> </v>
      </c>
    </row>
    <row r="12" customFormat="false" ht="12.75" hidden="false" customHeight="false" outlineLevel="0" collapsed="false">
      <c r="G12" s="99" t="str">
        <f aca="false">IF(G$4&gt;0,(IF(F12&lt;&gt;0,F12*G$4/100," ")),IF(F12&lt;&gt;0,F12*G$2/(100+G$2)," "))</f>
        <v> </v>
      </c>
      <c r="H12" s="99" t="str">
        <f aca="false">IF((F12&lt;&gt;0),F12-G12," ")</f>
        <v> </v>
      </c>
    </row>
    <row r="13" customFormat="false" ht="12.75" hidden="false" customHeight="false" outlineLevel="0" collapsed="false">
      <c r="G13" s="99" t="str">
        <f aca="false">IF(G$4&gt;0,(IF(F13&lt;&gt;0,F13*G$4/100," ")),IF(F13&lt;&gt;0,F13*G$2/(100+G$2)," "))</f>
        <v> </v>
      </c>
      <c r="H13" s="99" t="str">
        <f aca="false">IF((F13&lt;&gt;0),F13-G13," ")</f>
        <v> </v>
      </c>
    </row>
    <row r="14" customFormat="false" ht="12.75" hidden="false" customHeight="false" outlineLevel="0" collapsed="false">
      <c r="G14" s="99" t="str">
        <f aca="false">IF(G$4&gt;0,(IF(F14&lt;&gt;0,F14*G$4/100," ")),IF(F14&lt;&gt;0,F14*G$2/(100+G$2)," "))</f>
        <v> </v>
      </c>
      <c r="H14" s="99" t="str">
        <f aca="false">IF((F14&lt;&gt;0),F14-G14," ")</f>
        <v> </v>
      </c>
    </row>
    <row r="15" customFormat="false" ht="12.75" hidden="false" customHeight="false" outlineLevel="0" collapsed="false">
      <c r="G15" s="99" t="str">
        <f aca="false">IF(G$4&gt;0,(IF(F15&lt;&gt;0,F15*G$4/100," ")),IF(F15&lt;&gt;0,F15*G$2/(100+G$2)," "))</f>
        <v> </v>
      </c>
      <c r="H15" s="99" t="str">
        <f aca="false">IF((F15&lt;&gt;0),F15-G15," ")</f>
        <v> </v>
      </c>
    </row>
    <row r="16" customFormat="false" ht="12.75" hidden="false" customHeight="false" outlineLevel="0" collapsed="false">
      <c r="G16" s="99" t="str">
        <f aca="false">IF(G$4&gt;0,(IF(F16&lt;&gt;0,F16*G$4/100," ")),IF(F16&lt;&gt;0,F16*G$2/(100+G$2)," "))</f>
        <v> </v>
      </c>
      <c r="H16" s="99" t="str">
        <f aca="false">IF((F16&lt;&gt;0),F16-G16," ")</f>
        <v> </v>
      </c>
    </row>
    <row r="17" customFormat="false" ht="12.75" hidden="false" customHeight="false" outlineLevel="0" collapsed="false">
      <c r="G17" s="99" t="str">
        <f aca="false">IF(G$4&gt;0,(IF(F17&lt;&gt;0,F17*G$4/100," ")),IF(F17&lt;&gt;0,F17*G$2/(100+G$2)," "))</f>
        <v> </v>
      </c>
      <c r="H17" s="99" t="str">
        <f aca="false">IF((F17&lt;&gt;0),F17-G17," ")</f>
        <v> </v>
      </c>
    </row>
    <row r="18" customFormat="false" ht="12.75" hidden="false" customHeight="false" outlineLevel="0" collapsed="false">
      <c r="G18" s="99" t="str">
        <f aca="false">IF(G$4&gt;0,(IF(F18&lt;&gt;0,F18*G$4/100," ")),IF(F18&lt;&gt;0,F18*G$2/(100+G$2)," "))</f>
        <v> </v>
      </c>
      <c r="H18" s="99" t="str">
        <f aca="false">IF((F18&lt;&gt;0),F18-G18," ")</f>
        <v> </v>
      </c>
    </row>
    <row r="19" customFormat="false" ht="12.75" hidden="false" customHeight="false" outlineLevel="0" collapsed="false">
      <c r="G19" s="99" t="str">
        <f aca="false">IF(G$4&gt;0,(IF(F19&lt;&gt;0,F19*G$4/100," ")),IF(F19&lt;&gt;0,F19*G$2/(100+G$2)," "))</f>
        <v> </v>
      </c>
      <c r="H19" s="99" t="str">
        <f aca="false">IF((F19&lt;&gt;0),F19-G19," ")</f>
        <v> </v>
      </c>
    </row>
    <row r="20" customFormat="false" ht="12.75" hidden="false" customHeight="false" outlineLevel="0" collapsed="false">
      <c r="G20" s="99" t="str">
        <f aca="false">IF(G$4&gt;0,(IF(F20&lt;&gt;0,F20*G$4/100," ")),IF(F20&lt;&gt;0,F20*G$2/(100+G$2)," "))</f>
        <v> </v>
      </c>
      <c r="H20" s="99" t="str">
        <f aca="false">IF((F20&lt;&gt;0),F20-G20," ")</f>
        <v> </v>
      </c>
    </row>
    <row r="21" customFormat="false" ht="12.75" hidden="false" customHeight="false" outlineLevel="0" collapsed="false">
      <c r="G21" s="99" t="str">
        <f aca="false">IF(G$4&gt;0,(IF(F21&lt;&gt;0,F21*G$4/100," ")),IF(F21&lt;&gt;0,F21*G$2/(100+G$2)," "))</f>
        <v> </v>
      </c>
      <c r="H21" s="99" t="str">
        <f aca="false">IF((F21&lt;&gt;0),F21-G21," ")</f>
        <v> </v>
      </c>
    </row>
    <row r="22" customFormat="false" ht="12.75" hidden="false" customHeight="false" outlineLevel="0" collapsed="false">
      <c r="G22" s="99" t="str">
        <f aca="false">IF(G$4&gt;0,(IF(F22&lt;&gt;0,F22*G$4/100," ")),IF(F22&lt;&gt;0,F22*G$2/(100+G$2)," "))</f>
        <v> </v>
      </c>
      <c r="H22" s="99" t="str">
        <f aca="false">IF((F22&lt;&gt;0),F22-G22," ")</f>
        <v> </v>
      </c>
    </row>
    <row r="23" customFormat="false" ht="12.75" hidden="false" customHeight="false" outlineLevel="0" collapsed="false">
      <c r="G23" s="99" t="str">
        <f aca="false">IF(G$4&gt;0,(IF(F23&lt;&gt;0,F23*G$4/100," ")),IF(F23&lt;&gt;0,F23*G$2/(100+G$2)," "))</f>
        <v> </v>
      </c>
      <c r="H23" s="99" t="str">
        <f aca="false">IF((F23&lt;&gt;0),F23-G23," ")</f>
        <v> </v>
      </c>
    </row>
    <row r="24" customFormat="false" ht="12.75" hidden="false" customHeight="false" outlineLevel="0" collapsed="false">
      <c r="G24" s="99" t="str">
        <f aca="false">IF(G$4&gt;0,(IF(F24&lt;&gt;0,F24*G$4/100," ")),IF(F24&lt;&gt;0,F24*G$2/(100+G$2)," "))</f>
        <v> </v>
      </c>
      <c r="H24" s="99" t="str">
        <f aca="false">IF((F24&lt;&gt;0),F24-G24," ")</f>
        <v> </v>
      </c>
    </row>
    <row r="25" customFormat="false" ht="12.75" hidden="false" customHeight="false" outlineLevel="0" collapsed="false">
      <c r="G25" s="99" t="str">
        <f aca="false">IF(G$4&gt;0,(IF(F25&lt;&gt;0,F25*G$4/100," ")),IF(F25&lt;&gt;0,F25*G$2/(100+G$2)," "))</f>
        <v> </v>
      </c>
      <c r="H25" s="99" t="str">
        <f aca="false">IF((F25&lt;&gt;0),F25-G25," ")</f>
        <v> </v>
      </c>
    </row>
    <row r="26" customFormat="false" ht="12.75" hidden="false" customHeight="false" outlineLevel="0" collapsed="false">
      <c r="G26" s="99" t="str">
        <f aca="false">IF(G$4&gt;0,(IF(F26&lt;&gt;0,F26*G$4/100," ")),IF(F26&lt;&gt;0,F26*G$2/(100+G$2)," "))</f>
        <v> </v>
      </c>
      <c r="H26" s="99" t="str">
        <f aca="false">IF((F26&lt;&gt;0),F26-G26," ")</f>
        <v> </v>
      </c>
    </row>
    <row r="27" customFormat="false" ht="12.75" hidden="false" customHeight="false" outlineLevel="0" collapsed="false">
      <c r="G27" s="99" t="str">
        <f aca="false">IF(G$4&gt;0,(IF(F27&lt;&gt;0,F27*G$4/100," ")),IF(F27&lt;&gt;0,F27*G$2/(100+G$2)," "))</f>
        <v> </v>
      </c>
      <c r="H27" s="99" t="str">
        <f aca="false">IF((F27&lt;&gt;0),F27-G27," ")</f>
        <v> </v>
      </c>
    </row>
    <row r="28" customFormat="false" ht="12.75" hidden="false" customHeight="false" outlineLevel="0" collapsed="false">
      <c r="G28" s="99" t="str">
        <f aca="false">IF(G$4&gt;0,(IF(F28&lt;&gt;0,F28*G$4/100," ")),IF(F28&lt;&gt;0,F28*G$2/(100+G$2)," "))</f>
        <v> </v>
      </c>
      <c r="H28" s="99" t="str">
        <f aca="false">IF((F28&lt;&gt;0),F28-G28," ")</f>
        <v> </v>
      </c>
    </row>
    <row r="29" customFormat="false" ht="12.75" hidden="false" customHeight="false" outlineLevel="0" collapsed="false">
      <c r="G29" s="99" t="str">
        <f aca="false">IF(G$4&gt;0,(IF(F29&lt;&gt;0,F29*G$4/100," ")),IF(F29&lt;&gt;0,F29*G$2/(100+G$2)," "))</f>
        <v> </v>
      </c>
      <c r="H29" s="99" t="str">
        <f aca="false">IF((F29&lt;&gt;0),F29-G29," ")</f>
        <v> </v>
      </c>
    </row>
    <row r="30" customFormat="false" ht="12.75" hidden="false" customHeight="false" outlineLevel="0" collapsed="false">
      <c r="G30" s="99" t="str">
        <f aca="false">IF(G$4&gt;0,(IF(F30&lt;&gt;0,F30*G$4/100," ")),IF(F30&lt;&gt;0,F30*G$2/(100+G$2)," "))</f>
        <v> </v>
      </c>
      <c r="H30" s="99" t="str">
        <f aca="false">IF((F30&lt;&gt;0),F30-G30," ")</f>
        <v> </v>
      </c>
    </row>
    <row r="31" customFormat="false" ht="12.75" hidden="false" customHeight="false" outlineLevel="0" collapsed="false">
      <c r="G31" s="99" t="str">
        <f aca="false">IF(G$4&gt;0,(IF(F31&lt;&gt;0,F31*G$4/100," ")),IF(F31&lt;&gt;0,F31*G$2/(100+G$2)," "))</f>
        <v> </v>
      </c>
      <c r="H31" s="99" t="str">
        <f aca="false">IF((F31&lt;&gt;0),F31-G31," ")</f>
        <v> </v>
      </c>
    </row>
    <row r="32" customFormat="false" ht="12.75" hidden="false" customHeight="false" outlineLevel="0" collapsed="false">
      <c r="G32" s="99" t="str">
        <f aca="false">IF(G$4&gt;0,(IF(F32&lt;&gt;0,F32*G$4/100," ")),IF(F32&lt;&gt;0,F32*G$2/(100+G$2)," "))</f>
        <v> </v>
      </c>
      <c r="H32" s="99" t="str">
        <f aca="false">IF((F32&lt;&gt;0),F32-G32," ")</f>
        <v> </v>
      </c>
    </row>
    <row r="33" customFormat="false" ht="12.75" hidden="false" customHeight="false" outlineLevel="0" collapsed="false">
      <c r="G33" s="99" t="str">
        <f aca="false">IF(G$4&gt;0,(IF(F33&lt;&gt;0,F33*G$4/100," ")),IF(F33&lt;&gt;0,F33*G$2/(100+G$2)," "))</f>
        <v> </v>
      </c>
      <c r="H33" s="99" t="str">
        <f aca="false">IF((F33&lt;&gt;0),F33-G33," ")</f>
        <v> </v>
      </c>
    </row>
    <row r="34" customFormat="false" ht="12.75" hidden="false" customHeight="false" outlineLevel="0" collapsed="false">
      <c r="G34" s="99" t="str">
        <f aca="false">IF(G$4&gt;0,(IF(F34&lt;&gt;0,F34*G$4/100," ")),IF(F34&lt;&gt;0,F34*G$2/(100+G$2)," "))</f>
        <v> </v>
      </c>
      <c r="H34" s="99" t="str">
        <f aca="false">IF((F34&lt;&gt;0),F34-G34," ")</f>
        <v> </v>
      </c>
    </row>
    <row r="35" customFormat="false" ht="12.75" hidden="false" customHeight="false" outlineLevel="0" collapsed="false">
      <c r="G35" s="99" t="str">
        <f aca="false">IF(G$4&gt;0,(IF(F35&lt;&gt;0,F35*G$4/100," ")),IF(F35&lt;&gt;0,F35*G$2/(100+G$2)," "))</f>
        <v> </v>
      </c>
      <c r="H35" s="99" t="str">
        <f aca="false">IF((F35&lt;&gt;0),F35-G35," ")</f>
        <v> </v>
      </c>
    </row>
    <row r="36" customFormat="false" ht="12.75" hidden="false" customHeight="false" outlineLevel="0" collapsed="false">
      <c r="G36" s="99" t="str">
        <f aca="false">IF(G$4&gt;0,(IF(F36&lt;&gt;0,F36*G$4/100," ")),IF(F36&lt;&gt;0,F36*G$2/(100+G$2)," "))</f>
        <v> </v>
      </c>
      <c r="H36" s="99" t="str">
        <f aca="false">IF((F36&lt;&gt;0),F36-G36," ")</f>
        <v> </v>
      </c>
    </row>
    <row r="37" customFormat="false" ht="12.75" hidden="false" customHeight="false" outlineLevel="0" collapsed="false">
      <c r="G37" s="99" t="str">
        <f aca="false">IF(G$4&gt;0,(IF(F37&lt;&gt;0,F37*G$4/100," ")),IF(F37&lt;&gt;0,F37*G$2/(100+G$2)," "))</f>
        <v> </v>
      </c>
      <c r="H37" s="99" t="str">
        <f aca="false">IF((F37&lt;&gt;0),F37-G37," ")</f>
        <v> </v>
      </c>
    </row>
    <row r="38" customFormat="false" ht="12.75" hidden="false" customHeight="false" outlineLevel="0" collapsed="false">
      <c r="G38" s="99" t="str">
        <f aca="false">IF(G$4&gt;0,(IF(F38&lt;&gt;0,F38*G$4/100," ")),IF(F38&lt;&gt;0,F38*G$2/(100+G$2)," "))</f>
        <v> </v>
      </c>
      <c r="H38" s="99" t="str">
        <f aca="false">IF((F38&lt;&gt;0),F38-G38," ")</f>
        <v> </v>
      </c>
    </row>
    <row r="39" customFormat="false" ht="12.75" hidden="false" customHeight="false" outlineLevel="0" collapsed="false">
      <c r="G39" s="99" t="str">
        <f aca="false">IF(G$4&gt;0,(IF(F39&lt;&gt;0,F39*G$4/100," ")),IF(F39&lt;&gt;0,F39*G$2/(100+G$2)," "))</f>
        <v> </v>
      </c>
      <c r="H39" s="99" t="str">
        <f aca="false">IF((F39&lt;&gt;0),F39-G39," ")</f>
        <v> </v>
      </c>
    </row>
    <row r="40" customFormat="false" ht="12.75" hidden="false" customHeight="false" outlineLevel="0" collapsed="false">
      <c r="G40" s="99" t="str">
        <f aca="false">IF(G$4&gt;0,(IF(F40&lt;&gt;0,F40*G$4/100," ")),IF(F40&lt;&gt;0,F40*G$2/(100+G$2)," "))</f>
        <v> </v>
      </c>
      <c r="H40" s="99" t="str">
        <f aca="false">IF((F40&lt;&gt;0),F40-G40," ")</f>
        <v> </v>
      </c>
    </row>
    <row r="41" customFormat="false" ht="12.75" hidden="false" customHeight="false" outlineLevel="0" collapsed="false">
      <c r="G41" s="99" t="str">
        <f aca="false">IF(G$4&gt;0,(IF(F41&lt;&gt;0,F41*G$4/100," ")),IF(F41&lt;&gt;0,F41*G$2/(100+G$2)," "))</f>
        <v> </v>
      </c>
      <c r="H41" s="99" t="str">
        <f aca="false">IF((F41&lt;&gt;0),F41-G41," ")</f>
        <v> </v>
      </c>
    </row>
    <row r="42" customFormat="false" ht="12.75" hidden="false" customHeight="false" outlineLevel="0" collapsed="false">
      <c r="G42" s="99" t="str">
        <f aca="false">IF(G$4&gt;0,(IF(F42&lt;&gt;0,F42*G$4/100," ")),IF(F42&lt;&gt;0,F42*G$2/(100+G$2)," "))</f>
        <v> </v>
      </c>
      <c r="H42" s="99" t="str">
        <f aca="false">IF((F42&lt;&gt;0),F42-G42," ")</f>
        <v> </v>
      </c>
    </row>
    <row r="43" customFormat="false" ht="12.75" hidden="false" customHeight="false" outlineLevel="0" collapsed="false">
      <c r="G43" s="99" t="str">
        <f aca="false">IF(G$4&gt;0,(IF(F43&lt;&gt;0,F43*G$4/100," ")),IF(F43&lt;&gt;0,F43*G$2/(100+G$2)," "))</f>
        <v> </v>
      </c>
      <c r="H43" s="99" t="str">
        <f aca="false">IF((F43&lt;&gt;0),F43-G43," ")</f>
        <v> </v>
      </c>
    </row>
    <row r="44" customFormat="false" ht="12.75" hidden="false" customHeight="false" outlineLevel="0" collapsed="false">
      <c r="G44" s="99" t="str">
        <f aca="false">IF(G$4&gt;0,(IF(F44&lt;&gt;0,F44*G$4/100," ")),IF(F44&lt;&gt;0,F44*G$2/(100+G$2)," "))</f>
        <v> </v>
      </c>
      <c r="H44" s="99" t="str">
        <f aca="false">IF((F44&lt;&gt;0),F44-G44," ")</f>
        <v> </v>
      </c>
    </row>
    <row r="45" customFormat="false" ht="12.75" hidden="false" customHeight="false" outlineLevel="0" collapsed="false">
      <c r="G45" s="99" t="str">
        <f aca="false">IF(G$4&gt;0,(IF(F45&lt;&gt;0,F45*G$4/100," ")),IF(F45&lt;&gt;0,F45*G$2/(100+G$2)," "))</f>
        <v> </v>
      </c>
      <c r="H45" s="99" t="str">
        <f aca="false">IF((F45&lt;&gt;0),F45-G45," ")</f>
        <v> </v>
      </c>
    </row>
    <row r="46" customFormat="false" ht="12.75" hidden="false" customHeight="false" outlineLevel="0" collapsed="false">
      <c r="G46" s="99" t="str">
        <f aca="false">IF(G$4&gt;0,(IF(F46&lt;&gt;0,F46*G$4/100," ")),IF(F46&lt;&gt;0,F46*G$2/(100+G$2)," "))</f>
        <v> </v>
      </c>
      <c r="H46" s="99" t="str">
        <f aca="false">IF((F46&lt;&gt;0),F46-G46," ")</f>
        <v> </v>
      </c>
    </row>
    <row r="47" customFormat="false" ht="12.75" hidden="false" customHeight="false" outlineLevel="0" collapsed="false">
      <c r="G47" s="99" t="str">
        <f aca="false">IF(G$4&gt;0,(IF(F47&lt;&gt;0,F47*G$4/100," ")),IF(F47&lt;&gt;0,F47*G$2/(100+G$2)," "))</f>
        <v> </v>
      </c>
      <c r="H47" s="99" t="str">
        <f aca="false">IF((F47&lt;&gt;0),F47-G47," ")</f>
        <v> </v>
      </c>
    </row>
    <row r="48" customFormat="false" ht="12.75" hidden="false" customHeight="false" outlineLevel="0" collapsed="false">
      <c r="G48" s="99" t="str">
        <f aca="false">IF(G$4&gt;0,(IF(F48&lt;&gt;0,F48*G$4/100," ")),IF(F48&lt;&gt;0,F48*G$2/(100+G$2)," "))</f>
        <v> </v>
      </c>
      <c r="H48" s="99" t="str">
        <f aca="false">IF((F48&lt;&gt;0),F48-G48," ")</f>
        <v> </v>
      </c>
    </row>
    <row r="49" customFormat="false" ht="12.75" hidden="false" customHeight="false" outlineLevel="0" collapsed="false">
      <c r="G49" s="99" t="str">
        <f aca="false">IF(G$4&gt;0,(IF(F49&lt;&gt;0,F49*G$4/100," ")),IF(F49&lt;&gt;0,F49*G$2/(100+G$2)," "))</f>
        <v> </v>
      </c>
      <c r="H49" s="99" t="str">
        <f aca="false">IF((F49&lt;&gt;0),F49-G49," ")</f>
        <v> </v>
      </c>
    </row>
    <row r="50" customFormat="false" ht="12.75" hidden="false" customHeight="false" outlineLevel="0" collapsed="false">
      <c r="G50" s="99" t="str">
        <f aca="false">IF(G$4&gt;0,(IF(F50&lt;&gt;0,F50*G$4/100," ")),IF(F50&lt;&gt;0,F50*G$2/(100+G$2)," "))</f>
        <v> </v>
      </c>
      <c r="H50" s="99" t="str">
        <f aca="false">IF((F50&lt;&gt;0),F50-G50," ")</f>
        <v> </v>
      </c>
    </row>
    <row r="51" customFormat="false" ht="12.75" hidden="false" customHeight="false" outlineLevel="0" collapsed="false">
      <c r="G51" s="99" t="str">
        <f aca="false">IF(G$4&gt;0,(IF(F51&lt;&gt;0,F51*G$4/100," ")),IF(F51&lt;&gt;0,F51*G$2/(100+G$2)," "))</f>
        <v> </v>
      </c>
      <c r="H51" s="99" t="str">
        <f aca="false">IF((F51&lt;&gt;0),F51-G51," ")</f>
        <v> </v>
      </c>
    </row>
    <row r="52" customFormat="false" ht="12.75" hidden="false" customHeight="false" outlineLevel="0" collapsed="false">
      <c r="G52" s="99" t="str">
        <f aca="false">IF(G$4&gt;0,(IF(F52&lt;&gt;0,F52*G$4/100," ")),IF(F52&lt;&gt;0,F52*G$2/(100+G$2)," "))</f>
        <v> </v>
      </c>
      <c r="H52" s="99" t="str">
        <f aca="false">IF((F52&lt;&gt;0),F52-G52," ")</f>
        <v> </v>
      </c>
    </row>
    <row r="53" customFormat="false" ht="12.75" hidden="false" customHeight="false" outlineLevel="0" collapsed="false">
      <c r="G53" s="99" t="str">
        <f aca="false">IF(G$4&gt;0,(IF(F53&lt;&gt;0,F53*G$4/100," ")),IF(F53&lt;&gt;0,F53*G$2/(100+G$2)," "))</f>
        <v> </v>
      </c>
      <c r="H53" s="99" t="str">
        <f aca="false">IF((F53&lt;&gt;0),F53-G53," ")</f>
        <v> </v>
      </c>
    </row>
    <row r="54" customFormat="false" ht="12.75" hidden="false" customHeight="false" outlineLevel="0" collapsed="false">
      <c r="G54" s="99" t="str">
        <f aca="false">IF(G$4&gt;0,(IF(F54&lt;&gt;0,F54*G$4/100," ")),IF(F54&lt;&gt;0,F54*G$2/(100+G$2)," "))</f>
        <v> </v>
      </c>
      <c r="H54" s="99" t="str">
        <f aca="false">IF((F54&lt;&gt;0),F54-G54," ")</f>
        <v> </v>
      </c>
    </row>
    <row r="55" customFormat="false" ht="12.75" hidden="false" customHeight="false" outlineLevel="0" collapsed="false">
      <c r="G55" s="99" t="str">
        <f aca="false">IF(G$4&gt;0,(IF(F55&lt;&gt;0,F55*G$4/100," ")),IF(F55&lt;&gt;0,F55*G$2/(100+G$2)," "))</f>
        <v> </v>
      </c>
      <c r="H55" s="99" t="str">
        <f aca="false">IF((F55&lt;&gt;0),F55-G55," ")</f>
        <v> </v>
      </c>
    </row>
    <row r="56" customFormat="false" ht="12.75" hidden="false" customHeight="false" outlineLevel="0" collapsed="false">
      <c r="G56" s="99" t="str">
        <f aca="false">IF(G$4&gt;0,(IF(F56&lt;&gt;0,F56*G$4/100," ")),IF(F56&lt;&gt;0,F56*G$2/(100+G$2)," "))</f>
        <v> </v>
      </c>
      <c r="H56" s="99" t="str">
        <f aca="false">IF((F56&lt;&gt;0),F56-G56," ")</f>
        <v> </v>
      </c>
    </row>
    <row r="57" customFormat="false" ht="12.75" hidden="false" customHeight="false" outlineLevel="0" collapsed="false">
      <c r="G57" s="99" t="str">
        <f aca="false">IF(G$4&gt;0,(IF(F57&lt;&gt;0,F57*G$4/100," ")),IF(F57&lt;&gt;0,F57*G$2/(100+G$2)," "))</f>
        <v> </v>
      </c>
      <c r="H57" s="99" t="str">
        <f aca="false">IF((F57&lt;&gt;0),F57-G57," ")</f>
        <v> </v>
      </c>
    </row>
    <row r="58" customFormat="false" ht="12.75" hidden="false" customHeight="false" outlineLevel="0" collapsed="false">
      <c r="G58" s="99" t="str">
        <f aca="false">IF(G$4&gt;0,(IF(F58&lt;&gt;0,F58*G$4/100," ")),IF(F58&lt;&gt;0,F58*G$2/(100+G$2)," "))</f>
        <v> </v>
      </c>
      <c r="H58" s="99" t="str">
        <f aca="false">IF((F58&lt;&gt;0),F58-G58," ")</f>
        <v> </v>
      </c>
    </row>
    <row r="59" customFormat="false" ht="12.75" hidden="false" customHeight="false" outlineLevel="0" collapsed="false">
      <c r="G59" s="99" t="str">
        <f aca="false">IF(G$4&gt;0,(IF(F59&lt;&gt;0,F59*G$4/100," ")),IF(F59&lt;&gt;0,F59*G$2/(100+G$2)," "))</f>
        <v> </v>
      </c>
      <c r="H59" s="99" t="str">
        <f aca="false">IF((F59&lt;&gt;0),F59-G59," ")</f>
        <v> </v>
      </c>
    </row>
    <row r="60" customFormat="false" ht="12.75" hidden="false" customHeight="false" outlineLevel="0" collapsed="false">
      <c r="G60" s="99" t="str">
        <f aca="false">IF(G$4&gt;0,(IF(F60&lt;&gt;0,F60*G$4/100," ")),IF(F60&lt;&gt;0,F60*G$2/(100+G$2)," "))</f>
        <v> </v>
      </c>
      <c r="H60" s="99" t="str">
        <f aca="false">IF((F60&lt;&gt;0),F60-G60," ")</f>
        <v> </v>
      </c>
    </row>
    <row r="61" customFormat="false" ht="12.75" hidden="false" customHeight="false" outlineLevel="0" collapsed="false">
      <c r="G61" s="99" t="str">
        <f aca="false">IF(G$4&gt;0,(IF(F61&lt;&gt;0,F61*G$4/100," ")),IF(F61&lt;&gt;0,F61*G$2/(100+G$2)," "))</f>
        <v> </v>
      </c>
      <c r="H61" s="99" t="str">
        <f aca="false">IF((F61&lt;&gt;0),F61-G61," ")</f>
        <v> </v>
      </c>
    </row>
    <row r="62" customFormat="false" ht="12.75" hidden="false" customHeight="false" outlineLevel="0" collapsed="false">
      <c r="G62" s="99" t="str">
        <f aca="false">IF(G$4&gt;0,(IF(F62&lt;&gt;0,F62*G$4/100," ")),IF(F62&lt;&gt;0,F62*G$2/(100+G$2)," "))</f>
        <v> </v>
      </c>
      <c r="H62" s="99" t="str">
        <f aca="false">IF((F62&lt;&gt;0),F62-G62," ")</f>
        <v> </v>
      </c>
    </row>
    <row r="63" customFormat="false" ht="12.75" hidden="false" customHeight="false" outlineLevel="0" collapsed="false">
      <c r="G63" s="99" t="str">
        <f aca="false">IF(G$4&gt;0,(IF(F63&lt;&gt;0,F63*G$4/100," ")),IF(F63&lt;&gt;0,F63*G$2/(100+G$2)," "))</f>
        <v> </v>
      </c>
      <c r="H63" s="99" t="str">
        <f aca="false">IF((F63&lt;&gt;0),F63-G63," ")</f>
        <v> </v>
      </c>
    </row>
    <row r="64" customFormat="false" ht="12.75" hidden="false" customHeight="false" outlineLevel="0" collapsed="false">
      <c r="G64" s="99" t="str">
        <f aca="false">IF(G$4&gt;0,(IF(F64&lt;&gt;0,F64*G$4/100," ")),IF(F64&lt;&gt;0,F64*G$2/(100+G$2)," "))</f>
        <v> </v>
      </c>
      <c r="H64" s="99" t="str">
        <f aca="false">IF((F64&lt;&gt;0),F64-G64," ")</f>
        <v> </v>
      </c>
    </row>
    <row r="65" customFormat="false" ht="12.75" hidden="false" customHeight="false" outlineLevel="0" collapsed="false">
      <c r="G65" s="99" t="str">
        <f aca="false">IF(G$4&gt;0,(IF(F65&lt;&gt;0,F65*G$4/100," ")),IF(F65&lt;&gt;0,F65*G$2/(100+G$2)," "))</f>
        <v> </v>
      </c>
      <c r="H65" s="99" t="str">
        <f aca="false">IF((F65&lt;&gt;0),F65-G65," ")</f>
        <v> </v>
      </c>
    </row>
    <row r="66" customFormat="false" ht="12.75" hidden="false" customHeight="false" outlineLevel="0" collapsed="false">
      <c r="G66" s="99" t="str">
        <f aca="false">IF(G$4&gt;0,(IF(F66&lt;&gt;0,F66*G$4/100," ")),IF(F66&lt;&gt;0,F66*G$2/(100+G$2)," "))</f>
        <v> </v>
      </c>
      <c r="H66" s="99" t="str">
        <f aca="false">IF((F66&lt;&gt;0),F66-G66," ")</f>
        <v> </v>
      </c>
    </row>
    <row r="67" customFormat="false" ht="12.75" hidden="false" customHeight="false" outlineLevel="0" collapsed="false">
      <c r="G67" s="99" t="str">
        <f aca="false">IF(G$4&gt;0,(IF(F67&lt;&gt;0,F67*G$4/100," ")),IF(F67&lt;&gt;0,F67*G$2/(100+G$2)," "))</f>
        <v> </v>
      </c>
      <c r="H67" s="99" t="str">
        <f aca="false">IF((F67&lt;&gt;0),F67-G67," ")</f>
        <v> </v>
      </c>
    </row>
    <row r="68" customFormat="false" ht="12.75" hidden="false" customHeight="false" outlineLevel="0" collapsed="false">
      <c r="G68" s="99" t="str">
        <f aca="false">IF(G$4&gt;0,(IF(F68&lt;&gt;0,F68*G$4/100," ")),IF(F68&lt;&gt;0,F68*G$2/(100+G$2)," "))</f>
        <v> </v>
      </c>
      <c r="H68" s="99" t="str">
        <f aca="false">IF((F68&lt;&gt;0),F68-G68," ")</f>
        <v> </v>
      </c>
    </row>
    <row r="69" customFormat="false" ht="12.75" hidden="false" customHeight="false" outlineLevel="0" collapsed="false">
      <c r="G69" s="99" t="str">
        <f aca="false">IF(G$4&gt;0,(IF(F69&lt;&gt;0,F69*G$4/100," ")),IF(F69&lt;&gt;0,F69*G$2/(100+G$2)," "))</f>
        <v> </v>
      </c>
      <c r="H69" s="99" t="str">
        <f aca="false">IF((F69&lt;&gt;0),F69-G69," ")</f>
        <v> </v>
      </c>
    </row>
    <row r="70" customFormat="false" ht="12.75" hidden="false" customHeight="false" outlineLevel="0" collapsed="false">
      <c r="G70" s="99" t="str">
        <f aca="false">IF(G$4&gt;0,(IF(F70&lt;&gt;0,F70*G$4/100," ")),IF(F70&lt;&gt;0,F70*G$2/(100+G$2)," "))</f>
        <v> </v>
      </c>
      <c r="H70" s="99" t="str">
        <f aca="false">IF((F70&lt;&gt;0),F70-G70," ")</f>
        <v> </v>
      </c>
    </row>
    <row r="71" customFormat="false" ht="12.75" hidden="false" customHeight="false" outlineLevel="0" collapsed="false">
      <c r="G71" s="99" t="str">
        <f aca="false">IF(G$4&gt;0,(IF(F71&lt;&gt;0,F71*G$4/100," ")),IF(F71&lt;&gt;0,F71*G$2/(100+G$2)," "))</f>
        <v> </v>
      </c>
      <c r="H71" s="99" t="str">
        <f aca="false">IF((F71&lt;&gt;0),F71-G71," ")</f>
        <v> </v>
      </c>
    </row>
    <row r="72" customFormat="false" ht="12.75" hidden="false" customHeight="false" outlineLevel="0" collapsed="false">
      <c r="G72" s="99" t="str">
        <f aca="false">IF(G$4&gt;0,(IF(F72&lt;&gt;0,F72*G$4/100," ")),IF(F72&lt;&gt;0,F72*G$2/(100+G$2)," "))</f>
        <v> </v>
      </c>
      <c r="H72" s="99" t="str">
        <f aca="false">IF((F72&lt;&gt;0),F72-G72," ")</f>
        <v> </v>
      </c>
    </row>
    <row r="73" customFormat="false" ht="12.75" hidden="false" customHeight="false" outlineLevel="0" collapsed="false">
      <c r="G73" s="99" t="str">
        <f aca="false">IF(G$4&gt;0,(IF(F73&lt;&gt;0,F73*G$4/100," ")),IF(F73&lt;&gt;0,F73*G$2/(100+G$2)," "))</f>
        <v> </v>
      </c>
      <c r="H73" s="99" t="str">
        <f aca="false">IF((F73&lt;&gt;0),F73-G73," ")</f>
        <v> </v>
      </c>
    </row>
    <row r="74" customFormat="false" ht="12.75" hidden="false" customHeight="false" outlineLevel="0" collapsed="false">
      <c r="G74" s="99" t="str">
        <f aca="false">IF(G$4&gt;0,(IF(F74&lt;&gt;0,F74*G$4/100," ")),IF(F74&lt;&gt;0,F74*G$2/(100+G$2)," "))</f>
        <v> </v>
      </c>
      <c r="H74" s="99" t="str">
        <f aca="false">IF((F74&lt;&gt;0),F74-G74," ")</f>
        <v> </v>
      </c>
    </row>
    <row r="75" customFormat="false" ht="12.75" hidden="false" customHeight="false" outlineLevel="0" collapsed="false">
      <c r="G75" s="99" t="str">
        <f aca="false">IF(G$4&gt;0,(IF(F75&lt;&gt;0,F75*G$4/100," ")),IF(F75&lt;&gt;0,F75*G$2/(100+G$2)," "))</f>
        <v> </v>
      </c>
      <c r="H75" s="99" t="str">
        <f aca="false">IF((F75&lt;&gt;0),F75-G75," ")</f>
        <v> </v>
      </c>
    </row>
    <row r="76" customFormat="false" ht="12.75" hidden="false" customHeight="false" outlineLevel="0" collapsed="false">
      <c r="G76" s="99" t="str">
        <f aca="false">IF(G$4&gt;0,(IF(F76&lt;&gt;0,F76*G$4/100," ")),IF(F76&lt;&gt;0,F76*G$2/(100+G$2)," "))</f>
        <v> </v>
      </c>
      <c r="H76" s="99" t="str">
        <f aca="false">IF((F76&lt;&gt;0),F76-G76," ")</f>
        <v> </v>
      </c>
    </row>
    <row r="77" customFormat="false" ht="12.75" hidden="false" customHeight="false" outlineLevel="0" collapsed="false">
      <c r="G77" s="99" t="str">
        <f aca="false">IF(G$4&gt;0,(IF(F77&lt;&gt;0,F77*G$4/100," ")),IF(F77&lt;&gt;0,F77*G$2/(100+G$2)," "))</f>
        <v> </v>
      </c>
      <c r="H77" s="99" t="str">
        <f aca="false">IF((F77&lt;&gt;0),F77-G77," ")</f>
        <v> </v>
      </c>
    </row>
    <row r="78" customFormat="false" ht="12.75" hidden="false" customHeight="false" outlineLevel="0" collapsed="false">
      <c r="G78" s="99" t="str">
        <f aca="false">IF(G$4&gt;0,(IF(F78&lt;&gt;0,F78*G$4/100," ")),IF(F78&lt;&gt;0,F78*G$2/(100+G$2)," "))</f>
        <v> </v>
      </c>
      <c r="H78" s="99" t="str">
        <f aca="false">IF((F78&lt;&gt;0),F78-G78," ")</f>
        <v> </v>
      </c>
    </row>
    <row r="79" customFormat="false" ht="12.75" hidden="false" customHeight="false" outlineLevel="0" collapsed="false">
      <c r="G79" s="99" t="str">
        <f aca="false">IF(G$4&gt;0,(IF(F79&lt;&gt;0,F79*G$4/100," ")),IF(F79&lt;&gt;0,F79*G$2/(100+G$2)," "))</f>
        <v> </v>
      </c>
      <c r="H79" s="99" t="str">
        <f aca="false">IF((F79&lt;&gt;0),F79-G79," ")</f>
        <v> </v>
      </c>
    </row>
    <row r="80" customFormat="false" ht="12.75" hidden="false" customHeight="false" outlineLevel="0" collapsed="false">
      <c r="G80" s="99" t="str">
        <f aca="false">IF(G$4&gt;0,(IF(F80&lt;&gt;0,F80*G$4/100," ")),IF(F80&lt;&gt;0,F80*G$2/(100+G$2)," "))</f>
        <v> </v>
      </c>
      <c r="H80" s="99" t="str">
        <f aca="false">IF((F80&lt;&gt;0),F80-G80," ")</f>
        <v> </v>
      </c>
    </row>
    <row r="81" customFormat="false" ht="12.75" hidden="false" customHeight="false" outlineLevel="0" collapsed="false">
      <c r="G81" s="99" t="str">
        <f aca="false">IF(G$4&gt;0,(IF(F81&lt;&gt;0,F81*G$4/100," ")),IF(F81&lt;&gt;0,F81*G$2/(100+G$2)," "))</f>
        <v> </v>
      </c>
      <c r="H81" s="99" t="str">
        <f aca="false">IF((F81&lt;&gt;0),F81-G81," ")</f>
        <v> </v>
      </c>
    </row>
    <row r="82" customFormat="false" ht="12.75" hidden="false" customHeight="false" outlineLevel="0" collapsed="false">
      <c r="G82" s="99" t="str">
        <f aca="false">IF(G$4&gt;0,(IF(F82&lt;&gt;0,F82*G$4/100," ")),IF(F82&lt;&gt;0,F82*G$2/(100+G$2)," "))</f>
        <v> </v>
      </c>
      <c r="H82" s="99" t="str">
        <f aca="false">IF((F82&lt;&gt;0),F82-G82," ")</f>
        <v> </v>
      </c>
    </row>
    <row r="83" customFormat="false" ht="12.75" hidden="false" customHeight="false" outlineLevel="0" collapsed="false">
      <c r="G83" s="99" t="str">
        <f aca="false">IF(G$4&gt;0,(IF(F83&lt;&gt;0,F83*G$4/100," ")),IF(F83&lt;&gt;0,F83*G$2/(100+G$2)," "))</f>
        <v> </v>
      </c>
      <c r="H83" s="99" t="str">
        <f aca="false">IF((F83&lt;&gt;0),F83-G83," ")</f>
        <v> </v>
      </c>
    </row>
    <row r="84" customFormat="false" ht="12.75" hidden="false" customHeight="false" outlineLevel="0" collapsed="false">
      <c r="G84" s="99" t="str">
        <f aca="false">IF(G$4&gt;0,(IF(F84&lt;&gt;0,F84*G$4/100," ")),IF(F84&lt;&gt;0,F84*G$2/(100+G$2)," "))</f>
        <v> </v>
      </c>
      <c r="H84" s="99" t="str">
        <f aca="false">IF((F84&lt;&gt;0),F84-G84," ")</f>
        <v> </v>
      </c>
    </row>
    <row r="85" customFormat="false" ht="12.75" hidden="false" customHeight="false" outlineLevel="0" collapsed="false">
      <c r="G85" s="99" t="str">
        <f aca="false">IF(G$4&gt;0,(IF(F85&lt;&gt;0,F85*G$4/100," ")),IF(F85&lt;&gt;0,F85*G$2/(100+G$2)," "))</f>
        <v> </v>
      </c>
      <c r="H85" s="99" t="str">
        <f aca="false">IF((F85&lt;&gt;0),F85-G85," ")</f>
        <v> </v>
      </c>
    </row>
    <row r="86" customFormat="false" ht="12.75" hidden="false" customHeight="false" outlineLevel="0" collapsed="false">
      <c r="G86" s="99" t="str">
        <f aca="false">IF(G$4&gt;0,(IF(F86&lt;&gt;0,F86*G$4/100," ")),IF(F86&lt;&gt;0,F86*G$2/(100+G$2)," "))</f>
        <v> </v>
      </c>
      <c r="H86" s="99" t="str">
        <f aca="false">IF((F86&lt;&gt;0),F86-G86," ")</f>
        <v> </v>
      </c>
    </row>
    <row r="87" customFormat="false" ht="12.75" hidden="false" customHeight="false" outlineLevel="0" collapsed="false">
      <c r="G87" s="99" t="str">
        <f aca="false">IF(G$4&gt;0,(IF(F87&lt;&gt;0,F87*G$4/100," ")),IF(F87&lt;&gt;0,F87*G$2/(100+G$2)," "))</f>
        <v> </v>
      </c>
      <c r="H87" s="99" t="str">
        <f aca="false">IF((F87&lt;&gt;0),F87-G87," ")</f>
        <v> </v>
      </c>
    </row>
    <row r="88" customFormat="false" ht="12.75" hidden="false" customHeight="false" outlineLevel="0" collapsed="false">
      <c r="G88" s="99" t="str">
        <f aca="false">IF(G$4&gt;0,(IF(F88&lt;&gt;0,F88*G$4/100," ")),IF(F88&lt;&gt;0,F88*G$2/(100+G$2)," "))</f>
        <v> </v>
      </c>
      <c r="H88" s="99" t="str">
        <f aca="false">IF((F88&lt;&gt;0),F88-G88," ")</f>
        <v> </v>
      </c>
    </row>
    <row r="89" customFormat="false" ht="12.75" hidden="false" customHeight="false" outlineLevel="0" collapsed="false">
      <c r="G89" s="99" t="str">
        <f aca="false">IF(G$4&gt;0,(IF(F89&lt;&gt;0,F89*G$4/100," ")),IF(F89&lt;&gt;0,F89*G$2/(100+G$2)," "))</f>
        <v> </v>
      </c>
      <c r="H89" s="99" t="str">
        <f aca="false">IF((F89&lt;&gt;0),F89-G89," ")</f>
        <v> </v>
      </c>
    </row>
    <row r="90" customFormat="false" ht="12.75" hidden="false" customHeight="false" outlineLevel="0" collapsed="false">
      <c r="G90" s="99" t="str">
        <f aca="false">IF(G$4&gt;0,(IF(F90&lt;&gt;0,F90*G$4/100," ")),IF(F90&lt;&gt;0,F90*G$2/(100+G$2)," "))</f>
        <v> </v>
      </c>
      <c r="H90" s="99" t="str">
        <f aca="false">IF((F90&lt;&gt;0),F90-G90," ")</f>
        <v> </v>
      </c>
    </row>
    <row r="91" customFormat="false" ht="12.75" hidden="false" customHeight="false" outlineLevel="0" collapsed="false">
      <c r="G91" s="99" t="str">
        <f aca="false">IF(G$4&gt;0,(IF(F91&lt;&gt;0,F91*G$4/100," ")),IF(F91&lt;&gt;0,F91*G$2/(100+G$2)," "))</f>
        <v> </v>
      </c>
      <c r="H91" s="99" t="str">
        <f aca="false">IF((F91&lt;&gt;0),F91-G91," ")</f>
        <v> </v>
      </c>
    </row>
    <row r="92" customFormat="false" ht="12.75" hidden="false" customHeight="false" outlineLevel="0" collapsed="false">
      <c r="G92" s="99" t="str">
        <f aca="false">IF(G$4&gt;0,(IF(F92&lt;&gt;0,F92*G$4/100," ")),IF(F92&lt;&gt;0,F92*G$2/(100+G$2)," "))</f>
        <v> </v>
      </c>
      <c r="H92" s="99" t="str">
        <f aca="false">IF((F92&lt;&gt;0),F92-G92," ")</f>
        <v> </v>
      </c>
    </row>
    <row r="93" customFormat="false" ht="12.75" hidden="false" customHeight="false" outlineLevel="0" collapsed="false">
      <c r="G93" s="99" t="str">
        <f aca="false">IF(G$4&gt;0,(IF(F93&lt;&gt;0,F93*G$4/100," ")),IF(F93&lt;&gt;0,F93*G$2/(100+G$2)," "))</f>
        <v> </v>
      </c>
      <c r="H93" s="99" t="str">
        <f aca="false">IF((F93&lt;&gt;0),F93-G93," ")</f>
        <v> </v>
      </c>
    </row>
    <row r="94" customFormat="false" ht="12.75" hidden="false" customHeight="false" outlineLevel="0" collapsed="false">
      <c r="G94" s="99" t="str">
        <f aca="false">IF(G$4&gt;0,(IF(F94&lt;&gt;0,F94*G$4/100," ")),IF(F94&lt;&gt;0,F94*G$2/(100+G$2)," "))</f>
        <v> </v>
      </c>
      <c r="H94" s="99" t="str">
        <f aca="false">IF((F94&lt;&gt;0),F94-G94," ")</f>
        <v> </v>
      </c>
    </row>
    <row r="95" customFormat="false" ht="12.75" hidden="false" customHeight="false" outlineLevel="0" collapsed="false">
      <c r="G95" s="99" t="str">
        <f aca="false">IF(G$4&gt;0,(IF(F95&lt;&gt;0,F95*G$4/100," ")),IF(F95&lt;&gt;0,F95*G$2/(100+G$2)," "))</f>
        <v> </v>
      </c>
      <c r="H95" s="99" t="str">
        <f aca="false">IF((F95&lt;&gt;0),F95-G95," ")</f>
        <v> </v>
      </c>
    </row>
    <row r="96" customFormat="false" ht="12.75" hidden="false" customHeight="false" outlineLevel="0" collapsed="false">
      <c r="G96" s="99" t="str">
        <f aca="false">IF(G$4&gt;0,(IF(F96&lt;&gt;0,F96*G$4/100," ")),IF(F96&lt;&gt;0,F96*G$2/(100+G$2)," "))</f>
        <v> </v>
      </c>
      <c r="H96" s="99" t="str">
        <f aca="false">IF((F96&lt;&gt;0),F96-G96," ")</f>
        <v> </v>
      </c>
    </row>
    <row r="97" customFormat="false" ht="12.75" hidden="false" customHeight="false" outlineLevel="0" collapsed="false">
      <c r="G97" s="99" t="str">
        <f aca="false">IF(G$4&gt;0,(IF(F97&lt;&gt;0,F97*G$4/100," ")),IF(F97&lt;&gt;0,F97*G$2/(100+G$2)," "))</f>
        <v> </v>
      </c>
      <c r="H97" s="99" t="str">
        <f aca="false">IF((F97&lt;&gt;0),F97-G97," ")</f>
        <v> </v>
      </c>
    </row>
    <row r="98" customFormat="false" ht="12.75" hidden="false" customHeight="false" outlineLevel="0" collapsed="false">
      <c r="G98" s="99" t="str">
        <f aca="false">IF(G$4&gt;0,(IF(F98&lt;&gt;0,F98*G$4/100," ")),IF(F98&lt;&gt;0,F98*G$2/(100+G$2)," "))</f>
        <v> </v>
      </c>
      <c r="H98" s="99" t="str">
        <f aca="false">IF((F98&lt;&gt;0),F98-G98," ")</f>
        <v> </v>
      </c>
    </row>
    <row r="99" customFormat="false" ht="12.75" hidden="false" customHeight="false" outlineLevel="0" collapsed="false">
      <c r="G99" s="99" t="str">
        <f aca="false">IF(G$4&gt;0,(IF(F99&lt;&gt;0,F99*G$4/100," ")),IF(F99&lt;&gt;0,F99*G$2/(100+G$2)," "))</f>
        <v> </v>
      </c>
      <c r="H99" s="99" t="str">
        <f aca="false">IF((F99&lt;&gt;0),F99-G99," ")</f>
        <v> </v>
      </c>
    </row>
    <row r="100" customFormat="false" ht="12.75" hidden="false" customHeight="false" outlineLevel="0" collapsed="false">
      <c r="G100" s="99" t="str">
        <f aca="false">IF(G$4&gt;0,(IF(F100&lt;&gt;0,F100*G$4/100," ")),IF(F100&lt;&gt;0,F100*G$2/(100+G$2)," "))</f>
        <v> </v>
      </c>
      <c r="H100" s="99" t="str">
        <f aca="false">IF((F100&lt;&gt;0),F100-G100," ")</f>
        <v> </v>
      </c>
    </row>
    <row r="101" customFormat="false" ht="12.75" hidden="false" customHeight="false" outlineLevel="0" collapsed="false">
      <c r="G101" s="99" t="str">
        <f aca="false">IF(G$4&gt;0,(IF(F101&lt;&gt;0,F101*G$4/100," ")),IF(F101&lt;&gt;0,F101*G$2/(100+G$2)," "))</f>
        <v> </v>
      </c>
      <c r="H101" s="99" t="str">
        <f aca="false">IF((F101&lt;&gt;0),F101-G101," ")</f>
        <v> </v>
      </c>
    </row>
    <row r="102" customFormat="false" ht="12.75" hidden="false" customHeight="false" outlineLevel="0" collapsed="false">
      <c r="G102" s="99" t="str">
        <f aca="false">IF(G$4&gt;0,(IF(F102&lt;&gt;0,F102*G$4/100," ")),IF(F102&lt;&gt;0,F102*G$2/(100+G$2)," "))</f>
        <v> </v>
      </c>
      <c r="H102" s="99" t="str">
        <f aca="false">IF((F102&lt;&gt;0),F102-G102," ")</f>
        <v> </v>
      </c>
    </row>
    <row r="103" customFormat="false" ht="12.75" hidden="false" customHeight="false" outlineLevel="0" collapsed="false">
      <c r="G103" s="99" t="str">
        <f aca="false">IF(G$4&gt;0,(IF(F103&lt;&gt;0,F103*G$4/100," ")),IF(F103&lt;&gt;0,F103*G$2/(100+G$2)," "))</f>
        <v> </v>
      </c>
      <c r="H103" s="99" t="str">
        <f aca="false">IF((F103&lt;&gt;0),F103-G103," ")</f>
        <v> </v>
      </c>
    </row>
    <row r="104" customFormat="false" ht="12.75" hidden="false" customHeight="false" outlineLevel="0" collapsed="false">
      <c r="G104" s="99" t="str">
        <f aca="false">IF(G$4&gt;0,(IF(F104&lt;&gt;0,F104*G$4/100," ")),IF(F104&lt;&gt;0,F104*G$2/(100+G$2)," "))</f>
        <v> </v>
      </c>
      <c r="H104" s="99" t="str">
        <f aca="false">IF((F104&lt;&gt;0),F104-G104," ")</f>
        <v> </v>
      </c>
    </row>
    <row r="105" customFormat="false" ht="12.75" hidden="false" customHeight="false" outlineLevel="0" collapsed="false">
      <c r="G105" s="99" t="str">
        <f aca="false">IF(G$4&gt;0,(IF(F105&lt;&gt;0,F105*G$4/100," ")),IF(F105&lt;&gt;0,F105*G$2/(100+G$2)," "))</f>
        <v> </v>
      </c>
      <c r="H105" s="99" t="str">
        <f aca="false">IF((F105&lt;&gt;0),F105-G105," ")</f>
        <v> </v>
      </c>
    </row>
    <row r="106" customFormat="false" ht="12.75" hidden="false" customHeight="false" outlineLevel="0" collapsed="false">
      <c r="G106" s="99" t="str">
        <f aca="false">IF(G$4&gt;0,(IF(F106&lt;&gt;0,F106*G$4/100," ")),IF(F106&lt;&gt;0,F106*G$2/(100+G$2)," "))</f>
        <v> </v>
      </c>
      <c r="H106" s="99" t="str">
        <f aca="false">IF((F106&lt;&gt;0),F106-G106," ")</f>
        <v> </v>
      </c>
    </row>
    <row r="107" customFormat="false" ht="12.75" hidden="false" customHeight="false" outlineLevel="0" collapsed="false">
      <c r="G107" s="99" t="str">
        <f aca="false">IF(G$4&gt;0,(IF(F107&lt;&gt;0,F107*G$4/100," ")),IF(F107&lt;&gt;0,F107*G$2/(100+G$2)," "))</f>
        <v> </v>
      </c>
      <c r="H107" s="99" t="str">
        <f aca="false">IF((F107&lt;&gt;0),F107-G107," ")</f>
        <v> </v>
      </c>
    </row>
    <row r="108" customFormat="false" ht="12.75" hidden="false" customHeight="false" outlineLevel="0" collapsed="false">
      <c r="G108" s="99" t="str">
        <f aca="false">IF(G$4&gt;0,(IF(F108&lt;&gt;0,F108*G$4/100," ")),IF(F108&lt;&gt;0,F108*G$2/(100+G$2)," "))</f>
        <v> </v>
      </c>
      <c r="H108" s="99" t="str">
        <f aca="false">IF((F108&lt;&gt;0),F108-G108," ")</f>
        <v> </v>
      </c>
    </row>
    <row r="109" customFormat="false" ht="12.75" hidden="false" customHeight="false" outlineLevel="0" collapsed="false">
      <c r="G109" s="99" t="str">
        <f aca="false">IF(G$4&gt;0,(IF(F109&lt;&gt;0,F109*G$4/100," ")),IF(F109&lt;&gt;0,F109*G$2/(100+G$2)," "))</f>
        <v> </v>
      </c>
      <c r="H109" s="99" t="str">
        <f aca="false">IF((F109&lt;&gt;0),F109-G109," ")</f>
        <v> </v>
      </c>
    </row>
    <row r="110" customFormat="false" ht="12.75" hidden="false" customHeight="false" outlineLevel="0" collapsed="false">
      <c r="G110" s="99" t="str">
        <f aca="false">IF(G$4&gt;0,(IF(F110&lt;&gt;0,F110*G$4/100," ")),IF(F110&lt;&gt;0,F110*G$2/(100+G$2)," "))</f>
        <v> </v>
      </c>
      <c r="H110" s="99" t="str">
        <f aca="false">IF((F110&lt;&gt;0),F110-G110," ")</f>
        <v> </v>
      </c>
    </row>
    <row r="111" customFormat="false" ht="12.75" hidden="false" customHeight="false" outlineLevel="0" collapsed="false">
      <c r="G111" s="99" t="str">
        <f aca="false">IF(G$4&gt;0,(IF(F111&lt;&gt;0,F111*G$4/100," ")),IF(F111&lt;&gt;0,F111*G$2/(100+G$2)," "))</f>
        <v> </v>
      </c>
      <c r="H111" s="99" t="str">
        <f aca="false">IF((F111&lt;&gt;0),F111-G111," ")</f>
        <v> </v>
      </c>
    </row>
    <row r="112" customFormat="false" ht="12.75" hidden="false" customHeight="false" outlineLevel="0" collapsed="false">
      <c r="G112" s="99" t="str">
        <f aca="false">IF(G$4&gt;0,(IF(F112&lt;&gt;0,F112*G$4/100," ")),IF(F112&lt;&gt;0,F112*G$2/(100+G$2)," "))</f>
        <v> </v>
      </c>
      <c r="H112" s="99" t="str">
        <f aca="false">IF((F112&lt;&gt;0),F112-G112," ")</f>
        <v> </v>
      </c>
    </row>
    <row r="113" customFormat="false" ht="12.75" hidden="false" customHeight="false" outlineLevel="0" collapsed="false">
      <c r="G113" s="99" t="str">
        <f aca="false">IF(G$4&gt;0,(IF(F113&lt;&gt;0,F113*G$4/100," ")),IF(F113&lt;&gt;0,F113*G$2/(100+G$2)," "))</f>
        <v> </v>
      </c>
      <c r="H113" s="99" t="str">
        <f aca="false">IF((F113&lt;&gt;0),F113-G113," ")</f>
        <v> </v>
      </c>
    </row>
    <row r="114" customFormat="false" ht="12.75" hidden="false" customHeight="false" outlineLevel="0" collapsed="false">
      <c r="G114" s="99" t="str">
        <f aca="false">IF(G$4&gt;0,(IF(F114&lt;&gt;0,F114*G$4/100," ")),IF(F114&lt;&gt;0,F114*G$2/(100+G$2)," "))</f>
        <v> </v>
      </c>
      <c r="H114" s="99" t="str">
        <f aca="false">IF((F114&lt;&gt;0),F114-G114," ")</f>
        <v> </v>
      </c>
    </row>
    <row r="115" customFormat="false" ht="12.75" hidden="false" customHeight="false" outlineLevel="0" collapsed="false">
      <c r="G115" s="99" t="str">
        <f aca="false">IF(G$4&gt;0,(IF(F115&lt;&gt;0,F115*G$4/100," ")),IF(F115&lt;&gt;0,F115*G$2/(100+G$2)," "))</f>
        <v> </v>
      </c>
      <c r="H115" s="99" t="str">
        <f aca="false">IF((F115&lt;&gt;0),F115-G115," ")</f>
        <v> </v>
      </c>
    </row>
    <row r="116" customFormat="false" ht="12.75" hidden="false" customHeight="false" outlineLevel="0" collapsed="false">
      <c r="G116" s="99" t="str">
        <f aca="false">IF(G$4&gt;0,(IF(F116&lt;&gt;0,F116*G$4/100," ")),IF(F116&lt;&gt;0,F116*G$2/(100+G$2)," "))</f>
        <v> </v>
      </c>
      <c r="H116" s="99" t="str">
        <f aca="false">IF((F116&lt;&gt;0),F116-G116," ")</f>
        <v> </v>
      </c>
    </row>
    <row r="117" customFormat="false" ht="12.75" hidden="false" customHeight="false" outlineLevel="0" collapsed="false">
      <c r="G117" s="99" t="str">
        <f aca="false">IF(G$4&gt;0,(IF(F117&lt;&gt;0,F117*G$4/100," ")),IF(F117&lt;&gt;0,F117*G$2/(100+G$2)," "))</f>
        <v> </v>
      </c>
      <c r="H117" s="99" t="str">
        <f aca="false">IF((F117&lt;&gt;0),F117-G117," ")</f>
        <v> </v>
      </c>
    </row>
    <row r="118" customFormat="false" ht="12.75" hidden="false" customHeight="false" outlineLevel="0" collapsed="false">
      <c r="G118" s="99" t="str">
        <f aca="false">IF(G$4&gt;0,(IF(F118&lt;&gt;0,F118*G$4/100," ")),IF(F118&lt;&gt;0,F118*G$2/(100+G$2)," "))</f>
        <v> </v>
      </c>
      <c r="H118" s="99" t="str">
        <f aca="false">IF((F118&lt;&gt;0),F118-G118," ")</f>
        <v> </v>
      </c>
    </row>
    <row r="119" customFormat="false" ht="12.75" hidden="false" customHeight="false" outlineLevel="0" collapsed="false">
      <c r="G119" s="99" t="str">
        <f aca="false">IF(G$4&gt;0,(IF(F119&lt;&gt;0,F119*G$4/100," ")),IF(F119&lt;&gt;0,F119*G$2/(100+G$2)," "))</f>
        <v> </v>
      </c>
      <c r="H119" s="99" t="str">
        <f aca="false">IF((F119&lt;&gt;0),F119-G119," ")</f>
        <v> </v>
      </c>
    </row>
    <row r="120" customFormat="false" ht="12.75" hidden="false" customHeight="false" outlineLevel="0" collapsed="false">
      <c r="G120" s="99" t="str">
        <f aca="false">IF(G$4&gt;0,(IF(F120&lt;&gt;0,F120*G$4/100," ")),IF(F120&lt;&gt;0,F120*G$2/(100+G$2)," "))</f>
        <v> </v>
      </c>
      <c r="H120" s="99" t="str">
        <f aca="false">IF((F120&lt;&gt;0),F120-G120," ")</f>
        <v> </v>
      </c>
    </row>
    <row r="121" customFormat="false" ht="12.75" hidden="false" customHeight="false" outlineLevel="0" collapsed="false">
      <c r="G121" s="99" t="str">
        <f aca="false">IF(G$4&gt;0,(IF(F121&lt;&gt;0,F121*G$4/100," ")),IF(F121&lt;&gt;0,F121*G$2/(100+G$2)," "))</f>
        <v> </v>
      </c>
      <c r="H121" s="99" t="str">
        <f aca="false">IF((F121&lt;&gt;0),F121-G121," ")</f>
        <v> </v>
      </c>
    </row>
    <row r="122" customFormat="false" ht="12.75" hidden="false" customHeight="false" outlineLevel="0" collapsed="false">
      <c r="G122" s="99" t="str">
        <f aca="false">IF(G$4&gt;0,(IF(F122&lt;&gt;0,F122*G$4/100," ")),IF(F122&lt;&gt;0,F122*G$2/(100+G$2)," "))</f>
        <v> </v>
      </c>
      <c r="H122" s="99" t="str">
        <f aca="false">IF((F122&lt;&gt;0),F122-G122," ")</f>
        <v> </v>
      </c>
    </row>
    <row r="123" customFormat="false" ht="12.75" hidden="false" customHeight="false" outlineLevel="0" collapsed="false">
      <c r="G123" s="99" t="str">
        <f aca="false">IF(G$4&gt;0,(IF(F123&lt;&gt;0,F123*G$4/100," ")),IF(F123&lt;&gt;0,F123*G$2/(100+G$2)," "))</f>
        <v> </v>
      </c>
      <c r="H123" s="99" t="str">
        <f aca="false">IF((F123&lt;&gt;0),F123-G123," ")</f>
        <v> </v>
      </c>
    </row>
    <row r="124" customFormat="false" ht="12.75" hidden="false" customHeight="false" outlineLevel="0" collapsed="false">
      <c r="G124" s="99" t="str">
        <f aca="false">IF(G$4&gt;0,(IF(F124&lt;&gt;0,F124*G$4/100," ")),IF(F124&lt;&gt;0,F124*G$2/(100+G$2)," "))</f>
        <v> </v>
      </c>
      <c r="H124" s="99" t="str">
        <f aca="false">IF((F124&lt;&gt;0),F124-G124," ")</f>
        <v> </v>
      </c>
    </row>
    <row r="125" customFormat="false" ht="12.75" hidden="false" customHeight="false" outlineLevel="0" collapsed="false">
      <c r="G125" s="99" t="str">
        <f aca="false">IF(G$4&gt;0,(IF(F125&lt;&gt;0,F125*G$4/100," ")),IF(F125&lt;&gt;0,F125*G$2/(100+G$2)," "))</f>
        <v> </v>
      </c>
      <c r="H125" s="99" t="str">
        <f aca="false">IF((F125&lt;&gt;0),F125-G125," ")</f>
        <v> </v>
      </c>
    </row>
    <row r="126" customFormat="false" ht="12.75" hidden="false" customHeight="false" outlineLevel="0" collapsed="false">
      <c r="G126" s="99" t="str">
        <f aca="false">IF(G$4&gt;0,(IF(F126&lt;&gt;0,F126*G$4/100," ")),IF(F126&lt;&gt;0,F126*G$2/(100+G$2)," "))</f>
        <v> </v>
      </c>
      <c r="H126" s="99" t="str">
        <f aca="false">IF((F126&lt;&gt;0),F126-G126," ")</f>
        <v> </v>
      </c>
    </row>
    <row r="127" customFormat="false" ht="12.75" hidden="false" customHeight="false" outlineLevel="0" collapsed="false">
      <c r="G127" s="99" t="str">
        <f aca="false">IF(G$4&gt;0,(IF(F127&lt;&gt;0,F127*G$4/100," ")),IF(F127&lt;&gt;0,F127*G$2/(100+G$2)," "))</f>
        <v> </v>
      </c>
      <c r="H127" s="99" t="str">
        <f aca="false">IF((F127&lt;&gt;0),F127-G127," ")</f>
        <v> </v>
      </c>
    </row>
    <row r="128" customFormat="false" ht="12.75" hidden="false" customHeight="false" outlineLevel="0" collapsed="false">
      <c r="G128" s="99" t="str">
        <f aca="false">IF(G$4&gt;0,(IF(F128&lt;&gt;0,F128*G$4/100," ")),IF(F128&lt;&gt;0,F128*G$2/(100+G$2)," "))</f>
        <v> </v>
      </c>
      <c r="H128" s="99" t="str">
        <f aca="false">IF((F128&lt;&gt;0),F128-G128," ")</f>
        <v> </v>
      </c>
    </row>
    <row r="129" customFormat="false" ht="12.75" hidden="false" customHeight="false" outlineLevel="0" collapsed="false">
      <c r="G129" s="99" t="str">
        <f aca="false">IF(G$4&gt;0,(IF(F129&lt;&gt;0,F129*G$4/100," ")),IF(F129&lt;&gt;0,F129*G$2/(100+G$2)," "))</f>
        <v> </v>
      </c>
      <c r="H129" s="99" t="str">
        <f aca="false">IF((F129&lt;&gt;0),F129-G129," ")</f>
        <v> </v>
      </c>
    </row>
    <row r="130" customFormat="false" ht="12.75" hidden="false" customHeight="false" outlineLevel="0" collapsed="false">
      <c r="G130" s="99" t="str">
        <f aca="false">IF(G$4&gt;0,(IF(F130&lt;&gt;0,F130*G$4/100," ")),IF(F130&lt;&gt;0,F130*G$2/(100+G$2)," "))</f>
        <v> </v>
      </c>
      <c r="H130" s="99" t="str">
        <f aca="false">IF((F130&lt;&gt;0),F130-G130," ")</f>
        <v> </v>
      </c>
    </row>
    <row r="131" customFormat="false" ht="12.75" hidden="false" customHeight="false" outlineLevel="0" collapsed="false">
      <c r="G131" s="99" t="str">
        <f aca="false">IF(G$4&gt;0,(IF(F131&lt;&gt;0,F131*G$4/100," ")),IF(F131&lt;&gt;0,F131*G$2/(100+G$2)," "))</f>
        <v> </v>
      </c>
      <c r="H131" s="99" t="str">
        <f aca="false">IF((F131&lt;&gt;0),F131-G131," ")</f>
        <v> </v>
      </c>
    </row>
    <row r="132" customFormat="false" ht="12.75" hidden="false" customHeight="false" outlineLevel="0" collapsed="false">
      <c r="G132" s="99" t="str">
        <f aca="false">IF(G$4&gt;0,(IF(F132&lt;&gt;0,F132*G$4/100," ")),IF(F132&lt;&gt;0,F132*G$2/(100+G$2)," "))</f>
        <v> </v>
      </c>
      <c r="H132" s="99" t="str">
        <f aca="false">IF((F132&lt;&gt;0),F132-G132," ")</f>
        <v> </v>
      </c>
    </row>
    <row r="133" customFormat="false" ht="12.75" hidden="false" customHeight="false" outlineLevel="0" collapsed="false">
      <c r="G133" s="99" t="str">
        <f aca="false">IF(G$4&gt;0,(IF(F133&lt;&gt;0,F133*G$4/100," ")),IF(F133&lt;&gt;0,F133*G$2/(100+G$2)," "))</f>
        <v> </v>
      </c>
      <c r="H133" s="99" t="str">
        <f aca="false">IF((F133&lt;&gt;0),F133-G133," ")</f>
        <v> </v>
      </c>
    </row>
    <row r="134" customFormat="false" ht="12.75" hidden="false" customHeight="false" outlineLevel="0" collapsed="false">
      <c r="G134" s="99" t="str">
        <f aca="false">IF(G$4&gt;0,(IF(F134&lt;&gt;0,F134*G$4/100," ")),IF(F134&lt;&gt;0,F134*G$2/(100+G$2)," "))</f>
        <v> </v>
      </c>
      <c r="H134" s="99" t="str">
        <f aca="false">IF((F134&lt;&gt;0),F134-G134," ")</f>
        <v> </v>
      </c>
    </row>
    <row r="135" customFormat="false" ht="12.75" hidden="false" customHeight="false" outlineLevel="0" collapsed="false">
      <c r="G135" s="99" t="str">
        <f aca="false">IF(G$4&gt;0,(IF(F135&lt;&gt;0,F135*G$4/100," ")),IF(F135&lt;&gt;0,F135*G$2/(100+G$2)," "))</f>
        <v> </v>
      </c>
      <c r="H135" s="99" t="str">
        <f aca="false">IF((F135&lt;&gt;0),F135-G135," ")</f>
        <v> </v>
      </c>
    </row>
    <row r="136" customFormat="false" ht="12.75" hidden="false" customHeight="false" outlineLevel="0" collapsed="false">
      <c r="G136" s="99" t="str">
        <f aca="false">IF(G$4&gt;0,(IF(F136&lt;&gt;0,F136*G$4/100," ")),IF(F136&lt;&gt;0,F136*G$2/(100+G$2)," "))</f>
        <v> </v>
      </c>
      <c r="H136" s="99" t="str">
        <f aca="false">IF((F136&lt;&gt;0),F136-G136," ")</f>
        <v> </v>
      </c>
    </row>
    <row r="137" customFormat="false" ht="12.75" hidden="false" customHeight="false" outlineLevel="0" collapsed="false">
      <c r="G137" s="99" t="str">
        <f aca="false">IF(G$4&gt;0,(IF(F137&lt;&gt;0,F137*G$4/100," ")),IF(F137&lt;&gt;0,F137*G$2/(100+G$2)," "))</f>
        <v> </v>
      </c>
      <c r="H137" s="99" t="str">
        <f aca="false">IF((F137&lt;&gt;0),F137-G137," ")</f>
        <v> </v>
      </c>
    </row>
    <row r="138" customFormat="false" ht="12.75" hidden="false" customHeight="false" outlineLevel="0" collapsed="false">
      <c r="G138" s="99" t="str">
        <f aca="false">IF(G$4&gt;0,(IF(F138&lt;&gt;0,F138*G$4/100," ")),IF(F138&lt;&gt;0,F138*G$2/(100+G$2)," "))</f>
        <v> </v>
      </c>
      <c r="H138" s="99" t="str">
        <f aca="false">IF((F138&lt;&gt;0),F138-G138," ")</f>
        <v> </v>
      </c>
    </row>
    <row r="139" customFormat="false" ht="12.75" hidden="false" customHeight="false" outlineLevel="0" collapsed="false">
      <c r="G139" s="99" t="str">
        <f aca="false">IF(G$4&gt;0,(IF(F139&lt;&gt;0,F139*G$4/100," ")),IF(F139&lt;&gt;0,F139*G$2/(100+G$2)," "))</f>
        <v> </v>
      </c>
      <c r="H139" s="99" t="str">
        <f aca="false">IF((F139&lt;&gt;0),F139-G139," ")</f>
        <v> </v>
      </c>
    </row>
    <row r="140" customFormat="false" ht="12.75" hidden="false" customHeight="false" outlineLevel="0" collapsed="false">
      <c r="G140" s="99" t="str">
        <f aca="false">IF(G$4&gt;0,(IF(F140&lt;&gt;0,F140*G$4/100," ")),IF(F140&lt;&gt;0,F140*G$2/(100+G$2)," "))</f>
        <v> </v>
      </c>
      <c r="H140" s="99" t="str">
        <f aca="false">IF((F140&lt;&gt;0),F140-G140," ")</f>
        <v> </v>
      </c>
    </row>
    <row r="141" customFormat="false" ht="12.75" hidden="false" customHeight="false" outlineLevel="0" collapsed="false">
      <c r="G141" s="99" t="str">
        <f aca="false">IF(G$4&gt;0,(IF(F141&lt;&gt;0,F141*G$4/100," ")),IF(F141&lt;&gt;0,F141*G$2/(100+G$2)," "))</f>
        <v> </v>
      </c>
      <c r="H141" s="99" t="str">
        <f aca="false">IF((F141&lt;&gt;0),F141-G141," ")</f>
        <v> </v>
      </c>
    </row>
    <row r="142" customFormat="false" ht="12.75" hidden="false" customHeight="false" outlineLevel="0" collapsed="false">
      <c r="G142" s="99" t="str">
        <f aca="false">IF(G$4&gt;0,(IF(F142&lt;&gt;0,F142*G$4/100," ")),IF(F142&lt;&gt;0,F142*G$2/(100+G$2)," "))</f>
        <v> </v>
      </c>
      <c r="H142" s="99" t="str">
        <f aca="false">IF((F142&lt;&gt;0),F142-G142," ")</f>
        <v> </v>
      </c>
    </row>
    <row r="143" customFormat="false" ht="12.75" hidden="false" customHeight="false" outlineLevel="0" collapsed="false">
      <c r="G143" s="99" t="str">
        <f aca="false">IF(G$4&gt;0,(IF(F143&lt;&gt;0,F143*G$4/100," ")),IF(F143&lt;&gt;0,F143*G$2/(100+G$2)," "))</f>
        <v> </v>
      </c>
      <c r="H143" s="99" t="str">
        <f aca="false">IF((F143&lt;&gt;0),F143-G143," ")</f>
        <v> </v>
      </c>
    </row>
    <row r="144" customFormat="false" ht="12.75" hidden="false" customHeight="false" outlineLevel="0" collapsed="false">
      <c r="G144" s="99" t="str">
        <f aca="false">IF(G$4&gt;0,(IF(F144&lt;&gt;0,F144*G$4/100," ")),IF(F144&lt;&gt;0,F144*G$2/(100+G$2)," "))</f>
        <v> </v>
      </c>
      <c r="H144" s="99" t="str">
        <f aca="false">IF((F144&lt;&gt;0),F144-G144," ")</f>
        <v> </v>
      </c>
    </row>
    <row r="145" customFormat="false" ht="12.75" hidden="false" customHeight="false" outlineLevel="0" collapsed="false">
      <c r="G145" s="99" t="str">
        <f aca="false">IF(G$4&gt;0,(IF(F145&lt;&gt;0,F145*G$4/100," ")),IF(F145&lt;&gt;0,F145*G$2/(100+G$2)," "))</f>
        <v> </v>
      </c>
      <c r="H145" s="99" t="str">
        <f aca="false">IF((F145&lt;&gt;0),F145-G145," ")</f>
        <v> </v>
      </c>
    </row>
    <row r="146" customFormat="false" ht="12.75" hidden="false" customHeight="false" outlineLevel="0" collapsed="false">
      <c r="G146" s="99" t="str">
        <f aca="false">IF(G$4&gt;0,(IF(F146&lt;&gt;0,F146*G$4/100," ")),IF(F146&lt;&gt;0,F146*G$2/(100+G$2)," "))</f>
        <v> </v>
      </c>
      <c r="H146" s="99" t="str">
        <f aca="false">IF((F146&lt;&gt;0),F146-G146," ")</f>
        <v> </v>
      </c>
    </row>
    <row r="147" customFormat="false" ht="12.75" hidden="false" customHeight="false" outlineLevel="0" collapsed="false">
      <c r="G147" s="99" t="str">
        <f aca="false">IF(G$4&gt;0,(IF(F147&lt;&gt;0,F147*G$4/100," ")),IF(F147&lt;&gt;0,F147*G$2/(100+G$2)," "))</f>
        <v> </v>
      </c>
      <c r="H147" s="99" t="str">
        <f aca="false">IF((F147&lt;&gt;0),F147-G147," ")</f>
        <v> </v>
      </c>
    </row>
    <row r="148" customFormat="false" ht="12.75" hidden="false" customHeight="false" outlineLevel="0" collapsed="false">
      <c r="G148" s="99" t="str">
        <f aca="false">IF(G$4&gt;0,(IF(F148&lt;&gt;0,F148*G$4/100," ")),IF(F148&lt;&gt;0,F148*G$2/(100+G$2)," "))</f>
        <v> </v>
      </c>
      <c r="H148" s="99" t="str">
        <f aca="false">IF((F148&lt;&gt;0),F148-G148," ")</f>
        <v> </v>
      </c>
    </row>
    <row r="149" customFormat="false" ht="12.75" hidden="false" customHeight="false" outlineLevel="0" collapsed="false">
      <c r="G149" s="99" t="str">
        <f aca="false">IF(G$4&gt;0,(IF(F149&lt;&gt;0,F149*G$4/100," ")),IF(F149&lt;&gt;0,F149*G$2/(100+G$2)," "))</f>
        <v> </v>
      </c>
      <c r="H149" s="99" t="str">
        <f aca="false">IF((F149&lt;&gt;0),F149-G149," ")</f>
        <v> </v>
      </c>
    </row>
    <row r="150" customFormat="false" ht="12.75" hidden="false" customHeight="false" outlineLevel="0" collapsed="false">
      <c r="G150" s="99" t="str">
        <f aca="false">IF(G$4&gt;0,(IF(F150&lt;&gt;0,F150*G$4/100," ")),IF(F150&lt;&gt;0,F150*G$2/(100+G$2)," "))</f>
        <v> </v>
      </c>
      <c r="H150" s="99" t="str">
        <f aca="false">IF((F150&lt;&gt;0),F150-G150," ")</f>
        <v> </v>
      </c>
    </row>
    <row r="151" customFormat="false" ht="12.75" hidden="false" customHeight="false" outlineLevel="0" collapsed="false">
      <c r="G151" s="99" t="str">
        <f aca="false">IF(G$4&gt;0,(IF(F151&lt;&gt;0,F151*G$4/100," ")),IF(F151&lt;&gt;0,F151*G$2/(100+G$2)," "))</f>
        <v> </v>
      </c>
      <c r="H151" s="99" t="str">
        <f aca="false">IF((F151&lt;&gt;0),F151-G151," ")</f>
        <v> </v>
      </c>
    </row>
    <row r="152" customFormat="false" ht="12.75" hidden="false" customHeight="false" outlineLevel="0" collapsed="false">
      <c r="G152" s="99" t="str">
        <f aca="false">IF(G$4&gt;0,(IF(F152&lt;&gt;0,F152*G$4/100," ")),IF(F152&lt;&gt;0,F152*G$2/(100+G$2)," "))</f>
        <v> </v>
      </c>
      <c r="H152" s="99" t="str">
        <f aca="false">IF((F152&lt;&gt;0),F152-G152," ")</f>
        <v> </v>
      </c>
    </row>
    <row r="153" customFormat="false" ht="12.75" hidden="false" customHeight="false" outlineLevel="0" collapsed="false">
      <c r="G153" s="99" t="str">
        <f aca="false">IF(G$4&gt;0,(IF(F153&lt;&gt;0,F153*G$4/100," ")),IF(F153&lt;&gt;0,F153*G$2/(100+G$2)," "))</f>
        <v> </v>
      </c>
      <c r="H153" s="99" t="str">
        <f aca="false">IF((F153&lt;&gt;0),F153-G153," ")</f>
        <v> </v>
      </c>
    </row>
    <row r="154" customFormat="false" ht="12.75" hidden="false" customHeight="false" outlineLevel="0" collapsed="false">
      <c r="G154" s="99" t="str">
        <f aca="false">IF(G$4&gt;0,(IF(F154&lt;&gt;0,F154*G$4/100," ")),IF(F154&lt;&gt;0,F154*G$2/(100+G$2)," "))</f>
        <v> </v>
      </c>
      <c r="H154" s="99" t="str">
        <f aca="false">IF((F154&lt;&gt;0),F154-G154," ")</f>
        <v> </v>
      </c>
    </row>
    <row r="155" customFormat="false" ht="12.75" hidden="false" customHeight="false" outlineLevel="0" collapsed="false">
      <c r="G155" s="99" t="str">
        <f aca="false">IF(G$4&gt;0,(IF(F155&lt;&gt;0,F155*G$4/100," ")),IF(F155&lt;&gt;0,F155*G$2/(100+G$2)," "))</f>
        <v> </v>
      </c>
      <c r="H155" s="99" t="str">
        <f aca="false">IF((F155&lt;&gt;0),F155-G155," ")</f>
        <v> </v>
      </c>
    </row>
    <row r="156" customFormat="false" ht="12.75" hidden="false" customHeight="false" outlineLevel="0" collapsed="false">
      <c r="G156" s="99" t="str">
        <f aca="false">IF(G$4&gt;0,(IF(F156&lt;&gt;0,F156*G$4/100," ")),IF(F156&lt;&gt;0,F156*G$2/(100+G$2)," "))</f>
        <v> </v>
      </c>
      <c r="H156" s="99" t="str">
        <f aca="false">IF((F156&lt;&gt;0),F156-G156," ")</f>
        <v> </v>
      </c>
    </row>
    <row r="157" customFormat="false" ht="12.75" hidden="false" customHeight="false" outlineLevel="0" collapsed="false">
      <c r="G157" s="99" t="str">
        <f aca="false">IF(G$4&gt;0,(IF(F157&lt;&gt;0,F157*G$4/100," ")),IF(F157&lt;&gt;0,F157*G$2/(100+G$2)," "))</f>
        <v> </v>
      </c>
      <c r="H157" s="99" t="str">
        <f aca="false">IF((F157&lt;&gt;0),F157-G157," ")</f>
        <v> </v>
      </c>
    </row>
    <row r="158" customFormat="false" ht="12.75" hidden="false" customHeight="false" outlineLevel="0" collapsed="false">
      <c r="G158" s="99" t="str">
        <f aca="false">IF(G$4&gt;0,(IF(F158&lt;&gt;0,F158*G$4/100," ")),IF(F158&lt;&gt;0,F158*G$2/(100+G$2)," "))</f>
        <v> </v>
      </c>
      <c r="H158" s="99" t="str">
        <f aca="false">IF((F158&lt;&gt;0),F158-G158," ")</f>
        <v> </v>
      </c>
    </row>
    <row r="159" customFormat="false" ht="12.75" hidden="false" customHeight="false" outlineLevel="0" collapsed="false">
      <c r="G159" s="99" t="str">
        <f aca="false">IF(G$4&gt;0,(IF(F159&lt;&gt;0,F159*G$4/100," ")),IF(F159&lt;&gt;0,F159*G$2/(100+G$2)," "))</f>
        <v> </v>
      </c>
      <c r="H159" s="99" t="str">
        <f aca="false">IF((F159&lt;&gt;0),F159-G159," ")</f>
        <v> </v>
      </c>
    </row>
    <row r="160" customFormat="false" ht="12.75" hidden="false" customHeight="false" outlineLevel="0" collapsed="false">
      <c r="G160" s="99" t="str">
        <f aca="false">IF(G$4&gt;0,(IF(F160&lt;&gt;0,F160*G$4/100," ")),IF(F160&lt;&gt;0,F160*G$2/(100+G$2)," "))</f>
        <v> </v>
      </c>
      <c r="H160" s="99" t="str">
        <f aca="false">IF((F160&lt;&gt;0),F160-G160," ")</f>
        <v> </v>
      </c>
    </row>
    <row r="161" customFormat="false" ht="12.75" hidden="false" customHeight="false" outlineLevel="0" collapsed="false">
      <c r="G161" s="99" t="str">
        <f aca="false">IF(G$4&gt;0,(IF(F161&lt;&gt;0,F161*G$4/100," ")),IF(F161&lt;&gt;0,F161*G$2/(100+G$2)," "))</f>
        <v> </v>
      </c>
      <c r="H161" s="99" t="str">
        <f aca="false">IF((F161&lt;&gt;0),F161-G161," ")</f>
        <v> </v>
      </c>
    </row>
    <row r="162" customFormat="false" ht="12.75" hidden="false" customHeight="false" outlineLevel="0" collapsed="false">
      <c r="G162" s="99" t="str">
        <f aca="false">IF(G$4&gt;0,(IF(F162&lt;&gt;0,F162*G$4/100," ")),IF(F162&lt;&gt;0,F162*G$2/(100+G$2)," "))</f>
        <v> </v>
      </c>
      <c r="H162" s="99" t="str">
        <f aca="false">IF((F162&lt;&gt;0),F162-G162," ")</f>
        <v> </v>
      </c>
    </row>
    <row r="163" customFormat="false" ht="12.75" hidden="false" customHeight="false" outlineLevel="0" collapsed="false">
      <c r="G163" s="99" t="str">
        <f aca="false">IF(G$4&gt;0,(IF(F163&lt;&gt;0,F163*G$4/100," ")),IF(F163&lt;&gt;0,F163*G$2/(100+G$2)," "))</f>
        <v> </v>
      </c>
      <c r="H163" s="99" t="str">
        <f aca="false">IF((F163&lt;&gt;0),F163-G163," ")</f>
        <v> </v>
      </c>
    </row>
    <row r="164" customFormat="false" ht="12.75" hidden="false" customHeight="false" outlineLevel="0" collapsed="false">
      <c r="G164" s="99" t="str">
        <f aca="false">IF(G$4&gt;0,(IF(F164&lt;&gt;0,F164*G$4/100," ")),IF(F164&lt;&gt;0,F164*G$2/(100+G$2)," "))</f>
        <v> </v>
      </c>
      <c r="H164" s="99" t="str">
        <f aca="false">IF((F164&lt;&gt;0),F164-G164," ")</f>
        <v> </v>
      </c>
    </row>
    <row r="165" customFormat="false" ht="12.75" hidden="false" customHeight="false" outlineLevel="0" collapsed="false">
      <c r="G165" s="99" t="str">
        <f aca="false">IF(G$4&gt;0,(IF(F165&lt;&gt;0,F165*G$4/100," ")),IF(F165&lt;&gt;0,F165*G$2/(100+G$2)," "))</f>
        <v> </v>
      </c>
      <c r="H165" s="99" t="str">
        <f aca="false">IF((F165&lt;&gt;0),F165-G165," ")</f>
        <v> </v>
      </c>
    </row>
    <row r="166" customFormat="false" ht="12.75" hidden="false" customHeight="false" outlineLevel="0" collapsed="false">
      <c r="G166" s="99" t="str">
        <f aca="false">IF(G$4&gt;0,(IF(F166&lt;&gt;0,F166*G$4/100," ")),IF(F166&lt;&gt;0,F166*G$2/(100+G$2)," "))</f>
        <v> </v>
      </c>
      <c r="H166" s="99" t="str">
        <f aca="false">IF((F166&lt;&gt;0),F166-G166," ")</f>
        <v> </v>
      </c>
    </row>
    <row r="167" customFormat="false" ht="12.75" hidden="false" customHeight="false" outlineLevel="0" collapsed="false">
      <c r="G167" s="99" t="str">
        <f aca="false">IF(G$4&gt;0,(IF(F167&lt;&gt;0,F167*G$4/100," ")),IF(F167&lt;&gt;0,F167*G$2/(100+G$2)," "))</f>
        <v> </v>
      </c>
      <c r="H167" s="99" t="str">
        <f aca="false">IF((F167&lt;&gt;0),F167-G167," ")</f>
        <v> </v>
      </c>
    </row>
    <row r="168" customFormat="false" ht="12.75" hidden="false" customHeight="false" outlineLevel="0" collapsed="false">
      <c r="G168" s="99" t="str">
        <f aca="false">IF(G$4&gt;0,(IF(F168&lt;&gt;0,F168*G$4/100," ")),IF(F168&lt;&gt;0,F168*G$2/(100+G$2)," "))</f>
        <v> </v>
      </c>
      <c r="H168" s="99" t="str">
        <f aca="false">IF((F168&lt;&gt;0),F168-G168," ")</f>
        <v> </v>
      </c>
    </row>
    <row r="169" customFormat="false" ht="12.75" hidden="false" customHeight="false" outlineLevel="0" collapsed="false">
      <c r="G169" s="99" t="str">
        <f aca="false">IF(G$4&gt;0,(IF(F169&lt;&gt;0,F169*G$4/100," ")),IF(F169&lt;&gt;0,F169*G$2/(100+G$2)," "))</f>
        <v> </v>
      </c>
      <c r="H169" s="99" t="str">
        <f aca="false">IF((F169&lt;&gt;0),F169-G169," ")</f>
        <v> </v>
      </c>
    </row>
    <row r="170" customFormat="false" ht="12.75" hidden="false" customHeight="false" outlineLevel="0" collapsed="false">
      <c r="G170" s="99" t="str">
        <f aca="false">IF(G$4&gt;0,(IF(F170&lt;&gt;0,F170*G$4/100," ")),IF(F170&lt;&gt;0,F170*G$2/(100+G$2)," "))</f>
        <v> </v>
      </c>
      <c r="H170" s="99" t="str">
        <f aca="false">IF((F170&lt;&gt;0),F170-G170," ")</f>
        <v> </v>
      </c>
    </row>
    <row r="171" customFormat="false" ht="12.75" hidden="false" customHeight="false" outlineLevel="0" collapsed="false">
      <c r="G171" s="99" t="str">
        <f aca="false">IF(G$4&gt;0,(IF(F171&lt;&gt;0,F171*G$4/100," ")),IF(F171&lt;&gt;0,F171*G$2/(100+G$2)," "))</f>
        <v> </v>
      </c>
      <c r="H171" s="99" t="str">
        <f aca="false">IF((F171&lt;&gt;0),F171-G171," ")</f>
        <v> </v>
      </c>
    </row>
    <row r="172" customFormat="false" ht="12.75" hidden="false" customHeight="false" outlineLevel="0" collapsed="false">
      <c r="G172" s="99" t="str">
        <f aca="false">IF(G$4&gt;0,(IF(F172&lt;&gt;0,F172*G$4/100," ")),IF(F172&lt;&gt;0,F172*G$2/(100+G$2)," "))</f>
        <v> </v>
      </c>
      <c r="H172" s="99" t="str">
        <f aca="false">IF((F172&lt;&gt;0),F172-G172," ")</f>
        <v> </v>
      </c>
    </row>
    <row r="173" customFormat="false" ht="12.75" hidden="false" customHeight="false" outlineLevel="0" collapsed="false">
      <c r="G173" s="99" t="str">
        <f aca="false">IF(G$4&gt;0,(IF(F173&lt;&gt;0,F173*G$4/100," ")),IF(F173&lt;&gt;0,F173*G$2/(100+G$2)," "))</f>
        <v> </v>
      </c>
      <c r="H173" s="99" t="str">
        <f aca="false">IF((F173&lt;&gt;0),F173-G173," ")</f>
        <v> </v>
      </c>
    </row>
    <row r="174" customFormat="false" ht="12.75" hidden="false" customHeight="false" outlineLevel="0" collapsed="false">
      <c r="G174" s="99" t="str">
        <f aca="false">IF(G$4&gt;0,(IF(F174&lt;&gt;0,F174*G$4/100," ")),IF(F174&lt;&gt;0,F174*G$2/(100+G$2)," "))</f>
        <v> </v>
      </c>
      <c r="H174" s="99" t="str">
        <f aca="false">IF((F174&lt;&gt;0),F174-G174," ")</f>
        <v> </v>
      </c>
    </row>
    <row r="175" customFormat="false" ht="12.75" hidden="false" customHeight="false" outlineLevel="0" collapsed="false">
      <c r="G175" s="99" t="str">
        <f aca="false">IF(G$4&gt;0,(IF(F175&lt;&gt;0,F175*G$4/100," ")),IF(F175&lt;&gt;0,F175*G$2/(100+G$2)," "))</f>
        <v> </v>
      </c>
      <c r="H175" s="99" t="str">
        <f aca="false">IF((F175&lt;&gt;0),F175-G175," ")</f>
        <v> </v>
      </c>
    </row>
    <row r="176" customFormat="false" ht="12.75" hidden="false" customHeight="false" outlineLevel="0" collapsed="false">
      <c r="G176" s="99" t="str">
        <f aca="false">IF(G$4&gt;0,(IF(F176&lt;&gt;0,F176*G$4/100," ")),IF(F176&lt;&gt;0,F176*G$2/(100+G$2)," "))</f>
        <v> </v>
      </c>
      <c r="H176" s="99" t="str">
        <f aca="false">IF((F176&lt;&gt;0),F176-G176," ")</f>
        <v> </v>
      </c>
    </row>
    <row r="177" customFormat="false" ht="12.75" hidden="false" customHeight="false" outlineLevel="0" collapsed="false">
      <c r="G177" s="99" t="str">
        <f aca="false">IF(G$4&gt;0,(IF(F177&lt;&gt;0,F177*G$4/100," ")),IF(F177&lt;&gt;0,F177*G$2/(100+G$2)," "))</f>
        <v> </v>
      </c>
      <c r="H177" s="99" t="str">
        <f aca="false">IF((F177&lt;&gt;0),F177-G177," ")</f>
        <v> </v>
      </c>
    </row>
    <row r="178" customFormat="false" ht="12.75" hidden="false" customHeight="false" outlineLevel="0" collapsed="false">
      <c r="G178" s="99" t="str">
        <f aca="false">IF(G$4&gt;0,(IF(F178&lt;&gt;0,F178*G$4/100," ")),IF(F178&lt;&gt;0,F178*G$2/(100+G$2)," "))</f>
        <v> </v>
      </c>
      <c r="H178" s="99" t="str">
        <f aca="false">IF((F178&lt;&gt;0),F178-G178," ")</f>
        <v> </v>
      </c>
    </row>
    <row r="179" customFormat="false" ht="12.75" hidden="false" customHeight="false" outlineLevel="0" collapsed="false">
      <c r="G179" s="99" t="str">
        <f aca="false">IF(G$4&gt;0,(IF(F179&lt;&gt;0,F179*G$4/100," ")),IF(F179&lt;&gt;0,F179*G$2/(100+G$2)," "))</f>
        <v> </v>
      </c>
      <c r="H179" s="99" t="str">
        <f aca="false">IF((F179&lt;&gt;0),F179-G179," ")</f>
        <v> </v>
      </c>
    </row>
    <row r="180" customFormat="false" ht="12.75" hidden="false" customHeight="false" outlineLevel="0" collapsed="false">
      <c r="G180" s="99" t="str">
        <f aca="false">IF(G$4&gt;0,(IF(F180&lt;&gt;0,F180*G$4/100," ")),IF(F180&lt;&gt;0,F180*G$2/(100+G$2)," "))</f>
        <v> </v>
      </c>
      <c r="H180" s="99" t="str">
        <f aca="false">IF((F180&lt;&gt;0),F180-G180," ")</f>
        <v> </v>
      </c>
    </row>
    <row r="181" customFormat="false" ht="12.75" hidden="false" customHeight="false" outlineLevel="0" collapsed="false">
      <c r="G181" s="99" t="str">
        <f aca="false">IF(G$4&gt;0,(IF(F181&lt;&gt;0,F181*G$4/100," ")),IF(F181&lt;&gt;0,F181*G$2/(100+G$2)," "))</f>
        <v> </v>
      </c>
      <c r="H181" s="99" t="str">
        <f aca="false">IF((F181&lt;&gt;0),F181-G181," ")</f>
        <v> </v>
      </c>
    </row>
    <row r="182" customFormat="false" ht="12.75" hidden="false" customHeight="false" outlineLevel="0" collapsed="false">
      <c r="G182" s="99" t="str">
        <f aca="false">IF(G$4&gt;0,(IF(F182&lt;&gt;0,F182*G$4/100," ")),IF(F182&lt;&gt;0,F182*G$2/(100+G$2)," "))</f>
        <v> </v>
      </c>
      <c r="H182" s="99" t="str">
        <f aca="false">IF((F182&lt;&gt;0),F182-G182," ")</f>
        <v> </v>
      </c>
    </row>
    <row r="183" customFormat="false" ht="12.75" hidden="false" customHeight="false" outlineLevel="0" collapsed="false">
      <c r="G183" s="99" t="str">
        <f aca="false">IF(G$4&gt;0,(IF(F183&lt;&gt;0,F183*G$4/100," ")),IF(F183&lt;&gt;0,F183*G$2/(100+G$2)," "))</f>
        <v> </v>
      </c>
      <c r="H183" s="99" t="str">
        <f aca="false">IF((F183&lt;&gt;0),F183-G183," ")</f>
        <v> </v>
      </c>
    </row>
    <row r="184" customFormat="false" ht="12.75" hidden="false" customHeight="false" outlineLevel="0" collapsed="false">
      <c r="G184" s="99" t="str">
        <f aca="false">IF(G$4&gt;0,(IF(F184&lt;&gt;0,F184*G$4/100," ")),IF(F184&lt;&gt;0,F184*G$2/(100+G$2)," "))</f>
        <v> </v>
      </c>
      <c r="H184" s="99" t="str">
        <f aca="false">IF((F184&lt;&gt;0),F184-G184," ")</f>
        <v> </v>
      </c>
    </row>
    <row r="185" customFormat="false" ht="12.75" hidden="false" customHeight="false" outlineLevel="0" collapsed="false">
      <c r="G185" s="99" t="str">
        <f aca="false">IF(G$4&gt;0,(IF(F185&lt;&gt;0,F185*G$4/100," ")),IF(F185&lt;&gt;0,F185*G$2/(100+G$2)," "))</f>
        <v> </v>
      </c>
      <c r="H185" s="99" t="str">
        <f aca="false">IF((F185&lt;&gt;0),F185-G185," ")</f>
        <v> </v>
      </c>
    </row>
    <row r="186" customFormat="false" ht="12.75" hidden="false" customHeight="false" outlineLevel="0" collapsed="false">
      <c r="G186" s="99" t="str">
        <f aca="false">IF(G$4&gt;0,(IF(F186&lt;&gt;0,F186*G$4/100," ")),IF(F186&lt;&gt;0,F186*G$2/(100+G$2)," "))</f>
        <v> </v>
      </c>
      <c r="H186" s="99" t="str">
        <f aca="false">IF((F186&lt;&gt;0),F186-G186," ")</f>
        <v> </v>
      </c>
    </row>
    <row r="187" customFormat="false" ht="12.75" hidden="false" customHeight="false" outlineLevel="0" collapsed="false">
      <c r="G187" s="99" t="str">
        <f aca="false">IF(G$4&gt;0,(IF(F187&lt;&gt;0,F187*G$4/100," ")),IF(F187&lt;&gt;0,F187*G$2/(100+G$2)," "))</f>
        <v> </v>
      </c>
      <c r="H187" s="99" t="str">
        <f aca="false">IF((F187&lt;&gt;0),F187-G187," ")</f>
        <v> </v>
      </c>
    </row>
    <row r="188" customFormat="false" ht="12.75" hidden="false" customHeight="false" outlineLevel="0" collapsed="false">
      <c r="G188" s="99" t="str">
        <f aca="false">IF(G$4&gt;0,(IF(F188&lt;&gt;0,F188*G$4/100," ")),IF(F188&lt;&gt;0,F188*G$2/(100+G$2)," "))</f>
        <v> </v>
      </c>
      <c r="H188" s="99" t="str">
        <f aca="false">IF((F188&lt;&gt;0),F188-G188," ")</f>
        <v> </v>
      </c>
    </row>
    <row r="189" customFormat="false" ht="12.75" hidden="false" customHeight="false" outlineLevel="0" collapsed="false">
      <c r="G189" s="99" t="str">
        <f aca="false">IF(G$4&gt;0,(IF(F189&lt;&gt;0,F189*G$4/100," ")),IF(F189&lt;&gt;0,F189*G$2/(100+G$2)," "))</f>
        <v> </v>
      </c>
      <c r="H189" s="99" t="str">
        <f aca="false">IF((F189&lt;&gt;0),F189-G189," ")</f>
        <v> </v>
      </c>
    </row>
    <row r="190" customFormat="false" ht="12.75" hidden="false" customHeight="false" outlineLevel="0" collapsed="false">
      <c r="G190" s="99" t="str">
        <f aca="false">IF(G$4&gt;0,(IF(F190&lt;&gt;0,F190*G$4/100," ")),IF(F190&lt;&gt;0,F190*G$2/(100+G$2)," "))</f>
        <v> </v>
      </c>
      <c r="H190" s="99" t="str">
        <f aca="false">IF((F190&lt;&gt;0),F190-G190," ")</f>
        <v> </v>
      </c>
    </row>
    <row r="191" customFormat="false" ht="12.75" hidden="false" customHeight="false" outlineLevel="0" collapsed="false">
      <c r="G191" s="99" t="str">
        <f aca="false">IF(G$4&gt;0,(IF(F191&lt;&gt;0,F191*G$4/100," ")),IF(F191&lt;&gt;0,F191*G$2/(100+G$2)," "))</f>
        <v> </v>
      </c>
      <c r="H191" s="99" t="str">
        <f aca="false">IF((F191&lt;&gt;0),F191-G191," ")</f>
        <v> </v>
      </c>
    </row>
    <row r="192" customFormat="false" ht="12.75" hidden="false" customHeight="false" outlineLevel="0" collapsed="false">
      <c r="G192" s="99" t="str">
        <f aca="false">IF(G$4&gt;0,(IF(F192&lt;&gt;0,F192*G$4/100," ")),IF(F192&lt;&gt;0,F192*G$2/(100+G$2)," "))</f>
        <v> </v>
      </c>
      <c r="H192" s="99" t="str">
        <f aca="false">IF((F192&lt;&gt;0),F192-G192," ")</f>
        <v> </v>
      </c>
    </row>
    <row r="193" customFormat="false" ht="12.75" hidden="false" customHeight="false" outlineLevel="0" collapsed="false">
      <c r="G193" s="99" t="str">
        <f aca="false">IF(G$4&gt;0,(IF(F193&lt;&gt;0,F193*G$4/100," ")),IF(F193&lt;&gt;0,F193*G$2/(100+G$2)," "))</f>
        <v> </v>
      </c>
      <c r="H193" s="99" t="str">
        <f aca="false">IF((F193&lt;&gt;0),F193-G193," ")</f>
        <v> </v>
      </c>
    </row>
    <row r="194" customFormat="false" ht="12.75" hidden="false" customHeight="false" outlineLevel="0" collapsed="false">
      <c r="G194" s="99" t="str">
        <f aca="false">IF(G$4&gt;0,(IF(F194&lt;&gt;0,F194*G$4/100," ")),IF(F194&lt;&gt;0,F194*G$2/(100+G$2)," "))</f>
        <v> </v>
      </c>
      <c r="H194" s="99" t="str">
        <f aca="false">IF((F194&lt;&gt;0),F194-G194," ")</f>
        <v> </v>
      </c>
    </row>
    <row r="195" customFormat="false" ht="12.75" hidden="false" customHeight="false" outlineLevel="0" collapsed="false">
      <c r="G195" s="99" t="str">
        <f aca="false">IF(G$4&gt;0,(IF(F195&lt;&gt;0,F195*G$4/100," ")),IF(F195&lt;&gt;0,F195*G$2/(100+G$2)," "))</f>
        <v> </v>
      </c>
      <c r="H195" s="99" t="str">
        <f aca="false">IF((F195&lt;&gt;0),F195-G195," ")</f>
        <v> </v>
      </c>
    </row>
    <row r="196" customFormat="false" ht="12.75" hidden="false" customHeight="false" outlineLevel="0" collapsed="false">
      <c r="G196" s="99" t="str">
        <f aca="false">IF(G$4&gt;0,(IF(F196&lt;&gt;0,F196*G$4/100," ")),IF(F196&lt;&gt;0,F196*G$2/(100+G$2)," "))</f>
        <v> </v>
      </c>
      <c r="H196" s="99" t="str">
        <f aca="false">IF((F196&lt;&gt;0),F196-G196," ")</f>
        <v> </v>
      </c>
    </row>
    <row r="197" customFormat="false" ht="12.75" hidden="false" customHeight="false" outlineLevel="0" collapsed="false">
      <c r="G197" s="99" t="str">
        <f aca="false">IF(G$4&gt;0,(IF(F197&lt;&gt;0,F197*G$4/100," ")),IF(F197&lt;&gt;0,F197*G$2/(100+G$2)," "))</f>
        <v> </v>
      </c>
      <c r="H197" s="99" t="str">
        <f aca="false">IF((F197&lt;&gt;0),F197-G197," ")</f>
        <v> </v>
      </c>
    </row>
    <row r="198" customFormat="false" ht="12.75" hidden="false" customHeight="false" outlineLevel="0" collapsed="false">
      <c r="G198" s="99" t="str">
        <f aca="false">IF(G$4&gt;0,(IF(F198&lt;&gt;0,F198*G$4/100," ")),IF(F198&lt;&gt;0,F198*G$2/(100+G$2)," "))</f>
        <v> </v>
      </c>
      <c r="H198" s="99" t="str">
        <f aca="false">IF((F198&lt;&gt;0),F198-G198," ")</f>
        <v> </v>
      </c>
    </row>
    <row r="199" customFormat="false" ht="12.75" hidden="false" customHeight="false" outlineLevel="0" collapsed="false">
      <c r="G199" s="99" t="str">
        <f aca="false">IF(G$4&gt;0,(IF(F199&lt;&gt;0,F199*G$4/100," ")),IF(F199&lt;&gt;0,F199*G$2/(100+G$2)," "))</f>
        <v> </v>
      </c>
      <c r="H199" s="99" t="str">
        <f aca="false">IF((F199&lt;&gt;0),F199-G199," ")</f>
        <v> </v>
      </c>
    </row>
    <row r="200" customFormat="false" ht="12.75" hidden="false" customHeight="false" outlineLevel="0" collapsed="false">
      <c r="A200" s="114"/>
      <c r="B200" s="115"/>
      <c r="C200" s="116"/>
      <c r="D200" s="116"/>
      <c r="E200" s="117"/>
      <c r="F200" s="115"/>
      <c r="G200" s="115" t="str">
        <f aca="false">IF(G$4&gt;0,(IF(F200&lt;&gt;0,F200*G$4/100," ")),IF(F200&lt;&gt;0,F200*G$2/(100+G$2)," "))</f>
        <v> </v>
      </c>
      <c r="H200" s="115" t="str">
        <f aca="false">IF((F200&lt;&gt;0),F200-G200," ")</f>
        <v> </v>
      </c>
    </row>
    <row r="201" customFormat="false" ht="12.75" hidden="false" customHeight="false" outlineLevel="0" collapsed="false">
      <c r="A201" s="98" t="s">
        <v>38</v>
      </c>
    </row>
  </sheetData>
  <mergeCells count="9">
    <mergeCell ref="A1:C1"/>
    <mergeCell ref="D1:E1"/>
    <mergeCell ref="A2:A4"/>
    <mergeCell ref="B2:B4"/>
    <mergeCell ref="C2:C4"/>
    <mergeCell ref="D2:D4"/>
    <mergeCell ref="E2:E4"/>
    <mergeCell ref="F2:F4"/>
    <mergeCell ref="H2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4" min="3" style="100" width="12.82"/>
    <col collapsed="false" customWidth="true" hidden="false" outlineLevel="0" max="5" min="5" style="101" width="7.66"/>
    <col collapsed="false" customWidth="true" hidden="false" outlineLevel="0" max="6" min="6" style="99" width="9.66"/>
    <col collapsed="false" customWidth="true" hidden="false" outlineLevel="0" max="7" min="7" style="99" width="8.66"/>
    <col collapsed="false" customWidth="true" hidden="false" outlineLevel="0" max="8" min="8" style="99" width="9.66"/>
    <col collapsed="false" customWidth="false" hidden="false" outlineLevel="0" max="257" min="9" style="102" width="9.15"/>
  </cols>
  <sheetData>
    <row r="1" s="106" customFormat="true" ht="15" hidden="false" customHeight="true" outlineLevel="0" collapsed="false">
      <c r="A1" s="103" t="s">
        <v>29</v>
      </c>
      <c r="B1" s="103"/>
      <c r="C1" s="103"/>
      <c r="D1" s="104" t="s">
        <v>30</v>
      </c>
      <c r="E1" s="104"/>
      <c r="F1" s="105" t="n">
        <f aca="false">SUM(F5:F500)</f>
        <v>0</v>
      </c>
      <c r="G1" s="105" t="n">
        <f aca="false">SUM(G5:G500)</f>
        <v>0</v>
      </c>
      <c r="H1" s="105" t="n">
        <f aca="false">SUM(H5:H500)</f>
        <v>0</v>
      </c>
    </row>
    <row r="2" s="106" customFormat="true" ht="12.75" hidden="false" customHeight="true" outlineLevel="0" collapsed="false">
      <c r="A2" s="107" t="s">
        <v>31</v>
      </c>
      <c r="B2" s="108" t="s">
        <v>32</v>
      </c>
      <c r="C2" s="109" t="s">
        <v>33</v>
      </c>
      <c r="D2" s="109" t="s">
        <v>34</v>
      </c>
      <c r="E2" s="110"/>
      <c r="F2" s="108" t="s">
        <v>35</v>
      </c>
      <c r="G2" s="111" t="n">
        <f aca="false">[2]ClosingDebtors!$G$2</f>
        <v>20</v>
      </c>
      <c r="H2" s="108" t="s">
        <v>36</v>
      </c>
    </row>
    <row r="3" s="112" customFormat="true" ht="22.35" hidden="false" customHeight="false" outlineLevel="0" collapsed="false">
      <c r="A3" s="107"/>
      <c r="B3" s="108"/>
      <c r="C3" s="109"/>
      <c r="D3" s="109"/>
      <c r="E3" s="110"/>
      <c r="F3" s="108"/>
      <c r="G3" s="108" t="s">
        <v>37</v>
      </c>
      <c r="H3" s="108"/>
    </row>
    <row r="4" customFormat="false" ht="12.75" hidden="false" customHeight="false" outlineLevel="0" collapsed="false">
      <c r="A4" s="107"/>
      <c r="B4" s="107"/>
      <c r="C4" s="107"/>
      <c r="D4" s="109"/>
      <c r="E4" s="110"/>
      <c r="F4" s="108"/>
      <c r="G4" s="113" t="n">
        <f aca="false">[2]ClosingDebtors!$G$4</f>
        <v>0</v>
      </c>
      <c r="H4" s="108"/>
    </row>
    <row r="5" customFormat="false" ht="12.75" hidden="false" customHeight="false" outlineLevel="0" collapsed="false">
      <c r="G5" s="99" t="str">
        <f aca="false">IF(G$4&gt;0,(IF(F5&lt;&gt;0,F5*G$4/100," ")),IF(F5&lt;&gt;0,F5*G$2/(100+G$2)," "))</f>
        <v> </v>
      </c>
      <c r="H5" s="99" t="str">
        <f aca="false">IF((F5&lt;&gt;0),F5-G5," ")</f>
        <v> </v>
      </c>
    </row>
    <row r="6" customFormat="false" ht="12.75" hidden="false" customHeight="false" outlineLevel="0" collapsed="false">
      <c r="G6" s="99" t="str">
        <f aca="false">IF(G$4&gt;0,(IF(F6&lt;&gt;0,F6*G$4/100," ")),IF(F6&lt;&gt;0,F6*G$2/(100+G$2)," "))</f>
        <v> </v>
      </c>
      <c r="H6" s="99" t="str">
        <f aca="false">IF((F6&lt;&gt;0),F6-G6," ")</f>
        <v> </v>
      </c>
    </row>
    <row r="7" customFormat="false" ht="12.75" hidden="false" customHeight="false" outlineLevel="0" collapsed="false">
      <c r="G7" s="99" t="str">
        <f aca="false">IF(G$4&gt;0,(IF(F7&lt;&gt;0,F7*G$4/100," ")),IF(F7&lt;&gt;0,F7*G$2/(100+G$2)," "))</f>
        <v> </v>
      </c>
      <c r="H7" s="99" t="str">
        <f aca="false">IF((F7&lt;&gt;0),F7-G7," ")</f>
        <v> </v>
      </c>
    </row>
    <row r="8" customFormat="false" ht="12.75" hidden="false" customHeight="false" outlineLevel="0" collapsed="false">
      <c r="G8" s="99" t="str">
        <f aca="false">IF(G$4&gt;0,(IF(F8&lt;&gt;0,F8*G$4/100," ")),IF(F8&lt;&gt;0,F8*G$2/(100+G$2)," "))</f>
        <v> </v>
      </c>
      <c r="H8" s="99" t="str">
        <f aca="false">IF((F8&lt;&gt;0),F8-G8," ")</f>
        <v> </v>
      </c>
    </row>
    <row r="9" customFormat="false" ht="12.75" hidden="false" customHeight="false" outlineLevel="0" collapsed="false">
      <c r="G9" s="99" t="str">
        <f aca="false">IF(G$4&gt;0,(IF(F9&lt;&gt;0,F9*G$4/100," ")),IF(F9&lt;&gt;0,F9*G$2/(100+G$2)," "))</f>
        <v> </v>
      </c>
      <c r="H9" s="99" t="str">
        <f aca="false">IF((F9&lt;&gt;0),F9-G9," ")</f>
        <v> </v>
      </c>
    </row>
    <row r="10" customFormat="false" ht="12.75" hidden="false" customHeight="false" outlineLevel="0" collapsed="false">
      <c r="G10" s="99" t="str">
        <f aca="false">IF(G$4&gt;0,(IF(F10&lt;&gt;0,F10*G$4/100," ")),IF(F10&lt;&gt;0,F10*G$2/(100+G$2)," "))</f>
        <v> </v>
      </c>
      <c r="H10" s="99" t="str">
        <f aca="false">IF((F10&lt;&gt;0),F10-G10," ")</f>
        <v> </v>
      </c>
    </row>
    <row r="11" customFormat="false" ht="12.75" hidden="false" customHeight="false" outlineLevel="0" collapsed="false">
      <c r="G11" s="99" t="str">
        <f aca="false">IF(G$4&gt;0,(IF(F11&lt;&gt;0,F11*G$4/100," ")),IF(F11&lt;&gt;0,F11*G$2/(100+G$2)," "))</f>
        <v> </v>
      </c>
      <c r="H11" s="99" t="str">
        <f aca="false">IF((F11&lt;&gt;0),F11-G11," ")</f>
        <v> </v>
      </c>
    </row>
    <row r="12" customFormat="false" ht="12.75" hidden="false" customHeight="false" outlineLevel="0" collapsed="false">
      <c r="G12" s="99" t="str">
        <f aca="false">IF(G$4&gt;0,(IF(F12&lt;&gt;0,F12*G$4/100," ")),IF(F12&lt;&gt;0,F12*G$2/(100+G$2)," "))</f>
        <v> </v>
      </c>
      <c r="H12" s="99" t="str">
        <f aca="false">IF((F12&lt;&gt;0),F12-G12," ")</f>
        <v> </v>
      </c>
    </row>
    <row r="13" customFormat="false" ht="12.75" hidden="false" customHeight="false" outlineLevel="0" collapsed="false">
      <c r="G13" s="99" t="str">
        <f aca="false">IF(G$4&gt;0,(IF(F13&lt;&gt;0,F13*G$4/100," ")),IF(F13&lt;&gt;0,F13*G$2/(100+G$2)," "))</f>
        <v> </v>
      </c>
      <c r="H13" s="99" t="str">
        <f aca="false">IF((F13&lt;&gt;0),F13-G13," ")</f>
        <v> </v>
      </c>
    </row>
    <row r="14" customFormat="false" ht="12.75" hidden="false" customHeight="false" outlineLevel="0" collapsed="false">
      <c r="G14" s="99" t="str">
        <f aca="false">IF(G$4&gt;0,(IF(F14&lt;&gt;0,F14*G$4/100," ")),IF(F14&lt;&gt;0,F14*G$2/(100+G$2)," "))</f>
        <v> </v>
      </c>
      <c r="H14" s="99" t="str">
        <f aca="false">IF((F14&lt;&gt;0),F14-G14," ")</f>
        <v> </v>
      </c>
    </row>
    <row r="15" customFormat="false" ht="12.75" hidden="false" customHeight="false" outlineLevel="0" collapsed="false">
      <c r="G15" s="99" t="str">
        <f aca="false">IF(G$4&gt;0,(IF(F15&lt;&gt;0,F15*G$4/100," ")),IF(F15&lt;&gt;0,F15*G$2/(100+G$2)," "))</f>
        <v> </v>
      </c>
      <c r="H15" s="99" t="str">
        <f aca="false">IF((F15&lt;&gt;0),F15-G15," ")</f>
        <v> </v>
      </c>
    </row>
    <row r="16" customFormat="false" ht="12.75" hidden="false" customHeight="false" outlineLevel="0" collapsed="false">
      <c r="G16" s="99" t="str">
        <f aca="false">IF(G$4&gt;0,(IF(F16&lt;&gt;0,F16*G$4/100," ")),IF(F16&lt;&gt;0,F16*G$2/(100+G$2)," "))</f>
        <v> </v>
      </c>
      <c r="H16" s="99" t="str">
        <f aca="false">IF((F16&lt;&gt;0),F16-G16," ")</f>
        <v> </v>
      </c>
    </row>
    <row r="17" customFormat="false" ht="12.75" hidden="false" customHeight="false" outlineLevel="0" collapsed="false">
      <c r="G17" s="99" t="str">
        <f aca="false">IF(G$4&gt;0,(IF(F17&lt;&gt;0,F17*G$4/100," ")),IF(F17&lt;&gt;0,F17*G$2/(100+G$2)," "))</f>
        <v> </v>
      </c>
      <c r="H17" s="99" t="str">
        <f aca="false">IF((F17&lt;&gt;0),F17-G17," ")</f>
        <v> </v>
      </c>
    </row>
    <row r="18" customFormat="false" ht="12.75" hidden="false" customHeight="false" outlineLevel="0" collapsed="false">
      <c r="G18" s="99" t="str">
        <f aca="false">IF(G$4&gt;0,(IF(F18&lt;&gt;0,F18*G$4/100," ")),IF(F18&lt;&gt;0,F18*G$2/(100+G$2)," "))</f>
        <v> </v>
      </c>
      <c r="H18" s="99" t="str">
        <f aca="false">IF((F18&lt;&gt;0),F18-G18," ")</f>
        <v> </v>
      </c>
    </row>
    <row r="19" customFormat="false" ht="12.75" hidden="false" customHeight="false" outlineLevel="0" collapsed="false">
      <c r="G19" s="99" t="str">
        <f aca="false">IF(G$4&gt;0,(IF(F19&lt;&gt;0,F19*G$4/100," ")),IF(F19&lt;&gt;0,F19*G$2/(100+G$2)," "))</f>
        <v> </v>
      </c>
      <c r="H19" s="99" t="str">
        <f aca="false">IF((F19&lt;&gt;0),F19-G19," ")</f>
        <v> </v>
      </c>
    </row>
    <row r="20" customFormat="false" ht="12.75" hidden="false" customHeight="false" outlineLevel="0" collapsed="false">
      <c r="G20" s="99" t="str">
        <f aca="false">IF(G$4&gt;0,(IF(F20&lt;&gt;0,F20*G$4/100," ")),IF(F20&lt;&gt;0,F20*G$2/(100+G$2)," "))</f>
        <v> </v>
      </c>
      <c r="H20" s="99" t="str">
        <f aca="false">IF((F20&lt;&gt;0),F20-G20," ")</f>
        <v> </v>
      </c>
    </row>
    <row r="21" customFormat="false" ht="12.75" hidden="false" customHeight="false" outlineLevel="0" collapsed="false">
      <c r="G21" s="99" t="str">
        <f aca="false">IF(G$4&gt;0,(IF(F21&lt;&gt;0,F21*G$4/100," ")),IF(F21&lt;&gt;0,F21*G$2/(100+G$2)," "))</f>
        <v> </v>
      </c>
      <c r="H21" s="99" t="str">
        <f aca="false">IF((F21&lt;&gt;0),F21-G21," ")</f>
        <v> </v>
      </c>
    </row>
    <row r="22" customFormat="false" ht="12.75" hidden="false" customHeight="false" outlineLevel="0" collapsed="false">
      <c r="G22" s="99" t="str">
        <f aca="false">IF(G$4&gt;0,(IF(F22&lt;&gt;0,F22*G$4/100," ")),IF(F22&lt;&gt;0,F22*G$2/(100+G$2)," "))</f>
        <v> </v>
      </c>
      <c r="H22" s="99" t="str">
        <f aca="false">IF((F22&lt;&gt;0),F22-G22," ")</f>
        <v> </v>
      </c>
    </row>
    <row r="23" customFormat="false" ht="12.75" hidden="false" customHeight="false" outlineLevel="0" collapsed="false">
      <c r="G23" s="99" t="str">
        <f aca="false">IF(G$4&gt;0,(IF(F23&lt;&gt;0,F23*G$4/100," ")),IF(F23&lt;&gt;0,F23*G$2/(100+G$2)," "))</f>
        <v> </v>
      </c>
      <c r="H23" s="99" t="str">
        <f aca="false">IF((F23&lt;&gt;0),F23-G23," ")</f>
        <v> </v>
      </c>
    </row>
    <row r="24" customFormat="false" ht="12.75" hidden="false" customHeight="false" outlineLevel="0" collapsed="false">
      <c r="G24" s="99" t="str">
        <f aca="false">IF(G$4&gt;0,(IF(F24&lt;&gt;0,F24*G$4/100," ")),IF(F24&lt;&gt;0,F24*G$2/(100+G$2)," "))</f>
        <v> </v>
      </c>
      <c r="H24" s="99" t="str">
        <f aca="false">IF((F24&lt;&gt;0),F24-G24," ")</f>
        <v> </v>
      </c>
    </row>
    <row r="25" customFormat="false" ht="12.75" hidden="false" customHeight="false" outlineLevel="0" collapsed="false">
      <c r="G25" s="99" t="str">
        <f aca="false">IF(G$4&gt;0,(IF(F25&lt;&gt;0,F25*G$4/100," ")),IF(F25&lt;&gt;0,F25*G$2/(100+G$2)," "))</f>
        <v> </v>
      </c>
      <c r="H25" s="99" t="str">
        <f aca="false">IF((F25&lt;&gt;0),F25-G25," ")</f>
        <v> </v>
      </c>
    </row>
    <row r="26" customFormat="false" ht="12.75" hidden="false" customHeight="false" outlineLevel="0" collapsed="false">
      <c r="G26" s="99" t="str">
        <f aca="false">IF(G$4&gt;0,(IF(F26&lt;&gt;0,F26*G$4/100," ")),IF(F26&lt;&gt;0,F26*G$2/(100+G$2)," "))</f>
        <v> </v>
      </c>
      <c r="H26" s="99" t="str">
        <f aca="false">IF((F26&lt;&gt;0),F26-G26," ")</f>
        <v> </v>
      </c>
    </row>
    <row r="27" customFormat="false" ht="12.75" hidden="false" customHeight="false" outlineLevel="0" collapsed="false">
      <c r="G27" s="99" t="str">
        <f aca="false">IF(G$4&gt;0,(IF(F27&lt;&gt;0,F27*G$4/100," ")),IF(F27&lt;&gt;0,F27*G$2/(100+G$2)," "))</f>
        <v> </v>
      </c>
      <c r="H27" s="99" t="str">
        <f aca="false">IF((F27&lt;&gt;0),F27-G27," ")</f>
        <v> </v>
      </c>
    </row>
    <row r="28" customFormat="false" ht="12.75" hidden="false" customHeight="false" outlineLevel="0" collapsed="false">
      <c r="G28" s="99" t="str">
        <f aca="false">IF(G$4&gt;0,(IF(F28&lt;&gt;0,F28*G$4/100," ")),IF(F28&lt;&gt;0,F28*G$2/(100+G$2)," "))</f>
        <v> </v>
      </c>
      <c r="H28" s="99" t="str">
        <f aca="false">IF((F28&lt;&gt;0),F28-G28," ")</f>
        <v> </v>
      </c>
    </row>
    <row r="29" customFormat="false" ht="12.75" hidden="false" customHeight="false" outlineLevel="0" collapsed="false">
      <c r="G29" s="99" t="str">
        <f aca="false">IF(G$4&gt;0,(IF(F29&lt;&gt;0,F29*G$4/100," ")),IF(F29&lt;&gt;0,F29*G$2/(100+G$2)," "))</f>
        <v> </v>
      </c>
      <c r="H29" s="99" t="str">
        <f aca="false">IF((F29&lt;&gt;0),F29-G29," ")</f>
        <v> </v>
      </c>
    </row>
    <row r="30" customFormat="false" ht="12.75" hidden="false" customHeight="false" outlineLevel="0" collapsed="false">
      <c r="G30" s="99" t="str">
        <f aca="false">IF(G$4&gt;0,(IF(F30&lt;&gt;0,F30*G$4/100," ")),IF(F30&lt;&gt;0,F30*G$2/(100+G$2)," "))</f>
        <v> </v>
      </c>
      <c r="H30" s="99" t="str">
        <f aca="false">IF((F30&lt;&gt;0),F30-G30," ")</f>
        <v> </v>
      </c>
    </row>
    <row r="31" customFormat="false" ht="12.75" hidden="false" customHeight="false" outlineLevel="0" collapsed="false">
      <c r="G31" s="99" t="str">
        <f aca="false">IF(G$4&gt;0,(IF(F31&lt;&gt;0,F31*G$4/100," ")),IF(F31&lt;&gt;0,F31*G$2/(100+G$2)," "))</f>
        <v> </v>
      </c>
      <c r="H31" s="99" t="str">
        <f aca="false">IF((F31&lt;&gt;0),F31-G31," ")</f>
        <v> </v>
      </c>
    </row>
    <row r="32" customFormat="false" ht="12.75" hidden="false" customHeight="false" outlineLevel="0" collapsed="false">
      <c r="G32" s="99" t="str">
        <f aca="false">IF(G$4&gt;0,(IF(F32&lt;&gt;0,F32*G$4/100," ")),IF(F32&lt;&gt;0,F32*G$2/(100+G$2)," "))</f>
        <v> </v>
      </c>
      <c r="H32" s="99" t="str">
        <f aca="false">IF((F32&lt;&gt;0),F32-G32," ")</f>
        <v> </v>
      </c>
    </row>
    <row r="33" customFormat="false" ht="12.75" hidden="false" customHeight="false" outlineLevel="0" collapsed="false">
      <c r="G33" s="99" t="str">
        <f aca="false">IF(G$4&gt;0,(IF(F33&lt;&gt;0,F33*G$4/100," ")),IF(F33&lt;&gt;0,F33*G$2/(100+G$2)," "))</f>
        <v> </v>
      </c>
      <c r="H33" s="99" t="str">
        <f aca="false">IF((F33&lt;&gt;0),F33-G33," ")</f>
        <v> </v>
      </c>
    </row>
    <row r="34" customFormat="false" ht="12.75" hidden="false" customHeight="false" outlineLevel="0" collapsed="false">
      <c r="G34" s="99" t="str">
        <f aca="false">IF(G$4&gt;0,(IF(F34&lt;&gt;0,F34*G$4/100," ")),IF(F34&lt;&gt;0,F34*G$2/(100+G$2)," "))</f>
        <v> </v>
      </c>
      <c r="H34" s="99" t="str">
        <f aca="false">IF((F34&lt;&gt;0),F34-G34," ")</f>
        <v> </v>
      </c>
    </row>
    <row r="35" customFormat="false" ht="12.75" hidden="false" customHeight="false" outlineLevel="0" collapsed="false">
      <c r="G35" s="99" t="str">
        <f aca="false">IF(G$4&gt;0,(IF(F35&lt;&gt;0,F35*G$4/100," ")),IF(F35&lt;&gt;0,F35*G$2/(100+G$2)," "))</f>
        <v> </v>
      </c>
      <c r="H35" s="99" t="str">
        <f aca="false">IF((F35&lt;&gt;0),F35-G35," ")</f>
        <v> </v>
      </c>
    </row>
    <row r="36" customFormat="false" ht="12.75" hidden="false" customHeight="false" outlineLevel="0" collapsed="false">
      <c r="G36" s="99" t="str">
        <f aca="false">IF(G$4&gt;0,(IF(F36&lt;&gt;0,F36*G$4/100," ")),IF(F36&lt;&gt;0,F36*G$2/(100+G$2)," "))</f>
        <v> </v>
      </c>
      <c r="H36" s="99" t="str">
        <f aca="false">IF((F36&lt;&gt;0),F36-G36," ")</f>
        <v> </v>
      </c>
    </row>
    <row r="37" customFormat="false" ht="12.75" hidden="false" customHeight="false" outlineLevel="0" collapsed="false">
      <c r="G37" s="99" t="str">
        <f aca="false">IF(G$4&gt;0,(IF(F37&lt;&gt;0,F37*G$4/100," ")),IF(F37&lt;&gt;0,F37*G$2/(100+G$2)," "))</f>
        <v> </v>
      </c>
      <c r="H37" s="99" t="str">
        <f aca="false">IF((F37&lt;&gt;0),F37-G37," ")</f>
        <v> </v>
      </c>
    </row>
    <row r="38" customFormat="false" ht="12.75" hidden="false" customHeight="false" outlineLevel="0" collapsed="false">
      <c r="G38" s="99" t="str">
        <f aca="false">IF(G$4&gt;0,(IF(F38&lt;&gt;0,F38*G$4/100," ")),IF(F38&lt;&gt;0,F38*G$2/(100+G$2)," "))</f>
        <v> </v>
      </c>
      <c r="H38" s="99" t="str">
        <f aca="false">IF((F38&lt;&gt;0),F38-G38," ")</f>
        <v> </v>
      </c>
    </row>
    <row r="39" customFormat="false" ht="12.75" hidden="false" customHeight="false" outlineLevel="0" collapsed="false">
      <c r="G39" s="99" t="str">
        <f aca="false">IF(G$4&gt;0,(IF(F39&lt;&gt;0,F39*G$4/100," ")),IF(F39&lt;&gt;0,F39*G$2/(100+G$2)," "))</f>
        <v> </v>
      </c>
      <c r="H39" s="99" t="str">
        <f aca="false">IF((F39&lt;&gt;0),F39-G39," ")</f>
        <v> </v>
      </c>
    </row>
    <row r="40" customFormat="false" ht="12.75" hidden="false" customHeight="false" outlineLevel="0" collapsed="false">
      <c r="G40" s="99" t="str">
        <f aca="false">IF(G$4&gt;0,(IF(F40&lt;&gt;0,F40*G$4/100," ")),IF(F40&lt;&gt;0,F40*G$2/(100+G$2)," "))</f>
        <v> </v>
      </c>
      <c r="H40" s="99" t="str">
        <f aca="false">IF((F40&lt;&gt;0),F40-G40," ")</f>
        <v> </v>
      </c>
    </row>
    <row r="41" customFormat="false" ht="12.75" hidden="false" customHeight="false" outlineLevel="0" collapsed="false">
      <c r="G41" s="99" t="str">
        <f aca="false">IF(G$4&gt;0,(IF(F41&lt;&gt;0,F41*G$4/100," ")),IF(F41&lt;&gt;0,F41*G$2/(100+G$2)," "))</f>
        <v> </v>
      </c>
      <c r="H41" s="99" t="str">
        <f aca="false">IF((F41&lt;&gt;0),F41-G41," ")</f>
        <v> </v>
      </c>
    </row>
    <row r="42" customFormat="false" ht="12.75" hidden="false" customHeight="false" outlineLevel="0" collapsed="false">
      <c r="G42" s="99" t="str">
        <f aca="false">IF(G$4&gt;0,(IF(F42&lt;&gt;0,F42*G$4/100," ")),IF(F42&lt;&gt;0,F42*G$2/(100+G$2)," "))</f>
        <v> </v>
      </c>
      <c r="H42" s="99" t="str">
        <f aca="false">IF((F42&lt;&gt;0),F42-G42," ")</f>
        <v> </v>
      </c>
    </row>
    <row r="43" customFormat="false" ht="12.75" hidden="false" customHeight="false" outlineLevel="0" collapsed="false">
      <c r="G43" s="99" t="str">
        <f aca="false">IF(G$4&gt;0,(IF(F43&lt;&gt;0,F43*G$4/100," ")),IF(F43&lt;&gt;0,F43*G$2/(100+G$2)," "))</f>
        <v> </v>
      </c>
      <c r="H43" s="99" t="str">
        <f aca="false">IF((F43&lt;&gt;0),F43-G43," ")</f>
        <v> </v>
      </c>
    </row>
    <row r="44" customFormat="false" ht="12.75" hidden="false" customHeight="false" outlineLevel="0" collapsed="false">
      <c r="G44" s="99" t="str">
        <f aca="false">IF(G$4&gt;0,(IF(F44&lt;&gt;0,F44*G$4/100," ")),IF(F44&lt;&gt;0,F44*G$2/(100+G$2)," "))</f>
        <v> </v>
      </c>
      <c r="H44" s="99" t="str">
        <f aca="false">IF((F44&lt;&gt;0),F44-G44," ")</f>
        <v> </v>
      </c>
    </row>
    <row r="45" customFormat="false" ht="12.75" hidden="false" customHeight="false" outlineLevel="0" collapsed="false">
      <c r="G45" s="99" t="str">
        <f aca="false">IF(G$4&gt;0,(IF(F45&lt;&gt;0,F45*G$4/100," ")),IF(F45&lt;&gt;0,F45*G$2/(100+G$2)," "))</f>
        <v> </v>
      </c>
      <c r="H45" s="99" t="str">
        <f aca="false">IF((F45&lt;&gt;0),F45-G45," ")</f>
        <v> </v>
      </c>
    </row>
    <row r="46" customFormat="false" ht="12.75" hidden="false" customHeight="false" outlineLevel="0" collapsed="false">
      <c r="G46" s="99" t="str">
        <f aca="false">IF(G$4&gt;0,(IF(F46&lt;&gt;0,F46*G$4/100," ")),IF(F46&lt;&gt;0,F46*G$2/(100+G$2)," "))</f>
        <v> </v>
      </c>
      <c r="H46" s="99" t="str">
        <f aca="false">IF((F46&lt;&gt;0),F46-G46," ")</f>
        <v> </v>
      </c>
    </row>
    <row r="47" customFormat="false" ht="12.75" hidden="false" customHeight="false" outlineLevel="0" collapsed="false">
      <c r="G47" s="99" t="str">
        <f aca="false">IF(G$4&gt;0,(IF(F47&lt;&gt;0,F47*G$4/100," ")),IF(F47&lt;&gt;0,F47*G$2/(100+G$2)," "))</f>
        <v> </v>
      </c>
      <c r="H47" s="99" t="str">
        <f aca="false">IF((F47&lt;&gt;0),F47-G47," ")</f>
        <v> </v>
      </c>
    </row>
    <row r="48" customFormat="false" ht="12.75" hidden="false" customHeight="false" outlineLevel="0" collapsed="false">
      <c r="G48" s="99" t="str">
        <f aca="false">IF(G$4&gt;0,(IF(F48&lt;&gt;0,F48*G$4/100," ")),IF(F48&lt;&gt;0,F48*G$2/(100+G$2)," "))</f>
        <v> </v>
      </c>
      <c r="H48" s="99" t="str">
        <f aca="false">IF((F48&lt;&gt;0),F48-G48," ")</f>
        <v> </v>
      </c>
    </row>
    <row r="49" customFormat="false" ht="12.75" hidden="false" customHeight="false" outlineLevel="0" collapsed="false">
      <c r="G49" s="99" t="str">
        <f aca="false">IF(G$4&gt;0,(IF(F49&lt;&gt;0,F49*G$4/100," ")),IF(F49&lt;&gt;0,F49*G$2/(100+G$2)," "))</f>
        <v> </v>
      </c>
      <c r="H49" s="99" t="str">
        <f aca="false">IF((F49&lt;&gt;0),F49-G49," ")</f>
        <v> </v>
      </c>
    </row>
    <row r="50" customFormat="false" ht="12.75" hidden="false" customHeight="false" outlineLevel="0" collapsed="false">
      <c r="G50" s="99" t="str">
        <f aca="false">IF(G$4&gt;0,(IF(F50&lt;&gt;0,F50*G$4/100," ")),IF(F50&lt;&gt;0,F50*G$2/(100+G$2)," "))</f>
        <v> </v>
      </c>
      <c r="H50" s="99" t="str">
        <f aca="false">IF((F50&lt;&gt;0),F50-G50," ")</f>
        <v> </v>
      </c>
    </row>
    <row r="51" customFormat="false" ht="12.75" hidden="false" customHeight="false" outlineLevel="0" collapsed="false">
      <c r="G51" s="99" t="str">
        <f aca="false">IF(G$4&gt;0,(IF(F51&lt;&gt;0,F51*G$4/100," ")),IF(F51&lt;&gt;0,F51*G$2/(100+G$2)," "))</f>
        <v> </v>
      </c>
      <c r="H51" s="99" t="str">
        <f aca="false">IF((F51&lt;&gt;0),F51-G51," ")</f>
        <v> </v>
      </c>
    </row>
    <row r="52" customFormat="false" ht="12.75" hidden="false" customHeight="false" outlineLevel="0" collapsed="false">
      <c r="G52" s="99" t="str">
        <f aca="false">IF(G$4&gt;0,(IF(F52&lt;&gt;0,F52*G$4/100," ")),IF(F52&lt;&gt;0,F52*G$2/(100+G$2)," "))</f>
        <v> </v>
      </c>
      <c r="H52" s="99" t="str">
        <f aca="false">IF((F52&lt;&gt;0),F52-G52," ")</f>
        <v> </v>
      </c>
    </row>
    <row r="53" customFormat="false" ht="12.75" hidden="false" customHeight="false" outlineLevel="0" collapsed="false">
      <c r="G53" s="99" t="str">
        <f aca="false">IF(G$4&gt;0,(IF(F53&lt;&gt;0,F53*G$4/100," ")),IF(F53&lt;&gt;0,F53*G$2/(100+G$2)," "))</f>
        <v> </v>
      </c>
      <c r="H53" s="99" t="str">
        <f aca="false">IF((F53&lt;&gt;0),F53-G53," ")</f>
        <v> </v>
      </c>
    </row>
    <row r="54" customFormat="false" ht="12.75" hidden="false" customHeight="false" outlineLevel="0" collapsed="false">
      <c r="G54" s="99" t="str">
        <f aca="false">IF(G$4&gt;0,(IF(F54&lt;&gt;0,F54*G$4/100," ")),IF(F54&lt;&gt;0,F54*G$2/(100+G$2)," "))</f>
        <v> </v>
      </c>
      <c r="H54" s="99" t="str">
        <f aca="false">IF((F54&lt;&gt;0),F54-G54," ")</f>
        <v> </v>
      </c>
    </row>
    <row r="55" customFormat="false" ht="12.75" hidden="false" customHeight="false" outlineLevel="0" collapsed="false">
      <c r="G55" s="99" t="str">
        <f aca="false">IF(G$4&gt;0,(IF(F55&lt;&gt;0,F55*G$4/100," ")),IF(F55&lt;&gt;0,F55*G$2/(100+G$2)," "))</f>
        <v> </v>
      </c>
      <c r="H55" s="99" t="str">
        <f aca="false">IF((F55&lt;&gt;0),F55-G55," ")</f>
        <v> </v>
      </c>
    </row>
    <row r="56" customFormat="false" ht="12.75" hidden="false" customHeight="false" outlineLevel="0" collapsed="false">
      <c r="G56" s="99" t="str">
        <f aca="false">IF(G$4&gt;0,(IF(F56&lt;&gt;0,F56*G$4/100," ")),IF(F56&lt;&gt;0,F56*G$2/(100+G$2)," "))</f>
        <v> </v>
      </c>
      <c r="H56" s="99" t="str">
        <f aca="false">IF((F56&lt;&gt;0),F56-G56," ")</f>
        <v> </v>
      </c>
    </row>
    <row r="57" customFormat="false" ht="12.75" hidden="false" customHeight="false" outlineLevel="0" collapsed="false">
      <c r="G57" s="99" t="str">
        <f aca="false">IF(G$4&gt;0,(IF(F57&lt;&gt;0,F57*G$4/100," ")),IF(F57&lt;&gt;0,F57*G$2/(100+G$2)," "))</f>
        <v> </v>
      </c>
      <c r="H57" s="99" t="str">
        <f aca="false">IF((F57&lt;&gt;0),F57-G57," ")</f>
        <v> </v>
      </c>
    </row>
    <row r="58" customFormat="false" ht="12.75" hidden="false" customHeight="false" outlineLevel="0" collapsed="false">
      <c r="G58" s="99" t="str">
        <f aca="false">IF(G$4&gt;0,(IF(F58&lt;&gt;0,F58*G$4/100," ")),IF(F58&lt;&gt;0,F58*G$2/(100+G$2)," "))</f>
        <v> </v>
      </c>
      <c r="H58" s="99" t="str">
        <f aca="false">IF((F58&lt;&gt;0),F58-G58," ")</f>
        <v> </v>
      </c>
    </row>
    <row r="59" customFormat="false" ht="12.75" hidden="false" customHeight="false" outlineLevel="0" collapsed="false">
      <c r="G59" s="99" t="str">
        <f aca="false">IF(G$4&gt;0,(IF(F59&lt;&gt;0,F59*G$4/100," ")),IF(F59&lt;&gt;0,F59*G$2/(100+G$2)," "))</f>
        <v> </v>
      </c>
      <c r="H59" s="99" t="str">
        <f aca="false">IF((F59&lt;&gt;0),F59-G59," ")</f>
        <v> </v>
      </c>
    </row>
    <row r="60" customFormat="false" ht="12.75" hidden="false" customHeight="false" outlineLevel="0" collapsed="false">
      <c r="G60" s="99" t="str">
        <f aca="false">IF(G$4&gt;0,(IF(F60&lt;&gt;0,F60*G$4/100," ")),IF(F60&lt;&gt;0,F60*G$2/(100+G$2)," "))</f>
        <v> </v>
      </c>
      <c r="H60" s="99" t="str">
        <f aca="false">IF((F60&lt;&gt;0),F60-G60," ")</f>
        <v> </v>
      </c>
    </row>
    <row r="61" customFormat="false" ht="12.75" hidden="false" customHeight="false" outlineLevel="0" collapsed="false">
      <c r="G61" s="99" t="str">
        <f aca="false">IF(G$4&gt;0,(IF(F61&lt;&gt;0,F61*G$4/100," ")),IF(F61&lt;&gt;0,F61*G$2/(100+G$2)," "))</f>
        <v> </v>
      </c>
      <c r="H61" s="99" t="str">
        <f aca="false">IF((F61&lt;&gt;0),F61-G61," ")</f>
        <v> </v>
      </c>
    </row>
    <row r="62" customFormat="false" ht="12.75" hidden="false" customHeight="false" outlineLevel="0" collapsed="false">
      <c r="G62" s="99" t="str">
        <f aca="false">IF(G$4&gt;0,(IF(F62&lt;&gt;0,F62*G$4/100," ")),IF(F62&lt;&gt;0,F62*G$2/(100+G$2)," "))</f>
        <v> </v>
      </c>
      <c r="H62" s="99" t="str">
        <f aca="false">IF((F62&lt;&gt;0),F62-G62," ")</f>
        <v> </v>
      </c>
    </row>
    <row r="63" customFormat="false" ht="12.75" hidden="false" customHeight="false" outlineLevel="0" collapsed="false">
      <c r="G63" s="99" t="str">
        <f aca="false">IF(G$4&gt;0,(IF(F63&lt;&gt;0,F63*G$4/100," ")),IF(F63&lt;&gt;0,F63*G$2/(100+G$2)," "))</f>
        <v> </v>
      </c>
      <c r="H63" s="99" t="str">
        <f aca="false">IF((F63&lt;&gt;0),F63-G63," ")</f>
        <v> </v>
      </c>
    </row>
    <row r="64" customFormat="false" ht="12.75" hidden="false" customHeight="false" outlineLevel="0" collapsed="false">
      <c r="G64" s="99" t="str">
        <f aca="false">IF(G$4&gt;0,(IF(F64&lt;&gt;0,F64*G$4/100," ")),IF(F64&lt;&gt;0,F64*G$2/(100+G$2)," "))</f>
        <v> </v>
      </c>
      <c r="H64" s="99" t="str">
        <f aca="false">IF((F64&lt;&gt;0),F64-G64," ")</f>
        <v> </v>
      </c>
    </row>
    <row r="65" customFormat="false" ht="12.75" hidden="false" customHeight="false" outlineLevel="0" collapsed="false">
      <c r="G65" s="99" t="str">
        <f aca="false">IF(G$4&gt;0,(IF(F65&lt;&gt;0,F65*G$4/100," ")),IF(F65&lt;&gt;0,F65*G$2/(100+G$2)," "))</f>
        <v> </v>
      </c>
      <c r="H65" s="99" t="str">
        <f aca="false">IF((F65&lt;&gt;0),F65-G65," ")</f>
        <v> </v>
      </c>
    </row>
    <row r="66" customFormat="false" ht="12.75" hidden="false" customHeight="false" outlineLevel="0" collapsed="false">
      <c r="G66" s="99" t="str">
        <f aca="false">IF(G$4&gt;0,(IF(F66&lt;&gt;0,F66*G$4/100," ")),IF(F66&lt;&gt;0,F66*G$2/(100+G$2)," "))</f>
        <v> </v>
      </c>
      <c r="H66" s="99" t="str">
        <f aca="false">IF((F66&lt;&gt;0),F66-G66," ")</f>
        <v> </v>
      </c>
    </row>
    <row r="67" customFormat="false" ht="12.75" hidden="false" customHeight="false" outlineLevel="0" collapsed="false">
      <c r="G67" s="99" t="str">
        <f aca="false">IF(G$4&gt;0,(IF(F67&lt;&gt;0,F67*G$4/100," ")),IF(F67&lt;&gt;0,F67*G$2/(100+G$2)," "))</f>
        <v> </v>
      </c>
      <c r="H67" s="99" t="str">
        <f aca="false">IF((F67&lt;&gt;0),F67-G67," ")</f>
        <v> </v>
      </c>
    </row>
    <row r="68" customFormat="false" ht="12.75" hidden="false" customHeight="false" outlineLevel="0" collapsed="false">
      <c r="G68" s="99" t="str">
        <f aca="false">IF(G$4&gt;0,(IF(F68&lt;&gt;0,F68*G$4/100," ")),IF(F68&lt;&gt;0,F68*G$2/(100+G$2)," "))</f>
        <v> </v>
      </c>
      <c r="H68" s="99" t="str">
        <f aca="false">IF((F68&lt;&gt;0),F68-G68," ")</f>
        <v> </v>
      </c>
    </row>
    <row r="69" customFormat="false" ht="12.75" hidden="false" customHeight="false" outlineLevel="0" collapsed="false">
      <c r="G69" s="99" t="str">
        <f aca="false">IF(G$4&gt;0,(IF(F69&lt;&gt;0,F69*G$4/100," ")),IF(F69&lt;&gt;0,F69*G$2/(100+G$2)," "))</f>
        <v> </v>
      </c>
      <c r="H69" s="99" t="str">
        <f aca="false">IF((F69&lt;&gt;0),F69-G69," ")</f>
        <v> </v>
      </c>
    </row>
    <row r="70" customFormat="false" ht="12.75" hidden="false" customHeight="false" outlineLevel="0" collapsed="false">
      <c r="G70" s="99" t="str">
        <f aca="false">IF(G$4&gt;0,(IF(F70&lt;&gt;0,F70*G$4/100," ")),IF(F70&lt;&gt;0,F70*G$2/(100+G$2)," "))</f>
        <v> </v>
      </c>
      <c r="H70" s="99" t="str">
        <f aca="false">IF((F70&lt;&gt;0),F70-G70," ")</f>
        <v> </v>
      </c>
    </row>
    <row r="71" customFormat="false" ht="12.75" hidden="false" customHeight="false" outlineLevel="0" collapsed="false">
      <c r="G71" s="99" t="str">
        <f aca="false">IF(G$4&gt;0,(IF(F71&lt;&gt;0,F71*G$4/100," ")),IF(F71&lt;&gt;0,F71*G$2/(100+G$2)," "))</f>
        <v> </v>
      </c>
      <c r="H71" s="99" t="str">
        <f aca="false">IF((F71&lt;&gt;0),F71-G71," ")</f>
        <v> </v>
      </c>
    </row>
    <row r="72" customFormat="false" ht="12.75" hidden="false" customHeight="false" outlineLevel="0" collapsed="false">
      <c r="G72" s="99" t="str">
        <f aca="false">IF(G$4&gt;0,(IF(F72&lt;&gt;0,F72*G$4/100," ")),IF(F72&lt;&gt;0,F72*G$2/(100+G$2)," "))</f>
        <v> </v>
      </c>
      <c r="H72" s="99" t="str">
        <f aca="false">IF((F72&lt;&gt;0),F72-G72," ")</f>
        <v> </v>
      </c>
    </row>
    <row r="73" customFormat="false" ht="12.75" hidden="false" customHeight="false" outlineLevel="0" collapsed="false">
      <c r="G73" s="99" t="str">
        <f aca="false">IF(G$4&gt;0,(IF(F73&lt;&gt;0,F73*G$4/100," ")),IF(F73&lt;&gt;0,F73*G$2/(100+G$2)," "))</f>
        <v> </v>
      </c>
      <c r="H73" s="99" t="str">
        <f aca="false">IF((F73&lt;&gt;0),F73-G73," ")</f>
        <v> </v>
      </c>
    </row>
    <row r="74" customFormat="false" ht="12.75" hidden="false" customHeight="false" outlineLevel="0" collapsed="false">
      <c r="G74" s="99" t="str">
        <f aca="false">IF(G$4&gt;0,(IF(F74&lt;&gt;0,F74*G$4/100," ")),IF(F74&lt;&gt;0,F74*G$2/(100+G$2)," "))</f>
        <v> </v>
      </c>
      <c r="H74" s="99" t="str">
        <f aca="false">IF((F74&lt;&gt;0),F74-G74," ")</f>
        <v> </v>
      </c>
    </row>
    <row r="75" customFormat="false" ht="12.75" hidden="false" customHeight="false" outlineLevel="0" collapsed="false">
      <c r="G75" s="99" t="str">
        <f aca="false">IF(G$4&gt;0,(IF(F75&lt;&gt;0,F75*G$4/100," ")),IF(F75&lt;&gt;0,F75*G$2/(100+G$2)," "))</f>
        <v> </v>
      </c>
      <c r="H75" s="99" t="str">
        <f aca="false">IF((F75&lt;&gt;0),F75-G75," ")</f>
        <v> </v>
      </c>
    </row>
    <row r="76" customFormat="false" ht="12.75" hidden="false" customHeight="false" outlineLevel="0" collapsed="false">
      <c r="G76" s="99" t="str">
        <f aca="false">IF(G$4&gt;0,(IF(F76&lt;&gt;0,F76*G$4/100," ")),IF(F76&lt;&gt;0,F76*G$2/(100+G$2)," "))</f>
        <v> </v>
      </c>
      <c r="H76" s="99" t="str">
        <f aca="false">IF((F76&lt;&gt;0),F76-G76," ")</f>
        <v> </v>
      </c>
    </row>
    <row r="77" customFormat="false" ht="12.75" hidden="false" customHeight="false" outlineLevel="0" collapsed="false">
      <c r="G77" s="99" t="str">
        <f aca="false">IF(G$4&gt;0,(IF(F77&lt;&gt;0,F77*G$4/100," ")),IF(F77&lt;&gt;0,F77*G$2/(100+G$2)," "))</f>
        <v> </v>
      </c>
      <c r="H77" s="99" t="str">
        <f aca="false">IF((F77&lt;&gt;0),F77-G77," ")</f>
        <v> </v>
      </c>
    </row>
    <row r="78" customFormat="false" ht="12.75" hidden="false" customHeight="false" outlineLevel="0" collapsed="false">
      <c r="G78" s="99" t="str">
        <f aca="false">IF(G$4&gt;0,(IF(F78&lt;&gt;0,F78*G$4/100," ")),IF(F78&lt;&gt;0,F78*G$2/(100+G$2)," "))</f>
        <v> </v>
      </c>
      <c r="H78" s="99" t="str">
        <f aca="false">IF((F78&lt;&gt;0),F78-G78," ")</f>
        <v> </v>
      </c>
    </row>
    <row r="79" customFormat="false" ht="12.75" hidden="false" customHeight="false" outlineLevel="0" collapsed="false">
      <c r="G79" s="99" t="str">
        <f aca="false">IF(G$4&gt;0,(IF(F79&lt;&gt;0,F79*G$4/100," ")),IF(F79&lt;&gt;0,F79*G$2/(100+G$2)," "))</f>
        <v> </v>
      </c>
      <c r="H79" s="99" t="str">
        <f aca="false">IF((F79&lt;&gt;0),F79-G79," ")</f>
        <v> </v>
      </c>
    </row>
    <row r="80" customFormat="false" ht="12.75" hidden="false" customHeight="false" outlineLevel="0" collapsed="false">
      <c r="G80" s="99" t="str">
        <f aca="false">IF(G$4&gt;0,(IF(F80&lt;&gt;0,F80*G$4/100," ")),IF(F80&lt;&gt;0,F80*G$2/(100+G$2)," "))</f>
        <v> </v>
      </c>
      <c r="H80" s="99" t="str">
        <f aca="false">IF((F80&lt;&gt;0),F80-G80," ")</f>
        <v> </v>
      </c>
    </row>
    <row r="81" customFormat="false" ht="12.75" hidden="false" customHeight="false" outlineLevel="0" collapsed="false">
      <c r="G81" s="99" t="str">
        <f aca="false">IF(G$4&gt;0,(IF(F81&lt;&gt;0,F81*G$4/100," ")),IF(F81&lt;&gt;0,F81*G$2/(100+G$2)," "))</f>
        <v> </v>
      </c>
      <c r="H81" s="99" t="str">
        <f aca="false">IF((F81&lt;&gt;0),F81-G81," ")</f>
        <v> </v>
      </c>
    </row>
    <row r="82" customFormat="false" ht="12.75" hidden="false" customHeight="false" outlineLevel="0" collapsed="false">
      <c r="G82" s="99" t="str">
        <f aca="false">IF(G$4&gt;0,(IF(F82&lt;&gt;0,F82*G$4/100," ")),IF(F82&lt;&gt;0,F82*G$2/(100+G$2)," "))</f>
        <v> </v>
      </c>
      <c r="H82" s="99" t="str">
        <f aca="false">IF((F82&lt;&gt;0),F82-G82," ")</f>
        <v> </v>
      </c>
    </row>
    <row r="83" customFormat="false" ht="12.75" hidden="false" customHeight="false" outlineLevel="0" collapsed="false">
      <c r="G83" s="99" t="str">
        <f aca="false">IF(G$4&gt;0,(IF(F83&lt;&gt;0,F83*G$4/100," ")),IF(F83&lt;&gt;0,F83*G$2/(100+G$2)," "))</f>
        <v> </v>
      </c>
      <c r="H83" s="99" t="str">
        <f aca="false">IF((F83&lt;&gt;0),F83-G83," ")</f>
        <v> </v>
      </c>
    </row>
    <row r="84" customFormat="false" ht="12.75" hidden="false" customHeight="false" outlineLevel="0" collapsed="false">
      <c r="G84" s="99" t="str">
        <f aca="false">IF(G$4&gt;0,(IF(F84&lt;&gt;0,F84*G$4/100," ")),IF(F84&lt;&gt;0,F84*G$2/(100+G$2)," "))</f>
        <v> </v>
      </c>
      <c r="H84" s="99" t="str">
        <f aca="false">IF((F84&lt;&gt;0),F84-G84," ")</f>
        <v> </v>
      </c>
    </row>
    <row r="85" customFormat="false" ht="12.75" hidden="false" customHeight="false" outlineLevel="0" collapsed="false">
      <c r="G85" s="99" t="str">
        <f aca="false">IF(G$4&gt;0,(IF(F85&lt;&gt;0,F85*G$4/100," ")),IF(F85&lt;&gt;0,F85*G$2/(100+G$2)," "))</f>
        <v> </v>
      </c>
      <c r="H85" s="99" t="str">
        <f aca="false">IF((F85&lt;&gt;0),F85-G85," ")</f>
        <v> </v>
      </c>
    </row>
    <row r="86" customFormat="false" ht="12.75" hidden="false" customHeight="false" outlineLevel="0" collapsed="false">
      <c r="G86" s="99" t="str">
        <f aca="false">IF(G$4&gt;0,(IF(F86&lt;&gt;0,F86*G$4/100," ")),IF(F86&lt;&gt;0,F86*G$2/(100+G$2)," "))</f>
        <v> </v>
      </c>
      <c r="H86" s="99" t="str">
        <f aca="false">IF((F86&lt;&gt;0),F86-G86," ")</f>
        <v> </v>
      </c>
    </row>
    <row r="87" customFormat="false" ht="12.75" hidden="false" customHeight="false" outlineLevel="0" collapsed="false">
      <c r="G87" s="99" t="str">
        <f aca="false">IF(G$4&gt;0,(IF(F87&lt;&gt;0,F87*G$4/100," ")),IF(F87&lt;&gt;0,F87*G$2/(100+G$2)," "))</f>
        <v> </v>
      </c>
      <c r="H87" s="99" t="str">
        <f aca="false">IF((F87&lt;&gt;0),F87-G87," ")</f>
        <v> </v>
      </c>
    </row>
    <row r="88" customFormat="false" ht="12.75" hidden="false" customHeight="false" outlineLevel="0" collapsed="false">
      <c r="G88" s="99" t="str">
        <f aca="false">IF(G$4&gt;0,(IF(F88&lt;&gt;0,F88*G$4/100," ")),IF(F88&lt;&gt;0,F88*G$2/(100+G$2)," "))</f>
        <v> </v>
      </c>
      <c r="H88" s="99" t="str">
        <f aca="false">IF((F88&lt;&gt;0),F88-G88," ")</f>
        <v> </v>
      </c>
    </row>
    <row r="89" customFormat="false" ht="12.75" hidden="false" customHeight="false" outlineLevel="0" collapsed="false">
      <c r="G89" s="99" t="str">
        <f aca="false">IF(G$4&gt;0,(IF(F89&lt;&gt;0,F89*G$4/100," ")),IF(F89&lt;&gt;0,F89*G$2/(100+G$2)," "))</f>
        <v> </v>
      </c>
      <c r="H89" s="99" t="str">
        <f aca="false">IF((F89&lt;&gt;0),F89-G89," ")</f>
        <v> </v>
      </c>
    </row>
    <row r="90" customFormat="false" ht="12.75" hidden="false" customHeight="false" outlineLevel="0" collapsed="false">
      <c r="G90" s="99" t="str">
        <f aca="false">IF(G$4&gt;0,(IF(F90&lt;&gt;0,F90*G$4/100," ")),IF(F90&lt;&gt;0,F90*G$2/(100+G$2)," "))</f>
        <v> </v>
      </c>
      <c r="H90" s="99" t="str">
        <f aca="false">IF((F90&lt;&gt;0),F90-G90," ")</f>
        <v> </v>
      </c>
    </row>
    <row r="91" customFormat="false" ht="12.75" hidden="false" customHeight="false" outlineLevel="0" collapsed="false">
      <c r="G91" s="99" t="str">
        <f aca="false">IF(G$4&gt;0,(IF(F91&lt;&gt;0,F91*G$4/100," ")),IF(F91&lt;&gt;0,F91*G$2/(100+G$2)," "))</f>
        <v> </v>
      </c>
      <c r="H91" s="99" t="str">
        <f aca="false">IF((F91&lt;&gt;0),F91-G91," ")</f>
        <v> </v>
      </c>
    </row>
    <row r="92" customFormat="false" ht="12.75" hidden="false" customHeight="false" outlineLevel="0" collapsed="false">
      <c r="G92" s="99" t="str">
        <f aca="false">IF(G$4&gt;0,(IF(F92&lt;&gt;0,F92*G$4/100," ")),IF(F92&lt;&gt;0,F92*G$2/(100+G$2)," "))</f>
        <v> </v>
      </c>
      <c r="H92" s="99" t="str">
        <f aca="false">IF((F92&lt;&gt;0),F92-G92," ")</f>
        <v> </v>
      </c>
    </row>
    <row r="93" customFormat="false" ht="12.75" hidden="false" customHeight="false" outlineLevel="0" collapsed="false">
      <c r="G93" s="99" t="str">
        <f aca="false">IF(G$4&gt;0,(IF(F93&lt;&gt;0,F93*G$4/100," ")),IF(F93&lt;&gt;0,F93*G$2/(100+G$2)," "))</f>
        <v> </v>
      </c>
      <c r="H93" s="99" t="str">
        <f aca="false">IF((F93&lt;&gt;0),F93-G93," ")</f>
        <v> </v>
      </c>
    </row>
    <row r="94" customFormat="false" ht="12.75" hidden="false" customHeight="false" outlineLevel="0" collapsed="false">
      <c r="G94" s="99" t="str">
        <f aca="false">IF(G$4&gt;0,(IF(F94&lt;&gt;0,F94*G$4/100," ")),IF(F94&lt;&gt;0,F94*G$2/(100+G$2)," "))</f>
        <v> </v>
      </c>
      <c r="H94" s="99" t="str">
        <f aca="false">IF((F94&lt;&gt;0),F94-G94," ")</f>
        <v> </v>
      </c>
    </row>
    <row r="95" customFormat="false" ht="12.75" hidden="false" customHeight="false" outlineLevel="0" collapsed="false">
      <c r="G95" s="99" t="str">
        <f aca="false">IF(G$4&gt;0,(IF(F95&lt;&gt;0,F95*G$4/100," ")),IF(F95&lt;&gt;0,F95*G$2/(100+G$2)," "))</f>
        <v> </v>
      </c>
      <c r="H95" s="99" t="str">
        <f aca="false">IF((F95&lt;&gt;0),F95-G95," ")</f>
        <v> </v>
      </c>
    </row>
    <row r="96" customFormat="false" ht="12.75" hidden="false" customHeight="false" outlineLevel="0" collapsed="false">
      <c r="G96" s="99" t="str">
        <f aca="false">IF(G$4&gt;0,(IF(F96&lt;&gt;0,F96*G$4/100," ")),IF(F96&lt;&gt;0,F96*G$2/(100+G$2)," "))</f>
        <v> </v>
      </c>
      <c r="H96" s="99" t="str">
        <f aca="false">IF((F96&lt;&gt;0),F96-G96," ")</f>
        <v> </v>
      </c>
    </row>
    <row r="97" customFormat="false" ht="12.75" hidden="false" customHeight="false" outlineLevel="0" collapsed="false">
      <c r="G97" s="99" t="str">
        <f aca="false">IF(G$4&gt;0,(IF(F97&lt;&gt;0,F97*G$4/100," ")),IF(F97&lt;&gt;0,F97*G$2/(100+G$2)," "))</f>
        <v> </v>
      </c>
      <c r="H97" s="99" t="str">
        <f aca="false">IF((F97&lt;&gt;0),F97-G97," ")</f>
        <v> </v>
      </c>
    </row>
    <row r="98" customFormat="false" ht="12.75" hidden="false" customHeight="false" outlineLevel="0" collapsed="false">
      <c r="G98" s="99" t="str">
        <f aca="false">IF(G$4&gt;0,(IF(F98&lt;&gt;0,F98*G$4/100," ")),IF(F98&lt;&gt;0,F98*G$2/(100+G$2)," "))</f>
        <v> </v>
      </c>
      <c r="H98" s="99" t="str">
        <f aca="false">IF((F98&lt;&gt;0),F98-G98," ")</f>
        <v> </v>
      </c>
    </row>
    <row r="99" customFormat="false" ht="12.75" hidden="false" customHeight="false" outlineLevel="0" collapsed="false">
      <c r="G99" s="99" t="str">
        <f aca="false">IF(G$4&gt;0,(IF(F99&lt;&gt;0,F99*G$4/100," ")),IF(F99&lt;&gt;0,F99*G$2/(100+G$2)," "))</f>
        <v> </v>
      </c>
      <c r="H99" s="99" t="str">
        <f aca="false">IF((F99&lt;&gt;0),F99-G99," ")</f>
        <v> </v>
      </c>
    </row>
    <row r="100" customFormat="false" ht="12.75" hidden="false" customHeight="false" outlineLevel="0" collapsed="false">
      <c r="G100" s="99" t="str">
        <f aca="false">IF(G$4&gt;0,(IF(F100&lt;&gt;0,F100*G$4/100," ")),IF(F100&lt;&gt;0,F100*G$2/(100+G$2)," "))</f>
        <v> </v>
      </c>
      <c r="H100" s="99" t="str">
        <f aca="false">IF((F100&lt;&gt;0),F100-G100," ")</f>
        <v> </v>
      </c>
    </row>
    <row r="101" customFormat="false" ht="12.75" hidden="false" customHeight="false" outlineLevel="0" collapsed="false">
      <c r="G101" s="99" t="str">
        <f aca="false">IF(G$4&gt;0,(IF(F101&lt;&gt;0,F101*G$4/100," ")),IF(F101&lt;&gt;0,F101*G$2/(100+G$2)," "))</f>
        <v> </v>
      </c>
      <c r="H101" s="99" t="str">
        <f aca="false">IF((F101&lt;&gt;0),F101-G101," ")</f>
        <v> </v>
      </c>
    </row>
    <row r="102" customFormat="false" ht="12.75" hidden="false" customHeight="false" outlineLevel="0" collapsed="false">
      <c r="G102" s="99" t="str">
        <f aca="false">IF(G$4&gt;0,(IF(F102&lt;&gt;0,F102*G$4/100," ")),IF(F102&lt;&gt;0,F102*G$2/(100+G$2)," "))</f>
        <v> </v>
      </c>
      <c r="H102" s="99" t="str">
        <f aca="false">IF((F102&lt;&gt;0),F102-G102," ")</f>
        <v> </v>
      </c>
    </row>
    <row r="103" customFormat="false" ht="12.75" hidden="false" customHeight="false" outlineLevel="0" collapsed="false">
      <c r="G103" s="99" t="str">
        <f aca="false">IF(G$4&gt;0,(IF(F103&lt;&gt;0,F103*G$4/100," ")),IF(F103&lt;&gt;0,F103*G$2/(100+G$2)," "))</f>
        <v> </v>
      </c>
      <c r="H103" s="99" t="str">
        <f aca="false">IF((F103&lt;&gt;0),F103-G103," ")</f>
        <v> </v>
      </c>
    </row>
    <row r="104" customFormat="false" ht="12.75" hidden="false" customHeight="false" outlineLevel="0" collapsed="false">
      <c r="G104" s="99" t="str">
        <f aca="false">IF(G$4&gt;0,(IF(F104&lt;&gt;0,F104*G$4/100," ")),IF(F104&lt;&gt;0,F104*G$2/(100+G$2)," "))</f>
        <v> </v>
      </c>
      <c r="H104" s="99" t="str">
        <f aca="false">IF((F104&lt;&gt;0),F104-G104," ")</f>
        <v> </v>
      </c>
    </row>
    <row r="105" customFormat="false" ht="12.75" hidden="false" customHeight="false" outlineLevel="0" collapsed="false">
      <c r="G105" s="99" t="str">
        <f aca="false">IF(G$4&gt;0,(IF(F105&lt;&gt;0,F105*G$4/100," ")),IF(F105&lt;&gt;0,F105*G$2/(100+G$2)," "))</f>
        <v> </v>
      </c>
      <c r="H105" s="99" t="str">
        <f aca="false">IF((F105&lt;&gt;0),F105-G105," ")</f>
        <v> </v>
      </c>
    </row>
    <row r="106" customFormat="false" ht="12.75" hidden="false" customHeight="false" outlineLevel="0" collapsed="false">
      <c r="G106" s="99" t="str">
        <f aca="false">IF(G$4&gt;0,(IF(F106&lt;&gt;0,F106*G$4/100," ")),IF(F106&lt;&gt;0,F106*G$2/(100+G$2)," "))</f>
        <v> </v>
      </c>
      <c r="H106" s="99" t="str">
        <f aca="false">IF((F106&lt;&gt;0),F106-G106," ")</f>
        <v> </v>
      </c>
    </row>
    <row r="107" customFormat="false" ht="12.75" hidden="false" customHeight="false" outlineLevel="0" collapsed="false">
      <c r="G107" s="99" t="str">
        <f aca="false">IF(G$4&gt;0,(IF(F107&lt;&gt;0,F107*G$4/100," ")),IF(F107&lt;&gt;0,F107*G$2/(100+G$2)," "))</f>
        <v> </v>
      </c>
      <c r="H107" s="99" t="str">
        <f aca="false">IF((F107&lt;&gt;0),F107-G107," ")</f>
        <v> </v>
      </c>
    </row>
    <row r="108" customFormat="false" ht="12.75" hidden="false" customHeight="false" outlineLevel="0" collapsed="false">
      <c r="G108" s="99" t="str">
        <f aca="false">IF(G$4&gt;0,(IF(F108&lt;&gt;0,F108*G$4/100," ")),IF(F108&lt;&gt;0,F108*G$2/(100+G$2)," "))</f>
        <v> </v>
      </c>
      <c r="H108" s="99" t="str">
        <f aca="false">IF((F108&lt;&gt;0),F108-G108," ")</f>
        <v> </v>
      </c>
    </row>
    <row r="109" customFormat="false" ht="12.75" hidden="false" customHeight="false" outlineLevel="0" collapsed="false">
      <c r="G109" s="99" t="str">
        <f aca="false">IF(G$4&gt;0,(IF(F109&lt;&gt;0,F109*G$4/100," ")),IF(F109&lt;&gt;0,F109*G$2/(100+G$2)," "))</f>
        <v> </v>
      </c>
      <c r="H109" s="99" t="str">
        <f aca="false">IF((F109&lt;&gt;0),F109-G109," ")</f>
        <v> </v>
      </c>
    </row>
    <row r="110" customFormat="false" ht="12.75" hidden="false" customHeight="false" outlineLevel="0" collapsed="false">
      <c r="G110" s="99" t="str">
        <f aca="false">IF(G$4&gt;0,(IF(F110&lt;&gt;0,F110*G$4/100," ")),IF(F110&lt;&gt;0,F110*G$2/(100+G$2)," "))</f>
        <v> </v>
      </c>
      <c r="H110" s="99" t="str">
        <f aca="false">IF((F110&lt;&gt;0),F110-G110," ")</f>
        <v> </v>
      </c>
    </row>
    <row r="111" customFormat="false" ht="12.75" hidden="false" customHeight="false" outlineLevel="0" collapsed="false">
      <c r="G111" s="99" t="str">
        <f aca="false">IF(G$4&gt;0,(IF(F111&lt;&gt;0,F111*G$4/100," ")),IF(F111&lt;&gt;0,F111*G$2/(100+G$2)," "))</f>
        <v> </v>
      </c>
      <c r="H111" s="99" t="str">
        <f aca="false">IF((F111&lt;&gt;0),F111-G111," ")</f>
        <v> </v>
      </c>
    </row>
    <row r="112" customFormat="false" ht="12.75" hidden="false" customHeight="false" outlineLevel="0" collapsed="false">
      <c r="G112" s="99" t="str">
        <f aca="false">IF(G$4&gt;0,(IF(F112&lt;&gt;0,F112*G$4/100," ")),IF(F112&lt;&gt;0,F112*G$2/(100+G$2)," "))</f>
        <v> </v>
      </c>
      <c r="H112" s="99" t="str">
        <f aca="false">IF((F112&lt;&gt;0),F112-G112," ")</f>
        <v> </v>
      </c>
    </row>
    <row r="113" customFormat="false" ht="12.75" hidden="false" customHeight="false" outlineLevel="0" collapsed="false">
      <c r="G113" s="99" t="str">
        <f aca="false">IF(G$4&gt;0,(IF(F113&lt;&gt;0,F113*G$4/100," ")),IF(F113&lt;&gt;0,F113*G$2/(100+G$2)," "))</f>
        <v> </v>
      </c>
      <c r="H113" s="99" t="str">
        <f aca="false">IF((F113&lt;&gt;0),F113-G113," ")</f>
        <v> </v>
      </c>
    </row>
    <row r="114" customFormat="false" ht="12.75" hidden="false" customHeight="false" outlineLevel="0" collapsed="false">
      <c r="G114" s="99" t="str">
        <f aca="false">IF(G$4&gt;0,(IF(F114&lt;&gt;0,F114*G$4/100," ")),IF(F114&lt;&gt;0,F114*G$2/(100+G$2)," "))</f>
        <v> </v>
      </c>
      <c r="H114" s="99" t="str">
        <f aca="false">IF((F114&lt;&gt;0),F114-G114," ")</f>
        <v> </v>
      </c>
    </row>
    <row r="115" customFormat="false" ht="12.75" hidden="false" customHeight="false" outlineLevel="0" collapsed="false">
      <c r="G115" s="99" t="str">
        <f aca="false">IF(G$4&gt;0,(IF(F115&lt;&gt;0,F115*G$4/100," ")),IF(F115&lt;&gt;0,F115*G$2/(100+G$2)," "))</f>
        <v> </v>
      </c>
      <c r="H115" s="99" t="str">
        <f aca="false">IF((F115&lt;&gt;0),F115-G115," ")</f>
        <v> </v>
      </c>
    </row>
    <row r="116" customFormat="false" ht="12.75" hidden="false" customHeight="false" outlineLevel="0" collapsed="false">
      <c r="G116" s="99" t="str">
        <f aca="false">IF(G$4&gt;0,(IF(F116&lt;&gt;0,F116*G$4/100," ")),IF(F116&lt;&gt;0,F116*G$2/(100+G$2)," "))</f>
        <v> </v>
      </c>
      <c r="H116" s="99" t="str">
        <f aca="false">IF((F116&lt;&gt;0),F116-G116," ")</f>
        <v> </v>
      </c>
    </row>
    <row r="117" customFormat="false" ht="12.75" hidden="false" customHeight="false" outlineLevel="0" collapsed="false">
      <c r="G117" s="99" t="str">
        <f aca="false">IF(G$4&gt;0,(IF(F117&lt;&gt;0,F117*G$4/100," ")),IF(F117&lt;&gt;0,F117*G$2/(100+G$2)," "))</f>
        <v> </v>
      </c>
      <c r="H117" s="99" t="str">
        <f aca="false">IF((F117&lt;&gt;0),F117-G117," ")</f>
        <v> </v>
      </c>
    </row>
    <row r="118" customFormat="false" ht="12.75" hidden="false" customHeight="false" outlineLevel="0" collapsed="false">
      <c r="G118" s="99" t="str">
        <f aca="false">IF(G$4&gt;0,(IF(F118&lt;&gt;0,F118*G$4/100," ")),IF(F118&lt;&gt;0,F118*G$2/(100+G$2)," "))</f>
        <v> </v>
      </c>
      <c r="H118" s="99" t="str">
        <f aca="false">IF((F118&lt;&gt;0),F118-G118," ")</f>
        <v> </v>
      </c>
    </row>
    <row r="119" customFormat="false" ht="12.75" hidden="false" customHeight="false" outlineLevel="0" collapsed="false">
      <c r="G119" s="99" t="str">
        <f aca="false">IF(G$4&gt;0,(IF(F119&lt;&gt;0,F119*G$4/100," ")),IF(F119&lt;&gt;0,F119*G$2/(100+G$2)," "))</f>
        <v> </v>
      </c>
      <c r="H119" s="99" t="str">
        <f aca="false">IF((F119&lt;&gt;0),F119-G119," ")</f>
        <v> </v>
      </c>
    </row>
    <row r="120" customFormat="false" ht="12.75" hidden="false" customHeight="false" outlineLevel="0" collapsed="false">
      <c r="G120" s="99" t="str">
        <f aca="false">IF(G$4&gt;0,(IF(F120&lt;&gt;0,F120*G$4/100," ")),IF(F120&lt;&gt;0,F120*G$2/(100+G$2)," "))</f>
        <v> </v>
      </c>
      <c r="H120" s="99" t="str">
        <f aca="false">IF((F120&lt;&gt;0),F120-G120," ")</f>
        <v> </v>
      </c>
    </row>
    <row r="121" customFormat="false" ht="12.75" hidden="false" customHeight="false" outlineLevel="0" collapsed="false">
      <c r="G121" s="99" t="str">
        <f aca="false">IF(G$4&gt;0,(IF(F121&lt;&gt;0,F121*G$4/100," ")),IF(F121&lt;&gt;0,F121*G$2/(100+G$2)," "))</f>
        <v> </v>
      </c>
      <c r="H121" s="99" t="str">
        <f aca="false">IF((F121&lt;&gt;0),F121-G121," ")</f>
        <v> </v>
      </c>
    </row>
    <row r="122" customFormat="false" ht="12.75" hidden="false" customHeight="false" outlineLevel="0" collapsed="false">
      <c r="G122" s="99" t="str">
        <f aca="false">IF(G$4&gt;0,(IF(F122&lt;&gt;0,F122*G$4/100," ")),IF(F122&lt;&gt;0,F122*G$2/(100+G$2)," "))</f>
        <v> </v>
      </c>
      <c r="H122" s="99" t="str">
        <f aca="false">IF((F122&lt;&gt;0),F122-G122," ")</f>
        <v> </v>
      </c>
    </row>
    <row r="123" customFormat="false" ht="12.75" hidden="false" customHeight="false" outlineLevel="0" collapsed="false">
      <c r="G123" s="99" t="str">
        <f aca="false">IF(G$4&gt;0,(IF(F123&lt;&gt;0,F123*G$4/100," ")),IF(F123&lt;&gt;0,F123*G$2/(100+G$2)," "))</f>
        <v> </v>
      </c>
      <c r="H123" s="99" t="str">
        <f aca="false">IF((F123&lt;&gt;0),F123-G123," ")</f>
        <v> </v>
      </c>
    </row>
    <row r="124" customFormat="false" ht="12.75" hidden="false" customHeight="false" outlineLevel="0" collapsed="false">
      <c r="G124" s="99" t="str">
        <f aca="false">IF(G$4&gt;0,(IF(F124&lt;&gt;0,F124*G$4/100," ")),IF(F124&lt;&gt;0,F124*G$2/(100+G$2)," "))</f>
        <v> </v>
      </c>
      <c r="H124" s="99" t="str">
        <f aca="false">IF((F124&lt;&gt;0),F124-G124," ")</f>
        <v> </v>
      </c>
    </row>
    <row r="125" customFormat="false" ht="12.75" hidden="false" customHeight="false" outlineLevel="0" collapsed="false">
      <c r="G125" s="99" t="str">
        <f aca="false">IF(G$4&gt;0,(IF(F125&lt;&gt;0,F125*G$4/100," ")),IF(F125&lt;&gt;0,F125*G$2/(100+G$2)," "))</f>
        <v> </v>
      </c>
      <c r="H125" s="99" t="str">
        <f aca="false">IF((F125&lt;&gt;0),F125-G125," ")</f>
        <v> </v>
      </c>
    </row>
    <row r="126" customFormat="false" ht="12.75" hidden="false" customHeight="false" outlineLevel="0" collapsed="false">
      <c r="G126" s="99" t="str">
        <f aca="false">IF(G$4&gt;0,(IF(F126&lt;&gt;0,F126*G$4/100," ")),IF(F126&lt;&gt;0,F126*G$2/(100+G$2)," "))</f>
        <v> </v>
      </c>
      <c r="H126" s="99" t="str">
        <f aca="false">IF((F126&lt;&gt;0),F126-G126," ")</f>
        <v> </v>
      </c>
    </row>
    <row r="127" customFormat="false" ht="12.75" hidden="false" customHeight="false" outlineLevel="0" collapsed="false">
      <c r="G127" s="99" t="str">
        <f aca="false">IF(G$4&gt;0,(IF(F127&lt;&gt;0,F127*G$4/100," ")),IF(F127&lt;&gt;0,F127*G$2/(100+G$2)," "))</f>
        <v> </v>
      </c>
      <c r="H127" s="99" t="str">
        <f aca="false">IF((F127&lt;&gt;0),F127-G127," ")</f>
        <v> </v>
      </c>
    </row>
    <row r="128" customFormat="false" ht="12.75" hidden="false" customHeight="false" outlineLevel="0" collapsed="false">
      <c r="G128" s="99" t="str">
        <f aca="false">IF(G$4&gt;0,(IF(F128&lt;&gt;0,F128*G$4/100," ")),IF(F128&lt;&gt;0,F128*G$2/(100+G$2)," "))</f>
        <v> </v>
      </c>
      <c r="H128" s="99" t="str">
        <f aca="false">IF((F128&lt;&gt;0),F128-G128," ")</f>
        <v> </v>
      </c>
    </row>
    <row r="129" customFormat="false" ht="12.75" hidden="false" customHeight="false" outlineLevel="0" collapsed="false">
      <c r="G129" s="99" t="str">
        <f aca="false">IF(G$4&gt;0,(IF(F129&lt;&gt;0,F129*G$4/100," ")),IF(F129&lt;&gt;0,F129*G$2/(100+G$2)," "))</f>
        <v> </v>
      </c>
      <c r="H129" s="99" t="str">
        <f aca="false">IF((F129&lt;&gt;0),F129-G129," ")</f>
        <v> </v>
      </c>
    </row>
    <row r="130" customFormat="false" ht="12.75" hidden="false" customHeight="false" outlineLevel="0" collapsed="false">
      <c r="G130" s="99" t="str">
        <f aca="false">IF(G$4&gt;0,(IF(F130&lt;&gt;0,F130*G$4/100," ")),IF(F130&lt;&gt;0,F130*G$2/(100+G$2)," "))</f>
        <v> </v>
      </c>
      <c r="H130" s="99" t="str">
        <f aca="false">IF((F130&lt;&gt;0),F130-G130," ")</f>
        <v> </v>
      </c>
    </row>
    <row r="131" customFormat="false" ht="12.75" hidden="false" customHeight="false" outlineLevel="0" collapsed="false">
      <c r="G131" s="99" t="str">
        <f aca="false">IF(G$4&gt;0,(IF(F131&lt;&gt;0,F131*G$4/100," ")),IF(F131&lt;&gt;0,F131*G$2/(100+G$2)," "))</f>
        <v> </v>
      </c>
      <c r="H131" s="99" t="str">
        <f aca="false">IF((F131&lt;&gt;0),F131-G131," ")</f>
        <v> </v>
      </c>
    </row>
    <row r="132" customFormat="false" ht="12.75" hidden="false" customHeight="false" outlineLevel="0" collapsed="false">
      <c r="G132" s="99" t="str">
        <f aca="false">IF(G$4&gt;0,(IF(F132&lt;&gt;0,F132*G$4/100," ")),IF(F132&lt;&gt;0,F132*G$2/(100+G$2)," "))</f>
        <v> </v>
      </c>
      <c r="H132" s="99" t="str">
        <f aca="false">IF((F132&lt;&gt;0),F132-G132," ")</f>
        <v> </v>
      </c>
    </row>
    <row r="133" customFormat="false" ht="12.75" hidden="false" customHeight="false" outlineLevel="0" collapsed="false">
      <c r="G133" s="99" t="str">
        <f aca="false">IF(G$4&gt;0,(IF(F133&lt;&gt;0,F133*G$4/100," ")),IF(F133&lt;&gt;0,F133*G$2/(100+G$2)," "))</f>
        <v> </v>
      </c>
      <c r="H133" s="99" t="str">
        <f aca="false">IF((F133&lt;&gt;0),F133-G133," ")</f>
        <v> </v>
      </c>
    </row>
    <row r="134" customFormat="false" ht="12.75" hidden="false" customHeight="false" outlineLevel="0" collapsed="false">
      <c r="G134" s="99" t="str">
        <f aca="false">IF(G$4&gt;0,(IF(F134&lt;&gt;0,F134*G$4/100," ")),IF(F134&lt;&gt;0,F134*G$2/(100+G$2)," "))</f>
        <v> </v>
      </c>
      <c r="H134" s="99" t="str">
        <f aca="false">IF((F134&lt;&gt;0),F134-G134," ")</f>
        <v> </v>
      </c>
    </row>
    <row r="135" customFormat="false" ht="12.75" hidden="false" customHeight="false" outlineLevel="0" collapsed="false">
      <c r="G135" s="99" t="str">
        <f aca="false">IF(G$4&gt;0,(IF(F135&lt;&gt;0,F135*G$4/100," ")),IF(F135&lt;&gt;0,F135*G$2/(100+G$2)," "))</f>
        <v> </v>
      </c>
      <c r="H135" s="99" t="str">
        <f aca="false">IF((F135&lt;&gt;0),F135-G135," ")</f>
        <v> </v>
      </c>
    </row>
    <row r="136" customFormat="false" ht="12.75" hidden="false" customHeight="false" outlineLevel="0" collapsed="false">
      <c r="G136" s="99" t="str">
        <f aca="false">IF(G$4&gt;0,(IF(F136&lt;&gt;0,F136*G$4/100," ")),IF(F136&lt;&gt;0,F136*G$2/(100+G$2)," "))</f>
        <v> </v>
      </c>
      <c r="H136" s="99" t="str">
        <f aca="false">IF((F136&lt;&gt;0),F136-G136," ")</f>
        <v> </v>
      </c>
    </row>
    <row r="137" customFormat="false" ht="12.75" hidden="false" customHeight="false" outlineLevel="0" collapsed="false">
      <c r="G137" s="99" t="str">
        <f aca="false">IF(G$4&gt;0,(IF(F137&lt;&gt;0,F137*G$4/100," ")),IF(F137&lt;&gt;0,F137*G$2/(100+G$2)," "))</f>
        <v> </v>
      </c>
      <c r="H137" s="99" t="str">
        <f aca="false">IF((F137&lt;&gt;0),F137-G137," ")</f>
        <v> </v>
      </c>
    </row>
    <row r="138" customFormat="false" ht="12.75" hidden="false" customHeight="false" outlineLevel="0" collapsed="false">
      <c r="G138" s="99" t="str">
        <f aca="false">IF(G$4&gt;0,(IF(F138&lt;&gt;0,F138*G$4/100," ")),IF(F138&lt;&gt;0,F138*G$2/(100+G$2)," "))</f>
        <v> </v>
      </c>
      <c r="H138" s="99" t="str">
        <f aca="false">IF((F138&lt;&gt;0),F138-G138," ")</f>
        <v> </v>
      </c>
    </row>
    <row r="139" customFormat="false" ht="12.75" hidden="false" customHeight="false" outlineLevel="0" collapsed="false">
      <c r="G139" s="99" t="str">
        <f aca="false">IF(G$4&gt;0,(IF(F139&lt;&gt;0,F139*G$4/100," ")),IF(F139&lt;&gt;0,F139*G$2/(100+G$2)," "))</f>
        <v> </v>
      </c>
      <c r="H139" s="99" t="str">
        <f aca="false">IF((F139&lt;&gt;0),F139-G139," ")</f>
        <v> </v>
      </c>
    </row>
    <row r="140" customFormat="false" ht="12.75" hidden="false" customHeight="false" outlineLevel="0" collapsed="false">
      <c r="G140" s="99" t="str">
        <f aca="false">IF(G$4&gt;0,(IF(F140&lt;&gt;0,F140*G$4/100," ")),IF(F140&lt;&gt;0,F140*G$2/(100+G$2)," "))</f>
        <v> </v>
      </c>
      <c r="H140" s="99" t="str">
        <f aca="false">IF((F140&lt;&gt;0),F140-G140," ")</f>
        <v> </v>
      </c>
    </row>
    <row r="141" customFormat="false" ht="12.75" hidden="false" customHeight="false" outlineLevel="0" collapsed="false">
      <c r="G141" s="99" t="str">
        <f aca="false">IF(G$4&gt;0,(IF(F141&lt;&gt;0,F141*G$4/100," ")),IF(F141&lt;&gt;0,F141*G$2/(100+G$2)," "))</f>
        <v> </v>
      </c>
      <c r="H141" s="99" t="str">
        <f aca="false">IF((F141&lt;&gt;0),F141-G141," ")</f>
        <v> </v>
      </c>
    </row>
    <row r="142" customFormat="false" ht="12.75" hidden="false" customHeight="false" outlineLevel="0" collapsed="false">
      <c r="G142" s="99" t="str">
        <f aca="false">IF(G$4&gt;0,(IF(F142&lt;&gt;0,F142*G$4/100," ")),IF(F142&lt;&gt;0,F142*G$2/(100+G$2)," "))</f>
        <v> </v>
      </c>
      <c r="H142" s="99" t="str">
        <f aca="false">IF((F142&lt;&gt;0),F142-G142," ")</f>
        <v> </v>
      </c>
    </row>
    <row r="143" customFormat="false" ht="12.75" hidden="false" customHeight="false" outlineLevel="0" collapsed="false">
      <c r="G143" s="99" t="str">
        <f aca="false">IF(G$4&gt;0,(IF(F143&lt;&gt;0,F143*G$4/100," ")),IF(F143&lt;&gt;0,F143*G$2/(100+G$2)," "))</f>
        <v> </v>
      </c>
      <c r="H143" s="99" t="str">
        <f aca="false">IF((F143&lt;&gt;0),F143-G143," ")</f>
        <v> </v>
      </c>
    </row>
    <row r="144" customFormat="false" ht="12.75" hidden="false" customHeight="false" outlineLevel="0" collapsed="false">
      <c r="G144" s="99" t="str">
        <f aca="false">IF(G$4&gt;0,(IF(F144&lt;&gt;0,F144*G$4/100," ")),IF(F144&lt;&gt;0,F144*G$2/(100+G$2)," "))</f>
        <v> </v>
      </c>
      <c r="H144" s="99" t="str">
        <f aca="false">IF((F144&lt;&gt;0),F144-G144," ")</f>
        <v> </v>
      </c>
    </row>
    <row r="145" customFormat="false" ht="12.75" hidden="false" customHeight="false" outlineLevel="0" collapsed="false">
      <c r="G145" s="99" t="str">
        <f aca="false">IF(G$4&gt;0,(IF(F145&lt;&gt;0,F145*G$4/100," ")),IF(F145&lt;&gt;0,F145*G$2/(100+G$2)," "))</f>
        <v> </v>
      </c>
      <c r="H145" s="99" t="str">
        <f aca="false">IF((F145&lt;&gt;0),F145-G145," ")</f>
        <v> </v>
      </c>
    </row>
    <row r="146" customFormat="false" ht="12.75" hidden="false" customHeight="false" outlineLevel="0" collapsed="false">
      <c r="G146" s="99" t="str">
        <f aca="false">IF(G$4&gt;0,(IF(F146&lt;&gt;0,F146*G$4/100," ")),IF(F146&lt;&gt;0,F146*G$2/(100+G$2)," "))</f>
        <v> </v>
      </c>
      <c r="H146" s="99" t="str">
        <f aca="false">IF((F146&lt;&gt;0),F146-G146," ")</f>
        <v> </v>
      </c>
    </row>
    <row r="147" customFormat="false" ht="12.75" hidden="false" customHeight="false" outlineLevel="0" collapsed="false">
      <c r="G147" s="99" t="str">
        <f aca="false">IF(G$4&gt;0,(IF(F147&lt;&gt;0,F147*G$4/100," ")),IF(F147&lt;&gt;0,F147*G$2/(100+G$2)," "))</f>
        <v> </v>
      </c>
      <c r="H147" s="99" t="str">
        <f aca="false">IF((F147&lt;&gt;0),F147-G147," ")</f>
        <v> </v>
      </c>
    </row>
    <row r="148" customFormat="false" ht="12.75" hidden="false" customHeight="false" outlineLevel="0" collapsed="false">
      <c r="G148" s="99" t="str">
        <f aca="false">IF(G$4&gt;0,(IF(F148&lt;&gt;0,F148*G$4/100," ")),IF(F148&lt;&gt;0,F148*G$2/(100+G$2)," "))</f>
        <v> </v>
      </c>
      <c r="H148" s="99" t="str">
        <f aca="false">IF((F148&lt;&gt;0),F148-G148," ")</f>
        <v> </v>
      </c>
    </row>
    <row r="149" customFormat="false" ht="12.75" hidden="false" customHeight="false" outlineLevel="0" collapsed="false">
      <c r="G149" s="99" t="str">
        <f aca="false">IF(G$4&gt;0,(IF(F149&lt;&gt;0,F149*G$4/100," ")),IF(F149&lt;&gt;0,F149*G$2/(100+G$2)," "))</f>
        <v> </v>
      </c>
      <c r="H149" s="99" t="str">
        <f aca="false">IF((F149&lt;&gt;0),F149-G149," ")</f>
        <v> </v>
      </c>
    </row>
    <row r="150" customFormat="false" ht="12.75" hidden="false" customHeight="false" outlineLevel="0" collapsed="false">
      <c r="G150" s="99" t="str">
        <f aca="false">IF(G$4&gt;0,(IF(F150&lt;&gt;0,F150*G$4/100," ")),IF(F150&lt;&gt;0,F150*G$2/(100+G$2)," "))</f>
        <v> </v>
      </c>
      <c r="H150" s="99" t="str">
        <f aca="false">IF((F150&lt;&gt;0),F150-G150," ")</f>
        <v> </v>
      </c>
    </row>
    <row r="151" customFormat="false" ht="12.75" hidden="false" customHeight="false" outlineLevel="0" collapsed="false">
      <c r="G151" s="99" t="str">
        <f aca="false">IF(G$4&gt;0,(IF(F151&lt;&gt;0,F151*G$4/100," ")),IF(F151&lt;&gt;0,F151*G$2/(100+G$2)," "))</f>
        <v> </v>
      </c>
      <c r="H151" s="99" t="str">
        <f aca="false">IF((F151&lt;&gt;0),F151-G151," ")</f>
        <v> </v>
      </c>
    </row>
    <row r="152" customFormat="false" ht="12.75" hidden="false" customHeight="false" outlineLevel="0" collapsed="false">
      <c r="G152" s="99" t="str">
        <f aca="false">IF(G$4&gt;0,(IF(F152&lt;&gt;0,F152*G$4/100," ")),IF(F152&lt;&gt;0,F152*G$2/(100+G$2)," "))</f>
        <v> </v>
      </c>
      <c r="H152" s="99" t="str">
        <f aca="false">IF((F152&lt;&gt;0),F152-G152," ")</f>
        <v> </v>
      </c>
    </row>
    <row r="153" customFormat="false" ht="12.75" hidden="false" customHeight="false" outlineLevel="0" collapsed="false">
      <c r="G153" s="99" t="str">
        <f aca="false">IF(G$4&gt;0,(IF(F153&lt;&gt;0,F153*G$4/100," ")),IF(F153&lt;&gt;0,F153*G$2/(100+G$2)," "))</f>
        <v> </v>
      </c>
      <c r="H153" s="99" t="str">
        <f aca="false">IF((F153&lt;&gt;0),F153-G153," ")</f>
        <v> </v>
      </c>
    </row>
    <row r="154" customFormat="false" ht="12.75" hidden="false" customHeight="false" outlineLevel="0" collapsed="false">
      <c r="G154" s="99" t="str">
        <f aca="false">IF(G$4&gt;0,(IF(F154&lt;&gt;0,F154*G$4/100," ")),IF(F154&lt;&gt;0,F154*G$2/(100+G$2)," "))</f>
        <v> </v>
      </c>
      <c r="H154" s="99" t="str">
        <f aca="false">IF((F154&lt;&gt;0),F154-G154," ")</f>
        <v> </v>
      </c>
    </row>
    <row r="155" customFormat="false" ht="12.75" hidden="false" customHeight="false" outlineLevel="0" collapsed="false">
      <c r="G155" s="99" t="str">
        <f aca="false">IF(G$4&gt;0,(IF(F155&lt;&gt;0,F155*G$4/100," ")),IF(F155&lt;&gt;0,F155*G$2/(100+G$2)," "))</f>
        <v> </v>
      </c>
      <c r="H155" s="99" t="str">
        <f aca="false">IF((F155&lt;&gt;0),F155-G155," ")</f>
        <v> </v>
      </c>
    </row>
    <row r="156" customFormat="false" ht="12.75" hidden="false" customHeight="false" outlineLevel="0" collapsed="false">
      <c r="G156" s="99" t="str">
        <f aca="false">IF(G$4&gt;0,(IF(F156&lt;&gt;0,F156*G$4/100," ")),IF(F156&lt;&gt;0,F156*G$2/(100+G$2)," "))</f>
        <v> </v>
      </c>
      <c r="H156" s="99" t="str">
        <f aca="false">IF((F156&lt;&gt;0),F156-G156," ")</f>
        <v> </v>
      </c>
    </row>
    <row r="157" customFormat="false" ht="12.75" hidden="false" customHeight="false" outlineLevel="0" collapsed="false">
      <c r="G157" s="99" t="str">
        <f aca="false">IF(G$4&gt;0,(IF(F157&lt;&gt;0,F157*G$4/100," ")),IF(F157&lt;&gt;0,F157*G$2/(100+G$2)," "))</f>
        <v> </v>
      </c>
      <c r="H157" s="99" t="str">
        <f aca="false">IF((F157&lt;&gt;0),F157-G157," ")</f>
        <v> </v>
      </c>
    </row>
    <row r="158" customFormat="false" ht="12.75" hidden="false" customHeight="false" outlineLevel="0" collapsed="false">
      <c r="G158" s="99" t="str">
        <f aca="false">IF(G$4&gt;0,(IF(F158&lt;&gt;0,F158*G$4/100," ")),IF(F158&lt;&gt;0,F158*G$2/(100+G$2)," "))</f>
        <v> </v>
      </c>
      <c r="H158" s="99" t="str">
        <f aca="false">IF((F158&lt;&gt;0),F158-G158," ")</f>
        <v> </v>
      </c>
    </row>
    <row r="159" customFormat="false" ht="12.75" hidden="false" customHeight="false" outlineLevel="0" collapsed="false">
      <c r="G159" s="99" t="str">
        <f aca="false">IF(G$4&gt;0,(IF(F159&lt;&gt;0,F159*G$4/100," ")),IF(F159&lt;&gt;0,F159*G$2/(100+G$2)," "))</f>
        <v> </v>
      </c>
      <c r="H159" s="99" t="str">
        <f aca="false">IF((F159&lt;&gt;0),F159-G159," ")</f>
        <v> </v>
      </c>
    </row>
    <row r="160" customFormat="false" ht="12.75" hidden="false" customHeight="false" outlineLevel="0" collapsed="false">
      <c r="G160" s="99" t="str">
        <f aca="false">IF(G$4&gt;0,(IF(F160&lt;&gt;0,F160*G$4/100," ")),IF(F160&lt;&gt;0,F160*G$2/(100+G$2)," "))</f>
        <v> </v>
      </c>
      <c r="H160" s="99" t="str">
        <f aca="false">IF((F160&lt;&gt;0),F160-G160," ")</f>
        <v> </v>
      </c>
    </row>
    <row r="161" customFormat="false" ht="12.75" hidden="false" customHeight="false" outlineLevel="0" collapsed="false">
      <c r="G161" s="99" t="str">
        <f aca="false">IF(G$4&gt;0,(IF(F161&lt;&gt;0,F161*G$4/100," ")),IF(F161&lt;&gt;0,F161*G$2/(100+G$2)," "))</f>
        <v> </v>
      </c>
      <c r="H161" s="99" t="str">
        <f aca="false">IF((F161&lt;&gt;0),F161-G161," ")</f>
        <v> </v>
      </c>
    </row>
    <row r="162" customFormat="false" ht="12.75" hidden="false" customHeight="false" outlineLevel="0" collapsed="false">
      <c r="G162" s="99" t="str">
        <f aca="false">IF(G$4&gt;0,(IF(F162&lt;&gt;0,F162*G$4/100," ")),IF(F162&lt;&gt;0,F162*G$2/(100+G$2)," "))</f>
        <v> </v>
      </c>
      <c r="H162" s="99" t="str">
        <f aca="false">IF((F162&lt;&gt;0),F162-G162," ")</f>
        <v> </v>
      </c>
    </row>
    <row r="163" customFormat="false" ht="12.75" hidden="false" customHeight="false" outlineLevel="0" collapsed="false">
      <c r="G163" s="99" t="str">
        <f aca="false">IF(G$4&gt;0,(IF(F163&lt;&gt;0,F163*G$4/100," ")),IF(F163&lt;&gt;0,F163*G$2/(100+G$2)," "))</f>
        <v> </v>
      </c>
      <c r="H163" s="99" t="str">
        <f aca="false">IF((F163&lt;&gt;0),F163-G163," ")</f>
        <v> </v>
      </c>
    </row>
    <row r="164" customFormat="false" ht="12.75" hidden="false" customHeight="false" outlineLevel="0" collapsed="false">
      <c r="G164" s="99" t="str">
        <f aca="false">IF(G$4&gt;0,(IF(F164&lt;&gt;0,F164*G$4/100," ")),IF(F164&lt;&gt;0,F164*G$2/(100+G$2)," "))</f>
        <v> </v>
      </c>
      <c r="H164" s="99" t="str">
        <f aca="false">IF((F164&lt;&gt;0),F164-G164," ")</f>
        <v> </v>
      </c>
    </row>
    <row r="165" customFormat="false" ht="12.75" hidden="false" customHeight="false" outlineLevel="0" collapsed="false">
      <c r="G165" s="99" t="str">
        <f aca="false">IF(G$4&gt;0,(IF(F165&lt;&gt;0,F165*G$4/100," ")),IF(F165&lt;&gt;0,F165*G$2/(100+G$2)," "))</f>
        <v> </v>
      </c>
      <c r="H165" s="99" t="str">
        <f aca="false">IF((F165&lt;&gt;0),F165-G165," ")</f>
        <v> </v>
      </c>
    </row>
    <row r="166" customFormat="false" ht="12.75" hidden="false" customHeight="false" outlineLevel="0" collapsed="false">
      <c r="G166" s="99" t="str">
        <f aca="false">IF(G$4&gt;0,(IF(F166&lt;&gt;0,F166*G$4/100," ")),IF(F166&lt;&gt;0,F166*G$2/(100+G$2)," "))</f>
        <v> </v>
      </c>
      <c r="H166" s="99" t="str">
        <f aca="false">IF((F166&lt;&gt;0),F166-G166," ")</f>
        <v> </v>
      </c>
    </row>
    <row r="167" customFormat="false" ht="12.75" hidden="false" customHeight="false" outlineLevel="0" collapsed="false">
      <c r="G167" s="99" t="str">
        <f aca="false">IF(G$4&gt;0,(IF(F167&lt;&gt;0,F167*G$4/100," ")),IF(F167&lt;&gt;0,F167*G$2/(100+G$2)," "))</f>
        <v> </v>
      </c>
      <c r="H167" s="99" t="str">
        <f aca="false">IF((F167&lt;&gt;0),F167-G167," ")</f>
        <v> </v>
      </c>
    </row>
    <row r="168" customFormat="false" ht="12.75" hidden="false" customHeight="false" outlineLevel="0" collapsed="false">
      <c r="G168" s="99" t="str">
        <f aca="false">IF(G$4&gt;0,(IF(F168&lt;&gt;0,F168*G$4/100," ")),IF(F168&lt;&gt;0,F168*G$2/(100+G$2)," "))</f>
        <v> </v>
      </c>
      <c r="H168" s="99" t="str">
        <f aca="false">IF((F168&lt;&gt;0),F168-G168," ")</f>
        <v> </v>
      </c>
    </row>
    <row r="169" customFormat="false" ht="12.75" hidden="false" customHeight="false" outlineLevel="0" collapsed="false">
      <c r="G169" s="99" t="str">
        <f aca="false">IF(G$4&gt;0,(IF(F169&lt;&gt;0,F169*G$4/100," ")),IF(F169&lt;&gt;0,F169*G$2/(100+G$2)," "))</f>
        <v> </v>
      </c>
      <c r="H169" s="99" t="str">
        <f aca="false">IF((F169&lt;&gt;0),F169-G169," ")</f>
        <v> </v>
      </c>
    </row>
    <row r="170" customFormat="false" ht="12.75" hidden="false" customHeight="false" outlineLevel="0" collapsed="false">
      <c r="G170" s="99" t="str">
        <f aca="false">IF(G$4&gt;0,(IF(F170&lt;&gt;0,F170*G$4/100," ")),IF(F170&lt;&gt;0,F170*G$2/(100+G$2)," "))</f>
        <v> </v>
      </c>
      <c r="H170" s="99" t="str">
        <f aca="false">IF((F170&lt;&gt;0),F170-G170," ")</f>
        <v> </v>
      </c>
    </row>
    <row r="171" customFormat="false" ht="12.75" hidden="false" customHeight="false" outlineLevel="0" collapsed="false">
      <c r="G171" s="99" t="str">
        <f aca="false">IF(G$4&gt;0,(IF(F171&lt;&gt;0,F171*G$4/100," ")),IF(F171&lt;&gt;0,F171*G$2/(100+G$2)," "))</f>
        <v> </v>
      </c>
      <c r="H171" s="99" t="str">
        <f aca="false">IF((F171&lt;&gt;0),F171-G171," ")</f>
        <v> </v>
      </c>
    </row>
    <row r="172" customFormat="false" ht="12.75" hidden="false" customHeight="false" outlineLevel="0" collapsed="false">
      <c r="G172" s="99" t="str">
        <f aca="false">IF(G$4&gt;0,(IF(F172&lt;&gt;0,F172*G$4/100," ")),IF(F172&lt;&gt;0,F172*G$2/(100+G$2)," "))</f>
        <v> </v>
      </c>
      <c r="H172" s="99" t="str">
        <f aca="false">IF((F172&lt;&gt;0),F172-G172," ")</f>
        <v> </v>
      </c>
    </row>
    <row r="173" customFormat="false" ht="12.75" hidden="false" customHeight="false" outlineLevel="0" collapsed="false">
      <c r="G173" s="99" t="str">
        <f aca="false">IF(G$4&gt;0,(IF(F173&lt;&gt;0,F173*G$4/100," ")),IF(F173&lt;&gt;0,F173*G$2/(100+G$2)," "))</f>
        <v> </v>
      </c>
      <c r="H173" s="99" t="str">
        <f aca="false">IF((F173&lt;&gt;0),F173-G173," ")</f>
        <v> </v>
      </c>
    </row>
    <row r="174" customFormat="false" ht="12.75" hidden="false" customHeight="false" outlineLevel="0" collapsed="false">
      <c r="G174" s="99" t="str">
        <f aca="false">IF(G$4&gt;0,(IF(F174&lt;&gt;0,F174*G$4/100," ")),IF(F174&lt;&gt;0,F174*G$2/(100+G$2)," "))</f>
        <v> </v>
      </c>
      <c r="H174" s="99" t="str">
        <f aca="false">IF((F174&lt;&gt;0),F174-G174," ")</f>
        <v> </v>
      </c>
    </row>
    <row r="175" customFormat="false" ht="12.75" hidden="false" customHeight="false" outlineLevel="0" collapsed="false">
      <c r="G175" s="99" t="str">
        <f aca="false">IF(G$4&gt;0,(IF(F175&lt;&gt;0,F175*G$4/100," ")),IF(F175&lt;&gt;0,F175*G$2/(100+G$2)," "))</f>
        <v> </v>
      </c>
      <c r="H175" s="99" t="str">
        <f aca="false">IF((F175&lt;&gt;0),F175-G175," ")</f>
        <v> </v>
      </c>
    </row>
    <row r="176" customFormat="false" ht="12.75" hidden="false" customHeight="false" outlineLevel="0" collapsed="false">
      <c r="G176" s="99" t="str">
        <f aca="false">IF(G$4&gt;0,(IF(F176&lt;&gt;0,F176*G$4/100," ")),IF(F176&lt;&gt;0,F176*G$2/(100+G$2)," "))</f>
        <v> </v>
      </c>
      <c r="H176" s="99" t="str">
        <f aca="false">IF((F176&lt;&gt;0),F176-G176," ")</f>
        <v> </v>
      </c>
    </row>
    <row r="177" customFormat="false" ht="12.75" hidden="false" customHeight="false" outlineLevel="0" collapsed="false">
      <c r="G177" s="99" t="str">
        <f aca="false">IF(G$4&gt;0,(IF(F177&lt;&gt;0,F177*G$4/100," ")),IF(F177&lt;&gt;0,F177*G$2/(100+G$2)," "))</f>
        <v> </v>
      </c>
      <c r="H177" s="99" t="str">
        <f aca="false">IF((F177&lt;&gt;0),F177-G177," ")</f>
        <v> </v>
      </c>
    </row>
    <row r="178" customFormat="false" ht="12.75" hidden="false" customHeight="false" outlineLevel="0" collapsed="false">
      <c r="G178" s="99" t="str">
        <f aca="false">IF(G$4&gt;0,(IF(F178&lt;&gt;0,F178*G$4/100," ")),IF(F178&lt;&gt;0,F178*G$2/(100+G$2)," "))</f>
        <v> </v>
      </c>
      <c r="H178" s="99" t="str">
        <f aca="false">IF((F178&lt;&gt;0),F178-G178," ")</f>
        <v> </v>
      </c>
    </row>
    <row r="179" customFormat="false" ht="12.75" hidden="false" customHeight="false" outlineLevel="0" collapsed="false">
      <c r="G179" s="99" t="str">
        <f aca="false">IF(G$4&gt;0,(IF(F179&lt;&gt;0,F179*G$4/100," ")),IF(F179&lt;&gt;0,F179*G$2/(100+G$2)," "))</f>
        <v> </v>
      </c>
      <c r="H179" s="99" t="str">
        <f aca="false">IF((F179&lt;&gt;0),F179-G179," ")</f>
        <v> </v>
      </c>
    </row>
    <row r="180" customFormat="false" ht="12.75" hidden="false" customHeight="false" outlineLevel="0" collapsed="false">
      <c r="G180" s="99" t="str">
        <f aca="false">IF(G$4&gt;0,(IF(F180&lt;&gt;0,F180*G$4/100," ")),IF(F180&lt;&gt;0,F180*G$2/(100+G$2)," "))</f>
        <v> </v>
      </c>
      <c r="H180" s="99" t="str">
        <f aca="false">IF((F180&lt;&gt;0),F180-G180," ")</f>
        <v> </v>
      </c>
    </row>
    <row r="181" customFormat="false" ht="12.75" hidden="false" customHeight="false" outlineLevel="0" collapsed="false">
      <c r="G181" s="99" t="str">
        <f aca="false">IF(G$4&gt;0,(IF(F181&lt;&gt;0,F181*G$4/100," ")),IF(F181&lt;&gt;0,F181*G$2/(100+G$2)," "))</f>
        <v> </v>
      </c>
      <c r="H181" s="99" t="str">
        <f aca="false">IF((F181&lt;&gt;0),F181-G181," ")</f>
        <v> </v>
      </c>
    </row>
    <row r="182" customFormat="false" ht="12.75" hidden="false" customHeight="false" outlineLevel="0" collapsed="false">
      <c r="G182" s="99" t="str">
        <f aca="false">IF(G$4&gt;0,(IF(F182&lt;&gt;0,F182*G$4/100," ")),IF(F182&lt;&gt;0,F182*G$2/(100+G$2)," "))</f>
        <v> </v>
      </c>
      <c r="H182" s="99" t="str">
        <f aca="false">IF((F182&lt;&gt;0),F182-G182," ")</f>
        <v> </v>
      </c>
    </row>
    <row r="183" customFormat="false" ht="12.75" hidden="false" customHeight="false" outlineLevel="0" collapsed="false">
      <c r="G183" s="99" t="str">
        <f aca="false">IF(G$4&gt;0,(IF(F183&lt;&gt;0,F183*G$4/100," ")),IF(F183&lt;&gt;0,F183*G$2/(100+G$2)," "))</f>
        <v> </v>
      </c>
      <c r="H183" s="99" t="str">
        <f aca="false">IF((F183&lt;&gt;0),F183-G183," ")</f>
        <v> </v>
      </c>
    </row>
    <row r="184" customFormat="false" ht="12.75" hidden="false" customHeight="false" outlineLevel="0" collapsed="false">
      <c r="G184" s="99" t="str">
        <f aca="false">IF(G$4&gt;0,(IF(F184&lt;&gt;0,F184*G$4/100," ")),IF(F184&lt;&gt;0,F184*G$2/(100+G$2)," "))</f>
        <v> </v>
      </c>
      <c r="H184" s="99" t="str">
        <f aca="false">IF((F184&lt;&gt;0),F184-G184," ")</f>
        <v> </v>
      </c>
    </row>
    <row r="185" customFormat="false" ht="12.75" hidden="false" customHeight="false" outlineLevel="0" collapsed="false">
      <c r="G185" s="99" t="str">
        <f aca="false">IF(G$4&gt;0,(IF(F185&lt;&gt;0,F185*G$4/100," ")),IF(F185&lt;&gt;0,F185*G$2/(100+G$2)," "))</f>
        <v> </v>
      </c>
      <c r="H185" s="99" t="str">
        <f aca="false">IF((F185&lt;&gt;0),F185-G185," ")</f>
        <v> </v>
      </c>
    </row>
    <row r="186" customFormat="false" ht="12.75" hidden="false" customHeight="false" outlineLevel="0" collapsed="false">
      <c r="G186" s="99" t="str">
        <f aca="false">IF(G$4&gt;0,(IF(F186&lt;&gt;0,F186*G$4/100," ")),IF(F186&lt;&gt;0,F186*G$2/(100+G$2)," "))</f>
        <v> </v>
      </c>
      <c r="H186" s="99" t="str">
        <f aca="false">IF((F186&lt;&gt;0),F186-G186," ")</f>
        <v> </v>
      </c>
    </row>
    <row r="187" customFormat="false" ht="12.75" hidden="false" customHeight="false" outlineLevel="0" collapsed="false">
      <c r="G187" s="99" t="str">
        <f aca="false">IF(G$4&gt;0,(IF(F187&lt;&gt;0,F187*G$4/100," ")),IF(F187&lt;&gt;0,F187*G$2/(100+G$2)," "))</f>
        <v> </v>
      </c>
      <c r="H187" s="99" t="str">
        <f aca="false">IF((F187&lt;&gt;0),F187-G187," ")</f>
        <v> </v>
      </c>
    </row>
    <row r="188" customFormat="false" ht="12.75" hidden="false" customHeight="false" outlineLevel="0" collapsed="false">
      <c r="G188" s="99" t="str">
        <f aca="false">IF(G$4&gt;0,(IF(F188&lt;&gt;0,F188*G$4/100," ")),IF(F188&lt;&gt;0,F188*G$2/(100+G$2)," "))</f>
        <v> </v>
      </c>
      <c r="H188" s="99" t="str">
        <f aca="false">IF((F188&lt;&gt;0),F188-G188," ")</f>
        <v> </v>
      </c>
    </row>
    <row r="189" customFormat="false" ht="12.75" hidden="false" customHeight="false" outlineLevel="0" collapsed="false">
      <c r="G189" s="99" t="str">
        <f aca="false">IF(G$4&gt;0,(IF(F189&lt;&gt;0,F189*G$4/100," ")),IF(F189&lt;&gt;0,F189*G$2/(100+G$2)," "))</f>
        <v> </v>
      </c>
      <c r="H189" s="99" t="str">
        <f aca="false">IF((F189&lt;&gt;0),F189-G189," ")</f>
        <v> </v>
      </c>
    </row>
    <row r="190" customFormat="false" ht="12.75" hidden="false" customHeight="false" outlineLevel="0" collapsed="false">
      <c r="G190" s="99" t="str">
        <f aca="false">IF(G$4&gt;0,(IF(F190&lt;&gt;0,F190*G$4/100," ")),IF(F190&lt;&gt;0,F190*G$2/(100+G$2)," "))</f>
        <v> </v>
      </c>
      <c r="H190" s="99" t="str">
        <f aca="false">IF((F190&lt;&gt;0),F190-G190," ")</f>
        <v> </v>
      </c>
    </row>
    <row r="191" customFormat="false" ht="12.75" hidden="false" customHeight="false" outlineLevel="0" collapsed="false">
      <c r="G191" s="99" t="str">
        <f aca="false">IF(G$4&gt;0,(IF(F191&lt;&gt;0,F191*G$4/100," ")),IF(F191&lt;&gt;0,F191*G$2/(100+G$2)," "))</f>
        <v> </v>
      </c>
      <c r="H191" s="99" t="str">
        <f aca="false">IF((F191&lt;&gt;0),F191-G191," ")</f>
        <v> </v>
      </c>
    </row>
    <row r="192" customFormat="false" ht="12.75" hidden="false" customHeight="false" outlineLevel="0" collapsed="false">
      <c r="G192" s="99" t="str">
        <f aca="false">IF(G$4&gt;0,(IF(F192&lt;&gt;0,F192*G$4/100," ")),IF(F192&lt;&gt;0,F192*G$2/(100+G$2)," "))</f>
        <v> </v>
      </c>
      <c r="H192" s="99" t="str">
        <f aca="false">IF((F192&lt;&gt;0),F192-G192," ")</f>
        <v> </v>
      </c>
    </row>
    <row r="193" customFormat="false" ht="12.75" hidden="false" customHeight="false" outlineLevel="0" collapsed="false">
      <c r="G193" s="99" t="str">
        <f aca="false">IF(G$4&gt;0,(IF(F193&lt;&gt;0,F193*G$4/100," ")),IF(F193&lt;&gt;0,F193*G$2/(100+G$2)," "))</f>
        <v> </v>
      </c>
      <c r="H193" s="99" t="str">
        <f aca="false">IF((F193&lt;&gt;0),F193-G193," ")</f>
        <v> </v>
      </c>
    </row>
    <row r="194" customFormat="false" ht="12.75" hidden="false" customHeight="false" outlineLevel="0" collapsed="false">
      <c r="G194" s="99" t="str">
        <f aca="false">IF(G$4&gt;0,(IF(F194&lt;&gt;0,F194*G$4/100," ")),IF(F194&lt;&gt;0,F194*G$2/(100+G$2)," "))</f>
        <v> </v>
      </c>
      <c r="H194" s="99" t="str">
        <f aca="false">IF((F194&lt;&gt;0),F194-G194," ")</f>
        <v> </v>
      </c>
    </row>
    <row r="195" customFormat="false" ht="12.75" hidden="false" customHeight="false" outlineLevel="0" collapsed="false">
      <c r="G195" s="99" t="str">
        <f aca="false">IF(G$4&gt;0,(IF(F195&lt;&gt;0,F195*G$4/100," ")),IF(F195&lt;&gt;0,F195*G$2/(100+G$2)," "))</f>
        <v> </v>
      </c>
      <c r="H195" s="99" t="str">
        <f aca="false">IF((F195&lt;&gt;0),F195-G195," ")</f>
        <v> </v>
      </c>
    </row>
    <row r="196" customFormat="false" ht="12.75" hidden="false" customHeight="false" outlineLevel="0" collapsed="false">
      <c r="G196" s="99" t="str">
        <f aca="false">IF(G$4&gt;0,(IF(F196&lt;&gt;0,F196*G$4/100," ")),IF(F196&lt;&gt;0,F196*G$2/(100+G$2)," "))</f>
        <v> </v>
      </c>
      <c r="H196" s="99" t="str">
        <f aca="false">IF((F196&lt;&gt;0),F196-G196," ")</f>
        <v> </v>
      </c>
    </row>
    <row r="197" customFormat="false" ht="12.75" hidden="false" customHeight="false" outlineLevel="0" collapsed="false">
      <c r="G197" s="99" t="str">
        <f aca="false">IF(G$4&gt;0,(IF(F197&lt;&gt;0,F197*G$4/100," ")),IF(F197&lt;&gt;0,F197*G$2/(100+G$2)," "))</f>
        <v> </v>
      </c>
      <c r="H197" s="99" t="str">
        <f aca="false">IF((F197&lt;&gt;0),F197-G197," ")</f>
        <v> </v>
      </c>
    </row>
    <row r="198" customFormat="false" ht="12.75" hidden="false" customHeight="false" outlineLevel="0" collapsed="false">
      <c r="G198" s="99" t="str">
        <f aca="false">IF(G$4&gt;0,(IF(F198&lt;&gt;0,F198*G$4/100," ")),IF(F198&lt;&gt;0,F198*G$2/(100+G$2)," "))</f>
        <v> </v>
      </c>
      <c r="H198" s="99" t="str">
        <f aca="false">IF((F198&lt;&gt;0),F198-G198," ")</f>
        <v> </v>
      </c>
    </row>
    <row r="199" customFormat="false" ht="12.75" hidden="false" customHeight="false" outlineLevel="0" collapsed="false">
      <c r="G199" s="99" t="str">
        <f aca="false">IF(G$4&gt;0,(IF(F199&lt;&gt;0,F199*G$4/100," ")),IF(F199&lt;&gt;0,F199*G$2/(100+G$2)," "))</f>
        <v> </v>
      </c>
      <c r="H199" s="99" t="str">
        <f aca="false">IF((F199&lt;&gt;0),F199-G199," ")</f>
        <v> </v>
      </c>
    </row>
    <row r="200" customFormat="false" ht="12.75" hidden="false" customHeight="false" outlineLevel="0" collapsed="false">
      <c r="A200" s="114"/>
      <c r="B200" s="115"/>
      <c r="C200" s="116"/>
      <c r="D200" s="116"/>
      <c r="E200" s="117"/>
      <c r="F200" s="115"/>
      <c r="G200" s="115" t="str">
        <f aca="false">IF(G$4&gt;0,(IF(F200&lt;&gt;0,F200*G$4/100," ")),IF(F200&lt;&gt;0,F200*G$2/(100+G$2)," "))</f>
        <v> </v>
      </c>
      <c r="H200" s="115" t="str">
        <f aca="false">IF((F200&lt;&gt;0),F200-G200," ")</f>
        <v> </v>
      </c>
    </row>
    <row r="201" customFormat="false" ht="12.75" hidden="false" customHeight="false" outlineLevel="0" collapsed="false">
      <c r="A201" s="98" t="s">
        <v>38</v>
      </c>
    </row>
  </sheetData>
  <mergeCells count="9">
    <mergeCell ref="A1:C1"/>
    <mergeCell ref="D1:E1"/>
    <mergeCell ref="A2:A4"/>
    <mergeCell ref="B2:B4"/>
    <mergeCell ref="C2:C4"/>
    <mergeCell ref="D2:D4"/>
    <mergeCell ref="E2:E4"/>
    <mergeCell ref="F2:F4"/>
    <mergeCell ref="H2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4" min="3" style="100" width="12.82"/>
    <col collapsed="false" customWidth="true" hidden="false" outlineLevel="0" max="5" min="5" style="101" width="7.66"/>
    <col collapsed="false" customWidth="true" hidden="false" outlineLevel="0" max="6" min="6" style="99" width="9.66"/>
    <col collapsed="false" customWidth="true" hidden="false" outlineLevel="0" max="7" min="7" style="99" width="8.66"/>
    <col collapsed="false" customWidth="true" hidden="false" outlineLevel="0" max="8" min="8" style="99" width="9.66"/>
    <col collapsed="false" customWidth="false" hidden="false" outlineLevel="0" max="257" min="9" style="102" width="9.15"/>
  </cols>
  <sheetData>
    <row r="1" s="106" customFormat="true" ht="15" hidden="false" customHeight="true" outlineLevel="0" collapsed="false">
      <c r="A1" s="103" t="s">
        <v>29</v>
      </c>
      <c r="B1" s="103"/>
      <c r="C1" s="103"/>
      <c r="D1" s="104" t="s">
        <v>30</v>
      </c>
      <c r="E1" s="104"/>
      <c r="F1" s="105" t="n">
        <f aca="false">SUM(F5:F500)</f>
        <v>0</v>
      </c>
      <c r="G1" s="105" t="n">
        <f aca="false">SUM(G5:G500)</f>
        <v>0</v>
      </c>
      <c r="H1" s="105" t="n">
        <f aca="false">SUM(H5:H500)</f>
        <v>0</v>
      </c>
    </row>
    <row r="2" s="106" customFormat="true" ht="12.75" hidden="false" customHeight="true" outlineLevel="0" collapsed="false">
      <c r="A2" s="107" t="s">
        <v>31</v>
      </c>
      <c r="B2" s="108" t="s">
        <v>32</v>
      </c>
      <c r="C2" s="109" t="s">
        <v>33</v>
      </c>
      <c r="D2" s="109" t="s">
        <v>34</v>
      </c>
      <c r="E2" s="110"/>
      <c r="F2" s="108" t="s">
        <v>35</v>
      </c>
      <c r="G2" s="111" t="n">
        <f aca="false">[2]ClosingDebtors!$G$2</f>
        <v>20</v>
      </c>
      <c r="H2" s="108" t="s">
        <v>36</v>
      </c>
    </row>
    <row r="3" s="112" customFormat="true" ht="22.35" hidden="false" customHeight="false" outlineLevel="0" collapsed="false">
      <c r="A3" s="107"/>
      <c r="B3" s="108"/>
      <c r="C3" s="109"/>
      <c r="D3" s="109"/>
      <c r="E3" s="110"/>
      <c r="F3" s="108"/>
      <c r="G3" s="108" t="s">
        <v>37</v>
      </c>
      <c r="H3" s="108"/>
    </row>
    <row r="4" customFormat="false" ht="12.75" hidden="false" customHeight="false" outlineLevel="0" collapsed="false">
      <c r="A4" s="107"/>
      <c r="B4" s="107"/>
      <c r="C4" s="107"/>
      <c r="D4" s="109"/>
      <c r="E4" s="110"/>
      <c r="F4" s="108"/>
      <c r="G4" s="113" t="n">
        <f aca="false">[2]ClosingDebtors!$G$4</f>
        <v>0</v>
      </c>
      <c r="H4" s="108"/>
    </row>
    <row r="5" customFormat="false" ht="12.75" hidden="false" customHeight="false" outlineLevel="0" collapsed="false">
      <c r="G5" s="99" t="str">
        <f aca="false">IF(G$4&gt;0,(IF(F5&lt;&gt;0,F5*G$4/100," ")),IF(F5&lt;&gt;0,F5*G$2/(100+G$2)," "))</f>
        <v> </v>
      </c>
      <c r="H5" s="99" t="str">
        <f aca="false">IF((F5&lt;&gt;0),F5-G5," ")</f>
        <v> </v>
      </c>
    </row>
    <row r="6" customFormat="false" ht="12.75" hidden="false" customHeight="false" outlineLevel="0" collapsed="false">
      <c r="G6" s="99" t="str">
        <f aca="false">IF(G$4&gt;0,(IF(F6&lt;&gt;0,F6*G$4/100," ")),IF(F6&lt;&gt;0,F6*G$2/(100+G$2)," "))</f>
        <v> </v>
      </c>
      <c r="H6" s="99" t="str">
        <f aca="false">IF((F6&lt;&gt;0),F6-G6," ")</f>
        <v> </v>
      </c>
    </row>
    <row r="7" customFormat="false" ht="12.75" hidden="false" customHeight="false" outlineLevel="0" collapsed="false">
      <c r="G7" s="99" t="str">
        <f aca="false">IF(G$4&gt;0,(IF(F7&lt;&gt;0,F7*G$4/100," ")),IF(F7&lt;&gt;0,F7*G$2/(100+G$2)," "))</f>
        <v> </v>
      </c>
      <c r="H7" s="99" t="str">
        <f aca="false">IF((F7&lt;&gt;0),F7-G7," ")</f>
        <v> </v>
      </c>
    </row>
    <row r="8" customFormat="false" ht="12.75" hidden="false" customHeight="false" outlineLevel="0" collapsed="false">
      <c r="G8" s="99" t="str">
        <f aca="false">IF(G$4&gt;0,(IF(F8&lt;&gt;0,F8*G$4/100," ")),IF(F8&lt;&gt;0,F8*G$2/(100+G$2)," "))</f>
        <v> </v>
      </c>
      <c r="H8" s="99" t="str">
        <f aca="false">IF((F8&lt;&gt;0),F8-G8," ")</f>
        <v> </v>
      </c>
    </row>
    <row r="9" customFormat="false" ht="12.75" hidden="false" customHeight="false" outlineLevel="0" collapsed="false">
      <c r="G9" s="99" t="str">
        <f aca="false">IF(G$4&gt;0,(IF(F9&lt;&gt;0,F9*G$4/100," ")),IF(F9&lt;&gt;0,F9*G$2/(100+G$2)," "))</f>
        <v> </v>
      </c>
      <c r="H9" s="99" t="str">
        <f aca="false">IF((F9&lt;&gt;0),F9-G9," ")</f>
        <v> </v>
      </c>
    </row>
    <row r="10" customFormat="false" ht="12.75" hidden="false" customHeight="false" outlineLevel="0" collapsed="false">
      <c r="G10" s="99" t="str">
        <f aca="false">IF(G$4&gt;0,(IF(F10&lt;&gt;0,F10*G$4/100," ")),IF(F10&lt;&gt;0,F10*G$2/(100+G$2)," "))</f>
        <v> </v>
      </c>
      <c r="H10" s="99" t="str">
        <f aca="false">IF((F10&lt;&gt;0),F10-G10," ")</f>
        <v> </v>
      </c>
    </row>
    <row r="11" customFormat="false" ht="12.75" hidden="false" customHeight="false" outlineLevel="0" collapsed="false">
      <c r="G11" s="99" t="str">
        <f aca="false">IF(G$4&gt;0,(IF(F11&lt;&gt;0,F11*G$4/100," ")),IF(F11&lt;&gt;0,F11*G$2/(100+G$2)," "))</f>
        <v> </v>
      </c>
      <c r="H11" s="99" t="str">
        <f aca="false">IF((F11&lt;&gt;0),F11-G11," ")</f>
        <v> </v>
      </c>
    </row>
    <row r="12" customFormat="false" ht="12.75" hidden="false" customHeight="false" outlineLevel="0" collapsed="false">
      <c r="G12" s="99" t="str">
        <f aca="false">IF(G$4&gt;0,(IF(F12&lt;&gt;0,F12*G$4/100," ")),IF(F12&lt;&gt;0,F12*G$2/(100+G$2)," "))</f>
        <v> </v>
      </c>
      <c r="H12" s="99" t="str">
        <f aca="false">IF((F12&lt;&gt;0),F12-G12," ")</f>
        <v> </v>
      </c>
    </row>
    <row r="13" customFormat="false" ht="12.75" hidden="false" customHeight="false" outlineLevel="0" collapsed="false">
      <c r="G13" s="99" t="str">
        <f aca="false">IF(G$4&gt;0,(IF(F13&lt;&gt;0,F13*G$4/100," ")),IF(F13&lt;&gt;0,F13*G$2/(100+G$2)," "))</f>
        <v> </v>
      </c>
      <c r="H13" s="99" t="str">
        <f aca="false">IF((F13&lt;&gt;0),F13-G13," ")</f>
        <v> </v>
      </c>
    </row>
    <row r="14" customFormat="false" ht="12.75" hidden="false" customHeight="false" outlineLevel="0" collapsed="false">
      <c r="G14" s="99" t="str">
        <f aca="false">IF(G$4&gt;0,(IF(F14&lt;&gt;0,F14*G$4/100," ")),IF(F14&lt;&gt;0,F14*G$2/(100+G$2)," "))</f>
        <v> </v>
      </c>
      <c r="H14" s="99" t="str">
        <f aca="false">IF((F14&lt;&gt;0),F14-G14," ")</f>
        <v> </v>
      </c>
    </row>
    <row r="15" customFormat="false" ht="12.75" hidden="false" customHeight="false" outlineLevel="0" collapsed="false">
      <c r="G15" s="99" t="str">
        <f aca="false">IF(G$4&gt;0,(IF(F15&lt;&gt;0,F15*G$4/100," ")),IF(F15&lt;&gt;0,F15*G$2/(100+G$2)," "))</f>
        <v> </v>
      </c>
      <c r="H15" s="99" t="str">
        <f aca="false">IF((F15&lt;&gt;0),F15-G15," ")</f>
        <v> </v>
      </c>
    </row>
    <row r="16" customFormat="false" ht="12.75" hidden="false" customHeight="false" outlineLevel="0" collapsed="false">
      <c r="G16" s="99" t="str">
        <f aca="false">IF(G$4&gt;0,(IF(F16&lt;&gt;0,F16*G$4/100," ")),IF(F16&lt;&gt;0,F16*G$2/(100+G$2)," "))</f>
        <v> </v>
      </c>
      <c r="H16" s="99" t="str">
        <f aca="false">IF((F16&lt;&gt;0),F16-G16," ")</f>
        <v> </v>
      </c>
    </row>
    <row r="17" customFormat="false" ht="12.75" hidden="false" customHeight="false" outlineLevel="0" collapsed="false">
      <c r="G17" s="99" t="str">
        <f aca="false">IF(G$4&gt;0,(IF(F17&lt;&gt;0,F17*G$4/100," ")),IF(F17&lt;&gt;0,F17*G$2/(100+G$2)," "))</f>
        <v> </v>
      </c>
      <c r="H17" s="99" t="str">
        <f aca="false">IF((F17&lt;&gt;0),F17-G17," ")</f>
        <v> </v>
      </c>
    </row>
    <row r="18" customFormat="false" ht="12.75" hidden="false" customHeight="false" outlineLevel="0" collapsed="false">
      <c r="G18" s="99" t="str">
        <f aca="false">IF(G$4&gt;0,(IF(F18&lt;&gt;0,F18*G$4/100," ")),IF(F18&lt;&gt;0,F18*G$2/(100+G$2)," "))</f>
        <v> </v>
      </c>
      <c r="H18" s="99" t="str">
        <f aca="false">IF((F18&lt;&gt;0),F18-G18," ")</f>
        <v> </v>
      </c>
    </row>
    <row r="19" customFormat="false" ht="12.75" hidden="false" customHeight="false" outlineLevel="0" collapsed="false">
      <c r="G19" s="99" t="str">
        <f aca="false">IF(G$4&gt;0,(IF(F19&lt;&gt;0,F19*G$4/100," ")),IF(F19&lt;&gt;0,F19*G$2/(100+G$2)," "))</f>
        <v> </v>
      </c>
      <c r="H19" s="99" t="str">
        <f aca="false">IF((F19&lt;&gt;0),F19-G19," ")</f>
        <v> </v>
      </c>
    </row>
    <row r="20" customFormat="false" ht="12.75" hidden="false" customHeight="false" outlineLevel="0" collapsed="false">
      <c r="G20" s="99" t="str">
        <f aca="false">IF(G$4&gt;0,(IF(F20&lt;&gt;0,F20*G$4/100," ")),IF(F20&lt;&gt;0,F20*G$2/(100+G$2)," "))</f>
        <v> </v>
      </c>
      <c r="H20" s="99" t="str">
        <f aca="false">IF((F20&lt;&gt;0),F20-G20," ")</f>
        <v> </v>
      </c>
    </row>
    <row r="21" customFormat="false" ht="12.75" hidden="false" customHeight="false" outlineLevel="0" collapsed="false">
      <c r="G21" s="99" t="str">
        <f aca="false">IF(G$4&gt;0,(IF(F21&lt;&gt;0,F21*G$4/100," ")),IF(F21&lt;&gt;0,F21*G$2/(100+G$2)," "))</f>
        <v> </v>
      </c>
      <c r="H21" s="99" t="str">
        <f aca="false">IF((F21&lt;&gt;0),F21-G21," ")</f>
        <v> </v>
      </c>
    </row>
    <row r="22" customFormat="false" ht="12.75" hidden="false" customHeight="false" outlineLevel="0" collapsed="false">
      <c r="G22" s="99" t="str">
        <f aca="false">IF(G$4&gt;0,(IF(F22&lt;&gt;0,F22*G$4/100," ")),IF(F22&lt;&gt;0,F22*G$2/(100+G$2)," "))</f>
        <v> </v>
      </c>
      <c r="H22" s="99" t="str">
        <f aca="false">IF((F22&lt;&gt;0),F22-G22," ")</f>
        <v> </v>
      </c>
    </row>
    <row r="23" customFormat="false" ht="12.75" hidden="false" customHeight="false" outlineLevel="0" collapsed="false">
      <c r="G23" s="99" t="str">
        <f aca="false">IF(G$4&gt;0,(IF(F23&lt;&gt;0,F23*G$4/100," ")),IF(F23&lt;&gt;0,F23*G$2/(100+G$2)," "))</f>
        <v> </v>
      </c>
      <c r="H23" s="99" t="str">
        <f aca="false">IF((F23&lt;&gt;0),F23-G23," ")</f>
        <v> </v>
      </c>
    </row>
    <row r="24" customFormat="false" ht="12.75" hidden="false" customHeight="false" outlineLevel="0" collapsed="false">
      <c r="G24" s="99" t="str">
        <f aca="false">IF(G$4&gt;0,(IF(F24&lt;&gt;0,F24*G$4/100," ")),IF(F24&lt;&gt;0,F24*G$2/(100+G$2)," "))</f>
        <v> </v>
      </c>
      <c r="H24" s="99" t="str">
        <f aca="false">IF((F24&lt;&gt;0),F24-G24," ")</f>
        <v> </v>
      </c>
    </row>
    <row r="25" customFormat="false" ht="12.75" hidden="false" customHeight="false" outlineLevel="0" collapsed="false">
      <c r="G25" s="99" t="str">
        <f aca="false">IF(G$4&gt;0,(IF(F25&lt;&gt;0,F25*G$4/100," ")),IF(F25&lt;&gt;0,F25*G$2/(100+G$2)," "))</f>
        <v> </v>
      </c>
      <c r="H25" s="99" t="str">
        <f aca="false">IF((F25&lt;&gt;0),F25-G25," ")</f>
        <v> </v>
      </c>
    </row>
    <row r="26" customFormat="false" ht="12.75" hidden="false" customHeight="false" outlineLevel="0" collapsed="false">
      <c r="G26" s="99" t="str">
        <f aca="false">IF(G$4&gt;0,(IF(F26&lt;&gt;0,F26*G$4/100," ")),IF(F26&lt;&gt;0,F26*G$2/(100+G$2)," "))</f>
        <v> </v>
      </c>
      <c r="H26" s="99" t="str">
        <f aca="false">IF((F26&lt;&gt;0),F26-G26," ")</f>
        <v> </v>
      </c>
    </row>
    <row r="27" customFormat="false" ht="12.75" hidden="false" customHeight="false" outlineLevel="0" collapsed="false">
      <c r="G27" s="99" t="str">
        <f aca="false">IF(G$4&gt;0,(IF(F27&lt;&gt;0,F27*G$4/100," ")),IF(F27&lt;&gt;0,F27*G$2/(100+G$2)," "))</f>
        <v> </v>
      </c>
      <c r="H27" s="99" t="str">
        <f aca="false">IF((F27&lt;&gt;0),F27-G27," ")</f>
        <v> </v>
      </c>
    </row>
    <row r="28" customFormat="false" ht="12.75" hidden="false" customHeight="false" outlineLevel="0" collapsed="false">
      <c r="G28" s="99" t="str">
        <f aca="false">IF(G$4&gt;0,(IF(F28&lt;&gt;0,F28*G$4/100," ")),IF(F28&lt;&gt;0,F28*G$2/(100+G$2)," "))</f>
        <v> </v>
      </c>
      <c r="H28" s="99" t="str">
        <f aca="false">IF((F28&lt;&gt;0),F28-G28," ")</f>
        <v> </v>
      </c>
    </row>
    <row r="29" customFormat="false" ht="12.75" hidden="false" customHeight="false" outlineLevel="0" collapsed="false">
      <c r="G29" s="99" t="str">
        <f aca="false">IF(G$4&gt;0,(IF(F29&lt;&gt;0,F29*G$4/100," ")),IF(F29&lt;&gt;0,F29*G$2/(100+G$2)," "))</f>
        <v> </v>
      </c>
      <c r="H29" s="99" t="str">
        <f aca="false">IF((F29&lt;&gt;0),F29-G29," ")</f>
        <v> </v>
      </c>
    </row>
    <row r="30" customFormat="false" ht="12.75" hidden="false" customHeight="false" outlineLevel="0" collapsed="false">
      <c r="G30" s="99" t="str">
        <f aca="false">IF(G$4&gt;0,(IF(F30&lt;&gt;0,F30*G$4/100," ")),IF(F30&lt;&gt;0,F30*G$2/(100+G$2)," "))</f>
        <v> </v>
      </c>
      <c r="H30" s="99" t="str">
        <f aca="false">IF((F30&lt;&gt;0),F30-G30," ")</f>
        <v> </v>
      </c>
    </row>
    <row r="31" customFormat="false" ht="12.75" hidden="false" customHeight="false" outlineLevel="0" collapsed="false">
      <c r="G31" s="99" t="str">
        <f aca="false">IF(G$4&gt;0,(IF(F31&lt;&gt;0,F31*G$4/100," ")),IF(F31&lt;&gt;0,F31*G$2/(100+G$2)," "))</f>
        <v> </v>
      </c>
      <c r="H31" s="99" t="str">
        <f aca="false">IF((F31&lt;&gt;0),F31-G31," ")</f>
        <v> </v>
      </c>
    </row>
    <row r="32" customFormat="false" ht="12.75" hidden="false" customHeight="false" outlineLevel="0" collapsed="false">
      <c r="G32" s="99" t="str">
        <f aca="false">IF(G$4&gt;0,(IF(F32&lt;&gt;0,F32*G$4/100," ")),IF(F32&lt;&gt;0,F32*G$2/(100+G$2)," "))</f>
        <v> </v>
      </c>
      <c r="H32" s="99" t="str">
        <f aca="false">IF((F32&lt;&gt;0),F32-G32," ")</f>
        <v> </v>
      </c>
    </row>
    <row r="33" customFormat="false" ht="12.75" hidden="false" customHeight="false" outlineLevel="0" collapsed="false">
      <c r="G33" s="99" t="str">
        <f aca="false">IF(G$4&gt;0,(IF(F33&lt;&gt;0,F33*G$4/100," ")),IF(F33&lt;&gt;0,F33*G$2/(100+G$2)," "))</f>
        <v> </v>
      </c>
      <c r="H33" s="99" t="str">
        <f aca="false">IF((F33&lt;&gt;0),F33-G33," ")</f>
        <v> </v>
      </c>
    </row>
    <row r="34" customFormat="false" ht="12.75" hidden="false" customHeight="false" outlineLevel="0" collapsed="false">
      <c r="G34" s="99" t="str">
        <f aca="false">IF(G$4&gt;0,(IF(F34&lt;&gt;0,F34*G$4/100," ")),IF(F34&lt;&gt;0,F34*G$2/(100+G$2)," "))</f>
        <v> </v>
      </c>
      <c r="H34" s="99" t="str">
        <f aca="false">IF((F34&lt;&gt;0),F34-G34," ")</f>
        <v> </v>
      </c>
    </row>
    <row r="35" customFormat="false" ht="12.75" hidden="false" customHeight="false" outlineLevel="0" collapsed="false">
      <c r="G35" s="99" t="str">
        <f aca="false">IF(G$4&gt;0,(IF(F35&lt;&gt;0,F35*G$4/100," ")),IF(F35&lt;&gt;0,F35*G$2/(100+G$2)," "))</f>
        <v> </v>
      </c>
      <c r="H35" s="99" t="str">
        <f aca="false">IF((F35&lt;&gt;0),F35-G35," ")</f>
        <v> </v>
      </c>
    </row>
    <row r="36" customFormat="false" ht="12.75" hidden="false" customHeight="false" outlineLevel="0" collapsed="false">
      <c r="G36" s="99" t="str">
        <f aca="false">IF(G$4&gt;0,(IF(F36&lt;&gt;0,F36*G$4/100," ")),IF(F36&lt;&gt;0,F36*G$2/(100+G$2)," "))</f>
        <v> </v>
      </c>
      <c r="H36" s="99" t="str">
        <f aca="false">IF((F36&lt;&gt;0),F36-G36," ")</f>
        <v> </v>
      </c>
    </row>
    <row r="37" customFormat="false" ht="12.75" hidden="false" customHeight="false" outlineLevel="0" collapsed="false">
      <c r="G37" s="99" t="str">
        <f aca="false">IF(G$4&gt;0,(IF(F37&lt;&gt;0,F37*G$4/100," ")),IF(F37&lt;&gt;0,F37*G$2/(100+G$2)," "))</f>
        <v> </v>
      </c>
      <c r="H37" s="99" t="str">
        <f aca="false">IF((F37&lt;&gt;0),F37-G37," ")</f>
        <v> </v>
      </c>
    </row>
    <row r="38" customFormat="false" ht="12.75" hidden="false" customHeight="false" outlineLevel="0" collapsed="false">
      <c r="G38" s="99" t="str">
        <f aca="false">IF(G$4&gt;0,(IF(F38&lt;&gt;0,F38*G$4/100," ")),IF(F38&lt;&gt;0,F38*G$2/(100+G$2)," "))</f>
        <v> </v>
      </c>
      <c r="H38" s="99" t="str">
        <f aca="false">IF((F38&lt;&gt;0),F38-G38," ")</f>
        <v> </v>
      </c>
    </row>
    <row r="39" customFormat="false" ht="12.75" hidden="false" customHeight="false" outlineLevel="0" collapsed="false">
      <c r="G39" s="99" t="str">
        <f aca="false">IF(G$4&gt;0,(IF(F39&lt;&gt;0,F39*G$4/100," ")),IF(F39&lt;&gt;0,F39*G$2/(100+G$2)," "))</f>
        <v> </v>
      </c>
      <c r="H39" s="99" t="str">
        <f aca="false">IF((F39&lt;&gt;0),F39-G39," ")</f>
        <v> </v>
      </c>
    </row>
    <row r="40" customFormat="false" ht="12.75" hidden="false" customHeight="false" outlineLevel="0" collapsed="false">
      <c r="G40" s="99" t="str">
        <f aca="false">IF(G$4&gt;0,(IF(F40&lt;&gt;0,F40*G$4/100," ")),IF(F40&lt;&gt;0,F40*G$2/(100+G$2)," "))</f>
        <v> </v>
      </c>
      <c r="H40" s="99" t="str">
        <f aca="false">IF((F40&lt;&gt;0),F40-G40," ")</f>
        <v> </v>
      </c>
    </row>
    <row r="41" customFormat="false" ht="12.75" hidden="false" customHeight="false" outlineLevel="0" collapsed="false">
      <c r="G41" s="99" t="str">
        <f aca="false">IF(G$4&gt;0,(IF(F41&lt;&gt;0,F41*G$4/100," ")),IF(F41&lt;&gt;0,F41*G$2/(100+G$2)," "))</f>
        <v> </v>
      </c>
      <c r="H41" s="99" t="str">
        <f aca="false">IF((F41&lt;&gt;0),F41-G41," ")</f>
        <v> </v>
      </c>
    </row>
    <row r="42" customFormat="false" ht="12.75" hidden="false" customHeight="false" outlineLevel="0" collapsed="false">
      <c r="G42" s="99" t="str">
        <f aca="false">IF(G$4&gt;0,(IF(F42&lt;&gt;0,F42*G$4/100," ")),IF(F42&lt;&gt;0,F42*G$2/(100+G$2)," "))</f>
        <v> </v>
      </c>
      <c r="H42" s="99" t="str">
        <f aca="false">IF((F42&lt;&gt;0),F42-G42," ")</f>
        <v> </v>
      </c>
    </row>
    <row r="43" customFormat="false" ht="12.75" hidden="false" customHeight="false" outlineLevel="0" collapsed="false">
      <c r="G43" s="99" t="str">
        <f aca="false">IF(G$4&gt;0,(IF(F43&lt;&gt;0,F43*G$4/100," ")),IF(F43&lt;&gt;0,F43*G$2/(100+G$2)," "))</f>
        <v> </v>
      </c>
      <c r="H43" s="99" t="str">
        <f aca="false">IF((F43&lt;&gt;0),F43-G43," ")</f>
        <v> </v>
      </c>
    </row>
    <row r="44" customFormat="false" ht="12.75" hidden="false" customHeight="false" outlineLevel="0" collapsed="false">
      <c r="G44" s="99" t="str">
        <f aca="false">IF(G$4&gt;0,(IF(F44&lt;&gt;0,F44*G$4/100," ")),IF(F44&lt;&gt;0,F44*G$2/(100+G$2)," "))</f>
        <v> </v>
      </c>
      <c r="H44" s="99" t="str">
        <f aca="false">IF((F44&lt;&gt;0),F44-G44," ")</f>
        <v> </v>
      </c>
    </row>
    <row r="45" customFormat="false" ht="12.75" hidden="false" customHeight="false" outlineLevel="0" collapsed="false">
      <c r="G45" s="99" t="str">
        <f aca="false">IF(G$4&gt;0,(IF(F45&lt;&gt;0,F45*G$4/100," ")),IF(F45&lt;&gt;0,F45*G$2/(100+G$2)," "))</f>
        <v> </v>
      </c>
      <c r="H45" s="99" t="str">
        <f aca="false">IF((F45&lt;&gt;0),F45-G45," ")</f>
        <v> </v>
      </c>
    </row>
    <row r="46" customFormat="false" ht="12.75" hidden="false" customHeight="false" outlineLevel="0" collapsed="false">
      <c r="G46" s="99" t="str">
        <f aca="false">IF(G$4&gt;0,(IF(F46&lt;&gt;0,F46*G$4/100," ")),IF(F46&lt;&gt;0,F46*G$2/(100+G$2)," "))</f>
        <v> </v>
      </c>
      <c r="H46" s="99" t="str">
        <f aca="false">IF((F46&lt;&gt;0),F46-G46," ")</f>
        <v> </v>
      </c>
    </row>
    <row r="47" customFormat="false" ht="12.75" hidden="false" customHeight="false" outlineLevel="0" collapsed="false">
      <c r="G47" s="99" t="str">
        <f aca="false">IF(G$4&gt;0,(IF(F47&lt;&gt;0,F47*G$4/100," ")),IF(F47&lt;&gt;0,F47*G$2/(100+G$2)," "))</f>
        <v> </v>
      </c>
      <c r="H47" s="99" t="str">
        <f aca="false">IF((F47&lt;&gt;0),F47-G47," ")</f>
        <v> </v>
      </c>
    </row>
    <row r="48" customFormat="false" ht="12.75" hidden="false" customHeight="false" outlineLevel="0" collapsed="false">
      <c r="G48" s="99" t="str">
        <f aca="false">IF(G$4&gt;0,(IF(F48&lt;&gt;0,F48*G$4/100," ")),IF(F48&lt;&gt;0,F48*G$2/(100+G$2)," "))</f>
        <v> </v>
      </c>
      <c r="H48" s="99" t="str">
        <f aca="false">IF((F48&lt;&gt;0),F48-G48," ")</f>
        <v> </v>
      </c>
    </row>
    <row r="49" customFormat="false" ht="12.75" hidden="false" customHeight="false" outlineLevel="0" collapsed="false">
      <c r="G49" s="99" t="str">
        <f aca="false">IF(G$4&gt;0,(IF(F49&lt;&gt;0,F49*G$4/100," ")),IF(F49&lt;&gt;0,F49*G$2/(100+G$2)," "))</f>
        <v> </v>
      </c>
      <c r="H49" s="99" t="str">
        <f aca="false">IF((F49&lt;&gt;0),F49-G49," ")</f>
        <v> </v>
      </c>
    </row>
    <row r="50" customFormat="false" ht="12.75" hidden="false" customHeight="false" outlineLevel="0" collapsed="false">
      <c r="G50" s="99" t="str">
        <f aca="false">IF(G$4&gt;0,(IF(F50&lt;&gt;0,F50*G$4/100," ")),IF(F50&lt;&gt;0,F50*G$2/(100+G$2)," "))</f>
        <v> </v>
      </c>
      <c r="H50" s="99" t="str">
        <f aca="false">IF((F50&lt;&gt;0),F50-G50," ")</f>
        <v> </v>
      </c>
    </row>
    <row r="51" customFormat="false" ht="12.75" hidden="false" customHeight="false" outlineLevel="0" collapsed="false">
      <c r="G51" s="99" t="str">
        <f aca="false">IF(G$4&gt;0,(IF(F51&lt;&gt;0,F51*G$4/100," ")),IF(F51&lt;&gt;0,F51*G$2/(100+G$2)," "))</f>
        <v> </v>
      </c>
      <c r="H51" s="99" t="str">
        <f aca="false">IF((F51&lt;&gt;0),F51-G51," ")</f>
        <v> </v>
      </c>
    </row>
    <row r="52" customFormat="false" ht="12.75" hidden="false" customHeight="false" outlineLevel="0" collapsed="false">
      <c r="G52" s="99" t="str">
        <f aca="false">IF(G$4&gt;0,(IF(F52&lt;&gt;0,F52*G$4/100," ")),IF(F52&lt;&gt;0,F52*G$2/(100+G$2)," "))</f>
        <v> </v>
      </c>
      <c r="H52" s="99" t="str">
        <f aca="false">IF((F52&lt;&gt;0),F52-G52," ")</f>
        <v> </v>
      </c>
    </row>
    <row r="53" customFormat="false" ht="12.75" hidden="false" customHeight="false" outlineLevel="0" collapsed="false">
      <c r="G53" s="99" t="str">
        <f aca="false">IF(G$4&gt;0,(IF(F53&lt;&gt;0,F53*G$4/100," ")),IF(F53&lt;&gt;0,F53*G$2/(100+G$2)," "))</f>
        <v> </v>
      </c>
      <c r="H53" s="99" t="str">
        <f aca="false">IF((F53&lt;&gt;0),F53-G53," ")</f>
        <v> </v>
      </c>
    </row>
    <row r="54" customFormat="false" ht="12.75" hidden="false" customHeight="false" outlineLevel="0" collapsed="false">
      <c r="G54" s="99" t="str">
        <f aca="false">IF(G$4&gt;0,(IF(F54&lt;&gt;0,F54*G$4/100," ")),IF(F54&lt;&gt;0,F54*G$2/(100+G$2)," "))</f>
        <v> </v>
      </c>
      <c r="H54" s="99" t="str">
        <f aca="false">IF((F54&lt;&gt;0),F54-G54," ")</f>
        <v> </v>
      </c>
    </row>
    <row r="55" customFormat="false" ht="12.75" hidden="false" customHeight="false" outlineLevel="0" collapsed="false">
      <c r="G55" s="99" t="str">
        <f aca="false">IF(G$4&gt;0,(IF(F55&lt;&gt;0,F55*G$4/100," ")),IF(F55&lt;&gt;0,F55*G$2/(100+G$2)," "))</f>
        <v> </v>
      </c>
      <c r="H55" s="99" t="str">
        <f aca="false">IF((F55&lt;&gt;0),F55-G55," ")</f>
        <v> </v>
      </c>
    </row>
    <row r="56" customFormat="false" ht="12.75" hidden="false" customHeight="false" outlineLevel="0" collapsed="false">
      <c r="G56" s="99" t="str">
        <f aca="false">IF(G$4&gt;0,(IF(F56&lt;&gt;0,F56*G$4/100," ")),IF(F56&lt;&gt;0,F56*G$2/(100+G$2)," "))</f>
        <v> </v>
      </c>
      <c r="H56" s="99" t="str">
        <f aca="false">IF((F56&lt;&gt;0),F56-G56," ")</f>
        <v> </v>
      </c>
    </row>
    <row r="57" customFormat="false" ht="12.75" hidden="false" customHeight="false" outlineLevel="0" collapsed="false">
      <c r="G57" s="99" t="str">
        <f aca="false">IF(G$4&gt;0,(IF(F57&lt;&gt;0,F57*G$4/100," ")),IF(F57&lt;&gt;0,F57*G$2/(100+G$2)," "))</f>
        <v> </v>
      </c>
      <c r="H57" s="99" t="str">
        <f aca="false">IF((F57&lt;&gt;0),F57-G57," ")</f>
        <v> </v>
      </c>
    </row>
    <row r="58" customFormat="false" ht="12.75" hidden="false" customHeight="false" outlineLevel="0" collapsed="false">
      <c r="G58" s="99" t="str">
        <f aca="false">IF(G$4&gt;0,(IF(F58&lt;&gt;0,F58*G$4/100," ")),IF(F58&lt;&gt;0,F58*G$2/(100+G$2)," "))</f>
        <v> </v>
      </c>
      <c r="H58" s="99" t="str">
        <f aca="false">IF((F58&lt;&gt;0),F58-G58," ")</f>
        <v> </v>
      </c>
    </row>
    <row r="59" customFormat="false" ht="12.75" hidden="false" customHeight="false" outlineLevel="0" collapsed="false">
      <c r="G59" s="99" t="str">
        <f aca="false">IF(G$4&gt;0,(IF(F59&lt;&gt;0,F59*G$4/100," ")),IF(F59&lt;&gt;0,F59*G$2/(100+G$2)," "))</f>
        <v> </v>
      </c>
      <c r="H59" s="99" t="str">
        <f aca="false">IF((F59&lt;&gt;0),F59-G59," ")</f>
        <v> </v>
      </c>
    </row>
    <row r="60" customFormat="false" ht="12.75" hidden="false" customHeight="false" outlineLevel="0" collapsed="false">
      <c r="G60" s="99" t="str">
        <f aca="false">IF(G$4&gt;0,(IF(F60&lt;&gt;0,F60*G$4/100," ")),IF(F60&lt;&gt;0,F60*G$2/(100+G$2)," "))</f>
        <v> </v>
      </c>
      <c r="H60" s="99" t="str">
        <f aca="false">IF((F60&lt;&gt;0),F60-G60," ")</f>
        <v> </v>
      </c>
    </row>
    <row r="61" customFormat="false" ht="12.75" hidden="false" customHeight="false" outlineLevel="0" collapsed="false">
      <c r="G61" s="99" t="str">
        <f aca="false">IF(G$4&gt;0,(IF(F61&lt;&gt;0,F61*G$4/100," ")),IF(F61&lt;&gt;0,F61*G$2/(100+G$2)," "))</f>
        <v> </v>
      </c>
      <c r="H61" s="99" t="str">
        <f aca="false">IF((F61&lt;&gt;0),F61-G61," ")</f>
        <v> </v>
      </c>
    </row>
    <row r="62" customFormat="false" ht="12.75" hidden="false" customHeight="false" outlineLevel="0" collapsed="false">
      <c r="G62" s="99" t="str">
        <f aca="false">IF(G$4&gt;0,(IF(F62&lt;&gt;0,F62*G$4/100," ")),IF(F62&lt;&gt;0,F62*G$2/(100+G$2)," "))</f>
        <v> </v>
      </c>
      <c r="H62" s="99" t="str">
        <f aca="false">IF((F62&lt;&gt;0),F62-G62," ")</f>
        <v> </v>
      </c>
    </row>
    <row r="63" customFormat="false" ht="12.75" hidden="false" customHeight="false" outlineLevel="0" collapsed="false">
      <c r="G63" s="99" t="str">
        <f aca="false">IF(G$4&gt;0,(IF(F63&lt;&gt;0,F63*G$4/100," ")),IF(F63&lt;&gt;0,F63*G$2/(100+G$2)," "))</f>
        <v> </v>
      </c>
      <c r="H63" s="99" t="str">
        <f aca="false">IF((F63&lt;&gt;0),F63-G63," ")</f>
        <v> </v>
      </c>
    </row>
    <row r="64" customFormat="false" ht="12.75" hidden="false" customHeight="false" outlineLevel="0" collapsed="false">
      <c r="G64" s="99" t="str">
        <f aca="false">IF(G$4&gt;0,(IF(F64&lt;&gt;0,F64*G$4/100," ")),IF(F64&lt;&gt;0,F64*G$2/(100+G$2)," "))</f>
        <v> </v>
      </c>
      <c r="H64" s="99" t="str">
        <f aca="false">IF((F64&lt;&gt;0),F64-G64," ")</f>
        <v> </v>
      </c>
    </row>
    <row r="65" customFormat="false" ht="12.75" hidden="false" customHeight="false" outlineLevel="0" collapsed="false">
      <c r="G65" s="99" t="str">
        <f aca="false">IF(G$4&gt;0,(IF(F65&lt;&gt;0,F65*G$4/100," ")),IF(F65&lt;&gt;0,F65*G$2/(100+G$2)," "))</f>
        <v> </v>
      </c>
      <c r="H65" s="99" t="str">
        <f aca="false">IF((F65&lt;&gt;0),F65-G65," ")</f>
        <v> </v>
      </c>
    </row>
    <row r="66" customFormat="false" ht="12.75" hidden="false" customHeight="false" outlineLevel="0" collapsed="false">
      <c r="G66" s="99" t="str">
        <f aca="false">IF(G$4&gt;0,(IF(F66&lt;&gt;0,F66*G$4/100," ")),IF(F66&lt;&gt;0,F66*G$2/(100+G$2)," "))</f>
        <v> </v>
      </c>
      <c r="H66" s="99" t="str">
        <f aca="false">IF((F66&lt;&gt;0),F66-G66," ")</f>
        <v> </v>
      </c>
    </row>
    <row r="67" customFormat="false" ht="12.75" hidden="false" customHeight="false" outlineLevel="0" collapsed="false">
      <c r="G67" s="99" t="str">
        <f aca="false">IF(G$4&gt;0,(IF(F67&lt;&gt;0,F67*G$4/100," ")),IF(F67&lt;&gt;0,F67*G$2/(100+G$2)," "))</f>
        <v> </v>
      </c>
      <c r="H67" s="99" t="str">
        <f aca="false">IF((F67&lt;&gt;0),F67-G67," ")</f>
        <v> </v>
      </c>
    </row>
    <row r="68" customFormat="false" ht="12.75" hidden="false" customHeight="false" outlineLevel="0" collapsed="false">
      <c r="G68" s="99" t="str">
        <f aca="false">IF(G$4&gt;0,(IF(F68&lt;&gt;0,F68*G$4/100," ")),IF(F68&lt;&gt;0,F68*G$2/(100+G$2)," "))</f>
        <v> </v>
      </c>
      <c r="H68" s="99" t="str">
        <f aca="false">IF((F68&lt;&gt;0),F68-G68," ")</f>
        <v> </v>
      </c>
    </row>
    <row r="69" customFormat="false" ht="12.75" hidden="false" customHeight="false" outlineLevel="0" collapsed="false">
      <c r="G69" s="99" t="str">
        <f aca="false">IF(G$4&gt;0,(IF(F69&lt;&gt;0,F69*G$4/100," ")),IF(F69&lt;&gt;0,F69*G$2/(100+G$2)," "))</f>
        <v> </v>
      </c>
      <c r="H69" s="99" t="str">
        <f aca="false">IF((F69&lt;&gt;0),F69-G69," ")</f>
        <v> </v>
      </c>
    </row>
    <row r="70" customFormat="false" ht="12.75" hidden="false" customHeight="false" outlineLevel="0" collapsed="false">
      <c r="G70" s="99" t="str">
        <f aca="false">IF(G$4&gt;0,(IF(F70&lt;&gt;0,F70*G$4/100," ")),IF(F70&lt;&gt;0,F70*G$2/(100+G$2)," "))</f>
        <v> </v>
      </c>
      <c r="H70" s="99" t="str">
        <f aca="false">IF((F70&lt;&gt;0),F70-G70," ")</f>
        <v> </v>
      </c>
    </row>
    <row r="71" customFormat="false" ht="12.75" hidden="false" customHeight="false" outlineLevel="0" collapsed="false">
      <c r="G71" s="99" t="str">
        <f aca="false">IF(G$4&gt;0,(IF(F71&lt;&gt;0,F71*G$4/100," ")),IF(F71&lt;&gt;0,F71*G$2/(100+G$2)," "))</f>
        <v> </v>
      </c>
      <c r="H71" s="99" t="str">
        <f aca="false">IF((F71&lt;&gt;0),F71-G71," ")</f>
        <v> </v>
      </c>
    </row>
    <row r="72" customFormat="false" ht="12.75" hidden="false" customHeight="false" outlineLevel="0" collapsed="false">
      <c r="G72" s="99" t="str">
        <f aca="false">IF(G$4&gt;0,(IF(F72&lt;&gt;0,F72*G$4/100," ")),IF(F72&lt;&gt;0,F72*G$2/(100+G$2)," "))</f>
        <v> </v>
      </c>
      <c r="H72" s="99" t="str">
        <f aca="false">IF((F72&lt;&gt;0),F72-G72," ")</f>
        <v> </v>
      </c>
    </row>
    <row r="73" customFormat="false" ht="12.75" hidden="false" customHeight="false" outlineLevel="0" collapsed="false">
      <c r="G73" s="99" t="str">
        <f aca="false">IF(G$4&gt;0,(IF(F73&lt;&gt;0,F73*G$4/100," ")),IF(F73&lt;&gt;0,F73*G$2/(100+G$2)," "))</f>
        <v> </v>
      </c>
      <c r="H73" s="99" t="str">
        <f aca="false">IF((F73&lt;&gt;0),F73-G73," ")</f>
        <v> </v>
      </c>
    </row>
    <row r="74" customFormat="false" ht="12.75" hidden="false" customHeight="false" outlineLevel="0" collapsed="false">
      <c r="G74" s="99" t="str">
        <f aca="false">IF(G$4&gt;0,(IF(F74&lt;&gt;0,F74*G$4/100," ")),IF(F74&lt;&gt;0,F74*G$2/(100+G$2)," "))</f>
        <v> </v>
      </c>
      <c r="H74" s="99" t="str">
        <f aca="false">IF((F74&lt;&gt;0),F74-G74," ")</f>
        <v> </v>
      </c>
    </row>
    <row r="75" customFormat="false" ht="12.75" hidden="false" customHeight="false" outlineLevel="0" collapsed="false">
      <c r="G75" s="99" t="str">
        <f aca="false">IF(G$4&gt;0,(IF(F75&lt;&gt;0,F75*G$4/100," ")),IF(F75&lt;&gt;0,F75*G$2/(100+G$2)," "))</f>
        <v> </v>
      </c>
      <c r="H75" s="99" t="str">
        <f aca="false">IF((F75&lt;&gt;0),F75-G75," ")</f>
        <v> </v>
      </c>
    </row>
    <row r="76" customFormat="false" ht="12.75" hidden="false" customHeight="false" outlineLevel="0" collapsed="false">
      <c r="G76" s="99" t="str">
        <f aca="false">IF(G$4&gt;0,(IF(F76&lt;&gt;0,F76*G$4/100," ")),IF(F76&lt;&gt;0,F76*G$2/(100+G$2)," "))</f>
        <v> </v>
      </c>
      <c r="H76" s="99" t="str">
        <f aca="false">IF((F76&lt;&gt;0),F76-G76," ")</f>
        <v> </v>
      </c>
    </row>
    <row r="77" customFormat="false" ht="12.75" hidden="false" customHeight="false" outlineLevel="0" collapsed="false">
      <c r="G77" s="99" t="str">
        <f aca="false">IF(G$4&gt;0,(IF(F77&lt;&gt;0,F77*G$4/100," ")),IF(F77&lt;&gt;0,F77*G$2/(100+G$2)," "))</f>
        <v> </v>
      </c>
      <c r="H77" s="99" t="str">
        <f aca="false">IF((F77&lt;&gt;0),F77-G77," ")</f>
        <v> </v>
      </c>
    </row>
    <row r="78" customFormat="false" ht="12.75" hidden="false" customHeight="false" outlineLevel="0" collapsed="false">
      <c r="G78" s="99" t="str">
        <f aca="false">IF(G$4&gt;0,(IF(F78&lt;&gt;0,F78*G$4/100," ")),IF(F78&lt;&gt;0,F78*G$2/(100+G$2)," "))</f>
        <v> </v>
      </c>
      <c r="H78" s="99" t="str">
        <f aca="false">IF((F78&lt;&gt;0),F78-G78," ")</f>
        <v> </v>
      </c>
    </row>
    <row r="79" customFormat="false" ht="12.75" hidden="false" customHeight="false" outlineLevel="0" collapsed="false">
      <c r="G79" s="99" t="str">
        <f aca="false">IF(G$4&gt;0,(IF(F79&lt;&gt;0,F79*G$4/100," ")),IF(F79&lt;&gt;0,F79*G$2/(100+G$2)," "))</f>
        <v> </v>
      </c>
      <c r="H79" s="99" t="str">
        <f aca="false">IF((F79&lt;&gt;0),F79-G79," ")</f>
        <v> </v>
      </c>
    </row>
    <row r="80" customFormat="false" ht="12.75" hidden="false" customHeight="false" outlineLevel="0" collapsed="false">
      <c r="G80" s="99" t="str">
        <f aca="false">IF(G$4&gt;0,(IF(F80&lt;&gt;0,F80*G$4/100," ")),IF(F80&lt;&gt;0,F80*G$2/(100+G$2)," "))</f>
        <v> </v>
      </c>
      <c r="H80" s="99" t="str">
        <f aca="false">IF((F80&lt;&gt;0),F80-G80," ")</f>
        <v> </v>
      </c>
    </row>
    <row r="81" customFormat="false" ht="12.75" hidden="false" customHeight="false" outlineLevel="0" collapsed="false">
      <c r="G81" s="99" t="str">
        <f aca="false">IF(G$4&gt;0,(IF(F81&lt;&gt;0,F81*G$4/100," ")),IF(F81&lt;&gt;0,F81*G$2/(100+G$2)," "))</f>
        <v> </v>
      </c>
      <c r="H81" s="99" t="str">
        <f aca="false">IF((F81&lt;&gt;0),F81-G81," ")</f>
        <v> </v>
      </c>
    </row>
    <row r="82" customFormat="false" ht="12.75" hidden="false" customHeight="false" outlineLevel="0" collapsed="false">
      <c r="G82" s="99" t="str">
        <f aca="false">IF(G$4&gt;0,(IF(F82&lt;&gt;0,F82*G$4/100," ")),IF(F82&lt;&gt;0,F82*G$2/(100+G$2)," "))</f>
        <v> </v>
      </c>
      <c r="H82" s="99" t="str">
        <f aca="false">IF((F82&lt;&gt;0),F82-G82," ")</f>
        <v> </v>
      </c>
    </row>
    <row r="83" customFormat="false" ht="12.75" hidden="false" customHeight="false" outlineLevel="0" collapsed="false">
      <c r="G83" s="99" t="str">
        <f aca="false">IF(G$4&gt;0,(IF(F83&lt;&gt;0,F83*G$4/100," ")),IF(F83&lt;&gt;0,F83*G$2/(100+G$2)," "))</f>
        <v> </v>
      </c>
      <c r="H83" s="99" t="str">
        <f aca="false">IF((F83&lt;&gt;0),F83-G83," ")</f>
        <v> </v>
      </c>
    </row>
    <row r="84" customFormat="false" ht="12.75" hidden="false" customHeight="false" outlineLevel="0" collapsed="false">
      <c r="G84" s="99" t="str">
        <f aca="false">IF(G$4&gt;0,(IF(F84&lt;&gt;0,F84*G$4/100," ")),IF(F84&lt;&gt;0,F84*G$2/(100+G$2)," "))</f>
        <v> </v>
      </c>
      <c r="H84" s="99" t="str">
        <f aca="false">IF((F84&lt;&gt;0),F84-G84," ")</f>
        <v> </v>
      </c>
    </row>
    <row r="85" customFormat="false" ht="12.75" hidden="false" customHeight="false" outlineLevel="0" collapsed="false">
      <c r="G85" s="99" t="str">
        <f aca="false">IF(G$4&gt;0,(IF(F85&lt;&gt;0,F85*G$4/100," ")),IF(F85&lt;&gt;0,F85*G$2/(100+G$2)," "))</f>
        <v> </v>
      </c>
      <c r="H85" s="99" t="str">
        <f aca="false">IF((F85&lt;&gt;0),F85-G85," ")</f>
        <v> </v>
      </c>
    </row>
    <row r="86" customFormat="false" ht="12.75" hidden="false" customHeight="false" outlineLevel="0" collapsed="false">
      <c r="G86" s="99" t="str">
        <f aca="false">IF(G$4&gt;0,(IF(F86&lt;&gt;0,F86*G$4/100," ")),IF(F86&lt;&gt;0,F86*G$2/(100+G$2)," "))</f>
        <v> </v>
      </c>
      <c r="H86" s="99" t="str">
        <f aca="false">IF((F86&lt;&gt;0),F86-G86," ")</f>
        <v> </v>
      </c>
    </row>
    <row r="87" customFormat="false" ht="12.75" hidden="false" customHeight="false" outlineLevel="0" collapsed="false">
      <c r="G87" s="99" t="str">
        <f aca="false">IF(G$4&gt;0,(IF(F87&lt;&gt;0,F87*G$4/100," ")),IF(F87&lt;&gt;0,F87*G$2/(100+G$2)," "))</f>
        <v> </v>
      </c>
      <c r="H87" s="99" t="str">
        <f aca="false">IF((F87&lt;&gt;0),F87-G87," ")</f>
        <v> </v>
      </c>
    </row>
    <row r="88" customFormat="false" ht="12.75" hidden="false" customHeight="false" outlineLevel="0" collapsed="false">
      <c r="G88" s="99" t="str">
        <f aca="false">IF(G$4&gt;0,(IF(F88&lt;&gt;0,F88*G$4/100," ")),IF(F88&lt;&gt;0,F88*G$2/(100+G$2)," "))</f>
        <v> </v>
      </c>
      <c r="H88" s="99" t="str">
        <f aca="false">IF((F88&lt;&gt;0),F88-G88," ")</f>
        <v> </v>
      </c>
    </row>
    <row r="89" customFormat="false" ht="12.75" hidden="false" customHeight="false" outlineLevel="0" collapsed="false">
      <c r="G89" s="99" t="str">
        <f aca="false">IF(G$4&gt;0,(IF(F89&lt;&gt;0,F89*G$4/100," ")),IF(F89&lt;&gt;0,F89*G$2/(100+G$2)," "))</f>
        <v> </v>
      </c>
      <c r="H89" s="99" t="str">
        <f aca="false">IF((F89&lt;&gt;0),F89-G89," ")</f>
        <v> </v>
      </c>
    </row>
    <row r="90" customFormat="false" ht="12.75" hidden="false" customHeight="false" outlineLevel="0" collapsed="false">
      <c r="G90" s="99" t="str">
        <f aca="false">IF(G$4&gt;0,(IF(F90&lt;&gt;0,F90*G$4/100," ")),IF(F90&lt;&gt;0,F90*G$2/(100+G$2)," "))</f>
        <v> </v>
      </c>
      <c r="H90" s="99" t="str">
        <f aca="false">IF((F90&lt;&gt;0),F90-G90," ")</f>
        <v> </v>
      </c>
    </row>
    <row r="91" customFormat="false" ht="12.75" hidden="false" customHeight="false" outlineLevel="0" collapsed="false">
      <c r="G91" s="99" t="str">
        <f aca="false">IF(G$4&gt;0,(IF(F91&lt;&gt;0,F91*G$4/100," ")),IF(F91&lt;&gt;0,F91*G$2/(100+G$2)," "))</f>
        <v> </v>
      </c>
      <c r="H91" s="99" t="str">
        <f aca="false">IF((F91&lt;&gt;0),F91-G91," ")</f>
        <v> </v>
      </c>
    </row>
    <row r="92" customFormat="false" ht="12.75" hidden="false" customHeight="false" outlineLevel="0" collapsed="false">
      <c r="G92" s="99" t="str">
        <f aca="false">IF(G$4&gt;0,(IF(F92&lt;&gt;0,F92*G$4/100," ")),IF(F92&lt;&gt;0,F92*G$2/(100+G$2)," "))</f>
        <v> </v>
      </c>
      <c r="H92" s="99" t="str">
        <f aca="false">IF((F92&lt;&gt;0),F92-G92," ")</f>
        <v> </v>
      </c>
    </row>
    <row r="93" customFormat="false" ht="12.75" hidden="false" customHeight="false" outlineLevel="0" collapsed="false">
      <c r="G93" s="99" t="str">
        <f aca="false">IF(G$4&gt;0,(IF(F93&lt;&gt;0,F93*G$4/100," ")),IF(F93&lt;&gt;0,F93*G$2/(100+G$2)," "))</f>
        <v> </v>
      </c>
      <c r="H93" s="99" t="str">
        <f aca="false">IF((F93&lt;&gt;0),F93-G93," ")</f>
        <v> </v>
      </c>
    </row>
    <row r="94" customFormat="false" ht="12.75" hidden="false" customHeight="false" outlineLevel="0" collapsed="false">
      <c r="G94" s="99" t="str">
        <f aca="false">IF(G$4&gt;0,(IF(F94&lt;&gt;0,F94*G$4/100," ")),IF(F94&lt;&gt;0,F94*G$2/(100+G$2)," "))</f>
        <v> </v>
      </c>
      <c r="H94" s="99" t="str">
        <f aca="false">IF((F94&lt;&gt;0),F94-G94," ")</f>
        <v> </v>
      </c>
    </row>
    <row r="95" customFormat="false" ht="12.75" hidden="false" customHeight="false" outlineLevel="0" collapsed="false">
      <c r="G95" s="99" t="str">
        <f aca="false">IF(G$4&gt;0,(IF(F95&lt;&gt;0,F95*G$4/100," ")),IF(F95&lt;&gt;0,F95*G$2/(100+G$2)," "))</f>
        <v> </v>
      </c>
      <c r="H95" s="99" t="str">
        <f aca="false">IF((F95&lt;&gt;0),F95-G95," ")</f>
        <v> </v>
      </c>
    </row>
    <row r="96" customFormat="false" ht="12.75" hidden="false" customHeight="false" outlineLevel="0" collapsed="false">
      <c r="G96" s="99" t="str">
        <f aca="false">IF(G$4&gt;0,(IF(F96&lt;&gt;0,F96*G$4/100," ")),IF(F96&lt;&gt;0,F96*G$2/(100+G$2)," "))</f>
        <v> </v>
      </c>
      <c r="H96" s="99" t="str">
        <f aca="false">IF((F96&lt;&gt;0),F96-G96," ")</f>
        <v> </v>
      </c>
    </row>
    <row r="97" customFormat="false" ht="12.75" hidden="false" customHeight="false" outlineLevel="0" collapsed="false">
      <c r="G97" s="99" t="str">
        <f aca="false">IF(G$4&gt;0,(IF(F97&lt;&gt;0,F97*G$4/100," ")),IF(F97&lt;&gt;0,F97*G$2/(100+G$2)," "))</f>
        <v> </v>
      </c>
      <c r="H97" s="99" t="str">
        <f aca="false">IF((F97&lt;&gt;0),F97-G97," ")</f>
        <v> </v>
      </c>
    </row>
    <row r="98" customFormat="false" ht="12.75" hidden="false" customHeight="false" outlineLevel="0" collapsed="false">
      <c r="G98" s="99" t="str">
        <f aca="false">IF(G$4&gt;0,(IF(F98&lt;&gt;0,F98*G$4/100," ")),IF(F98&lt;&gt;0,F98*G$2/(100+G$2)," "))</f>
        <v> </v>
      </c>
      <c r="H98" s="99" t="str">
        <f aca="false">IF((F98&lt;&gt;0),F98-G98," ")</f>
        <v> </v>
      </c>
    </row>
    <row r="99" customFormat="false" ht="12.75" hidden="false" customHeight="false" outlineLevel="0" collapsed="false">
      <c r="G99" s="99" t="str">
        <f aca="false">IF(G$4&gt;0,(IF(F99&lt;&gt;0,F99*G$4/100," ")),IF(F99&lt;&gt;0,F99*G$2/(100+G$2)," "))</f>
        <v> </v>
      </c>
      <c r="H99" s="99" t="str">
        <f aca="false">IF((F99&lt;&gt;0),F99-G99," ")</f>
        <v> </v>
      </c>
    </row>
    <row r="100" customFormat="false" ht="12.75" hidden="false" customHeight="false" outlineLevel="0" collapsed="false">
      <c r="G100" s="99" t="str">
        <f aca="false">IF(G$4&gt;0,(IF(F100&lt;&gt;0,F100*G$4/100," ")),IF(F100&lt;&gt;0,F100*G$2/(100+G$2)," "))</f>
        <v> </v>
      </c>
      <c r="H100" s="99" t="str">
        <f aca="false">IF((F100&lt;&gt;0),F100-G100," ")</f>
        <v> </v>
      </c>
    </row>
    <row r="101" customFormat="false" ht="12.75" hidden="false" customHeight="false" outlineLevel="0" collapsed="false">
      <c r="G101" s="99" t="str">
        <f aca="false">IF(G$4&gt;0,(IF(F101&lt;&gt;0,F101*G$4/100," ")),IF(F101&lt;&gt;0,F101*G$2/(100+G$2)," "))</f>
        <v> </v>
      </c>
      <c r="H101" s="99" t="str">
        <f aca="false">IF((F101&lt;&gt;0),F101-G101," ")</f>
        <v> </v>
      </c>
    </row>
    <row r="102" customFormat="false" ht="12.75" hidden="false" customHeight="false" outlineLevel="0" collapsed="false">
      <c r="G102" s="99" t="str">
        <f aca="false">IF(G$4&gt;0,(IF(F102&lt;&gt;0,F102*G$4/100," ")),IF(F102&lt;&gt;0,F102*G$2/(100+G$2)," "))</f>
        <v> </v>
      </c>
      <c r="H102" s="99" t="str">
        <f aca="false">IF((F102&lt;&gt;0),F102-G102," ")</f>
        <v> </v>
      </c>
    </row>
    <row r="103" customFormat="false" ht="12.75" hidden="false" customHeight="false" outlineLevel="0" collapsed="false">
      <c r="G103" s="99" t="str">
        <f aca="false">IF(G$4&gt;0,(IF(F103&lt;&gt;0,F103*G$4/100," ")),IF(F103&lt;&gt;0,F103*G$2/(100+G$2)," "))</f>
        <v> </v>
      </c>
      <c r="H103" s="99" t="str">
        <f aca="false">IF((F103&lt;&gt;0),F103-G103," ")</f>
        <v> </v>
      </c>
    </row>
    <row r="104" customFormat="false" ht="12.75" hidden="false" customHeight="false" outlineLevel="0" collapsed="false">
      <c r="G104" s="99" t="str">
        <f aca="false">IF(G$4&gt;0,(IF(F104&lt;&gt;0,F104*G$4/100," ")),IF(F104&lt;&gt;0,F104*G$2/(100+G$2)," "))</f>
        <v> </v>
      </c>
      <c r="H104" s="99" t="str">
        <f aca="false">IF((F104&lt;&gt;0),F104-G104," ")</f>
        <v> </v>
      </c>
    </row>
    <row r="105" customFormat="false" ht="12.75" hidden="false" customHeight="false" outlineLevel="0" collapsed="false">
      <c r="G105" s="99" t="str">
        <f aca="false">IF(G$4&gt;0,(IF(F105&lt;&gt;0,F105*G$4/100," ")),IF(F105&lt;&gt;0,F105*G$2/(100+G$2)," "))</f>
        <v> </v>
      </c>
      <c r="H105" s="99" t="str">
        <f aca="false">IF((F105&lt;&gt;0),F105-G105," ")</f>
        <v> </v>
      </c>
    </row>
    <row r="106" customFormat="false" ht="12.75" hidden="false" customHeight="false" outlineLevel="0" collapsed="false">
      <c r="G106" s="99" t="str">
        <f aca="false">IF(G$4&gt;0,(IF(F106&lt;&gt;0,F106*G$4/100," ")),IF(F106&lt;&gt;0,F106*G$2/(100+G$2)," "))</f>
        <v> </v>
      </c>
      <c r="H106" s="99" t="str">
        <f aca="false">IF((F106&lt;&gt;0),F106-G106," ")</f>
        <v> </v>
      </c>
    </row>
    <row r="107" customFormat="false" ht="12.75" hidden="false" customHeight="false" outlineLevel="0" collapsed="false">
      <c r="G107" s="99" t="str">
        <f aca="false">IF(G$4&gt;0,(IF(F107&lt;&gt;0,F107*G$4/100," ")),IF(F107&lt;&gt;0,F107*G$2/(100+G$2)," "))</f>
        <v> </v>
      </c>
      <c r="H107" s="99" t="str">
        <f aca="false">IF((F107&lt;&gt;0),F107-G107," ")</f>
        <v> </v>
      </c>
    </row>
    <row r="108" customFormat="false" ht="12.75" hidden="false" customHeight="false" outlineLevel="0" collapsed="false">
      <c r="G108" s="99" t="str">
        <f aca="false">IF(G$4&gt;0,(IF(F108&lt;&gt;0,F108*G$4/100," ")),IF(F108&lt;&gt;0,F108*G$2/(100+G$2)," "))</f>
        <v> </v>
      </c>
      <c r="H108" s="99" t="str">
        <f aca="false">IF((F108&lt;&gt;0),F108-G108," ")</f>
        <v> </v>
      </c>
    </row>
    <row r="109" customFormat="false" ht="12.75" hidden="false" customHeight="false" outlineLevel="0" collapsed="false">
      <c r="G109" s="99" t="str">
        <f aca="false">IF(G$4&gt;0,(IF(F109&lt;&gt;0,F109*G$4/100," ")),IF(F109&lt;&gt;0,F109*G$2/(100+G$2)," "))</f>
        <v> </v>
      </c>
      <c r="H109" s="99" t="str">
        <f aca="false">IF((F109&lt;&gt;0),F109-G109," ")</f>
        <v> </v>
      </c>
    </row>
    <row r="110" customFormat="false" ht="12.75" hidden="false" customHeight="false" outlineLevel="0" collapsed="false">
      <c r="G110" s="99" t="str">
        <f aca="false">IF(G$4&gt;0,(IF(F110&lt;&gt;0,F110*G$4/100," ")),IF(F110&lt;&gt;0,F110*G$2/(100+G$2)," "))</f>
        <v> </v>
      </c>
      <c r="H110" s="99" t="str">
        <f aca="false">IF((F110&lt;&gt;0),F110-G110," ")</f>
        <v> </v>
      </c>
    </row>
    <row r="111" customFormat="false" ht="12.75" hidden="false" customHeight="false" outlineLevel="0" collapsed="false">
      <c r="G111" s="99" t="str">
        <f aca="false">IF(G$4&gt;0,(IF(F111&lt;&gt;0,F111*G$4/100," ")),IF(F111&lt;&gt;0,F111*G$2/(100+G$2)," "))</f>
        <v> </v>
      </c>
      <c r="H111" s="99" t="str">
        <f aca="false">IF((F111&lt;&gt;0),F111-G111," ")</f>
        <v> </v>
      </c>
    </row>
    <row r="112" customFormat="false" ht="12.75" hidden="false" customHeight="false" outlineLevel="0" collapsed="false">
      <c r="G112" s="99" t="str">
        <f aca="false">IF(G$4&gt;0,(IF(F112&lt;&gt;0,F112*G$4/100," ")),IF(F112&lt;&gt;0,F112*G$2/(100+G$2)," "))</f>
        <v> </v>
      </c>
      <c r="H112" s="99" t="str">
        <f aca="false">IF((F112&lt;&gt;0),F112-G112," ")</f>
        <v> </v>
      </c>
    </row>
    <row r="113" customFormat="false" ht="12.75" hidden="false" customHeight="false" outlineLevel="0" collapsed="false">
      <c r="G113" s="99" t="str">
        <f aca="false">IF(G$4&gt;0,(IF(F113&lt;&gt;0,F113*G$4/100," ")),IF(F113&lt;&gt;0,F113*G$2/(100+G$2)," "))</f>
        <v> </v>
      </c>
      <c r="H113" s="99" t="str">
        <f aca="false">IF((F113&lt;&gt;0),F113-G113," ")</f>
        <v> </v>
      </c>
    </row>
    <row r="114" customFormat="false" ht="12.75" hidden="false" customHeight="false" outlineLevel="0" collapsed="false">
      <c r="G114" s="99" t="str">
        <f aca="false">IF(G$4&gt;0,(IF(F114&lt;&gt;0,F114*G$4/100," ")),IF(F114&lt;&gt;0,F114*G$2/(100+G$2)," "))</f>
        <v> </v>
      </c>
      <c r="H114" s="99" t="str">
        <f aca="false">IF((F114&lt;&gt;0),F114-G114," ")</f>
        <v> </v>
      </c>
    </row>
    <row r="115" customFormat="false" ht="12.75" hidden="false" customHeight="false" outlineLevel="0" collapsed="false">
      <c r="G115" s="99" t="str">
        <f aca="false">IF(G$4&gt;0,(IF(F115&lt;&gt;0,F115*G$4/100," ")),IF(F115&lt;&gt;0,F115*G$2/(100+G$2)," "))</f>
        <v> </v>
      </c>
      <c r="H115" s="99" t="str">
        <f aca="false">IF((F115&lt;&gt;0),F115-G115," ")</f>
        <v> </v>
      </c>
    </row>
    <row r="116" customFormat="false" ht="12.75" hidden="false" customHeight="false" outlineLevel="0" collapsed="false">
      <c r="G116" s="99" t="str">
        <f aca="false">IF(G$4&gt;0,(IF(F116&lt;&gt;0,F116*G$4/100," ")),IF(F116&lt;&gt;0,F116*G$2/(100+G$2)," "))</f>
        <v> </v>
      </c>
      <c r="H116" s="99" t="str">
        <f aca="false">IF((F116&lt;&gt;0),F116-G116," ")</f>
        <v> </v>
      </c>
    </row>
    <row r="117" customFormat="false" ht="12.75" hidden="false" customHeight="false" outlineLevel="0" collapsed="false">
      <c r="G117" s="99" t="str">
        <f aca="false">IF(G$4&gt;0,(IF(F117&lt;&gt;0,F117*G$4/100," ")),IF(F117&lt;&gt;0,F117*G$2/(100+G$2)," "))</f>
        <v> </v>
      </c>
      <c r="H117" s="99" t="str">
        <f aca="false">IF((F117&lt;&gt;0),F117-G117," ")</f>
        <v> </v>
      </c>
    </row>
    <row r="118" customFormat="false" ht="12.75" hidden="false" customHeight="false" outlineLevel="0" collapsed="false">
      <c r="G118" s="99" t="str">
        <f aca="false">IF(G$4&gt;0,(IF(F118&lt;&gt;0,F118*G$4/100," ")),IF(F118&lt;&gt;0,F118*G$2/(100+G$2)," "))</f>
        <v> </v>
      </c>
      <c r="H118" s="99" t="str">
        <f aca="false">IF((F118&lt;&gt;0),F118-G118," ")</f>
        <v> </v>
      </c>
    </row>
    <row r="119" customFormat="false" ht="12.75" hidden="false" customHeight="false" outlineLevel="0" collapsed="false">
      <c r="G119" s="99" t="str">
        <f aca="false">IF(G$4&gt;0,(IF(F119&lt;&gt;0,F119*G$4/100," ")),IF(F119&lt;&gt;0,F119*G$2/(100+G$2)," "))</f>
        <v> </v>
      </c>
      <c r="H119" s="99" t="str">
        <f aca="false">IF((F119&lt;&gt;0),F119-G119," ")</f>
        <v> </v>
      </c>
    </row>
    <row r="120" customFormat="false" ht="12.75" hidden="false" customHeight="false" outlineLevel="0" collapsed="false">
      <c r="G120" s="99" t="str">
        <f aca="false">IF(G$4&gt;0,(IF(F120&lt;&gt;0,F120*G$4/100," ")),IF(F120&lt;&gt;0,F120*G$2/(100+G$2)," "))</f>
        <v> </v>
      </c>
      <c r="H120" s="99" t="str">
        <f aca="false">IF((F120&lt;&gt;0),F120-G120," ")</f>
        <v> </v>
      </c>
    </row>
    <row r="121" customFormat="false" ht="12.75" hidden="false" customHeight="false" outlineLevel="0" collapsed="false">
      <c r="G121" s="99" t="str">
        <f aca="false">IF(G$4&gt;0,(IF(F121&lt;&gt;0,F121*G$4/100," ")),IF(F121&lt;&gt;0,F121*G$2/(100+G$2)," "))</f>
        <v> </v>
      </c>
      <c r="H121" s="99" t="str">
        <f aca="false">IF((F121&lt;&gt;0),F121-G121," ")</f>
        <v> </v>
      </c>
    </row>
    <row r="122" customFormat="false" ht="12.75" hidden="false" customHeight="false" outlineLevel="0" collapsed="false">
      <c r="G122" s="99" t="str">
        <f aca="false">IF(G$4&gt;0,(IF(F122&lt;&gt;0,F122*G$4/100," ")),IF(F122&lt;&gt;0,F122*G$2/(100+G$2)," "))</f>
        <v> </v>
      </c>
      <c r="H122" s="99" t="str">
        <f aca="false">IF((F122&lt;&gt;0),F122-G122," ")</f>
        <v> </v>
      </c>
    </row>
    <row r="123" customFormat="false" ht="12.75" hidden="false" customHeight="false" outlineLevel="0" collapsed="false">
      <c r="G123" s="99" t="str">
        <f aca="false">IF(G$4&gt;0,(IF(F123&lt;&gt;0,F123*G$4/100," ")),IF(F123&lt;&gt;0,F123*G$2/(100+G$2)," "))</f>
        <v> </v>
      </c>
      <c r="H123" s="99" t="str">
        <f aca="false">IF((F123&lt;&gt;0),F123-G123," ")</f>
        <v> </v>
      </c>
    </row>
    <row r="124" customFormat="false" ht="12.75" hidden="false" customHeight="false" outlineLevel="0" collapsed="false">
      <c r="G124" s="99" t="str">
        <f aca="false">IF(G$4&gt;0,(IF(F124&lt;&gt;0,F124*G$4/100," ")),IF(F124&lt;&gt;0,F124*G$2/(100+G$2)," "))</f>
        <v> </v>
      </c>
      <c r="H124" s="99" t="str">
        <f aca="false">IF((F124&lt;&gt;0),F124-G124," ")</f>
        <v> </v>
      </c>
    </row>
    <row r="125" customFormat="false" ht="12.75" hidden="false" customHeight="false" outlineLevel="0" collapsed="false">
      <c r="G125" s="99" t="str">
        <f aca="false">IF(G$4&gt;0,(IF(F125&lt;&gt;0,F125*G$4/100," ")),IF(F125&lt;&gt;0,F125*G$2/(100+G$2)," "))</f>
        <v> </v>
      </c>
      <c r="H125" s="99" t="str">
        <f aca="false">IF((F125&lt;&gt;0),F125-G125," ")</f>
        <v> </v>
      </c>
    </row>
    <row r="126" customFormat="false" ht="12.75" hidden="false" customHeight="false" outlineLevel="0" collapsed="false">
      <c r="G126" s="99" t="str">
        <f aca="false">IF(G$4&gt;0,(IF(F126&lt;&gt;0,F126*G$4/100," ")),IF(F126&lt;&gt;0,F126*G$2/(100+G$2)," "))</f>
        <v> </v>
      </c>
      <c r="H126" s="99" t="str">
        <f aca="false">IF((F126&lt;&gt;0),F126-G126," ")</f>
        <v> </v>
      </c>
    </row>
    <row r="127" customFormat="false" ht="12.75" hidden="false" customHeight="false" outlineLevel="0" collapsed="false">
      <c r="G127" s="99" t="str">
        <f aca="false">IF(G$4&gt;0,(IF(F127&lt;&gt;0,F127*G$4/100," ")),IF(F127&lt;&gt;0,F127*G$2/(100+G$2)," "))</f>
        <v> </v>
      </c>
      <c r="H127" s="99" t="str">
        <f aca="false">IF((F127&lt;&gt;0),F127-G127," ")</f>
        <v> </v>
      </c>
    </row>
    <row r="128" customFormat="false" ht="12.75" hidden="false" customHeight="false" outlineLevel="0" collapsed="false">
      <c r="G128" s="99" t="str">
        <f aca="false">IF(G$4&gt;0,(IF(F128&lt;&gt;0,F128*G$4/100," ")),IF(F128&lt;&gt;0,F128*G$2/(100+G$2)," "))</f>
        <v> </v>
      </c>
      <c r="H128" s="99" t="str">
        <f aca="false">IF((F128&lt;&gt;0),F128-G128," ")</f>
        <v> </v>
      </c>
    </row>
    <row r="129" customFormat="false" ht="12.75" hidden="false" customHeight="false" outlineLevel="0" collapsed="false">
      <c r="G129" s="99" t="str">
        <f aca="false">IF(G$4&gt;0,(IF(F129&lt;&gt;0,F129*G$4/100," ")),IF(F129&lt;&gt;0,F129*G$2/(100+G$2)," "))</f>
        <v> </v>
      </c>
      <c r="H129" s="99" t="str">
        <f aca="false">IF((F129&lt;&gt;0),F129-G129," ")</f>
        <v> </v>
      </c>
    </row>
    <row r="130" customFormat="false" ht="12.75" hidden="false" customHeight="false" outlineLevel="0" collapsed="false">
      <c r="G130" s="99" t="str">
        <f aca="false">IF(G$4&gt;0,(IF(F130&lt;&gt;0,F130*G$4/100," ")),IF(F130&lt;&gt;0,F130*G$2/(100+G$2)," "))</f>
        <v> </v>
      </c>
      <c r="H130" s="99" t="str">
        <f aca="false">IF((F130&lt;&gt;0),F130-G130," ")</f>
        <v> </v>
      </c>
    </row>
    <row r="131" customFormat="false" ht="12.75" hidden="false" customHeight="false" outlineLevel="0" collapsed="false">
      <c r="G131" s="99" t="str">
        <f aca="false">IF(G$4&gt;0,(IF(F131&lt;&gt;0,F131*G$4/100," ")),IF(F131&lt;&gt;0,F131*G$2/(100+G$2)," "))</f>
        <v> </v>
      </c>
      <c r="H131" s="99" t="str">
        <f aca="false">IF((F131&lt;&gt;0),F131-G131," ")</f>
        <v> </v>
      </c>
    </row>
    <row r="132" customFormat="false" ht="12.75" hidden="false" customHeight="false" outlineLevel="0" collapsed="false">
      <c r="G132" s="99" t="str">
        <f aca="false">IF(G$4&gt;0,(IF(F132&lt;&gt;0,F132*G$4/100," ")),IF(F132&lt;&gt;0,F132*G$2/(100+G$2)," "))</f>
        <v> </v>
      </c>
      <c r="H132" s="99" t="str">
        <f aca="false">IF((F132&lt;&gt;0),F132-G132," ")</f>
        <v> </v>
      </c>
    </row>
    <row r="133" customFormat="false" ht="12.75" hidden="false" customHeight="false" outlineLevel="0" collapsed="false">
      <c r="G133" s="99" t="str">
        <f aca="false">IF(G$4&gt;0,(IF(F133&lt;&gt;0,F133*G$4/100," ")),IF(F133&lt;&gt;0,F133*G$2/(100+G$2)," "))</f>
        <v> </v>
      </c>
      <c r="H133" s="99" t="str">
        <f aca="false">IF((F133&lt;&gt;0),F133-G133," ")</f>
        <v> </v>
      </c>
    </row>
    <row r="134" customFormat="false" ht="12.75" hidden="false" customHeight="false" outlineLevel="0" collapsed="false">
      <c r="G134" s="99" t="str">
        <f aca="false">IF(G$4&gt;0,(IF(F134&lt;&gt;0,F134*G$4/100," ")),IF(F134&lt;&gt;0,F134*G$2/(100+G$2)," "))</f>
        <v> </v>
      </c>
      <c r="H134" s="99" t="str">
        <f aca="false">IF((F134&lt;&gt;0),F134-G134," ")</f>
        <v> </v>
      </c>
    </row>
    <row r="135" customFormat="false" ht="12.75" hidden="false" customHeight="false" outlineLevel="0" collapsed="false">
      <c r="G135" s="99" t="str">
        <f aca="false">IF(G$4&gt;0,(IF(F135&lt;&gt;0,F135*G$4/100," ")),IF(F135&lt;&gt;0,F135*G$2/(100+G$2)," "))</f>
        <v> </v>
      </c>
      <c r="H135" s="99" t="str">
        <f aca="false">IF((F135&lt;&gt;0),F135-G135," ")</f>
        <v> </v>
      </c>
    </row>
    <row r="136" customFormat="false" ht="12.75" hidden="false" customHeight="false" outlineLevel="0" collapsed="false">
      <c r="G136" s="99" t="str">
        <f aca="false">IF(G$4&gt;0,(IF(F136&lt;&gt;0,F136*G$4/100," ")),IF(F136&lt;&gt;0,F136*G$2/(100+G$2)," "))</f>
        <v> </v>
      </c>
      <c r="H136" s="99" t="str">
        <f aca="false">IF((F136&lt;&gt;0),F136-G136," ")</f>
        <v> </v>
      </c>
    </row>
    <row r="137" customFormat="false" ht="12.75" hidden="false" customHeight="false" outlineLevel="0" collapsed="false">
      <c r="G137" s="99" t="str">
        <f aca="false">IF(G$4&gt;0,(IF(F137&lt;&gt;0,F137*G$4/100," ")),IF(F137&lt;&gt;0,F137*G$2/(100+G$2)," "))</f>
        <v> </v>
      </c>
      <c r="H137" s="99" t="str">
        <f aca="false">IF((F137&lt;&gt;0),F137-G137," ")</f>
        <v> </v>
      </c>
    </row>
    <row r="138" customFormat="false" ht="12.75" hidden="false" customHeight="false" outlineLevel="0" collapsed="false">
      <c r="G138" s="99" t="str">
        <f aca="false">IF(G$4&gt;0,(IF(F138&lt;&gt;0,F138*G$4/100," ")),IF(F138&lt;&gt;0,F138*G$2/(100+G$2)," "))</f>
        <v> </v>
      </c>
      <c r="H138" s="99" t="str">
        <f aca="false">IF((F138&lt;&gt;0),F138-G138," ")</f>
        <v> </v>
      </c>
    </row>
    <row r="139" customFormat="false" ht="12.75" hidden="false" customHeight="false" outlineLevel="0" collapsed="false">
      <c r="G139" s="99" t="str">
        <f aca="false">IF(G$4&gt;0,(IF(F139&lt;&gt;0,F139*G$4/100," ")),IF(F139&lt;&gt;0,F139*G$2/(100+G$2)," "))</f>
        <v> </v>
      </c>
      <c r="H139" s="99" t="str">
        <f aca="false">IF((F139&lt;&gt;0),F139-G139," ")</f>
        <v> </v>
      </c>
    </row>
    <row r="140" customFormat="false" ht="12.75" hidden="false" customHeight="false" outlineLevel="0" collapsed="false">
      <c r="G140" s="99" t="str">
        <f aca="false">IF(G$4&gt;0,(IF(F140&lt;&gt;0,F140*G$4/100," ")),IF(F140&lt;&gt;0,F140*G$2/(100+G$2)," "))</f>
        <v> </v>
      </c>
      <c r="H140" s="99" t="str">
        <f aca="false">IF((F140&lt;&gt;0),F140-G140," ")</f>
        <v> </v>
      </c>
    </row>
    <row r="141" customFormat="false" ht="12.75" hidden="false" customHeight="false" outlineLevel="0" collapsed="false">
      <c r="G141" s="99" t="str">
        <f aca="false">IF(G$4&gt;0,(IF(F141&lt;&gt;0,F141*G$4/100," ")),IF(F141&lt;&gt;0,F141*G$2/(100+G$2)," "))</f>
        <v> </v>
      </c>
      <c r="H141" s="99" t="str">
        <f aca="false">IF((F141&lt;&gt;0),F141-G141," ")</f>
        <v> </v>
      </c>
    </row>
    <row r="142" customFormat="false" ht="12.75" hidden="false" customHeight="false" outlineLevel="0" collapsed="false">
      <c r="G142" s="99" t="str">
        <f aca="false">IF(G$4&gt;0,(IF(F142&lt;&gt;0,F142*G$4/100," ")),IF(F142&lt;&gt;0,F142*G$2/(100+G$2)," "))</f>
        <v> </v>
      </c>
      <c r="H142" s="99" t="str">
        <f aca="false">IF((F142&lt;&gt;0),F142-G142," ")</f>
        <v> </v>
      </c>
    </row>
    <row r="143" customFormat="false" ht="12.75" hidden="false" customHeight="false" outlineLevel="0" collapsed="false">
      <c r="G143" s="99" t="str">
        <f aca="false">IF(G$4&gt;0,(IF(F143&lt;&gt;0,F143*G$4/100," ")),IF(F143&lt;&gt;0,F143*G$2/(100+G$2)," "))</f>
        <v> </v>
      </c>
      <c r="H143" s="99" t="str">
        <f aca="false">IF((F143&lt;&gt;0),F143-G143," ")</f>
        <v> </v>
      </c>
    </row>
    <row r="144" customFormat="false" ht="12.75" hidden="false" customHeight="false" outlineLevel="0" collapsed="false">
      <c r="G144" s="99" t="str">
        <f aca="false">IF(G$4&gt;0,(IF(F144&lt;&gt;0,F144*G$4/100," ")),IF(F144&lt;&gt;0,F144*G$2/(100+G$2)," "))</f>
        <v> </v>
      </c>
      <c r="H144" s="99" t="str">
        <f aca="false">IF((F144&lt;&gt;0),F144-G144," ")</f>
        <v> </v>
      </c>
    </row>
    <row r="145" customFormat="false" ht="12.75" hidden="false" customHeight="false" outlineLevel="0" collapsed="false">
      <c r="G145" s="99" t="str">
        <f aca="false">IF(G$4&gt;0,(IF(F145&lt;&gt;0,F145*G$4/100," ")),IF(F145&lt;&gt;0,F145*G$2/(100+G$2)," "))</f>
        <v> </v>
      </c>
      <c r="H145" s="99" t="str">
        <f aca="false">IF((F145&lt;&gt;0),F145-G145," ")</f>
        <v> </v>
      </c>
    </row>
    <row r="146" customFormat="false" ht="12.75" hidden="false" customHeight="false" outlineLevel="0" collapsed="false">
      <c r="G146" s="99" t="str">
        <f aca="false">IF(G$4&gt;0,(IF(F146&lt;&gt;0,F146*G$4/100," ")),IF(F146&lt;&gt;0,F146*G$2/(100+G$2)," "))</f>
        <v> </v>
      </c>
      <c r="H146" s="99" t="str">
        <f aca="false">IF((F146&lt;&gt;0),F146-G146," ")</f>
        <v> </v>
      </c>
    </row>
    <row r="147" customFormat="false" ht="12.75" hidden="false" customHeight="false" outlineLevel="0" collapsed="false">
      <c r="G147" s="99" t="str">
        <f aca="false">IF(G$4&gt;0,(IF(F147&lt;&gt;0,F147*G$4/100," ")),IF(F147&lt;&gt;0,F147*G$2/(100+G$2)," "))</f>
        <v> </v>
      </c>
      <c r="H147" s="99" t="str">
        <f aca="false">IF((F147&lt;&gt;0),F147-G147," ")</f>
        <v> </v>
      </c>
    </row>
    <row r="148" customFormat="false" ht="12.75" hidden="false" customHeight="false" outlineLevel="0" collapsed="false">
      <c r="G148" s="99" t="str">
        <f aca="false">IF(G$4&gt;0,(IF(F148&lt;&gt;0,F148*G$4/100," ")),IF(F148&lt;&gt;0,F148*G$2/(100+G$2)," "))</f>
        <v> </v>
      </c>
      <c r="H148" s="99" t="str">
        <f aca="false">IF((F148&lt;&gt;0),F148-G148," ")</f>
        <v> </v>
      </c>
    </row>
    <row r="149" customFormat="false" ht="12.75" hidden="false" customHeight="false" outlineLevel="0" collapsed="false">
      <c r="G149" s="99" t="str">
        <f aca="false">IF(G$4&gt;0,(IF(F149&lt;&gt;0,F149*G$4/100," ")),IF(F149&lt;&gt;0,F149*G$2/(100+G$2)," "))</f>
        <v> </v>
      </c>
      <c r="H149" s="99" t="str">
        <f aca="false">IF((F149&lt;&gt;0),F149-G149," ")</f>
        <v> </v>
      </c>
    </row>
    <row r="150" customFormat="false" ht="12.75" hidden="false" customHeight="false" outlineLevel="0" collapsed="false">
      <c r="G150" s="99" t="str">
        <f aca="false">IF(G$4&gt;0,(IF(F150&lt;&gt;0,F150*G$4/100," ")),IF(F150&lt;&gt;0,F150*G$2/(100+G$2)," "))</f>
        <v> </v>
      </c>
      <c r="H150" s="99" t="str">
        <f aca="false">IF((F150&lt;&gt;0),F150-G150," ")</f>
        <v> </v>
      </c>
    </row>
    <row r="151" customFormat="false" ht="12.75" hidden="false" customHeight="false" outlineLevel="0" collapsed="false">
      <c r="G151" s="99" t="str">
        <f aca="false">IF(G$4&gt;0,(IF(F151&lt;&gt;0,F151*G$4/100," ")),IF(F151&lt;&gt;0,F151*G$2/(100+G$2)," "))</f>
        <v> </v>
      </c>
      <c r="H151" s="99" t="str">
        <f aca="false">IF((F151&lt;&gt;0),F151-G151," ")</f>
        <v> </v>
      </c>
    </row>
    <row r="152" customFormat="false" ht="12.75" hidden="false" customHeight="false" outlineLevel="0" collapsed="false">
      <c r="G152" s="99" t="str">
        <f aca="false">IF(G$4&gt;0,(IF(F152&lt;&gt;0,F152*G$4/100," ")),IF(F152&lt;&gt;0,F152*G$2/(100+G$2)," "))</f>
        <v> </v>
      </c>
      <c r="H152" s="99" t="str">
        <f aca="false">IF((F152&lt;&gt;0),F152-G152," ")</f>
        <v> </v>
      </c>
    </row>
    <row r="153" customFormat="false" ht="12.75" hidden="false" customHeight="false" outlineLevel="0" collapsed="false">
      <c r="G153" s="99" t="str">
        <f aca="false">IF(G$4&gt;0,(IF(F153&lt;&gt;0,F153*G$4/100," ")),IF(F153&lt;&gt;0,F153*G$2/(100+G$2)," "))</f>
        <v> </v>
      </c>
      <c r="H153" s="99" t="str">
        <f aca="false">IF((F153&lt;&gt;0),F153-G153," ")</f>
        <v> </v>
      </c>
    </row>
    <row r="154" customFormat="false" ht="12.75" hidden="false" customHeight="false" outlineLevel="0" collapsed="false">
      <c r="G154" s="99" t="str">
        <f aca="false">IF(G$4&gt;0,(IF(F154&lt;&gt;0,F154*G$4/100," ")),IF(F154&lt;&gt;0,F154*G$2/(100+G$2)," "))</f>
        <v> </v>
      </c>
      <c r="H154" s="99" t="str">
        <f aca="false">IF((F154&lt;&gt;0),F154-G154," ")</f>
        <v> </v>
      </c>
    </row>
    <row r="155" customFormat="false" ht="12.75" hidden="false" customHeight="false" outlineLevel="0" collapsed="false">
      <c r="G155" s="99" t="str">
        <f aca="false">IF(G$4&gt;0,(IF(F155&lt;&gt;0,F155*G$4/100," ")),IF(F155&lt;&gt;0,F155*G$2/(100+G$2)," "))</f>
        <v> </v>
      </c>
      <c r="H155" s="99" t="str">
        <f aca="false">IF((F155&lt;&gt;0),F155-G155," ")</f>
        <v> </v>
      </c>
    </row>
    <row r="156" customFormat="false" ht="12.75" hidden="false" customHeight="false" outlineLevel="0" collapsed="false">
      <c r="G156" s="99" t="str">
        <f aca="false">IF(G$4&gt;0,(IF(F156&lt;&gt;0,F156*G$4/100," ")),IF(F156&lt;&gt;0,F156*G$2/(100+G$2)," "))</f>
        <v> </v>
      </c>
      <c r="H156" s="99" t="str">
        <f aca="false">IF((F156&lt;&gt;0),F156-G156," ")</f>
        <v> </v>
      </c>
    </row>
    <row r="157" customFormat="false" ht="12.75" hidden="false" customHeight="false" outlineLevel="0" collapsed="false">
      <c r="G157" s="99" t="str">
        <f aca="false">IF(G$4&gt;0,(IF(F157&lt;&gt;0,F157*G$4/100," ")),IF(F157&lt;&gt;0,F157*G$2/(100+G$2)," "))</f>
        <v> </v>
      </c>
      <c r="H157" s="99" t="str">
        <f aca="false">IF((F157&lt;&gt;0),F157-G157," ")</f>
        <v> </v>
      </c>
    </row>
    <row r="158" customFormat="false" ht="12.75" hidden="false" customHeight="false" outlineLevel="0" collapsed="false">
      <c r="G158" s="99" t="str">
        <f aca="false">IF(G$4&gt;0,(IF(F158&lt;&gt;0,F158*G$4/100," ")),IF(F158&lt;&gt;0,F158*G$2/(100+G$2)," "))</f>
        <v> </v>
      </c>
      <c r="H158" s="99" t="str">
        <f aca="false">IF((F158&lt;&gt;0),F158-G158," ")</f>
        <v> </v>
      </c>
    </row>
    <row r="159" customFormat="false" ht="12.75" hidden="false" customHeight="false" outlineLevel="0" collapsed="false">
      <c r="G159" s="99" t="str">
        <f aca="false">IF(G$4&gt;0,(IF(F159&lt;&gt;0,F159*G$4/100," ")),IF(F159&lt;&gt;0,F159*G$2/(100+G$2)," "))</f>
        <v> </v>
      </c>
      <c r="H159" s="99" t="str">
        <f aca="false">IF((F159&lt;&gt;0),F159-G159," ")</f>
        <v> </v>
      </c>
    </row>
    <row r="160" customFormat="false" ht="12.75" hidden="false" customHeight="false" outlineLevel="0" collapsed="false">
      <c r="G160" s="99" t="str">
        <f aca="false">IF(G$4&gt;0,(IF(F160&lt;&gt;0,F160*G$4/100," ")),IF(F160&lt;&gt;0,F160*G$2/(100+G$2)," "))</f>
        <v> </v>
      </c>
      <c r="H160" s="99" t="str">
        <f aca="false">IF((F160&lt;&gt;0),F160-G160," ")</f>
        <v> </v>
      </c>
    </row>
    <row r="161" customFormat="false" ht="12.75" hidden="false" customHeight="false" outlineLevel="0" collapsed="false">
      <c r="G161" s="99" t="str">
        <f aca="false">IF(G$4&gt;0,(IF(F161&lt;&gt;0,F161*G$4/100," ")),IF(F161&lt;&gt;0,F161*G$2/(100+G$2)," "))</f>
        <v> </v>
      </c>
      <c r="H161" s="99" t="str">
        <f aca="false">IF((F161&lt;&gt;0),F161-G161," ")</f>
        <v> </v>
      </c>
    </row>
    <row r="162" customFormat="false" ht="12.75" hidden="false" customHeight="false" outlineLevel="0" collapsed="false">
      <c r="G162" s="99" t="str">
        <f aca="false">IF(G$4&gt;0,(IF(F162&lt;&gt;0,F162*G$4/100," ")),IF(F162&lt;&gt;0,F162*G$2/(100+G$2)," "))</f>
        <v> </v>
      </c>
      <c r="H162" s="99" t="str">
        <f aca="false">IF((F162&lt;&gt;0),F162-G162," ")</f>
        <v> </v>
      </c>
    </row>
    <row r="163" customFormat="false" ht="12.75" hidden="false" customHeight="false" outlineLevel="0" collapsed="false">
      <c r="G163" s="99" t="str">
        <f aca="false">IF(G$4&gt;0,(IF(F163&lt;&gt;0,F163*G$4/100," ")),IF(F163&lt;&gt;0,F163*G$2/(100+G$2)," "))</f>
        <v> </v>
      </c>
      <c r="H163" s="99" t="str">
        <f aca="false">IF((F163&lt;&gt;0),F163-G163," ")</f>
        <v> </v>
      </c>
    </row>
    <row r="164" customFormat="false" ht="12.75" hidden="false" customHeight="false" outlineLevel="0" collapsed="false">
      <c r="G164" s="99" t="str">
        <f aca="false">IF(G$4&gt;0,(IF(F164&lt;&gt;0,F164*G$4/100," ")),IF(F164&lt;&gt;0,F164*G$2/(100+G$2)," "))</f>
        <v> </v>
      </c>
      <c r="H164" s="99" t="str">
        <f aca="false">IF((F164&lt;&gt;0),F164-G164," ")</f>
        <v> </v>
      </c>
    </row>
    <row r="165" customFormat="false" ht="12.75" hidden="false" customHeight="false" outlineLevel="0" collapsed="false">
      <c r="G165" s="99" t="str">
        <f aca="false">IF(G$4&gt;0,(IF(F165&lt;&gt;0,F165*G$4/100," ")),IF(F165&lt;&gt;0,F165*G$2/(100+G$2)," "))</f>
        <v> </v>
      </c>
      <c r="H165" s="99" t="str">
        <f aca="false">IF((F165&lt;&gt;0),F165-G165," ")</f>
        <v> </v>
      </c>
    </row>
    <row r="166" customFormat="false" ht="12.75" hidden="false" customHeight="false" outlineLevel="0" collapsed="false">
      <c r="G166" s="99" t="str">
        <f aca="false">IF(G$4&gt;0,(IF(F166&lt;&gt;0,F166*G$4/100," ")),IF(F166&lt;&gt;0,F166*G$2/(100+G$2)," "))</f>
        <v> </v>
      </c>
      <c r="H166" s="99" t="str">
        <f aca="false">IF((F166&lt;&gt;0),F166-G166," ")</f>
        <v> </v>
      </c>
    </row>
    <row r="167" customFormat="false" ht="12.75" hidden="false" customHeight="false" outlineLevel="0" collapsed="false">
      <c r="G167" s="99" t="str">
        <f aca="false">IF(G$4&gt;0,(IF(F167&lt;&gt;0,F167*G$4/100," ")),IF(F167&lt;&gt;0,F167*G$2/(100+G$2)," "))</f>
        <v> </v>
      </c>
      <c r="H167" s="99" t="str">
        <f aca="false">IF((F167&lt;&gt;0),F167-G167," ")</f>
        <v> </v>
      </c>
    </row>
    <row r="168" customFormat="false" ht="12.75" hidden="false" customHeight="false" outlineLevel="0" collapsed="false">
      <c r="G168" s="99" t="str">
        <f aca="false">IF(G$4&gt;0,(IF(F168&lt;&gt;0,F168*G$4/100," ")),IF(F168&lt;&gt;0,F168*G$2/(100+G$2)," "))</f>
        <v> </v>
      </c>
      <c r="H168" s="99" t="str">
        <f aca="false">IF((F168&lt;&gt;0),F168-G168," ")</f>
        <v> </v>
      </c>
    </row>
    <row r="169" customFormat="false" ht="12.75" hidden="false" customHeight="false" outlineLevel="0" collapsed="false">
      <c r="G169" s="99" t="str">
        <f aca="false">IF(G$4&gt;0,(IF(F169&lt;&gt;0,F169*G$4/100," ")),IF(F169&lt;&gt;0,F169*G$2/(100+G$2)," "))</f>
        <v> </v>
      </c>
      <c r="H169" s="99" t="str">
        <f aca="false">IF((F169&lt;&gt;0),F169-G169," ")</f>
        <v> </v>
      </c>
    </row>
    <row r="170" customFormat="false" ht="12.75" hidden="false" customHeight="false" outlineLevel="0" collapsed="false">
      <c r="G170" s="99" t="str">
        <f aca="false">IF(G$4&gt;0,(IF(F170&lt;&gt;0,F170*G$4/100," ")),IF(F170&lt;&gt;0,F170*G$2/(100+G$2)," "))</f>
        <v> </v>
      </c>
      <c r="H170" s="99" t="str">
        <f aca="false">IF((F170&lt;&gt;0),F170-G170," ")</f>
        <v> </v>
      </c>
    </row>
    <row r="171" customFormat="false" ht="12.75" hidden="false" customHeight="false" outlineLevel="0" collapsed="false">
      <c r="G171" s="99" t="str">
        <f aca="false">IF(G$4&gt;0,(IF(F171&lt;&gt;0,F171*G$4/100," ")),IF(F171&lt;&gt;0,F171*G$2/(100+G$2)," "))</f>
        <v> </v>
      </c>
      <c r="H171" s="99" t="str">
        <f aca="false">IF((F171&lt;&gt;0),F171-G171," ")</f>
        <v> </v>
      </c>
    </row>
    <row r="172" customFormat="false" ht="12.75" hidden="false" customHeight="false" outlineLevel="0" collapsed="false">
      <c r="G172" s="99" t="str">
        <f aca="false">IF(G$4&gt;0,(IF(F172&lt;&gt;0,F172*G$4/100," ")),IF(F172&lt;&gt;0,F172*G$2/(100+G$2)," "))</f>
        <v> </v>
      </c>
      <c r="H172" s="99" t="str">
        <f aca="false">IF((F172&lt;&gt;0),F172-G172," ")</f>
        <v> </v>
      </c>
    </row>
    <row r="173" customFormat="false" ht="12.75" hidden="false" customHeight="false" outlineLevel="0" collapsed="false">
      <c r="G173" s="99" t="str">
        <f aca="false">IF(G$4&gt;0,(IF(F173&lt;&gt;0,F173*G$4/100," ")),IF(F173&lt;&gt;0,F173*G$2/(100+G$2)," "))</f>
        <v> </v>
      </c>
      <c r="H173" s="99" t="str">
        <f aca="false">IF((F173&lt;&gt;0),F173-G173," ")</f>
        <v> </v>
      </c>
    </row>
    <row r="174" customFormat="false" ht="12.75" hidden="false" customHeight="false" outlineLevel="0" collapsed="false">
      <c r="G174" s="99" t="str">
        <f aca="false">IF(G$4&gt;0,(IF(F174&lt;&gt;0,F174*G$4/100," ")),IF(F174&lt;&gt;0,F174*G$2/(100+G$2)," "))</f>
        <v> </v>
      </c>
      <c r="H174" s="99" t="str">
        <f aca="false">IF((F174&lt;&gt;0),F174-G174," ")</f>
        <v> </v>
      </c>
    </row>
    <row r="175" customFormat="false" ht="12.75" hidden="false" customHeight="false" outlineLevel="0" collapsed="false">
      <c r="G175" s="99" t="str">
        <f aca="false">IF(G$4&gt;0,(IF(F175&lt;&gt;0,F175*G$4/100," ")),IF(F175&lt;&gt;0,F175*G$2/(100+G$2)," "))</f>
        <v> </v>
      </c>
      <c r="H175" s="99" t="str">
        <f aca="false">IF((F175&lt;&gt;0),F175-G175," ")</f>
        <v> </v>
      </c>
    </row>
    <row r="176" customFormat="false" ht="12.75" hidden="false" customHeight="false" outlineLevel="0" collapsed="false">
      <c r="G176" s="99" t="str">
        <f aca="false">IF(G$4&gt;0,(IF(F176&lt;&gt;0,F176*G$4/100," ")),IF(F176&lt;&gt;0,F176*G$2/(100+G$2)," "))</f>
        <v> </v>
      </c>
      <c r="H176" s="99" t="str">
        <f aca="false">IF((F176&lt;&gt;0),F176-G176," ")</f>
        <v> </v>
      </c>
    </row>
    <row r="177" customFormat="false" ht="12.75" hidden="false" customHeight="false" outlineLevel="0" collapsed="false">
      <c r="G177" s="99" t="str">
        <f aca="false">IF(G$4&gt;0,(IF(F177&lt;&gt;0,F177*G$4/100," ")),IF(F177&lt;&gt;0,F177*G$2/(100+G$2)," "))</f>
        <v> </v>
      </c>
      <c r="H177" s="99" t="str">
        <f aca="false">IF((F177&lt;&gt;0),F177-G177," ")</f>
        <v> </v>
      </c>
    </row>
    <row r="178" customFormat="false" ht="12.75" hidden="false" customHeight="false" outlineLevel="0" collapsed="false">
      <c r="G178" s="99" t="str">
        <f aca="false">IF(G$4&gt;0,(IF(F178&lt;&gt;0,F178*G$4/100," ")),IF(F178&lt;&gt;0,F178*G$2/(100+G$2)," "))</f>
        <v> </v>
      </c>
      <c r="H178" s="99" t="str">
        <f aca="false">IF((F178&lt;&gt;0),F178-G178," ")</f>
        <v> </v>
      </c>
    </row>
    <row r="179" customFormat="false" ht="12.75" hidden="false" customHeight="false" outlineLevel="0" collapsed="false">
      <c r="G179" s="99" t="str">
        <f aca="false">IF(G$4&gt;0,(IF(F179&lt;&gt;0,F179*G$4/100," ")),IF(F179&lt;&gt;0,F179*G$2/(100+G$2)," "))</f>
        <v> </v>
      </c>
      <c r="H179" s="99" t="str">
        <f aca="false">IF((F179&lt;&gt;0),F179-G179," ")</f>
        <v> </v>
      </c>
    </row>
    <row r="180" customFormat="false" ht="12.75" hidden="false" customHeight="false" outlineLevel="0" collapsed="false">
      <c r="G180" s="99" t="str">
        <f aca="false">IF(G$4&gt;0,(IF(F180&lt;&gt;0,F180*G$4/100," ")),IF(F180&lt;&gt;0,F180*G$2/(100+G$2)," "))</f>
        <v> </v>
      </c>
      <c r="H180" s="99" t="str">
        <f aca="false">IF((F180&lt;&gt;0),F180-G180," ")</f>
        <v> </v>
      </c>
    </row>
    <row r="181" customFormat="false" ht="12.75" hidden="false" customHeight="false" outlineLevel="0" collapsed="false">
      <c r="G181" s="99" t="str">
        <f aca="false">IF(G$4&gt;0,(IF(F181&lt;&gt;0,F181*G$4/100," ")),IF(F181&lt;&gt;0,F181*G$2/(100+G$2)," "))</f>
        <v> </v>
      </c>
      <c r="H181" s="99" t="str">
        <f aca="false">IF((F181&lt;&gt;0),F181-G181," ")</f>
        <v> </v>
      </c>
    </row>
    <row r="182" customFormat="false" ht="12.75" hidden="false" customHeight="false" outlineLevel="0" collapsed="false">
      <c r="G182" s="99" t="str">
        <f aca="false">IF(G$4&gt;0,(IF(F182&lt;&gt;0,F182*G$4/100," ")),IF(F182&lt;&gt;0,F182*G$2/(100+G$2)," "))</f>
        <v> </v>
      </c>
      <c r="H182" s="99" t="str">
        <f aca="false">IF((F182&lt;&gt;0),F182-G182," ")</f>
        <v> </v>
      </c>
    </row>
    <row r="183" customFormat="false" ht="12.75" hidden="false" customHeight="false" outlineLevel="0" collapsed="false">
      <c r="G183" s="99" t="str">
        <f aca="false">IF(G$4&gt;0,(IF(F183&lt;&gt;0,F183*G$4/100," ")),IF(F183&lt;&gt;0,F183*G$2/(100+G$2)," "))</f>
        <v> </v>
      </c>
      <c r="H183" s="99" t="str">
        <f aca="false">IF((F183&lt;&gt;0),F183-G183," ")</f>
        <v> </v>
      </c>
    </row>
    <row r="184" customFormat="false" ht="12.75" hidden="false" customHeight="false" outlineLevel="0" collapsed="false">
      <c r="G184" s="99" t="str">
        <f aca="false">IF(G$4&gt;0,(IF(F184&lt;&gt;0,F184*G$4/100," ")),IF(F184&lt;&gt;0,F184*G$2/(100+G$2)," "))</f>
        <v> </v>
      </c>
      <c r="H184" s="99" t="str">
        <f aca="false">IF((F184&lt;&gt;0),F184-G184," ")</f>
        <v> </v>
      </c>
    </row>
    <row r="185" customFormat="false" ht="12.75" hidden="false" customHeight="false" outlineLevel="0" collapsed="false">
      <c r="G185" s="99" t="str">
        <f aca="false">IF(G$4&gt;0,(IF(F185&lt;&gt;0,F185*G$4/100," ")),IF(F185&lt;&gt;0,F185*G$2/(100+G$2)," "))</f>
        <v> </v>
      </c>
      <c r="H185" s="99" t="str">
        <f aca="false">IF((F185&lt;&gt;0),F185-G185," ")</f>
        <v> </v>
      </c>
    </row>
    <row r="186" customFormat="false" ht="12.75" hidden="false" customHeight="false" outlineLevel="0" collapsed="false">
      <c r="G186" s="99" t="str">
        <f aca="false">IF(G$4&gt;0,(IF(F186&lt;&gt;0,F186*G$4/100," ")),IF(F186&lt;&gt;0,F186*G$2/(100+G$2)," "))</f>
        <v> </v>
      </c>
      <c r="H186" s="99" t="str">
        <f aca="false">IF((F186&lt;&gt;0),F186-G186," ")</f>
        <v> </v>
      </c>
    </row>
    <row r="187" customFormat="false" ht="12.75" hidden="false" customHeight="false" outlineLevel="0" collapsed="false">
      <c r="G187" s="99" t="str">
        <f aca="false">IF(G$4&gt;0,(IF(F187&lt;&gt;0,F187*G$4/100," ")),IF(F187&lt;&gt;0,F187*G$2/(100+G$2)," "))</f>
        <v> </v>
      </c>
      <c r="H187" s="99" t="str">
        <f aca="false">IF((F187&lt;&gt;0),F187-G187," ")</f>
        <v> </v>
      </c>
    </row>
    <row r="188" customFormat="false" ht="12.75" hidden="false" customHeight="false" outlineLevel="0" collapsed="false">
      <c r="G188" s="99" t="str">
        <f aca="false">IF(G$4&gt;0,(IF(F188&lt;&gt;0,F188*G$4/100," ")),IF(F188&lt;&gt;0,F188*G$2/(100+G$2)," "))</f>
        <v> </v>
      </c>
      <c r="H188" s="99" t="str">
        <f aca="false">IF((F188&lt;&gt;0),F188-G188," ")</f>
        <v> </v>
      </c>
    </row>
    <row r="189" customFormat="false" ht="12.75" hidden="false" customHeight="false" outlineLevel="0" collapsed="false">
      <c r="G189" s="99" t="str">
        <f aca="false">IF(G$4&gt;0,(IF(F189&lt;&gt;0,F189*G$4/100," ")),IF(F189&lt;&gt;0,F189*G$2/(100+G$2)," "))</f>
        <v> </v>
      </c>
      <c r="H189" s="99" t="str">
        <f aca="false">IF((F189&lt;&gt;0),F189-G189," ")</f>
        <v> </v>
      </c>
    </row>
    <row r="190" customFormat="false" ht="12.75" hidden="false" customHeight="false" outlineLevel="0" collapsed="false">
      <c r="G190" s="99" t="str">
        <f aca="false">IF(G$4&gt;0,(IF(F190&lt;&gt;0,F190*G$4/100," ")),IF(F190&lt;&gt;0,F190*G$2/(100+G$2)," "))</f>
        <v> </v>
      </c>
      <c r="H190" s="99" t="str">
        <f aca="false">IF((F190&lt;&gt;0),F190-G190," ")</f>
        <v> </v>
      </c>
    </row>
    <row r="191" customFormat="false" ht="12.75" hidden="false" customHeight="false" outlineLevel="0" collapsed="false">
      <c r="G191" s="99" t="str">
        <f aca="false">IF(G$4&gt;0,(IF(F191&lt;&gt;0,F191*G$4/100," ")),IF(F191&lt;&gt;0,F191*G$2/(100+G$2)," "))</f>
        <v> </v>
      </c>
      <c r="H191" s="99" t="str">
        <f aca="false">IF((F191&lt;&gt;0),F191-G191," ")</f>
        <v> </v>
      </c>
    </row>
    <row r="192" customFormat="false" ht="12.75" hidden="false" customHeight="false" outlineLevel="0" collapsed="false">
      <c r="G192" s="99" t="str">
        <f aca="false">IF(G$4&gt;0,(IF(F192&lt;&gt;0,F192*G$4/100," ")),IF(F192&lt;&gt;0,F192*G$2/(100+G$2)," "))</f>
        <v> </v>
      </c>
      <c r="H192" s="99" t="str">
        <f aca="false">IF((F192&lt;&gt;0),F192-G192," ")</f>
        <v> </v>
      </c>
    </row>
    <row r="193" customFormat="false" ht="12.75" hidden="false" customHeight="false" outlineLevel="0" collapsed="false">
      <c r="G193" s="99" t="str">
        <f aca="false">IF(G$4&gt;0,(IF(F193&lt;&gt;0,F193*G$4/100," ")),IF(F193&lt;&gt;0,F193*G$2/(100+G$2)," "))</f>
        <v> </v>
      </c>
      <c r="H193" s="99" t="str">
        <f aca="false">IF((F193&lt;&gt;0),F193-G193," ")</f>
        <v> </v>
      </c>
    </row>
    <row r="194" customFormat="false" ht="12.75" hidden="false" customHeight="false" outlineLevel="0" collapsed="false">
      <c r="G194" s="99" t="str">
        <f aca="false">IF(G$4&gt;0,(IF(F194&lt;&gt;0,F194*G$4/100," ")),IF(F194&lt;&gt;0,F194*G$2/(100+G$2)," "))</f>
        <v> </v>
      </c>
      <c r="H194" s="99" t="str">
        <f aca="false">IF((F194&lt;&gt;0),F194-G194," ")</f>
        <v> </v>
      </c>
    </row>
    <row r="195" customFormat="false" ht="12.75" hidden="false" customHeight="false" outlineLevel="0" collapsed="false">
      <c r="G195" s="99" t="str">
        <f aca="false">IF(G$4&gt;0,(IF(F195&lt;&gt;0,F195*G$4/100," ")),IF(F195&lt;&gt;0,F195*G$2/(100+G$2)," "))</f>
        <v> </v>
      </c>
      <c r="H195" s="99" t="str">
        <f aca="false">IF((F195&lt;&gt;0),F195-G195," ")</f>
        <v> </v>
      </c>
    </row>
    <row r="196" customFormat="false" ht="12.75" hidden="false" customHeight="false" outlineLevel="0" collapsed="false">
      <c r="G196" s="99" t="str">
        <f aca="false">IF(G$4&gt;0,(IF(F196&lt;&gt;0,F196*G$4/100," ")),IF(F196&lt;&gt;0,F196*G$2/(100+G$2)," "))</f>
        <v> </v>
      </c>
      <c r="H196" s="99" t="str">
        <f aca="false">IF((F196&lt;&gt;0),F196-G196," ")</f>
        <v> </v>
      </c>
    </row>
    <row r="197" customFormat="false" ht="12.75" hidden="false" customHeight="false" outlineLevel="0" collapsed="false">
      <c r="G197" s="99" t="str">
        <f aca="false">IF(G$4&gt;0,(IF(F197&lt;&gt;0,F197*G$4/100," ")),IF(F197&lt;&gt;0,F197*G$2/(100+G$2)," "))</f>
        <v> </v>
      </c>
      <c r="H197" s="99" t="str">
        <f aca="false">IF((F197&lt;&gt;0),F197-G197," ")</f>
        <v> </v>
      </c>
    </row>
    <row r="198" customFormat="false" ht="12.75" hidden="false" customHeight="false" outlineLevel="0" collapsed="false">
      <c r="G198" s="99" t="str">
        <f aca="false">IF(G$4&gt;0,(IF(F198&lt;&gt;0,F198*G$4/100," ")),IF(F198&lt;&gt;0,F198*G$2/(100+G$2)," "))</f>
        <v> </v>
      </c>
      <c r="H198" s="99" t="str">
        <f aca="false">IF((F198&lt;&gt;0),F198-G198," ")</f>
        <v> </v>
      </c>
    </row>
    <row r="199" customFormat="false" ht="12.75" hidden="false" customHeight="false" outlineLevel="0" collapsed="false">
      <c r="G199" s="99" t="str">
        <f aca="false">IF(G$4&gt;0,(IF(F199&lt;&gt;0,F199*G$4/100," ")),IF(F199&lt;&gt;0,F199*G$2/(100+G$2)," "))</f>
        <v> </v>
      </c>
      <c r="H199" s="99" t="str">
        <f aca="false">IF((F199&lt;&gt;0),F199-G199," ")</f>
        <v> </v>
      </c>
    </row>
    <row r="200" customFormat="false" ht="12.75" hidden="false" customHeight="false" outlineLevel="0" collapsed="false">
      <c r="A200" s="114"/>
      <c r="B200" s="115"/>
      <c r="C200" s="116"/>
      <c r="D200" s="116"/>
      <c r="E200" s="117"/>
      <c r="F200" s="115"/>
      <c r="G200" s="115" t="str">
        <f aca="false">IF(G$4&gt;0,(IF(F200&lt;&gt;0,F200*G$4/100," ")),IF(F200&lt;&gt;0,F200*G$2/(100+G$2)," "))</f>
        <v> </v>
      </c>
      <c r="H200" s="115" t="str">
        <f aca="false">IF((F200&lt;&gt;0),F200-G200," ")</f>
        <v> </v>
      </c>
    </row>
    <row r="201" customFormat="false" ht="12.75" hidden="false" customHeight="false" outlineLevel="0" collapsed="false">
      <c r="A201" s="98" t="s">
        <v>38</v>
      </c>
    </row>
  </sheetData>
  <mergeCells count="9">
    <mergeCell ref="A1:C1"/>
    <mergeCell ref="D1:E1"/>
    <mergeCell ref="A2:A4"/>
    <mergeCell ref="B2:B4"/>
    <mergeCell ref="C2:C4"/>
    <mergeCell ref="D2:D4"/>
    <mergeCell ref="E2:E4"/>
    <mergeCell ref="F2:F4"/>
    <mergeCell ref="H2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8" width="8.82"/>
    <col collapsed="false" customWidth="true" hidden="false" outlineLevel="0" max="2" min="2" style="119" width="19.66"/>
    <col collapsed="false" customWidth="true" hidden="false" outlineLevel="0" max="3" min="3" style="120" width="12.66"/>
    <col collapsed="false" customWidth="true" hidden="false" outlineLevel="0" max="4" min="4" style="121" width="14.66"/>
    <col collapsed="false" customWidth="true" hidden="false" outlineLevel="0" max="5" min="5" style="122" width="5.66"/>
    <col collapsed="false" customWidth="true" hidden="false" outlineLevel="0" max="6" min="6" style="123" width="10.5"/>
    <col collapsed="false" customWidth="true" hidden="false" outlineLevel="0" max="7" min="7" style="123" width="9.66"/>
    <col collapsed="false" customWidth="true" hidden="false" outlineLevel="0" max="8" min="8" style="123" width="10.66"/>
    <col collapsed="false" customWidth="false" hidden="false" outlineLevel="0" max="257" min="9" style="119" width="9.15"/>
  </cols>
  <sheetData>
    <row r="1" s="102" customFormat="true" ht="15" hidden="false" customHeight="true" outlineLevel="0" collapsed="false">
      <c r="A1" s="103" t="s">
        <v>29</v>
      </c>
      <c r="B1" s="103"/>
      <c r="C1" s="103"/>
      <c r="D1" s="105" t="s">
        <v>30</v>
      </c>
      <c r="E1" s="105"/>
      <c r="F1" s="105" t="n">
        <f aca="false">SUM(F5:F200)</f>
        <v>0</v>
      </c>
      <c r="G1" s="105" t="n">
        <f aca="false">SUM(G5:G200)</f>
        <v>0</v>
      </c>
      <c r="H1" s="105" t="n">
        <f aca="false">SUM(H5:H200)</f>
        <v>0</v>
      </c>
    </row>
    <row r="2" s="127" customFormat="true" ht="12" hidden="false" customHeight="true" outlineLevel="0" collapsed="false">
      <c r="A2" s="107" t="s">
        <v>39</v>
      </c>
      <c r="B2" s="108" t="str">
        <f aca="false">IF((H1-SUM(O1:AK1)&lt;&gt;0),"COMPLETE EXPENSE ANALYSIS by inserting expense letter in col F","Supplier")</f>
        <v>Supplier</v>
      </c>
      <c r="C2" s="110" t="s">
        <v>40</v>
      </c>
      <c r="D2" s="124" t="s">
        <v>41</v>
      </c>
      <c r="E2" s="125"/>
      <c r="F2" s="108" t="s">
        <v>42</v>
      </c>
      <c r="G2" s="126" t="n">
        <f aca="false">[3]OpeningCreditors!$G$2</f>
        <v>20</v>
      </c>
      <c r="H2" s="108" t="s">
        <v>43</v>
      </c>
    </row>
    <row r="3" s="128" customFormat="true" ht="12" hidden="false" customHeight="true" outlineLevel="0" collapsed="false">
      <c r="A3" s="107"/>
      <c r="B3" s="107"/>
      <c r="C3" s="107"/>
      <c r="D3" s="124"/>
      <c r="E3" s="125"/>
      <c r="F3" s="108"/>
      <c r="G3" s="108" t="s">
        <v>44</v>
      </c>
      <c r="H3" s="108"/>
    </row>
    <row r="4" customFormat="false" ht="12.75" hidden="false" customHeight="false" outlineLevel="0" collapsed="false">
      <c r="A4" s="107"/>
      <c r="B4" s="107"/>
      <c r="C4" s="107"/>
      <c r="D4" s="124"/>
      <c r="E4" s="125"/>
      <c r="F4" s="108"/>
      <c r="G4" s="108"/>
      <c r="H4" s="108"/>
    </row>
    <row r="5" customFormat="false" ht="12.75" hidden="false" customHeight="false" outlineLevel="0" collapsed="false">
      <c r="B5" s="122"/>
      <c r="C5" s="129"/>
      <c r="D5" s="122"/>
      <c r="E5" s="119"/>
      <c r="F5" s="130"/>
      <c r="G5" s="123" t="str">
        <f aca="false">IF(F5&lt;&gt;0,F5*G$2/(100+G$2)," ")</f>
        <v> </v>
      </c>
      <c r="H5" s="123" t="str">
        <f aca="false">IF((F5&lt;&gt;0),F5-G5," ")</f>
        <v> </v>
      </c>
    </row>
    <row r="6" customFormat="false" ht="12.75" hidden="false" customHeight="false" outlineLevel="0" collapsed="false">
      <c r="E6" s="119"/>
      <c r="G6" s="123" t="str">
        <f aca="false">IF(F6&lt;&gt;0,F6*G$2/(100+G$2)," ")</f>
        <v> </v>
      </c>
      <c r="H6" s="123" t="str">
        <f aca="false">IF((F6&lt;&gt;0),F6-G6," ")</f>
        <v> </v>
      </c>
    </row>
    <row r="7" customFormat="false" ht="12.75" hidden="false" customHeight="false" outlineLevel="0" collapsed="false">
      <c r="E7" s="119"/>
      <c r="G7" s="123" t="str">
        <f aca="false">IF(F7&lt;&gt;0,F7*G$2/(100+G$2)," ")</f>
        <v> </v>
      </c>
      <c r="H7" s="123" t="str">
        <f aca="false">IF((F7&lt;&gt;0),F7-G7," ")</f>
        <v> </v>
      </c>
    </row>
    <row r="8" customFormat="false" ht="12.75" hidden="false" customHeight="false" outlineLevel="0" collapsed="false">
      <c r="E8" s="119"/>
      <c r="G8" s="123" t="str">
        <f aca="false">IF(F8&lt;&gt;0,F8*G$2/(100+G$2)," ")</f>
        <v> </v>
      </c>
      <c r="H8" s="123" t="str">
        <f aca="false">IF((F8&lt;&gt;0),F8-G8," ")</f>
        <v> </v>
      </c>
    </row>
    <row r="9" customFormat="false" ht="12.75" hidden="false" customHeight="false" outlineLevel="0" collapsed="false">
      <c r="E9" s="119"/>
      <c r="G9" s="123" t="str">
        <f aca="false">IF(F9&lt;&gt;0,F9*G$2/(100+G$2)," ")</f>
        <v> </v>
      </c>
      <c r="H9" s="123" t="str">
        <f aca="false">IF((F9&lt;&gt;0),F9-G9," ")</f>
        <v> </v>
      </c>
    </row>
    <row r="10" customFormat="false" ht="12.75" hidden="false" customHeight="false" outlineLevel="0" collapsed="false">
      <c r="E10" s="119"/>
      <c r="G10" s="123" t="str">
        <f aca="false">IF(F10&lt;&gt;0,F10*G$2/(100+G$2)," ")</f>
        <v> </v>
      </c>
      <c r="H10" s="123" t="str">
        <f aca="false">IF((F10&lt;&gt;0),F10-G10," ")</f>
        <v> </v>
      </c>
    </row>
    <row r="11" customFormat="false" ht="12.75" hidden="false" customHeight="false" outlineLevel="0" collapsed="false">
      <c r="E11" s="119"/>
      <c r="G11" s="123" t="str">
        <f aca="false">IF(F11&lt;&gt;0,F11*G$2/(100+G$2)," ")</f>
        <v> </v>
      </c>
      <c r="H11" s="123" t="str">
        <f aca="false">IF((F11&lt;&gt;0),F11-G11," ")</f>
        <v> </v>
      </c>
    </row>
    <row r="12" customFormat="false" ht="12.75" hidden="false" customHeight="false" outlineLevel="0" collapsed="false">
      <c r="E12" s="119"/>
      <c r="G12" s="123" t="str">
        <f aca="false">IF(F12&lt;&gt;0,F12*G$2/(100+G$2)," ")</f>
        <v> </v>
      </c>
      <c r="H12" s="123" t="str">
        <f aca="false">IF((F12&lt;&gt;0),F12-G12," ")</f>
        <v> </v>
      </c>
    </row>
    <row r="13" customFormat="false" ht="12.75" hidden="false" customHeight="false" outlineLevel="0" collapsed="false">
      <c r="E13" s="119"/>
      <c r="G13" s="123" t="str">
        <f aca="false">IF(F13&lt;&gt;0,F13*G$2/(100+G$2)," ")</f>
        <v> </v>
      </c>
      <c r="H13" s="123" t="str">
        <f aca="false">IF((F13&lt;&gt;0),F13-G13," ")</f>
        <v> </v>
      </c>
    </row>
    <row r="14" customFormat="false" ht="12.75" hidden="false" customHeight="false" outlineLevel="0" collapsed="false">
      <c r="E14" s="119"/>
      <c r="G14" s="123" t="str">
        <f aca="false">IF(F14&lt;&gt;0,F14*G$2/(100+G$2)," ")</f>
        <v> </v>
      </c>
      <c r="H14" s="123" t="str">
        <f aca="false">IF((F14&lt;&gt;0),F14-G14," ")</f>
        <v> </v>
      </c>
    </row>
    <row r="15" customFormat="false" ht="12.75" hidden="false" customHeight="false" outlineLevel="0" collapsed="false">
      <c r="E15" s="119"/>
      <c r="G15" s="123" t="str">
        <f aca="false">IF(G$4="X"," ",IF(F15&lt;&gt;0,F15*G$2/(100+G$2)," "))</f>
        <v> </v>
      </c>
      <c r="H15" s="123" t="str">
        <f aca="false">IF((F15&lt;&gt;0),F15-G15," ")</f>
        <v> </v>
      </c>
    </row>
    <row r="16" customFormat="false" ht="12.75" hidden="false" customHeight="false" outlineLevel="0" collapsed="false">
      <c r="E16" s="119"/>
      <c r="G16" s="123" t="str">
        <f aca="false">IF(G$4="X"," ",IF(F16&lt;&gt;0,F16*G$2/(100+G$2)," "))</f>
        <v> </v>
      </c>
      <c r="H16" s="123" t="str">
        <f aca="false">IF((F16&lt;&gt;0),F16-G16," ")</f>
        <v> </v>
      </c>
    </row>
    <row r="17" customFormat="false" ht="12.75" hidden="false" customHeight="false" outlineLevel="0" collapsed="false">
      <c r="E17" s="119"/>
      <c r="G17" s="123" t="str">
        <f aca="false">IF(G$4="X"," ",IF(F17&lt;&gt;0,F17*G$2/(100+G$2)," "))</f>
        <v> </v>
      </c>
      <c r="H17" s="123" t="str">
        <f aca="false">IF((F17&lt;&gt;0),F17-G17," ")</f>
        <v> </v>
      </c>
    </row>
    <row r="18" customFormat="false" ht="12.75" hidden="false" customHeight="false" outlineLevel="0" collapsed="false">
      <c r="E18" s="119"/>
      <c r="G18" s="123" t="str">
        <f aca="false">IF(G$4="X"," ",IF(F18&lt;&gt;0,F18*G$2/(100+G$2)," "))</f>
        <v> </v>
      </c>
      <c r="H18" s="123" t="str">
        <f aca="false">IF((F18&lt;&gt;0),F18-G18," ")</f>
        <v> </v>
      </c>
    </row>
    <row r="19" customFormat="false" ht="12.75" hidden="false" customHeight="false" outlineLevel="0" collapsed="false">
      <c r="E19" s="119"/>
      <c r="G19" s="123" t="str">
        <f aca="false">IF(G$4="X"," ",IF(F19&lt;&gt;0,F19*G$2/(100+G$2)," "))</f>
        <v> </v>
      </c>
      <c r="H19" s="123" t="str">
        <f aca="false">IF((F19&lt;&gt;0),F19-G19," ")</f>
        <v> </v>
      </c>
    </row>
    <row r="20" customFormat="false" ht="12.75" hidden="false" customHeight="false" outlineLevel="0" collapsed="false">
      <c r="E20" s="119"/>
      <c r="G20" s="123" t="str">
        <f aca="false">IF(G$4="X"," ",IF(F20&lt;&gt;0,F20*G$2/(100+G$2)," "))</f>
        <v> </v>
      </c>
      <c r="H20" s="123" t="str">
        <f aca="false">IF((F20&lt;&gt;0),F20-G20," ")</f>
        <v> </v>
      </c>
    </row>
    <row r="21" customFormat="false" ht="12.75" hidden="false" customHeight="false" outlineLevel="0" collapsed="false">
      <c r="E21" s="119"/>
      <c r="G21" s="123" t="str">
        <f aca="false">IF(G$4="X"," ",IF(F21&lt;&gt;0,F21*G$2/(100+G$2)," "))</f>
        <v> </v>
      </c>
      <c r="H21" s="123" t="str">
        <f aca="false">IF((F21&lt;&gt;0),F21-G21," ")</f>
        <v> </v>
      </c>
    </row>
    <row r="22" customFormat="false" ht="12.75" hidden="false" customHeight="false" outlineLevel="0" collapsed="false">
      <c r="D22" s="119"/>
      <c r="E22" s="119"/>
      <c r="G22" s="123" t="str">
        <f aca="false">IF(G$4="X"," ",IF(F22&lt;&gt;0,F22*G$2/(100+G$2)," "))</f>
        <v> </v>
      </c>
      <c r="H22" s="123" t="str">
        <f aca="false">IF((F22&lt;&gt;0),F22-G22," ")</f>
        <v> </v>
      </c>
    </row>
    <row r="23" customFormat="false" ht="12.75" hidden="false" customHeight="false" outlineLevel="0" collapsed="false">
      <c r="D23" s="131"/>
      <c r="E23" s="119"/>
      <c r="G23" s="123" t="str">
        <f aca="false">IF(G$4="X"," ",IF(F23&lt;&gt;0,F23*G$2/(100+G$2)," "))</f>
        <v> </v>
      </c>
      <c r="H23" s="123" t="str">
        <f aca="false">IF((F23&lt;&gt;0),F23-G23," ")</f>
        <v> </v>
      </c>
    </row>
    <row r="24" customFormat="false" ht="12.75" hidden="false" customHeight="false" outlineLevel="0" collapsed="false">
      <c r="E24" s="119"/>
      <c r="G24" s="123" t="str">
        <f aca="false">IF(G$4="X"," ",IF(F24&lt;&gt;0,F24*G$2/(100+G$2)," "))</f>
        <v> </v>
      </c>
      <c r="H24" s="123" t="str">
        <f aca="false">IF((F24&lt;&gt;0),F24-G24," ")</f>
        <v> </v>
      </c>
    </row>
    <row r="25" customFormat="false" ht="12.75" hidden="false" customHeight="false" outlineLevel="0" collapsed="false">
      <c r="E25" s="119"/>
      <c r="G25" s="123" t="str">
        <f aca="false">IF(G$4="X"," ",IF(F25&lt;&gt;0,F25*G$2/(100+G$2)," "))</f>
        <v> </v>
      </c>
      <c r="H25" s="123" t="str">
        <f aca="false">IF((F25&lt;&gt;0),F25-G25," ")</f>
        <v> </v>
      </c>
    </row>
    <row r="26" customFormat="false" ht="12.75" hidden="false" customHeight="false" outlineLevel="0" collapsed="false">
      <c r="E26" s="119"/>
      <c r="G26" s="123" t="str">
        <f aca="false">IF(G$4="X"," ",IF(F26&lt;&gt;0,F26*G$2/(100+G$2)," "))</f>
        <v> </v>
      </c>
      <c r="H26" s="123" t="str">
        <f aca="false">IF((F26&lt;&gt;0),F26-G26," ")</f>
        <v> </v>
      </c>
    </row>
    <row r="27" customFormat="false" ht="12.75" hidden="false" customHeight="false" outlineLevel="0" collapsed="false">
      <c r="E27" s="119"/>
      <c r="G27" s="123" t="str">
        <f aca="false">IF(G$4="X"," ",IF(F27&lt;&gt;0,F27*G$2/(100+G$2)," "))</f>
        <v> </v>
      </c>
      <c r="H27" s="123" t="str">
        <f aca="false">IF((F27&lt;&gt;0),F27-G27," ")</f>
        <v> </v>
      </c>
    </row>
    <row r="28" customFormat="false" ht="12.75" hidden="false" customHeight="false" outlineLevel="0" collapsed="false">
      <c r="E28" s="119"/>
      <c r="G28" s="123" t="str">
        <f aca="false">IF(G$4="X"," ",IF(F28&lt;&gt;0,F28*G$2/(100+G$2)," "))</f>
        <v> </v>
      </c>
      <c r="H28" s="123" t="str">
        <f aca="false">IF((F28&lt;&gt;0),F28-G28," ")</f>
        <v> </v>
      </c>
    </row>
    <row r="29" customFormat="false" ht="12.75" hidden="false" customHeight="false" outlineLevel="0" collapsed="false">
      <c r="E29" s="119"/>
      <c r="G29" s="123" t="str">
        <f aca="false">IF(G$4="X"," ",IF(F29&lt;&gt;0,F29*G$2/(100+G$2)," "))</f>
        <v> </v>
      </c>
      <c r="H29" s="123" t="str">
        <f aca="false">IF((F29&lt;&gt;0),F29-G29," ")</f>
        <v> </v>
      </c>
    </row>
    <row r="30" customFormat="false" ht="12.75" hidden="false" customHeight="false" outlineLevel="0" collapsed="false">
      <c r="E30" s="119"/>
      <c r="G30" s="123" t="str">
        <f aca="false">IF(G$4="X"," ",IF(F30&lt;&gt;0,F30*G$2/(100+G$2)," "))</f>
        <v> </v>
      </c>
      <c r="H30" s="123" t="str">
        <f aca="false">IF((F30&lt;&gt;0),F30-G30," ")</f>
        <v> </v>
      </c>
    </row>
    <row r="31" customFormat="false" ht="12.75" hidden="false" customHeight="false" outlineLevel="0" collapsed="false">
      <c r="E31" s="119"/>
      <c r="G31" s="123" t="str">
        <f aca="false">IF(G$4="X"," ",IF(F31&lt;&gt;0,F31*G$2/(100+G$2)," "))</f>
        <v> </v>
      </c>
      <c r="H31" s="123" t="str">
        <f aca="false">IF((F31&lt;&gt;0),F31-G31," ")</f>
        <v> </v>
      </c>
    </row>
    <row r="32" customFormat="false" ht="12.75" hidden="false" customHeight="false" outlineLevel="0" collapsed="false">
      <c r="E32" s="119"/>
      <c r="G32" s="123" t="str">
        <f aca="false">IF(G$4="X"," ",IF(F32&lt;&gt;0,F32*G$2/(100+G$2)," "))</f>
        <v> </v>
      </c>
      <c r="H32" s="123" t="str">
        <f aca="false">IF((F32&lt;&gt;0),F32-G32," ")</f>
        <v> </v>
      </c>
    </row>
    <row r="33" customFormat="false" ht="12.75" hidden="false" customHeight="false" outlineLevel="0" collapsed="false">
      <c r="E33" s="119"/>
      <c r="G33" s="123" t="str">
        <f aca="false">IF(G$4="X"," ",IF(F33&lt;&gt;0,F33*G$2/(100+G$2)," "))</f>
        <v> </v>
      </c>
      <c r="H33" s="123" t="str">
        <f aca="false">IF((F33&lt;&gt;0),F33-G33," ")</f>
        <v> </v>
      </c>
    </row>
    <row r="34" customFormat="false" ht="12.75" hidden="false" customHeight="false" outlineLevel="0" collapsed="false">
      <c r="E34" s="119"/>
      <c r="G34" s="123" t="str">
        <f aca="false">IF(G$4="X"," ",IF(F34&lt;&gt;0,F34*G$2/(100+G$2)," "))</f>
        <v> </v>
      </c>
      <c r="H34" s="123" t="str">
        <f aca="false">IF((F34&lt;&gt;0),F34-G34," ")</f>
        <v> </v>
      </c>
    </row>
    <row r="35" customFormat="false" ht="12.75" hidden="false" customHeight="false" outlineLevel="0" collapsed="false">
      <c r="E35" s="119"/>
      <c r="G35" s="123" t="str">
        <f aca="false">IF(G$4="X"," ",IF(F35&lt;&gt;0,F35*G$2/(100+G$2)," "))</f>
        <v> </v>
      </c>
      <c r="H35" s="123" t="str">
        <f aca="false">IF((F35&lt;&gt;0),F35-G35," ")</f>
        <v> </v>
      </c>
    </row>
    <row r="36" customFormat="false" ht="12.75" hidden="false" customHeight="false" outlineLevel="0" collapsed="false">
      <c r="E36" s="119"/>
      <c r="G36" s="123" t="str">
        <f aca="false">IF(G$4="X"," ",IF(F36&lt;&gt;0,F36*G$2/(100+G$2)," "))</f>
        <v> </v>
      </c>
      <c r="H36" s="123" t="str">
        <f aca="false">IF((F36&lt;&gt;0),F36-G36," ")</f>
        <v> </v>
      </c>
    </row>
    <row r="37" customFormat="false" ht="12.75" hidden="false" customHeight="false" outlineLevel="0" collapsed="false">
      <c r="E37" s="119"/>
      <c r="G37" s="123" t="str">
        <f aca="false">IF(G$4="X"," ",IF(F37&lt;&gt;0,F37*G$2/(100+G$2)," "))</f>
        <v> </v>
      </c>
      <c r="H37" s="123" t="str">
        <f aca="false">IF((F37&lt;&gt;0),F37-G37," ")</f>
        <v> </v>
      </c>
    </row>
    <row r="38" customFormat="false" ht="12.75" hidden="false" customHeight="false" outlineLevel="0" collapsed="false">
      <c r="E38" s="119"/>
      <c r="G38" s="123" t="str">
        <f aca="false">IF(G$4="X"," ",IF(F38&lt;&gt;0,F38*G$2/(100+G$2)," "))</f>
        <v> </v>
      </c>
      <c r="H38" s="123" t="str">
        <f aca="false">IF((F38&lt;&gt;0),F38-G38," ")</f>
        <v> </v>
      </c>
    </row>
    <row r="39" customFormat="false" ht="12.75" hidden="false" customHeight="false" outlineLevel="0" collapsed="false">
      <c r="E39" s="119"/>
      <c r="G39" s="123" t="str">
        <f aca="false">IF(G$4="X"," ",IF(F39&lt;&gt;0,F39*G$2/(100+G$2)," "))</f>
        <v> </v>
      </c>
      <c r="H39" s="123" t="str">
        <f aca="false">IF((F39&lt;&gt;0),F39-G39," ")</f>
        <v> </v>
      </c>
    </row>
    <row r="40" customFormat="false" ht="12.75" hidden="false" customHeight="false" outlineLevel="0" collapsed="false">
      <c r="E40" s="119"/>
      <c r="G40" s="123" t="str">
        <f aca="false">IF(G$4="X"," ",IF(F40&lt;&gt;0,F40*G$2/(100+G$2)," "))</f>
        <v> </v>
      </c>
      <c r="H40" s="123" t="str">
        <f aca="false">IF((F40&lt;&gt;0),F40-G40," ")</f>
        <v> </v>
      </c>
    </row>
    <row r="41" customFormat="false" ht="12.75" hidden="false" customHeight="false" outlineLevel="0" collapsed="false">
      <c r="E41" s="119"/>
      <c r="G41" s="123" t="str">
        <f aca="false">IF(G$4="X"," ",IF(F41&lt;&gt;0,F41*G$2/(100+G$2)," "))</f>
        <v> </v>
      </c>
      <c r="H41" s="123" t="str">
        <f aca="false">IF((F41&lt;&gt;0),F41-G41," ")</f>
        <v> </v>
      </c>
    </row>
    <row r="42" customFormat="false" ht="12.75" hidden="false" customHeight="false" outlineLevel="0" collapsed="false">
      <c r="E42" s="119"/>
      <c r="G42" s="123" t="str">
        <f aca="false">IF(G$4="X"," ",IF(F42&lt;&gt;0,F42*G$2/(100+G$2)," "))</f>
        <v> </v>
      </c>
      <c r="H42" s="123" t="str">
        <f aca="false">IF((F42&lt;&gt;0),F42-G42," ")</f>
        <v> </v>
      </c>
    </row>
    <row r="43" customFormat="false" ht="12.75" hidden="false" customHeight="false" outlineLevel="0" collapsed="false">
      <c r="E43" s="119"/>
      <c r="G43" s="123" t="str">
        <f aca="false">IF(G$4="X"," ",IF(F43&lt;&gt;0,F43*G$2/(100+G$2)," "))</f>
        <v> </v>
      </c>
      <c r="H43" s="123" t="str">
        <f aca="false">IF((F43&lt;&gt;0),F43-G43," ")</f>
        <v> </v>
      </c>
    </row>
    <row r="44" customFormat="false" ht="12.75" hidden="false" customHeight="false" outlineLevel="0" collapsed="false">
      <c r="E44" s="119"/>
      <c r="G44" s="123" t="str">
        <f aca="false">IF(G$4="X"," ",IF(F44&lt;&gt;0,F44*G$2/(100+G$2)," "))</f>
        <v> </v>
      </c>
      <c r="H44" s="123" t="str">
        <f aca="false">IF((F44&lt;&gt;0),F44-G44," ")</f>
        <v> </v>
      </c>
    </row>
    <row r="45" customFormat="false" ht="12.75" hidden="false" customHeight="false" outlineLevel="0" collapsed="false">
      <c r="E45" s="119"/>
      <c r="G45" s="123" t="str">
        <f aca="false">IF(G$4="X"," ",IF(F45&lt;&gt;0,F45*G$2/(100+G$2)," "))</f>
        <v> </v>
      </c>
      <c r="H45" s="123" t="str">
        <f aca="false">IF((F45&lt;&gt;0),F45-G45," ")</f>
        <v> </v>
      </c>
    </row>
    <row r="46" customFormat="false" ht="12.75" hidden="false" customHeight="false" outlineLevel="0" collapsed="false">
      <c r="E46" s="119"/>
      <c r="G46" s="123" t="str">
        <f aca="false">IF(G$4="X"," ",IF(F46&lt;&gt;0,F46*G$2/(100+G$2)," "))</f>
        <v> </v>
      </c>
      <c r="H46" s="123" t="str">
        <f aca="false">IF((F46&lt;&gt;0),F46-G46," ")</f>
        <v> </v>
      </c>
    </row>
    <row r="47" customFormat="false" ht="12.75" hidden="false" customHeight="false" outlineLevel="0" collapsed="false">
      <c r="E47" s="119"/>
      <c r="G47" s="123" t="str">
        <f aca="false">IF(G$4="X"," ",IF(F47&lt;&gt;0,F47*G$2/(100+G$2)," "))</f>
        <v> </v>
      </c>
      <c r="H47" s="123" t="str">
        <f aca="false">IF((F47&lt;&gt;0),F47-G47," ")</f>
        <v> </v>
      </c>
    </row>
    <row r="48" customFormat="false" ht="12.75" hidden="false" customHeight="false" outlineLevel="0" collapsed="false">
      <c r="E48" s="119"/>
      <c r="G48" s="123" t="str">
        <f aca="false">IF(G$4="X"," ",IF(F48&lt;&gt;0,F48*G$2/(100+G$2)," "))</f>
        <v> </v>
      </c>
      <c r="H48" s="123" t="str">
        <f aca="false">IF((F48&lt;&gt;0),F48-G48," ")</f>
        <v> </v>
      </c>
    </row>
    <row r="49" customFormat="false" ht="12.75" hidden="false" customHeight="false" outlineLevel="0" collapsed="false">
      <c r="E49" s="119"/>
      <c r="G49" s="123" t="str">
        <f aca="false">IF(G$4="X"," ",IF(F49&lt;&gt;0,F49*G$2/(100+G$2)," "))</f>
        <v> </v>
      </c>
      <c r="H49" s="123" t="str">
        <f aca="false">IF((F49&lt;&gt;0),F49-G49," ")</f>
        <v> </v>
      </c>
    </row>
    <row r="50" customFormat="false" ht="12.75" hidden="false" customHeight="false" outlineLevel="0" collapsed="false">
      <c r="E50" s="119"/>
      <c r="G50" s="123" t="str">
        <f aca="false">IF(G$4="X"," ",IF(F50&lt;&gt;0,F50*G$2/(100+G$2)," "))</f>
        <v> </v>
      </c>
      <c r="H50" s="123" t="str">
        <f aca="false">IF((F50&lt;&gt;0),F50-G50," ")</f>
        <v> </v>
      </c>
    </row>
    <row r="51" customFormat="false" ht="12.75" hidden="false" customHeight="false" outlineLevel="0" collapsed="false">
      <c r="E51" s="119"/>
      <c r="G51" s="123" t="str">
        <f aca="false">IF(G$4="X"," ",IF(F51&lt;&gt;0,F51*G$2/(100+G$2)," "))</f>
        <v> </v>
      </c>
      <c r="H51" s="123" t="str">
        <f aca="false">IF((F51&lt;&gt;0),F51-G51," ")</f>
        <v> </v>
      </c>
    </row>
    <row r="52" customFormat="false" ht="12.75" hidden="false" customHeight="false" outlineLevel="0" collapsed="false">
      <c r="E52" s="119"/>
      <c r="G52" s="123" t="str">
        <f aca="false">IF(G$4="X"," ",IF(F52&lt;&gt;0,F52*G$2/(100+G$2)," "))</f>
        <v> </v>
      </c>
      <c r="H52" s="123" t="str">
        <f aca="false">IF((F52&lt;&gt;0),F52-G52," ")</f>
        <v> </v>
      </c>
    </row>
    <row r="53" customFormat="false" ht="12.75" hidden="false" customHeight="false" outlineLevel="0" collapsed="false">
      <c r="E53" s="119"/>
      <c r="G53" s="123" t="str">
        <f aca="false">IF(G$4="X"," ",IF(F53&lt;&gt;0,F53*G$2/(100+G$2)," "))</f>
        <v> </v>
      </c>
      <c r="H53" s="123" t="str">
        <f aca="false">IF((F53&lt;&gt;0),F53-G53," ")</f>
        <v> </v>
      </c>
    </row>
    <row r="54" customFormat="false" ht="12.75" hidden="false" customHeight="false" outlineLevel="0" collapsed="false">
      <c r="E54" s="119"/>
      <c r="G54" s="123" t="str">
        <f aca="false">IF(G$4="X"," ",IF(F54&lt;&gt;0,F54*G$2/(100+G$2)," "))</f>
        <v> </v>
      </c>
      <c r="H54" s="123" t="str">
        <f aca="false">IF((F54&lt;&gt;0),F54-G54," ")</f>
        <v> </v>
      </c>
    </row>
    <row r="55" customFormat="false" ht="12.75" hidden="false" customHeight="false" outlineLevel="0" collapsed="false">
      <c r="E55" s="119"/>
      <c r="G55" s="123" t="str">
        <f aca="false">IF(G$4="X"," ",IF(F55&lt;&gt;0,F55*G$2/(100+G$2)," "))</f>
        <v> </v>
      </c>
      <c r="H55" s="123" t="str">
        <f aca="false">IF((F55&lt;&gt;0),F55-G55," ")</f>
        <v> </v>
      </c>
    </row>
    <row r="56" customFormat="false" ht="12.75" hidden="false" customHeight="false" outlineLevel="0" collapsed="false">
      <c r="E56" s="119"/>
      <c r="G56" s="123" t="str">
        <f aca="false">IF(G$4="X"," ",IF(F56&lt;&gt;0,F56*G$2/(100+G$2)," "))</f>
        <v> </v>
      </c>
      <c r="H56" s="123" t="str">
        <f aca="false">IF((F56&lt;&gt;0),F56-G56," ")</f>
        <v> </v>
      </c>
    </row>
    <row r="57" customFormat="false" ht="12.75" hidden="false" customHeight="false" outlineLevel="0" collapsed="false">
      <c r="E57" s="119"/>
      <c r="G57" s="123" t="str">
        <f aca="false">IF(G$4="X"," ",IF(F57&lt;&gt;0,F57*G$2/(100+G$2)," "))</f>
        <v> </v>
      </c>
      <c r="H57" s="123" t="str">
        <f aca="false">IF((F57&lt;&gt;0),F57-G57," ")</f>
        <v> </v>
      </c>
    </row>
    <row r="58" customFormat="false" ht="12.75" hidden="false" customHeight="false" outlineLevel="0" collapsed="false">
      <c r="E58" s="119"/>
      <c r="G58" s="123" t="str">
        <f aca="false">IF(G$4="X"," ",IF(F58&lt;&gt;0,F58*G$2/(100+G$2)," "))</f>
        <v> </v>
      </c>
      <c r="H58" s="123" t="str">
        <f aca="false">IF((F58&lt;&gt;0),F58-G58," ")</f>
        <v> </v>
      </c>
    </row>
    <row r="59" customFormat="false" ht="12.75" hidden="false" customHeight="false" outlineLevel="0" collapsed="false">
      <c r="E59" s="119"/>
      <c r="G59" s="123" t="str">
        <f aca="false">IF(G$4="X"," ",IF(F59&lt;&gt;0,F59*G$2/(100+G$2)," "))</f>
        <v> </v>
      </c>
      <c r="H59" s="123" t="str">
        <f aca="false">IF((F59&lt;&gt;0),F59-G59," ")</f>
        <v> </v>
      </c>
    </row>
    <row r="60" customFormat="false" ht="12.75" hidden="false" customHeight="false" outlineLevel="0" collapsed="false">
      <c r="E60" s="119"/>
      <c r="G60" s="123" t="str">
        <f aca="false">IF(G$4="X"," ",IF(F60&lt;&gt;0,F60*G$2/(100+G$2)," "))</f>
        <v> </v>
      </c>
      <c r="H60" s="123" t="str">
        <f aca="false">IF((F60&lt;&gt;0),F60-G60," ")</f>
        <v> </v>
      </c>
    </row>
    <row r="61" customFormat="false" ht="12.75" hidden="false" customHeight="false" outlineLevel="0" collapsed="false">
      <c r="E61" s="119"/>
      <c r="G61" s="123" t="str">
        <f aca="false">IF(G$4="X"," ",IF(F61&lt;&gt;0,F61*G$2/(100+G$2)," "))</f>
        <v> </v>
      </c>
      <c r="H61" s="123" t="str">
        <f aca="false">IF((F61&lt;&gt;0),F61-G61," ")</f>
        <v> </v>
      </c>
    </row>
    <row r="62" customFormat="false" ht="12.75" hidden="false" customHeight="false" outlineLevel="0" collapsed="false">
      <c r="E62" s="119"/>
      <c r="G62" s="123" t="str">
        <f aca="false">IF(G$4="X"," ",IF(F62&lt;&gt;0,F62*G$2/(100+G$2)," "))</f>
        <v> </v>
      </c>
      <c r="H62" s="123" t="str">
        <f aca="false">IF((F62&lt;&gt;0),F62-G62," ")</f>
        <v> </v>
      </c>
    </row>
    <row r="63" customFormat="false" ht="12.75" hidden="false" customHeight="false" outlineLevel="0" collapsed="false">
      <c r="E63" s="119"/>
      <c r="G63" s="123" t="str">
        <f aca="false">IF(G$4="X"," ",IF(F63&lt;&gt;0,F63*G$2/(100+G$2)," "))</f>
        <v> </v>
      </c>
      <c r="H63" s="123" t="str">
        <f aca="false">IF((F63&lt;&gt;0),F63-G63," ")</f>
        <v> </v>
      </c>
    </row>
    <row r="64" customFormat="false" ht="12.75" hidden="false" customHeight="false" outlineLevel="0" collapsed="false">
      <c r="E64" s="119"/>
      <c r="G64" s="123" t="str">
        <f aca="false">IF(G$4="X"," ",IF(F64&lt;&gt;0,F64*G$2/(100+G$2)," "))</f>
        <v> </v>
      </c>
      <c r="H64" s="123" t="str">
        <f aca="false">IF((F64&lt;&gt;0),F64-G64," ")</f>
        <v> </v>
      </c>
    </row>
    <row r="65" customFormat="false" ht="12.75" hidden="false" customHeight="false" outlineLevel="0" collapsed="false">
      <c r="E65" s="119"/>
      <c r="G65" s="123" t="str">
        <f aca="false">IF(G$4="X"," ",IF(F65&lt;&gt;0,F65*G$2/(100+G$2)," "))</f>
        <v> </v>
      </c>
      <c r="H65" s="123" t="str">
        <f aca="false">IF((F65&lt;&gt;0),F65-G65," ")</f>
        <v> </v>
      </c>
    </row>
    <row r="66" customFormat="false" ht="12.75" hidden="false" customHeight="false" outlineLevel="0" collapsed="false">
      <c r="E66" s="119"/>
      <c r="G66" s="123" t="str">
        <f aca="false">IF(G$4="X"," ",IF(F66&lt;&gt;0,F66*G$2/(100+G$2)," "))</f>
        <v> </v>
      </c>
      <c r="H66" s="123" t="str">
        <f aca="false">IF((F66&lt;&gt;0),F66-G66," ")</f>
        <v> </v>
      </c>
    </row>
    <row r="67" customFormat="false" ht="12.75" hidden="false" customHeight="false" outlineLevel="0" collapsed="false">
      <c r="E67" s="119"/>
      <c r="G67" s="123" t="str">
        <f aca="false">IF(G$4="X"," ",IF(F67&lt;&gt;0,F67*G$2/(100+G$2)," "))</f>
        <v> </v>
      </c>
      <c r="H67" s="123" t="str">
        <f aca="false">IF((F67&lt;&gt;0),F67-G67," ")</f>
        <v> </v>
      </c>
    </row>
    <row r="68" customFormat="false" ht="12.75" hidden="false" customHeight="false" outlineLevel="0" collapsed="false">
      <c r="E68" s="119"/>
      <c r="G68" s="123" t="str">
        <f aca="false">IF(G$4="X"," ",IF(F68&lt;&gt;0,F68*G$2/(100+G$2)," "))</f>
        <v> </v>
      </c>
      <c r="H68" s="123" t="str">
        <f aca="false">IF((F68&lt;&gt;0),F68-G68," ")</f>
        <v> </v>
      </c>
    </row>
    <row r="69" customFormat="false" ht="12.75" hidden="false" customHeight="false" outlineLevel="0" collapsed="false">
      <c r="E69" s="119"/>
      <c r="G69" s="123" t="str">
        <f aca="false">IF(G$4="X"," ",IF(F69&lt;&gt;0,F69*G$2/(100+G$2)," "))</f>
        <v> </v>
      </c>
      <c r="H69" s="123" t="str">
        <f aca="false">IF((F69&lt;&gt;0),F69-G69," ")</f>
        <v> </v>
      </c>
    </row>
    <row r="70" customFormat="false" ht="12.75" hidden="false" customHeight="false" outlineLevel="0" collapsed="false">
      <c r="E70" s="119"/>
      <c r="G70" s="123" t="str">
        <f aca="false">IF(G$4="X"," ",IF(F70&lt;&gt;0,F70*G$2/(100+G$2)," "))</f>
        <v> </v>
      </c>
      <c r="H70" s="123" t="str">
        <f aca="false">IF((F70&lt;&gt;0),F70-G70," ")</f>
        <v> </v>
      </c>
    </row>
    <row r="71" customFormat="false" ht="12.75" hidden="false" customHeight="false" outlineLevel="0" collapsed="false">
      <c r="E71" s="119"/>
      <c r="G71" s="123" t="str">
        <f aca="false">IF(G$4="X"," ",IF(F71&lt;&gt;0,F71*G$2/(100+G$2)," "))</f>
        <v> </v>
      </c>
      <c r="H71" s="123" t="str">
        <f aca="false">IF((F71&lt;&gt;0),F71-G71," ")</f>
        <v> </v>
      </c>
    </row>
    <row r="72" customFormat="false" ht="12.75" hidden="false" customHeight="false" outlineLevel="0" collapsed="false">
      <c r="E72" s="119"/>
      <c r="G72" s="123" t="str">
        <f aca="false">IF(G$4="X"," ",IF(F72&lt;&gt;0,F72*G$2/(100+G$2)," "))</f>
        <v> </v>
      </c>
      <c r="H72" s="123" t="str">
        <f aca="false">IF((F72&lt;&gt;0),F72-G72," ")</f>
        <v> </v>
      </c>
    </row>
    <row r="73" customFormat="false" ht="12.75" hidden="false" customHeight="false" outlineLevel="0" collapsed="false">
      <c r="E73" s="119"/>
      <c r="G73" s="123" t="str">
        <f aca="false">IF(G$4="X"," ",IF(F73&lt;&gt;0,F73*G$2/(100+G$2)," "))</f>
        <v> </v>
      </c>
      <c r="H73" s="123" t="str">
        <f aca="false">IF((F73&lt;&gt;0),F73-G73," ")</f>
        <v> </v>
      </c>
    </row>
    <row r="74" customFormat="false" ht="12.75" hidden="false" customHeight="false" outlineLevel="0" collapsed="false">
      <c r="E74" s="119"/>
      <c r="G74" s="123" t="str">
        <f aca="false">IF(G$4="X"," ",IF(F74&lt;&gt;0,F74*G$2/(100+G$2)," "))</f>
        <v> </v>
      </c>
      <c r="H74" s="123" t="str">
        <f aca="false">IF((F74&lt;&gt;0),F74-G74," ")</f>
        <v> </v>
      </c>
    </row>
    <row r="75" customFormat="false" ht="12.75" hidden="false" customHeight="false" outlineLevel="0" collapsed="false">
      <c r="E75" s="119"/>
      <c r="G75" s="123" t="str">
        <f aca="false">IF(G$4="X"," ",IF(F75&lt;&gt;0,F75*G$2/(100+G$2)," "))</f>
        <v> </v>
      </c>
      <c r="H75" s="123" t="str">
        <f aca="false">IF((F75&lt;&gt;0),F75-G75," ")</f>
        <v> </v>
      </c>
    </row>
    <row r="76" customFormat="false" ht="12.75" hidden="false" customHeight="false" outlineLevel="0" collapsed="false">
      <c r="E76" s="119"/>
      <c r="G76" s="123" t="str">
        <f aca="false">IF(G$4="X"," ",IF(F76&lt;&gt;0,F76*G$2/(100+G$2)," "))</f>
        <v> </v>
      </c>
      <c r="H76" s="123" t="str">
        <f aca="false">IF((F76&lt;&gt;0),F76-G76," ")</f>
        <v> </v>
      </c>
    </row>
    <row r="77" customFormat="false" ht="12.75" hidden="false" customHeight="false" outlineLevel="0" collapsed="false">
      <c r="E77" s="119"/>
      <c r="G77" s="123" t="str">
        <f aca="false">IF(G$4="X"," ",IF(F77&lt;&gt;0,F77*G$2/(100+G$2)," "))</f>
        <v> </v>
      </c>
      <c r="H77" s="123" t="str">
        <f aca="false">IF((F77&lt;&gt;0),F77-G77," ")</f>
        <v> </v>
      </c>
    </row>
    <row r="78" customFormat="false" ht="12.75" hidden="false" customHeight="false" outlineLevel="0" collapsed="false">
      <c r="E78" s="119"/>
      <c r="G78" s="123" t="str">
        <f aca="false">IF(G$4="X"," ",IF(F78&lt;&gt;0,F78*G$2/(100+G$2)," "))</f>
        <v> </v>
      </c>
      <c r="H78" s="123" t="str">
        <f aca="false">IF((F78&lt;&gt;0),F78-G78," ")</f>
        <v> </v>
      </c>
    </row>
    <row r="79" customFormat="false" ht="12.75" hidden="false" customHeight="false" outlineLevel="0" collapsed="false">
      <c r="E79" s="119"/>
      <c r="G79" s="123" t="str">
        <f aca="false">IF(G$4="X"," ",IF(F79&lt;&gt;0,F79*G$2/(100+G$2)," "))</f>
        <v> </v>
      </c>
      <c r="H79" s="123" t="str">
        <f aca="false">IF((F79&lt;&gt;0),F79-G79," ")</f>
        <v> </v>
      </c>
    </row>
    <row r="80" customFormat="false" ht="12.75" hidden="false" customHeight="false" outlineLevel="0" collapsed="false">
      <c r="E80" s="119"/>
      <c r="G80" s="123" t="str">
        <f aca="false">IF(G$4="X"," ",IF(F80&lt;&gt;0,F80*G$2/(100+G$2)," "))</f>
        <v> </v>
      </c>
      <c r="H80" s="123" t="str">
        <f aca="false">IF((F80&lt;&gt;0),F80-G80," ")</f>
        <v> </v>
      </c>
    </row>
    <row r="81" customFormat="false" ht="12.75" hidden="false" customHeight="false" outlineLevel="0" collapsed="false">
      <c r="E81" s="119"/>
      <c r="G81" s="123" t="str">
        <f aca="false">IF(G$4="X"," ",IF(F81&lt;&gt;0,F81*G$2/(100+G$2)," "))</f>
        <v> </v>
      </c>
      <c r="H81" s="123" t="str">
        <f aca="false">IF((F81&lt;&gt;0),F81-G81," ")</f>
        <v> </v>
      </c>
    </row>
    <row r="82" customFormat="false" ht="12.75" hidden="false" customHeight="false" outlineLevel="0" collapsed="false">
      <c r="E82" s="119"/>
      <c r="G82" s="123" t="str">
        <f aca="false">IF(G$4="X"," ",IF(F82&lt;&gt;0,F82*G$2/(100+G$2)," "))</f>
        <v> </v>
      </c>
      <c r="H82" s="123" t="str">
        <f aca="false">IF((F82&lt;&gt;0),F82-G82," ")</f>
        <v> </v>
      </c>
    </row>
    <row r="83" customFormat="false" ht="12.75" hidden="false" customHeight="false" outlineLevel="0" collapsed="false">
      <c r="E83" s="119"/>
      <c r="G83" s="123" t="str">
        <f aca="false">IF(G$4="X"," ",IF(F83&lt;&gt;0,F83*G$2/(100+G$2)," "))</f>
        <v> </v>
      </c>
      <c r="H83" s="123" t="str">
        <f aca="false">IF((F83&lt;&gt;0),F83-G83," ")</f>
        <v> </v>
      </c>
    </row>
    <row r="84" customFormat="false" ht="12.75" hidden="false" customHeight="false" outlineLevel="0" collapsed="false">
      <c r="E84" s="119"/>
      <c r="G84" s="123" t="str">
        <f aca="false">IF(G$4="X"," ",IF(F84&lt;&gt;0,F84*G$2/(100+G$2)," "))</f>
        <v> </v>
      </c>
      <c r="H84" s="123" t="str">
        <f aca="false">IF((F84&lt;&gt;0),F84-G84," ")</f>
        <v> </v>
      </c>
    </row>
    <row r="85" customFormat="false" ht="12.75" hidden="false" customHeight="false" outlineLevel="0" collapsed="false">
      <c r="E85" s="119"/>
      <c r="G85" s="123" t="str">
        <f aca="false">IF(G$4="X"," ",IF(F85&lt;&gt;0,F85*G$2/(100+G$2)," "))</f>
        <v> </v>
      </c>
      <c r="H85" s="123" t="str">
        <f aca="false">IF((F85&lt;&gt;0),F85-G85," ")</f>
        <v> </v>
      </c>
    </row>
    <row r="86" customFormat="false" ht="12.75" hidden="false" customHeight="false" outlineLevel="0" collapsed="false">
      <c r="E86" s="119"/>
      <c r="G86" s="123" t="str">
        <f aca="false">IF(G$4="X"," ",IF(F86&lt;&gt;0,F86*G$2/(100+G$2)," "))</f>
        <v> </v>
      </c>
      <c r="H86" s="123" t="str">
        <f aca="false">IF((F86&lt;&gt;0),F86-G86," ")</f>
        <v> </v>
      </c>
    </row>
    <row r="87" customFormat="false" ht="12.75" hidden="false" customHeight="false" outlineLevel="0" collapsed="false">
      <c r="E87" s="119"/>
      <c r="G87" s="123" t="str">
        <f aca="false">IF(G$4="X"," ",IF(F87&lt;&gt;0,F87*G$2/(100+G$2)," "))</f>
        <v> </v>
      </c>
      <c r="H87" s="123" t="str">
        <f aca="false">IF((F87&lt;&gt;0),F87-G87," ")</f>
        <v> </v>
      </c>
    </row>
    <row r="88" customFormat="false" ht="12.75" hidden="false" customHeight="false" outlineLevel="0" collapsed="false">
      <c r="E88" s="119"/>
      <c r="G88" s="123" t="str">
        <f aca="false">IF(G$4="X"," ",IF(F88&lt;&gt;0,F88*G$2/(100+G$2)," "))</f>
        <v> </v>
      </c>
      <c r="H88" s="123" t="str">
        <f aca="false">IF((F88&lt;&gt;0),F88-G88," ")</f>
        <v> </v>
      </c>
    </row>
    <row r="89" customFormat="false" ht="12.75" hidden="false" customHeight="false" outlineLevel="0" collapsed="false">
      <c r="E89" s="119"/>
      <c r="G89" s="123" t="str">
        <f aca="false">IF(G$4="X"," ",IF(F89&lt;&gt;0,F89*G$2/(100+G$2)," "))</f>
        <v> </v>
      </c>
      <c r="H89" s="123" t="str">
        <f aca="false">IF((F89&lt;&gt;0),F89-G89," ")</f>
        <v> </v>
      </c>
    </row>
    <row r="90" customFormat="false" ht="12.75" hidden="false" customHeight="false" outlineLevel="0" collapsed="false">
      <c r="E90" s="119"/>
      <c r="G90" s="123" t="str">
        <f aca="false">IF(G$4="X"," ",IF(F90&lt;&gt;0,F90*G$2/(100+G$2)," "))</f>
        <v> </v>
      </c>
      <c r="H90" s="123" t="str">
        <f aca="false">IF((F90&lt;&gt;0),F90-G90," ")</f>
        <v> </v>
      </c>
    </row>
    <row r="91" customFormat="false" ht="12.75" hidden="false" customHeight="false" outlineLevel="0" collapsed="false">
      <c r="E91" s="119"/>
      <c r="G91" s="123" t="str">
        <f aca="false">IF(G$4="X"," ",IF(F91&lt;&gt;0,F91*G$2/(100+G$2)," "))</f>
        <v> </v>
      </c>
      <c r="H91" s="123" t="str">
        <f aca="false">IF((F91&lt;&gt;0),F91-G91," ")</f>
        <v> </v>
      </c>
    </row>
    <row r="92" customFormat="false" ht="12.75" hidden="false" customHeight="false" outlineLevel="0" collapsed="false">
      <c r="E92" s="119"/>
      <c r="G92" s="123" t="str">
        <f aca="false">IF(G$4="X"," ",IF(F92&lt;&gt;0,F92*G$2/(100+G$2)," "))</f>
        <v> </v>
      </c>
      <c r="H92" s="123" t="str">
        <f aca="false">IF((F92&lt;&gt;0),F92-G92," ")</f>
        <v> </v>
      </c>
    </row>
    <row r="93" customFormat="false" ht="12.75" hidden="false" customHeight="false" outlineLevel="0" collapsed="false">
      <c r="E93" s="119"/>
      <c r="G93" s="123" t="str">
        <f aca="false">IF(G$4="X"," ",IF(F93&lt;&gt;0,F93*G$2/(100+G$2)," "))</f>
        <v> </v>
      </c>
      <c r="H93" s="123" t="str">
        <f aca="false">IF((F93&lt;&gt;0),F93-G93," ")</f>
        <v> </v>
      </c>
    </row>
    <row r="94" customFormat="false" ht="12.75" hidden="false" customHeight="false" outlineLevel="0" collapsed="false">
      <c r="E94" s="119"/>
      <c r="G94" s="123" t="str">
        <f aca="false">IF(G$4="X"," ",IF(F94&lt;&gt;0,F94*G$2/(100+G$2)," "))</f>
        <v> </v>
      </c>
      <c r="H94" s="123" t="str">
        <f aca="false">IF((F94&lt;&gt;0),F94-G94," ")</f>
        <v> </v>
      </c>
    </row>
    <row r="95" customFormat="false" ht="12.75" hidden="false" customHeight="false" outlineLevel="0" collapsed="false">
      <c r="E95" s="119"/>
      <c r="G95" s="123" t="str">
        <f aca="false">IF(G$4="X"," ",IF(F95&lt;&gt;0,F95*G$2/(100+G$2)," "))</f>
        <v> </v>
      </c>
      <c r="H95" s="123" t="str">
        <f aca="false">IF((F95&lt;&gt;0),F95-G95," ")</f>
        <v> </v>
      </c>
    </row>
    <row r="96" customFormat="false" ht="12.75" hidden="false" customHeight="false" outlineLevel="0" collapsed="false">
      <c r="E96" s="119"/>
      <c r="G96" s="123" t="str">
        <f aca="false">IF(G$4="X"," ",IF(F96&lt;&gt;0,F96*G$2/(100+G$2)," "))</f>
        <v> </v>
      </c>
      <c r="H96" s="123" t="str">
        <f aca="false">IF((F96&lt;&gt;0),F96-G96," ")</f>
        <v> </v>
      </c>
    </row>
    <row r="97" customFormat="false" ht="12.75" hidden="false" customHeight="false" outlineLevel="0" collapsed="false">
      <c r="E97" s="119"/>
      <c r="G97" s="123" t="str">
        <f aca="false">IF(G$4="X"," ",IF(F97&lt;&gt;0,F97*G$2/(100+G$2)," "))</f>
        <v> </v>
      </c>
      <c r="H97" s="123" t="str">
        <f aca="false">IF((F97&lt;&gt;0),F97-G97," ")</f>
        <v> </v>
      </c>
    </row>
    <row r="98" customFormat="false" ht="12.75" hidden="false" customHeight="false" outlineLevel="0" collapsed="false">
      <c r="E98" s="119"/>
      <c r="G98" s="123" t="str">
        <f aca="false">IF(G$4="X"," ",IF(F98&lt;&gt;0,F98*G$2/(100+G$2)," "))</f>
        <v> </v>
      </c>
      <c r="H98" s="123" t="str">
        <f aca="false">IF((F98&lt;&gt;0),F98-G98," ")</f>
        <v> </v>
      </c>
    </row>
    <row r="99" customFormat="false" ht="12.75" hidden="false" customHeight="false" outlineLevel="0" collapsed="false">
      <c r="E99" s="119"/>
      <c r="G99" s="123" t="str">
        <f aca="false">IF(G$4="X"," ",IF(F99&lt;&gt;0,F99*G$2/(100+G$2)," "))</f>
        <v> </v>
      </c>
      <c r="H99" s="123" t="str">
        <f aca="false">IF((F99&lt;&gt;0),F99-G99," ")</f>
        <v> </v>
      </c>
    </row>
    <row r="100" customFormat="false" ht="12.75" hidden="false" customHeight="false" outlineLevel="0" collapsed="false">
      <c r="E100" s="119"/>
      <c r="G100" s="123" t="str">
        <f aca="false">IF(G$4="X"," ",IF(F100&lt;&gt;0,F100*G$2/(100+G$2)," "))</f>
        <v> </v>
      </c>
      <c r="H100" s="123" t="str">
        <f aca="false">IF((F100&lt;&gt;0),F100-G100," ")</f>
        <v> </v>
      </c>
    </row>
    <row r="101" customFormat="false" ht="12.75" hidden="false" customHeight="false" outlineLevel="0" collapsed="false">
      <c r="E101" s="119"/>
      <c r="G101" s="123" t="str">
        <f aca="false">IF(G$4="X"," ",IF(F101&lt;&gt;0,F101*G$2/(100+G$2)," "))</f>
        <v> </v>
      </c>
      <c r="H101" s="123" t="str">
        <f aca="false">IF((F101&lt;&gt;0),F101-G101," ")</f>
        <v> </v>
      </c>
    </row>
    <row r="102" customFormat="false" ht="12.75" hidden="false" customHeight="false" outlineLevel="0" collapsed="false">
      <c r="E102" s="119"/>
      <c r="G102" s="123" t="str">
        <f aca="false">IF(G$4="X"," ",IF(F102&lt;&gt;0,F102*G$2/(100+G$2)," "))</f>
        <v> </v>
      </c>
      <c r="H102" s="123" t="str">
        <f aca="false">IF((F102&lt;&gt;0),F102-G102," ")</f>
        <v> </v>
      </c>
    </row>
    <row r="103" customFormat="false" ht="12.75" hidden="false" customHeight="false" outlineLevel="0" collapsed="false">
      <c r="E103" s="119"/>
      <c r="G103" s="123" t="str">
        <f aca="false">IF(G$4="X"," ",IF(F103&lt;&gt;0,F103*G$2/(100+G$2)," "))</f>
        <v> </v>
      </c>
      <c r="H103" s="123" t="str">
        <f aca="false">IF((F103&lt;&gt;0),F103-G103," ")</f>
        <v> </v>
      </c>
    </row>
    <row r="104" customFormat="false" ht="12.75" hidden="false" customHeight="false" outlineLevel="0" collapsed="false">
      <c r="E104" s="119"/>
      <c r="G104" s="123" t="str">
        <f aca="false">IF(G$4="X"," ",IF(F104&lt;&gt;0,F104*G$2/(100+G$2)," "))</f>
        <v> </v>
      </c>
      <c r="H104" s="123" t="str">
        <f aca="false">IF((F104&lt;&gt;0),F104-G104," ")</f>
        <v> </v>
      </c>
    </row>
    <row r="105" customFormat="false" ht="12.75" hidden="false" customHeight="false" outlineLevel="0" collapsed="false">
      <c r="E105" s="119"/>
      <c r="G105" s="123" t="str">
        <f aca="false">IF(G$4="X"," ",IF(F105&lt;&gt;0,F105*G$2/(100+G$2)," "))</f>
        <v> </v>
      </c>
      <c r="H105" s="123" t="str">
        <f aca="false">IF((F105&lt;&gt;0),F105-G105," ")</f>
        <v> </v>
      </c>
    </row>
    <row r="106" customFormat="false" ht="12.75" hidden="false" customHeight="false" outlineLevel="0" collapsed="false">
      <c r="E106" s="119"/>
      <c r="G106" s="123" t="str">
        <f aca="false">IF(G$4="X"," ",IF(F106&lt;&gt;0,F106*G$2/(100+G$2)," "))</f>
        <v> </v>
      </c>
      <c r="H106" s="123" t="str">
        <f aca="false">IF((F106&lt;&gt;0),F106-G106," ")</f>
        <v> </v>
      </c>
    </row>
    <row r="107" customFormat="false" ht="12.75" hidden="false" customHeight="false" outlineLevel="0" collapsed="false">
      <c r="E107" s="119"/>
      <c r="G107" s="123" t="str">
        <f aca="false">IF(G$4="X"," ",IF(F107&lt;&gt;0,F107*G$2/(100+G$2)," "))</f>
        <v> </v>
      </c>
      <c r="H107" s="123" t="str">
        <f aca="false">IF((F107&lt;&gt;0),F107-G107," ")</f>
        <v> </v>
      </c>
    </row>
    <row r="108" customFormat="false" ht="12.75" hidden="false" customHeight="false" outlineLevel="0" collapsed="false">
      <c r="E108" s="119"/>
      <c r="G108" s="123" t="str">
        <f aca="false">IF(G$4="X"," ",IF(F108&lt;&gt;0,F108*G$2/(100+G$2)," "))</f>
        <v> </v>
      </c>
      <c r="H108" s="123" t="str">
        <f aca="false">IF((F108&lt;&gt;0),F108-G108," ")</f>
        <v> </v>
      </c>
    </row>
    <row r="109" customFormat="false" ht="12.75" hidden="false" customHeight="false" outlineLevel="0" collapsed="false">
      <c r="E109" s="119"/>
      <c r="G109" s="123" t="str">
        <f aca="false">IF(G$4="X"," ",IF(F109&lt;&gt;0,F109*G$2/(100+G$2)," "))</f>
        <v> </v>
      </c>
      <c r="H109" s="123" t="str">
        <f aca="false">IF((F109&lt;&gt;0),F109-G109," ")</f>
        <v> </v>
      </c>
    </row>
    <row r="110" customFormat="false" ht="12.75" hidden="false" customHeight="false" outlineLevel="0" collapsed="false">
      <c r="E110" s="119"/>
      <c r="G110" s="123" t="str">
        <f aca="false">IF(G$4="X"," ",IF(F110&lt;&gt;0,F110*G$2/(100+G$2)," "))</f>
        <v> </v>
      </c>
      <c r="H110" s="123" t="str">
        <f aca="false">IF((F110&lt;&gt;0),F110-G110," ")</f>
        <v> </v>
      </c>
    </row>
    <row r="111" customFormat="false" ht="12.75" hidden="false" customHeight="false" outlineLevel="0" collapsed="false">
      <c r="E111" s="119"/>
      <c r="G111" s="123" t="str">
        <f aca="false">IF(G$4="X"," ",IF(F111&lt;&gt;0,F111*G$2/(100+G$2)," "))</f>
        <v> </v>
      </c>
      <c r="H111" s="123" t="str">
        <f aca="false">IF((F111&lt;&gt;0),F111-G111," ")</f>
        <v> </v>
      </c>
    </row>
    <row r="112" customFormat="false" ht="12.75" hidden="false" customHeight="false" outlineLevel="0" collapsed="false">
      <c r="E112" s="119"/>
      <c r="G112" s="123" t="str">
        <f aca="false">IF(G$4="X"," ",IF(F112&lt;&gt;0,F112*G$2/(100+G$2)," "))</f>
        <v> </v>
      </c>
      <c r="H112" s="123" t="str">
        <f aca="false">IF((F112&lt;&gt;0),F112-G112," ")</f>
        <v> </v>
      </c>
    </row>
    <row r="113" customFormat="false" ht="12.75" hidden="false" customHeight="false" outlineLevel="0" collapsed="false">
      <c r="E113" s="119"/>
      <c r="G113" s="123" t="str">
        <f aca="false">IF(G$4="X"," ",IF(F113&lt;&gt;0,F113*G$2/(100+G$2)," "))</f>
        <v> </v>
      </c>
      <c r="H113" s="123" t="str">
        <f aca="false">IF((F113&lt;&gt;0),F113-G113," ")</f>
        <v> </v>
      </c>
    </row>
    <row r="114" customFormat="false" ht="12.75" hidden="false" customHeight="false" outlineLevel="0" collapsed="false">
      <c r="E114" s="119"/>
      <c r="G114" s="123" t="str">
        <f aca="false">IF(G$4="X"," ",IF(F114&lt;&gt;0,F114*G$2/(100+G$2)," "))</f>
        <v> </v>
      </c>
      <c r="H114" s="123" t="str">
        <f aca="false">IF((F114&lt;&gt;0),F114-G114," ")</f>
        <v> </v>
      </c>
    </row>
    <row r="115" customFormat="false" ht="12.75" hidden="false" customHeight="false" outlineLevel="0" collapsed="false">
      <c r="E115" s="119"/>
      <c r="G115" s="123" t="str">
        <f aca="false">IF(G$4="X"," ",IF(F115&lt;&gt;0,F115*G$2/(100+G$2)," "))</f>
        <v> </v>
      </c>
      <c r="H115" s="123" t="str">
        <f aca="false">IF((F115&lt;&gt;0),F115-G115," ")</f>
        <v> </v>
      </c>
    </row>
    <row r="116" customFormat="false" ht="12.75" hidden="false" customHeight="false" outlineLevel="0" collapsed="false">
      <c r="E116" s="119"/>
      <c r="G116" s="123" t="str">
        <f aca="false">IF(G$4="X"," ",IF(F116&lt;&gt;0,F116*G$2/(100+G$2)," "))</f>
        <v> </v>
      </c>
      <c r="H116" s="123" t="str">
        <f aca="false">IF((F116&lt;&gt;0),F116-G116," ")</f>
        <v> </v>
      </c>
    </row>
    <row r="117" customFormat="false" ht="12.75" hidden="false" customHeight="false" outlineLevel="0" collapsed="false">
      <c r="E117" s="119"/>
      <c r="G117" s="123" t="str">
        <f aca="false">IF(G$4="X"," ",IF(F117&lt;&gt;0,F117*G$2/(100+G$2)," "))</f>
        <v> </v>
      </c>
      <c r="H117" s="123" t="str">
        <f aca="false">IF((F117&lt;&gt;0),F117-G117," ")</f>
        <v> </v>
      </c>
    </row>
    <row r="118" customFormat="false" ht="12.75" hidden="false" customHeight="false" outlineLevel="0" collapsed="false">
      <c r="E118" s="119"/>
      <c r="G118" s="123" t="str">
        <f aca="false">IF(G$4="X"," ",IF(F118&lt;&gt;0,F118*G$2/(100+G$2)," "))</f>
        <v> </v>
      </c>
      <c r="H118" s="123" t="str">
        <f aca="false">IF((F118&lt;&gt;0),F118-G118," ")</f>
        <v> </v>
      </c>
    </row>
    <row r="119" customFormat="false" ht="12.75" hidden="false" customHeight="false" outlineLevel="0" collapsed="false">
      <c r="E119" s="119"/>
      <c r="G119" s="123" t="str">
        <f aca="false">IF(G$4="X"," ",IF(F119&lt;&gt;0,F119*G$2/(100+G$2)," "))</f>
        <v> </v>
      </c>
      <c r="H119" s="123" t="str">
        <f aca="false">IF((F119&lt;&gt;0),F119-G119," ")</f>
        <v> </v>
      </c>
    </row>
    <row r="120" customFormat="false" ht="12.75" hidden="false" customHeight="false" outlineLevel="0" collapsed="false">
      <c r="E120" s="119"/>
      <c r="G120" s="123" t="str">
        <f aca="false">IF(G$4="X"," ",IF(F120&lt;&gt;0,F120*G$2/(100+G$2)," "))</f>
        <v> </v>
      </c>
      <c r="H120" s="123" t="str">
        <f aca="false">IF((F120&lt;&gt;0),F120-G120," ")</f>
        <v> </v>
      </c>
    </row>
    <row r="121" customFormat="false" ht="12.75" hidden="false" customHeight="false" outlineLevel="0" collapsed="false">
      <c r="E121" s="119"/>
      <c r="G121" s="123" t="str">
        <f aca="false">IF(G$4="X"," ",IF(F121&lt;&gt;0,F121*G$2/(100+G$2)," "))</f>
        <v> </v>
      </c>
      <c r="H121" s="123" t="str">
        <f aca="false">IF((F121&lt;&gt;0),F121-G121," ")</f>
        <v> </v>
      </c>
    </row>
    <row r="122" customFormat="false" ht="12.75" hidden="false" customHeight="false" outlineLevel="0" collapsed="false">
      <c r="E122" s="119"/>
      <c r="G122" s="123" t="str">
        <f aca="false">IF(G$4="X"," ",IF(F122&lt;&gt;0,F122*G$2/(100+G$2)," "))</f>
        <v> </v>
      </c>
      <c r="H122" s="123" t="str">
        <f aca="false">IF((F122&lt;&gt;0),F122-G122," ")</f>
        <v> </v>
      </c>
    </row>
    <row r="123" customFormat="false" ht="12.75" hidden="false" customHeight="false" outlineLevel="0" collapsed="false">
      <c r="E123" s="119"/>
      <c r="G123" s="123" t="str">
        <f aca="false">IF(G$4="X"," ",IF(F123&lt;&gt;0,F123*G$2/(100+G$2)," "))</f>
        <v> </v>
      </c>
      <c r="H123" s="123" t="str">
        <f aca="false">IF((F123&lt;&gt;0),F123-G123," ")</f>
        <v> </v>
      </c>
    </row>
    <row r="124" customFormat="false" ht="12.75" hidden="false" customHeight="false" outlineLevel="0" collapsed="false">
      <c r="E124" s="119"/>
      <c r="G124" s="123" t="str">
        <f aca="false">IF(G$4="X"," ",IF(F124&lt;&gt;0,F124*G$2/(100+G$2)," "))</f>
        <v> </v>
      </c>
      <c r="H124" s="123" t="str">
        <f aca="false">IF((F124&lt;&gt;0),F124-G124," ")</f>
        <v> </v>
      </c>
    </row>
    <row r="125" customFormat="false" ht="12.75" hidden="false" customHeight="false" outlineLevel="0" collapsed="false">
      <c r="E125" s="119"/>
      <c r="G125" s="123" t="str">
        <f aca="false">IF(G$4="X"," ",IF(F125&lt;&gt;0,F125*G$2/(100+G$2)," "))</f>
        <v> </v>
      </c>
      <c r="H125" s="123" t="str">
        <f aca="false">IF((F125&lt;&gt;0),F125-G125," ")</f>
        <v> </v>
      </c>
    </row>
    <row r="126" customFormat="false" ht="12.75" hidden="false" customHeight="false" outlineLevel="0" collapsed="false">
      <c r="E126" s="119"/>
      <c r="G126" s="123" t="str">
        <f aca="false">IF(G$4="X"," ",IF(F126&lt;&gt;0,F126*G$2/(100+G$2)," "))</f>
        <v> </v>
      </c>
      <c r="H126" s="123" t="str">
        <f aca="false">IF((F126&lt;&gt;0),F126-G126," ")</f>
        <v> </v>
      </c>
    </row>
    <row r="127" customFormat="false" ht="12.75" hidden="false" customHeight="false" outlineLevel="0" collapsed="false">
      <c r="E127" s="119"/>
      <c r="G127" s="123" t="str">
        <f aca="false">IF(G$4="X"," ",IF(F127&lt;&gt;0,F127*G$2/(100+G$2)," "))</f>
        <v> </v>
      </c>
      <c r="H127" s="123" t="str">
        <f aca="false">IF((F127&lt;&gt;0),F127-G127," ")</f>
        <v> </v>
      </c>
    </row>
    <row r="128" customFormat="false" ht="12.75" hidden="false" customHeight="false" outlineLevel="0" collapsed="false">
      <c r="E128" s="119"/>
      <c r="G128" s="123" t="str">
        <f aca="false">IF(G$4="X"," ",IF(F128&lt;&gt;0,F128*G$2/(100+G$2)," "))</f>
        <v> </v>
      </c>
      <c r="H128" s="123" t="str">
        <f aca="false">IF((F128&lt;&gt;0),F128-G128," ")</f>
        <v> </v>
      </c>
    </row>
    <row r="129" customFormat="false" ht="12.75" hidden="false" customHeight="false" outlineLevel="0" collapsed="false">
      <c r="E129" s="119"/>
      <c r="G129" s="123" t="str">
        <f aca="false">IF(G$4="X"," ",IF(F129&lt;&gt;0,F129*G$2/(100+G$2)," "))</f>
        <v> </v>
      </c>
      <c r="H129" s="123" t="str">
        <f aca="false">IF((F129&lt;&gt;0),F129-G129," ")</f>
        <v> </v>
      </c>
    </row>
    <row r="130" customFormat="false" ht="12.75" hidden="false" customHeight="false" outlineLevel="0" collapsed="false">
      <c r="E130" s="119"/>
      <c r="G130" s="123" t="str">
        <f aca="false">IF(G$4="X"," ",IF(F130&lt;&gt;0,F130*G$2/(100+G$2)," "))</f>
        <v> </v>
      </c>
      <c r="H130" s="123" t="str">
        <f aca="false">IF((F130&lt;&gt;0),F130-G130," ")</f>
        <v> </v>
      </c>
    </row>
    <row r="131" customFormat="false" ht="12.75" hidden="false" customHeight="false" outlineLevel="0" collapsed="false">
      <c r="E131" s="119"/>
      <c r="G131" s="123" t="str">
        <f aca="false">IF(G$4="X"," ",IF(F131&lt;&gt;0,F131*G$2/(100+G$2)," "))</f>
        <v> </v>
      </c>
      <c r="H131" s="123" t="str">
        <f aca="false">IF((F131&lt;&gt;0),F131-G131," ")</f>
        <v> </v>
      </c>
    </row>
    <row r="132" customFormat="false" ht="12.75" hidden="false" customHeight="false" outlineLevel="0" collapsed="false">
      <c r="E132" s="119"/>
      <c r="G132" s="123" t="str">
        <f aca="false">IF(G$4="X"," ",IF(F132&lt;&gt;0,F132*G$2/(100+G$2)," "))</f>
        <v> </v>
      </c>
      <c r="H132" s="123" t="str">
        <f aca="false">IF((F132&lt;&gt;0),F132-G132," ")</f>
        <v> </v>
      </c>
    </row>
    <row r="133" customFormat="false" ht="12.75" hidden="false" customHeight="false" outlineLevel="0" collapsed="false">
      <c r="E133" s="119"/>
      <c r="G133" s="123" t="str">
        <f aca="false">IF(G$4="X"," ",IF(F133&lt;&gt;0,F133*G$2/(100+G$2)," "))</f>
        <v> </v>
      </c>
      <c r="H133" s="123" t="str">
        <f aca="false">IF((F133&lt;&gt;0),F133-G133," ")</f>
        <v> </v>
      </c>
    </row>
    <row r="134" customFormat="false" ht="12.75" hidden="false" customHeight="false" outlineLevel="0" collapsed="false">
      <c r="E134" s="119"/>
      <c r="G134" s="123" t="str">
        <f aca="false">IF(G$4="X"," ",IF(F134&lt;&gt;0,F134*G$2/(100+G$2)," "))</f>
        <v> </v>
      </c>
      <c r="H134" s="123" t="str">
        <f aca="false">IF((F134&lt;&gt;0),F134-G134," ")</f>
        <v> </v>
      </c>
    </row>
    <row r="135" customFormat="false" ht="12.75" hidden="false" customHeight="false" outlineLevel="0" collapsed="false">
      <c r="E135" s="119"/>
      <c r="G135" s="123" t="str">
        <f aca="false">IF(G$4="X"," ",IF(F135&lt;&gt;0,F135*G$2/(100+G$2)," "))</f>
        <v> </v>
      </c>
      <c r="H135" s="123" t="str">
        <f aca="false">IF((F135&lt;&gt;0),F135-G135," ")</f>
        <v> </v>
      </c>
    </row>
    <row r="136" customFormat="false" ht="12.75" hidden="false" customHeight="false" outlineLevel="0" collapsed="false">
      <c r="E136" s="119"/>
      <c r="G136" s="123" t="str">
        <f aca="false">IF(G$4="X"," ",IF(F136&lt;&gt;0,F136*G$2/(100+G$2)," "))</f>
        <v> </v>
      </c>
      <c r="H136" s="123" t="str">
        <f aca="false">IF((F136&lt;&gt;0),F136-G136," ")</f>
        <v> </v>
      </c>
    </row>
    <row r="137" customFormat="false" ht="12.75" hidden="false" customHeight="false" outlineLevel="0" collapsed="false">
      <c r="E137" s="119"/>
      <c r="G137" s="123" t="str">
        <f aca="false">IF(G$4="X"," ",IF(F137&lt;&gt;0,F137*G$2/(100+G$2)," "))</f>
        <v> </v>
      </c>
      <c r="H137" s="123" t="str">
        <f aca="false">IF((F137&lt;&gt;0),F137-G137," ")</f>
        <v> </v>
      </c>
    </row>
    <row r="138" customFormat="false" ht="12.75" hidden="false" customHeight="false" outlineLevel="0" collapsed="false">
      <c r="E138" s="119"/>
      <c r="G138" s="123" t="str">
        <f aca="false">IF(G$4="X"," ",IF(F138&lt;&gt;0,F138*G$2/(100+G$2)," "))</f>
        <v> </v>
      </c>
      <c r="H138" s="123" t="str">
        <f aca="false">IF((F138&lt;&gt;0),F138-G138," ")</f>
        <v> </v>
      </c>
    </row>
    <row r="139" customFormat="false" ht="12.75" hidden="false" customHeight="false" outlineLevel="0" collapsed="false">
      <c r="E139" s="119"/>
      <c r="G139" s="123" t="str">
        <f aca="false">IF(G$4="X"," ",IF(F139&lt;&gt;0,F139*G$2/(100+G$2)," "))</f>
        <v> </v>
      </c>
      <c r="H139" s="123" t="str">
        <f aca="false">IF((F139&lt;&gt;0),F139-G139," ")</f>
        <v> </v>
      </c>
    </row>
    <row r="140" customFormat="false" ht="12.75" hidden="false" customHeight="false" outlineLevel="0" collapsed="false">
      <c r="E140" s="119"/>
      <c r="G140" s="123" t="str">
        <f aca="false">IF(G$4="X"," ",IF(F140&lt;&gt;0,F140*G$2/(100+G$2)," "))</f>
        <v> </v>
      </c>
      <c r="H140" s="123" t="str">
        <f aca="false">IF((F140&lt;&gt;0),F140-G140," ")</f>
        <v> </v>
      </c>
    </row>
    <row r="141" customFormat="false" ht="12.75" hidden="false" customHeight="false" outlineLevel="0" collapsed="false">
      <c r="E141" s="119"/>
      <c r="G141" s="123" t="str">
        <f aca="false">IF(G$4="X"," ",IF(F141&lt;&gt;0,F141*G$2/(100+G$2)," "))</f>
        <v> </v>
      </c>
      <c r="H141" s="123" t="str">
        <f aca="false">IF((F141&lt;&gt;0),F141-G141," ")</f>
        <v> </v>
      </c>
    </row>
    <row r="142" customFormat="false" ht="12.75" hidden="false" customHeight="false" outlineLevel="0" collapsed="false">
      <c r="E142" s="119"/>
      <c r="G142" s="123" t="str">
        <f aca="false">IF(G$4="X"," ",IF(F142&lt;&gt;0,F142*G$2/(100+G$2)," "))</f>
        <v> </v>
      </c>
      <c r="H142" s="123" t="str">
        <f aca="false">IF((F142&lt;&gt;0),F142-G142," ")</f>
        <v> </v>
      </c>
    </row>
    <row r="143" customFormat="false" ht="12.75" hidden="false" customHeight="false" outlineLevel="0" collapsed="false">
      <c r="E143" s="119"/>
      <c r="G143" s="123" t="str">
        <f aca="false">IF(G$4="X"," ",IF(F143&lt;&gt;0,F143*G$2/(100+G$2)," "))</f>
        <v> </v>
      </c>
      <c r="H143" s="123" t="str">
        <f aca="false">IF((F143&lt;&gt;0),F143-G143," ")</f>
        <v> </v>
      </c>
    </row>
    <row r="144" customFormat="false" ht="12.75" hidden="false" customHeight="false" outlineLevel="0" collapsed="false">
      <c r="E144" s="119"/>
      <c r="G144" s="123" t="str">
        <f aca="false">IF(G$4="X"," ",IF(F144&lt;&gt;0,F144*G$2/(100+G$2)," "))</f>
        <v> </v>
      </c>
      <c r="H144" s="123" t="str">
        <f aca="false">IF((F144&lt;&gt;0),F144-G144," ")</f>
        <v> </v>
      </c>
    </row>
    <row r="145" customFormat="false" ht="12.75" hidden="false" customHeight="false" outlineLevel="0" collapsed="false">
      <c r="E145" s="119"/>
      <c r="G145" s="123" t="str">
        <f aca="false">IF(G$4="X"," ",IF(F145&lt;&gt;0,F145*G$2/(100+G$2)," "))</f>
        <v> </v>
      </c>
      <c r="H145" s="123" t="str">
        <f aca="false">IF((F145&lt;&gt;0),F145-G145," ")</f>
        <v> </v>
      </c>
    </row>
    <row r="146" customFormat="false" ht="12.75" hidden="false" customHeight="false" outlineLevel="0" collapsed="false">
      <c r="E146" s="119"/>
      <c r="G146" s="123" t="str">
        <f aca="false">IF(G$4="X"," ",IF(F146&lt;&gt;0,F146*G$2/(100+G$2)," "))</f>
        <v> </v>
      </c>
      <c r="H146" s="123" t="str">
        <f aca="false">IF((F146&lt;&gt;0),F146-G146," ")</f>
        <v> </v>
      </c>
    </row>
    <row r="147" customFormat="false" ht="12.75" hidden="false" customHeight="false" outlineLevel="0" collapsed="false">
      <c r="E147" s="119"/>
      <c r="G147" s="123" t="str">
        <f aca="false">IF(G$4="X"," ",IF(F147&lt;&gt;0,F147*G$2/(100+G$2)," "))</f>
        <v> </v>
      </c>
      <c r="H147" s="123" t="str">
        <f aca="false">IF((F147&lt;&gt;0),F147-G147," ")</f>
        <v> </v>
      </c>
    </row>
    <row r="148" customFormat="false" ht="12.75" hidden="false" customHeight="false" outlineLevel="0" collapsed="false">
      <c r="E148" s="119"/>
      <c r="G148" s="123" t="str">
        <f aca="false">IF(G$4="X"," ",IF(F148&lt;&gt;0,F148*G$2/(100+G$2)," "))</f>
        <v> </v>
      </c>
      <c r="H148" s="123" t="str">
        <f aca="false">IF((F148&lt;&gt;0),F148-G148," ")</f>
        <v> </v>
      </c>
    </row>
    <row r="149" customFormat="false" ht="12.75" hidden="false" customHeight="false" outlineLevel="0" collapsed="false">
      <c r="E149" s="119"/>
      <c r="G149" s="123" t="str">
        <f aca="false">IF(G$4="X"," ",IF(F149&lt;&gt;0,F149*G$2/(100+G$2)," "))</f>
        <v> </v>
      </c>
      <c r="H149" s="123" t="str">
        <f aca="false">IF((F149&lt;&gt;0),F149-G149," ")</f>
        <v> </v>
      </c>
    </row>
    <row r="150" customFormat="false" ht="12.75" hidden="false" customHeight="false" outlineLevel="0" collapsed="false">
      <c r="E150" s="119"/>
      <c r="G150" s="123" t="str">
        <f aca="false">IF(G$4="X"," ",IF(F150&lt;&gt;0,F150*G$2/(100+G$2)," "))</f>
        <v> </v>
      </c>
      <c r="H150" s="123" t="str">
        <f aca="false">IF((F150&lt;&gt;0),F150-G150," ")</f>
        <v> </v>
      </c>
    </row>
    <row r="151" customFormat="false" ht="12.75" hidden="false" customHeight="false" outlineLevel="0" collapsed="false">
      <c r="E151" s="119"/>
      <c r="G151" s="123" t="str">
        <f aca="false">IF(G$4="X"," ",IF(F151&lt;&gt;0,F151*G$2/(100+G$2)," "))</f>
        <v> </v>
      </c>
      <c r="H151" s="123" t="str">
        <f aca="false">IF((F151&lt;&gt;0),F151-G151," ")</f>
        <v> </v>
      </c>
    </row>
    <row r="152" customFormat="false" ht="12.75" hidden="false" customHeight="false" outlineLevel="0" collapsed="false">
      <c r="E152" s="119"/>
      <c r="G152" s="123" t="str">
        <f aca="false">IF(G$4="X"," ",IF(F152&lt;&gt;0,F152*G$2/(100+G$2)," "))</f>
        <v> </v>
      </c>
      <c r="H152" s="123" t="str">
        <f aca="false">IF((F152&lt;&gt;0),F152-G152," ")</f>
        <v> </v>
      </c>
    </row>
    <row r="153" customFormat="false" ht="12.75" hidden="false" customHeight="false" outlineLevel="0" collapsed="false">
      <c r="E153" s="119"/>
      <c r="G153" s="123" t="str">
        <f aca="false">IF(G$4="X"," ",IF(F153&lt;&gt;0,F153*G$2/(100+G$2)," "))</f>
        <v> </v>
      </c>
      <c r="H153" s="123" t="str">
        <f aca="false">IF((F153&lt;&gt;0),F153-G153," ")</f>
        <v> </v>
      </c>
    </row>
    <row r="154" customFormat="false" ht="12.75" hidden="false" customHeight="false" outlineLevel="0" collapsed="false">
      <c r="E154" s="119"/>
      <c r="G154" s="123" t="str">
        <f aca="false">IF(G$4="X"," ",IF(F154&lt;&gt;0,F154*G$2/(100+G$2)," "))</f>
        <v> </v>
      </c>
      <c r="H154" s="123" t="str">
        <f aca="false">IF((F154&lt;&gt;0),F154-G154," ")</f>
        <v> </v>
      </c>
    </row>
    <row r="155" customFormat="false" ht="12.75" hidden="false" customHeight="false" outlineLevel="0" collapsed="false">
      <c r="E155" s="119"/>
      <c r="G155" s="123" t="str">
        <f aca="false">IF(G$4="X"," ",IF(F155&lt;&gt;0,F155*G$2/(100+G$2)," "))</f>
        <v> </v>
      </c>
      <c r="H155" s="123" t="str">
        <f aca="false">IF((F155&lt;&gt;0),F155-G155," ")</f>
        <v> </v>
      </c>
    </row>
    <row r="156" customFormat="false" ht="12.75" hidden="false" customHeight="false" outlineLevel="0" collapsed="false">
      <c r="E156" s="119"/>
      <c r="G156" s="123" t="str">
        <f aca="false">IF(G$4="X"," ",IF(F156&lt;&gt;0,F156*G$2/(100+G$2)," "))</f>
        <v> </v>
      </c>
      <c r="H156" s="123" t="str">
        <f aca="false">IF((F156&lt;&gt;0),F156-G156," ")</f>
        <v> </v>
      </c>
    </row>
    <row r="157" customFormat="false" ht="12.75" hidden="false" customHeight="false" outlineLevel="0" collapsed="false">
      <c r="E157" s="119"/>
      <c r="G157" s="123" t="str">
        <f aca="false">IF(G$4="X"," ",IF(F157&lt;&gt;0,F157*G$2/(100+G$2)," "))</f>
        <v> </v>
      </c>
      <c r="H157" s="123" t="str">
        <f aca="false">IF((F157&lt;&gt;0),F157-G157," ")</f>
        <v> </v>
      </c>
    </row>
    <row r="158" customFormat="false" ht="12.75" hidden="false" customHeight="false" outlineLevel="0" collapsed="false">
      <c r="E158" s="119"/>
      <c r="G158" s="123" t="str">
        <f aca="false">IF(G$4="X"," ",IF(F158&lt;&gt;0,F158*G$2/(100+G$2)," "))</f>
        <v> </v>
      </c>
      <c r="H158" s="123" t="str">
        <f aca="false">IF((F158&lt;&gt;0),F158-G158," ")</f>
        <v> </v>
      </c>
    </row>
    <row r="159" customFormat="false" ht="12.75" hidden="false" customHeight="false" outlineLevel="0" collapsed="false">
      <c r="E159" s="119"/>
      <c r="G159" s="123" t="str">
        <f aca="false">IF(G$4="X"," ",IF(F159&lt;&gt;0,F159*G$2/(100+G$2)," "))</f>
        <v> </v>
      </c>
      <c r="H159" s="123" t="str">
        <f aca="false">IF((F159&lt;&gt;0),F159-G159," ")</f>
        <v> </v>
      </c>
    </row>
    <row r="160" customFormat="false" ht="12.75" hidden="false" customHeight="false" outlineLevel="0" collapsed="false">
      <c r="E160" s="119"/>
      <c r="G160" s="123" t="str">
        <f aca="false">IF(G$4="X"," ",IF(F160&lt;&gt;0,F160*G$2/(100+G$2)," "))</f>
        <v> </v>
      </c>
      <c r="H160" s="123" t="str">
        <f aca="false">IF((F160&lt;&gt;0),F160-G160," ")</f>
        <v> </v>
      </c>
    </row>
    <row r="161" customFormat="false" ht="12.75" hidden="false" customHeight="false" outlineLevel="0" collapsed="false">
      <c r="E161" s="119"/>
      <c r="G161" s="123" t="str">
        <f aca="false">IF(G$4="X"," ",IF(F161&lt;&gt;0,F161*G$2/(100+G$2)," "))</f>
        <v> </v>
      </c>
      <c r="H161" s="123" t="str">
        <f aca="false">IF((F161&lt;&gt;0),F161-G161," ")</f>
        <v> </v>
      </c>
    </row>
    <row r="162" customFormat="false" ht="12.75" hidden="false" customHeight="false" outlineLevel="0" collapsed="false">
      <c r="E162" s="119"/>
      <c r="G162" s="123" t="str">
        <f aca="false">IF(G$4="X"," ",IF(F162&lt;&gt;0,F162*G$2/(100+G$2)," "))</f>
        <v> </v>
      </c>
      <c r="H162" s="123" t="str">
        <f aca="false">IF((F162&lt;&gt;0),F162-G162," ")</f>
        <v> </v>
      </c>
    </row>
    <row r="163" customFormat="false" ht="12.75" hidden="false" customHeight="false" outlineLevel="0" collapsed="false">
      <c r="E163" s="119"/>
      <c r="G163" s="123" t="str">
        <f aca="false">IF(G$4="X"," ",IF(F163&lt;&gt;0,F163*G$2/(100+G$2)," "))</f>
        <v> </v>
      </c>
      <c r="H163" s="123" t="str">
        <f aca="false">IF((F163&lt;&gt;0),F163-G163," ")</f>
        <v> </v>
      </c>
    </row>
    <row r="164" customFormat="false" ht="12.75" hidden="false" customHeight="false" outlineLevel="0" collapsed="false">
      <c r="E164" s="119"/>
      <c r="G164" s="123" t="str">
        <f aca="false">IF(G$4="X"," ",IF(F164&lt;&gt;0,F164*G$2/(100+G$2)," "))</f>
        <v> </v>
      </c>
      <c r="H164" s="123" t="str">
        <f aca="false">IF((F164&lt;&gt;0),F164-G164," ")</f>
        <v> </v>
      </c>
    </row>
    <row r="165" customFormat="false" ht="12.75" hidden="false" customHeight="false" outlineLevel="0" collapsed="false">
      <c r="E165" s="119"/>
      <c r="G165" s="123" t="str">
        <f aca="false">IF(G$4="X"," ",IF(F165&lt;&gt;0,F165*G$2/(100+G$2)," "))</f>
        <v> </v>
      </c>
      <c r="H165" s="123" t="str">
        <f aca="false">IF((F165&lt;&gt;0),F165-G165," ")</f>
        <v> </v>
      </c>
    </row>
    <row r="166" customFormat="false" ht="12.75" hidden="false" customHeight="false" outlineLevel="0" collapsed="false">
      <c r="E166" s="119"/>
      <c r="G166" s="123" t="str">
        <f aca="false">IF(G$4="X"," ",IF(F166&lt;&gt;0,F166*G$2/(100+G$2)," "))</f>
        <v> </v>
      </c>
      <c r="H166" s="123" t="str">
        <f aca="false">IF((F166&lt;&gt;0),F166-G166," ")</f>
        <v> </v>
      </c>
    </row>
    <row r="167" customFormat="false" ht="12.75" hidden="false" customHeight="false" outlineLevel="0" collapsed="false">
      <c r="E167" s="119"/>
      <c r="G167" s="123" t="str">
        <f aca="false">IF(G$4="X"," ",IF(F167&lt;&gt;0,F167*G$2/(100+G$2)," "))</f>
        <v> </v>
      </c>
      <c r="H167" s="123" t="str">
        <f aca="false">IF((F167&lt;&gt;0),F167-G167," ")</f>
        <v> </v>
      </c>
    </row>
    <row r="168" customFormat="false" ht="12.75" hidden="false" customHeight="false" outlineLevel="0" collapsed="false">
      <c r="E168" s="119"/>
      <c r="G168" s="123" t="str">
        <f aca="false">IF(G$4="X"," ",IF(F168&lt;&gt;0,F168*G$2/(100+G$2)," "))</f>
        <v> </v>
      </c>
      <c r="H168" s="123" t="str">
        <f aca="false">IF((F168&lt;&gt;0),F168-G168," ")</f>
        <v> </v>
      </c>
    </row>
    <row r="169" customFormat="false" ht="12.75" hidden="false" customHeight="false" outlineLevel="0" collapsed="false">
      <c r="E169" s="119"/>
      <c r="G169" s="123" t="str">
        <f aca="false">IF(G$4="X"," ",IF(F169&lt;&gt;0,F169*G$2/(100+G$2)," "))</f>
        <v> </v>
      </c>
      <c r="H169" s="123" t="str">
        <f aca="false">IF((F169&lt;&gt;0),F169-G169," ")</f>
        <v> </v>
      </c>
    </row>
    <row r="170" customFormat="false" ht="12.75" hidden="false" customHeight="false" outlineLevel="0" collapsed="false">
      <c r="E170" s="119"/>
      <c r="G170" s="123" t="str">
        <f aca="false">IF(G$4="X"," ",IF(F170&lt;&gt;0,F170*G$2/(100+G$2)," "))</f>
        <v> </v>
      </c>
      <c r="H170" s="123" t="str">
        <f aca="false">IF((F170&lt;&gt;0),F170-G170," ")</f>
        <v> </v>
      </c>
    </row>
    <row r="171" customFormat="false" ht="12.75" hidden="false" customHeight="false" outlineLevel="0" collapsed="false">
      <c r="E171" s="119"/>
      <c r="G171" s="123" t="str">
        <f aca="false">IF(G$4="X"," ",IF(F171&lt;&gt;0,F171*G$2/(100+G$2)," "))</f>
        <v> </v>
      </c>
      <c r="H171" s="123" t="str">
        <f aca="false">IF((F171&lt;&gt;0),F171-G171," ")</f>
        <v> </v>
      </c>
    </row>
    <row r="172" customFormat="false" ht="12.75" hidden="false" customHeight="false" outlineLevel="0" collapsed="false">
      <c r="E172" s="119"/>
      <c r="G172" s="123" t="str">
        <f aca="false">IF(G$4="X"," ",IF(F172&lt;&gt;0,F172*G$2/(100+G$2)," "))</f>
        <v> </v>
      </c>
      <c r="H172" s="123" t="str">
        <f aca="false">IF((F172&lt;&gt;0),F172-G172," ")</f>
        <v> </v>
      </c>
    </row>
    <row r="173" customFormat="false" ht="12.75" hidden="false" customHeight="false" outlineLevel="0" collapsed="false">
      <c r="E173" s="119"/>
      <c r="G173" s="123" t="str">
        <f aca="false">IF(G$4="X"," ",IF(F173&lt;&gt;0,F173*G$2/(100+G$2)," "))</f>
        <v> </v>
      </c>
      <c r="H173" s="123" t="str">
        <f aca="false">IF((F173&lt;&gt;0),F173-G173," ")</f>
        <v> </v>
      </c>
    </row>
    <row r="174" customFormat="false" ht="12.75" hidden="false" customHeight="false" outlineLevel="0" collapsed="false">
      <c r="E174" s="119"/>
      <c r="G174" s="123" t="str">
        <f aca="false">IF(G$4="X"," ",IF(F174&lt;&gt;0,F174*G$2/(100+G$2)," "))</f>
        <v> </v>
      </c>
      <c r="H174" s="123" t="str">
        <f aca="false">IF((F174&lt;&gt;0),F174-G174," ")</f>
        <v> </v>
      </c>
    </row>
    <row r="175" customFormat="false" ht="12.75" hidden="false" customHeight="false" outlineLevel="0" collapsed="false">
      <c r="E175" s="119"/>
      <c r="G175" s="123" t="str">
        <f aca="false">IF(G$4="X"," ",IF(F175&lt;&gt;0,F175*G$2/(100+G$2)," "))</f>
        <v> </v>
      </c>
      <c r="H175" s="123" t="str">
        <f aca="false">IF((F175&lt;&gt;0),F175-G175," ")</f>
        <v> </v>
      </c>
    </row>
    <row r="176" customFormat="false" ht="12.75" hidden="false" customHeight="false" outlineLevel="0" collapsed="false">
      <c r="E176" s="119"/>
      <c r="G176" s="123" t="str">
        <f aca="false">IF(G$4="X"," ",IF(F176&lt;&gt;0,F176*G$2/(100+G$2)," "))</f>
        <v> </v>
      </c>
      <c r="H176" s="123" t="str">
        <f aca="false">IF((F176&lt;&gt;0),F176-G176," ")</f>
        <v> </v>
      </c>
    </row>
    <row r="177" customFormat="false" ht="12.75" hidden="false" customHeight="false" outlineLevel="0" collapsed="false">
      <c r="E177" s="119"/>
      <c r="G177" s="123" t="str">
        <f aca="false">IF(G$4="X"," ",IF(F177&lt;&gt;0,F177*G$2/(100+G$2)," "))</f>
        <v> </v>
      </c>
      <c r="H177" s="123" t="str">
        <f aca="false">IF((F177&lt;&gt;0),F177-G177," ")</f>
        <v> </v>
      </c>
    </row>
    <row r="178" customFormat="false" ht="12.75" hidden="false" customHeight="false" outlineLevel="0" collapsed="false">
      <c r="E178" s="119"/>
      <c r="G178" s="123" t="str">
        <f aca="false">IF(G$4="X"," ",IF(F178&lt;&gt;0,F178*G$2/(100+G$2)," "))</f>
        <v> </v>
      </c>
      <c r="H178" s="123" t="str">
        <f aca="false">IF((F178&lt;&gt;0),F178-G178," ")</f>
        <v> </v>
      </c>
    </row>
    <row r="179" customFormat="false" ht="12.75" hidden="false" customHeight="false" outlineLevel="0" collapsed="false">
      <c r="E179" s="119"/>
      <c r="G179" s="123" t="str">
        <f aca="false">IF(G$4="X"," ",IF(F179&lt;&gt;0,F179*G$2/(100+G$2)," "))</f>
        <v> </v>
      </c>
      <c r="H179" s="123" t="str">
        <f aca="false">IF((F179&lt;&gt;0),F179-G179," ")</f>
        <v> </v>
      </c>
    </row>
    <row r="180" customFormat="false" ht="12.75" hidden="false" customHeight="false" outlineLevel="0" collapsed="false">
      <c r="E180" s="119"/>
      <c r="G180" s="123" t="str">
        <f aca="false">IF(G$4="X"," ",IF(F180&lt;&gt;0,F180*G$2/(100+G$2)," "))</f>
        <v> </v>
      </c>
      <c r="H180" s="123" t="str">
        <f aca="false">IF((F180&lt;&gt;0),F180-G180," ")</f>
        <v> </v>
      </c>
    </row>
    <row r="181" customFormat="false" ht="12.75" hidden="false" customHeight="false" outlineLevel="0" collapsed="false">
      <c r="E181" s="119"/>
      <c r="G181" s="123" t="str">
        <f aca="false">IF(G$4="X"," ",IF(F181&lt;&gt;0,F181*G$2/(100+G$2)," "))</f>
        <v> </v>
      </c>
      <c r="H181" s="123" t="str">
        <f aca="false">IF((F181&lt;&gt;0),F181-G181," ")</f>
        <v> </v>
      </c>
    </row>
    <row r="182" customFormat="false" ht="12.75" hidden="false" customHeight="false" outlineLevel="0" collapsed="false">
      <c r="E182" s="119"/>
      <c r="G182" s="123" t="str">
        <f aca="false">IF(G$4="X"," ",IF(F182&lt;&gt;0,F182*G$2/(100+G$2)," "))</f>
        <v> </v>
      </c>
      <c r="H182" s="123" t="str">
        <f aca="false">IF((F182&lt;&gt;0),F182-G182," ")</f>
        <v> </v>
      </c>
    </row>
    <row r="183" customFormat="false" ht="12.75" hidden="false" customHeight="false" outlineLevel="0" collapsed="false">
      <c r="E183" s="119"/>
      <c r="G183" s="123" t="str">
        <f aca="false">IF(G$4="X"," ",IF(F183&lt;&gt;0,F183*G$2/(100+G$2)," "))</f>
        <v> </v>
      </c>
      <c r="H183" s="123" t="str">
        <f aca="false">IF((F183&lt;&gt;0),F183-G183," ")</f>
        <v> </v>
      </c>
    </row>
    <row r="184" customFormat="false" ht="12.75" hidden="false" customHeight="false" outlineLevel="0" collapsed="false">
      <c r="E184" s="119"/>
      <c r="G184" s="123" t="str">
        <f aca="false">IF(G$4="X"," ",IF(F184&lt;&gt;0,F184*G$2/(100+G$2)," "))</f>
        <v> </v>
      </c>
      <c r="H184" s="123" t="str">
        <f aca="false">IF((F184&lt;&gt;0),F184-G184," ")</f>
        <v> </v>
      </c>
    </row>
    <row r="185" customFormat="false" ht="12.75" hidden="false" customHeight="false" outlineLevel="0" collapsed="false">
      <c r="E185" s="119"/>
      <c r="G185" s="123" t="str">
        <f aca="false">IF(G$4="X"," ",IF(F185&lt;&gt;0,F185*G$2/(100+G$2)," "))</f>
        <v> </v>
      </c>
      <c r="H185" s="123" t="str">
        <f aca="false">IF((F185&lt;&gt;0),F185-G185," ")</f>
        <v> </v>
      </c>
    </row>
    <row r="186" customFormat="false" ht="12.75" hidden="false" customHeight="false" outlineLevel="0" collapsed="false">
      <c r="E186" s="119"/>
      <c r="G186" s="123" t="str">
        <f aca="false">IF(G$4="X"," ",IF(F186&lt;&gt;0,F186*G$2/(100+G$2)," "))</f>
        <v> </v>
      </c>
      <c r="H186" s="123" t="str">
        <f aca="false">IF((F186&lt;&gt;0),F186-G186," ")</f>
        <v> </v>
      </c>
    </row>
    <row r="187" customFormat="false" ht="12.75" hidden="false" customHeight="false" outlineLevel="0" collapsed="false">
      <c r="E187" s="119"/>
      <c r="G187" s="123" t="str">
        <f aca="false">IF(G$4="X"," ",IF(F187&lt;&gt;0,F187*G$2/(100+G$2)," "))</f>
        <v> </v>
      </c>
      <c r="H187" s="123" t="str">
        <f aca="false">IF((F187&lt;&gt;0),F187-G187," ")</f>
        <v> </v>
      </c>
    </row>
    <row r="188" customFormat="false" ht="12.75" hidden="false" customHeight="false" outlineLevel="0" collapsed="false">
      <c r="E188" s="119"/>
      <c r="G188" s="123" t="str">
        <f aca="false">IF(G$4="X"," ",IF(F188&lt;&gt;0,F188*G$2/(100+G$2)," "))</f>
        <v> </v>
      </c>
      <c r="H188" s="123" t="str">
        <f aca="false">IF((F188&lt;&gt;0),F188-G188," ")</f>
        <v> </v>
      </c>
    </row>
    <row r="189" customFormat="false" ht="12.75" hidden="false" customHeight="false" outlineLevel="0" collapsed="false">
      <c r="E189" s="119"/>
      <c r="G189" s="123" t="str">
        <f aca="false">IF(G$4="X"," ",IF(F189&lt;&gt;0,F189*G$2/(100+G$2)," "))</f>
        <v> </v>
      </c>
      <c r="H189" s="123" t="str">
        <f aca="false">IF((F189&lt;&gt;0),F189-G189," ")</f>
        <v> </v>
      </c>
    </row>
    <row r="190" customFormat="false" ht="12.75" hidden="false" customHeight="false" outlineLevel="0" collapsed="false">
      <c r="E190" s="119"/>
      <c r="G190" s="123" t="str">
        <f aca="false">IF(G$4="X"," ",IF(F190&lt;&gt;0,F190*G$2/(100+G$2)," "))</f>
        <v> </v>
      </c>
      <c r="H190" s="123" t="str">
        <f aca="false">IF((F190&lt;&gt;0),F190-G190," ")</f>
        <v> </v>
      </c>
    </row>
    <row r="191" customFormat="false" ht="12.75" hidden="false" customHeight="false" outlineLevel="0" collapsed="false">
      <c r="E191" s="119"/>
      <c r="G191" s="123" t="str">
        <f aca="false">IF(G$4="X"," ",IF(F191&lt;&gt;0,F191*G$2/(100+G$2)," "))</f>
        <v> </v>
      </c>
      <c r="H191" s="123" t="str">
        <f aca="false">IF((F191&lt;&gt;0),F191-G191," ")</f>
        <v> </v>
      </c>
    </row>
    <row r="192" customFormat="false" ht="12.75" hidden="false" customHeight="false" outlineLevel="0" collapsed="false">
      <c r="E192" s="119"/>
      <c r="G192" s="123" t="str">
        <f aca="false">IF(G$4="X"," ",IF(F192&lt;&gt;0,F192*G$2/(100+G$2)," "))</f>
        <v> </v>
      </c>
      <c r="H192" s="123" t="str">
        <f aca="false">IF((F192&lt;&gt;0),F192-G192," ")</f>
        <v> </v>
      </c>
    </row>
    <row r="193" customFormat="false" ht="12.75" hidden="false" customHeight="false" outlineLevel="0" collapsed="false">
      <c r="E193" s="119"/>
      <c r="G193" s="123" t="str">
        <f aca="false">IF(G$4="X"," ",IF(F193&lt;&gt;0,F193*G$2/(100+G$2)," "))</f>
        <v> </v>
      </c>
      <c r="H193" s="123" t="str">
        <f aca="false">IF((F193&lt;&gt;0),F193-G193," ")</f>
        <v> </v>
      </c>
    </row>
    <row r="194" customFormat="false" ht="12.75" hidden="false" customHeight="false" outlineLevel="0" collapsed="false">
      <c r="E194" s="119"/>
      <c r="G194" s="123" t="str">
        <f aca="false">IF(G$4="X"," ",IF(F194&lt;&gt;0,F194*G$2/(100+G$2)," "))</f>
        <v> </v>
      </c>
      <c r="H194" s="123" t="str">
        <f aca="false">IF((F194&lt;&gt;0),F194-G194," ")</f>
        <v> </v>
      </c>
    </row>
    <row r="195" customFormat="false" ht="12.75" hidden="false" customHeight="false" outlineLevel="0" collapsed="false">
      <c r="E195" s="119"/>
      <c r="G195" s="123" t="str">
        <f aca="false">IF(G$4="X"," ",IF(F195&lt;&gt;0,F195*G$2/(100+G$2)," "))</f>
        <v> </v>
      </c>
      <c r="H195" s="123" t="str">
        <f aca="false">IF((F195&lt;&gt;0),F195-G195," ")</f>
        <v> </v>
      </c>
    </row>
    <row r="196" customFormat="false" ht="12.75" hidden="false" customHeight="false" outlineLevel="0" collapsed="false">
      <c r="E196" s="119"/>
      <c r="G196" s="123" t="str">
        <f aca="false">IF(G$4="X"," ",IF(F196&lt;&gt;0,F196*G$2/(100+G$2)," "))</f>
        <v> </v>
      </c>
      <c r="H196" s="123" t="str">
        <f aca="false">IF((F196&lt;&gt;0),F196-G196," ")</f>
        <v> </v>
      </c>
    </row>
    <row r="197" customFormat="false" ht="12.75" hidden="false" customHeight="false" outlineLevel="0" collapsed="false">
      <c r="E197" s="119"/>
      <c r="G197" s="123" t="str">
        <f aca="false">IF(G$4="X"," ",IF(F197&lt;&gt;0,F197*G$2/(100+G$2)," "))</f>
        <v> </v>
      </c>
      <c r="H197" s="123" t="str">
        <f aca="false">IF((F197&lt;&gt;0),F197-G197," ")</f>
        <v> </v>
      </c>
    </row>
    <row r="198" customFormat="false" ht="12.75" hidden="false" customHeight="false" outlineLevel="0" collapsed="false">
      <c r="E198" s="119"/>
      <c r="G198" s="123" t="str">
        <f aca="false">IF(G$4="X"," ",IF(F198&lt;&gt;0,F198*G$2/(100+G$2)," "))</f>
        <v> </v>
      </c>
      <c r="H198" s="123" t="str">
        <f aca="false">IF((F198&lt;&gt;0),F198-G198," ")</f>
        <v> </v>
      </c>
    </row>
    <row r="199" customFormat="false" ht="12.75" hidden="false" customHeight="false" outlineLevel="0" collapsed="false">
      <c r="E199" s="119"/>
      <c r="G199" s="123" t="str">
        <f aca="false">IF(G$4="X"," ",IF(F199&lt;&gt;0,F199*G$2/(100+G$2)," "))</f>
        <v> </v>
      </c>
      <c r="H199" s="123" t="str">
        <f aca="false">IF((F199&lt;&gt;0),F199-G199," ")</f>
        <v> </v>
      </c>
    </row>
    <row r="200" customFormat="false" ht="12.75" hidden="false" customHeight="false" outlineLevel="0" collapsed="false">
      <c r="A200" s="132"/>
      <c r="B200" s="133"/>
      <c r="C200" s="134"/>
      <c r="D200" s="135"/>
      <c r="E200" s="133"/>
      <c r="F200" s="136"/>
      <c r="G200" s="136" t="str">
        <f aca="false">IF(G$4="X"," ",IF(F200&lt;&gt;0,F200*G$2/(100+G$2)," "))</f>
        <v> </v>
      </c>
      <c r="H200" s="136" t="str">
        <f aca="false">IF((F200&lt;&gt;0),F200-G200," ")</f>
        <v> </v>
      </c>
    </row>
    <row r="201" customFormat="false" ht="12.75" hidden="false" customHeight="false" outlineLevel="0" collapsed="false">
      <c r="A201" s="98" t="s">
        <v>38</v>
      </c>
      <c r="G201" s="123" t="e">
        <f aca="false">NA()</f>
        <v>#N/A</v>
      </c>
    </row>
  </sheetData>
  <mergeCells count="10">
    <mergeCell ref="A1:C1"/>
    <mergeCell ref="D1:E1"/>
    <mergeCell ref="A2:A4"/>
    <mergeCell ref="B2:B4"/>
    <mergeCell ref="C2:C4"/>
    <mergeCell ref="D2:D4"/>
    <mergeCell ref="E2:E4"/>
    <mergeCell ref="F2:F4"/>
    <mergeCell ref="H2:H4"/>
    <mergeCell ref="G3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8" width="8.82"/>
    <col collapsed="false" customWidth="true" hidden="false" outlineLevel="0" max="2" min="2" style="119" width="19.66"/>
    <col collapsed="false" customWidth="true" hidden="false" outlineLevel="0" max="3" min="3" style="120" width="12.66"/>
    <col collapsed="false" customWidth="true" hidden="false" outlineLevel="0" max="4" min="4" style="121" width="14.66"/>
    <col collapsed="false" customWidth="true" hidden="false" outlineLevel="0" max="5" min="5" style="122" width="5.66"/>
    <col collapsed="false" customWidth="true" hidden="false" outlineLevel="0" max="6" min="6" style="123" width="10.5"/>
    <col collapsed="false" customWidth="true" hidden="false" outlineLevel="0" max="7" min="7" style="123" width="9.66"/>
    <col collapsed="false" customWidth="true" hidden="false" outlineLevel="0" max="8" min="8" style="123" width="10.66"/>
    <col collapsed="false" customWidth="false" hidden="false" outlineLevel="0" max="257" min="9" style="119" width="9.15"/>
  </cols>
  <sheetData>
    <row r="1" s="102" customFormat="true" ht="15" hidden="false" customHeight="true" outlineLevel="0" collapsed="false">
      <c r="A1" s="103" t="s">
        <v>29</v>
      </c>
      <c r="B1" s="103"/>
      <c r="C1" s="103"/>
      <c r="D1" s="105" t="s">
        <v>30</v>
      </c>
      <c r="E1" s="105"/>
      <c r="F1" s="105" t="n">
        <f aca="false">SUM(F5:F200)</f>
        <v>0</v>
      </c>
      <c r="G1" s="105" t="n">
        <f aca="false">SUM(G5:G200)</f>
        <v>0</v>
      </c>
      <c r="H1" s="105" t="n">
        <f aca="false">SUM(H5:H200)</f>
        <v>0</v>
      </c>
    </row>
    <row r="2" s="127" customFormat="true" ht="12" hidden="false" customHeight="true" outlineLevel="0" collapsed="false">
      <c r="A2" s="107" t="s">
        <v>39</v>
      </c>
      <c r="B2" s="108" t="str">
        <f aca="false">IF((H1-SUM(O1:AK1)&lt;&gt;0),"COMPLETE EXPENSE ANALYSIS by inserting expense letter in col F","Supplier")</f>
        <v>Supplier</v>
      </c>
      <c r="C2" s="110" t="s">
        <v>40</v>
      </c>
      <c r="D2" s="124" t="s">
        <v>41</v>
      </c>
      <c r="E2" s="125"/>
      <c r="F2" s="108" t="s">
        <v>42</v>
      </c>
      <c r="G2" s="126" t="n">
        <f aca="false">[3]OpeningCreditors!$G$2</f>
        <v>20</v>
      </c>
      <c r="H2" s="108" t="s">
        <v>43</v>
      </c>
    </row>
    <row r="3" s="128" customFormat="true" ht="12" hidden="false" customHeight="true" outlineLevel="0" collapsed="false">
      <c r="A3" s="107"/>
      <c r="B3" s="107"/>
      <c r="C3" s="107"/>
      <c r="D3" s="124"/>
      <c r="E3" s="125"/>
      <c r="F3" s="108"/>
      <c r="G3" s="108" t="s">
        <v>44</v>
      </c>
      <c r="H3" s="108"/>
    </row>
    <row r="4" customFormat="false" ht="12.75" hidden="false" customHeight="false" outlineLevel="0" collapsed="false">
      <c r="A4" s="107"/>
      <c r="B4" s="107"/>
      <c r="C4" s="107"/>
      <c r="D4" s="124"/>
      <c r="E4" s="125"/>
      <c r="F4" s="108"/>
      <c r="G4" s="108"/>
      <c r="H4" s="108"/>
    </row>
    <row r="5" customFormat="false" ht="12.75" hidden="false" customHeight="false" outlineLevel="0" collapsed="false">
      <c r="B5" s="122"/>
      <c r="C5" s="129"/>
      <c r="D5" s="122"/>
      <c r="E5" s="119"/>
      <c r="F5" s="130"/>
      <c r="G5" s="123" t="str">
        <f aca="false">IF(F5&lt;&gt;0,F5*G$2/(100+G$2)," ")</f>
        <v> </v>
      </c>
      <c r="H5" s="123" t="str">
        <f aca="false">IF((F5&lt;&gt;0),F5-G5," ")</f>
        <v> </v>
      </c>
    </row>
    <row r="6" customFormat="false" ht="12.75" hidden="false" customHeight="false" outlineLevel="0" collapsed="false">
      <c r="E6" s="119"/>
      <c r="G6" s="123" t="str">
        <f aca="false">IF(F6&lt;&gt;0,F6*G$2/(100+G$2)," ")</f>
        <v> </v>
      </c>
      <c r="H6" s="123" t="str">
        <f aca="false">IF((F6&lt;&gt;0),F6-G6," ")</f>
        <v> </v>
      </c>
    </row>
    <row r="7" customFormat="false" ht="12.75" hidden="false" customHeight="false" outlineLevel="0" collapsed="false">
      <c r="E7" s="119"/>
      <c r="G7" s="123" t="str">
        <f aca="false">IF(F7&lt;&gt;0,F7*G$2/(100+G$2)," ")</f>
        <v> </v>
      </c>
      <c r="H7" s="123" t="str">
        <f aca="false">IF((F7&lt;&gt;0),F7-G7," ")</f>
        <v> </v>
      </c>
    </row>
    <row r="8" customFormat="false" ht="12.75" hidden="false" customHeight="false" outlineLevel="0" collapsed="false">
      <c r="E8" s="119"/>
      <c r="G8" s="123" t="str">
        <f aca="false">IF(F8&lt;&gt;0,F8*G$2/(100+G$2)," ")</f>
        <v> </v>
      </c>
      <c r="H8" s="123" t="str">
        <f aca="false">IF((F8&lt;&gt;0),F8-G8," ")</f>
        <v> </v>
      </c>
    </row>
    <row r="9" customFormat="false" ht="12.75" hidden="false" customHeight="false" outlineLevel="0" collapsed="false">
      <c r="E9" s="119"/>
      <c r="G9" s="123" t="str">
        <f aca="false">IF(F9&lt;&gt;0,F9*G$2/(100+G$2)," ")</f>
        <v> </v>
      </c>
      <c r="H9" s="123" t="str">
        <f aca="false">IF((F9&lt;&gt;0),F9-G9," ")</f>
        <v> </v>
      </c>
    </row>
    <row r="10" customFormat="false" ht="12.75" hidden="false" customHeight="false" outlineLevel="0" collapsed="false">
      <c r="E10" s="119"/>
      <c r="G10" s="123" t="str">
        <f aca="false">IF(F10&lt;&gt;0,F10*G$2/(100+G$2)," ")</f>
        <v> </v>
      </c>
      <c r="H10" s="123" t="str">
        <f aca="false">IF((F10&lt;&gt;0),F10-G10," ")</f>
        <v> </v>
      </c>
    </row>
    <row r="11" customFormat="false" ht="12.75" hidden="false" customHeight="false" outlineLevel="0" collapsed="false">
      <c r="E11" s="119"/>
      <c r="G11" s="123" t="str">
        <f aca="false">IF(F11&lt;&gt;0,F11*G$2/(100+G$2)," ")</f>
        <v> </v>
      </c>
      <c r="H11" s="123" t="str">
        <f aca="false">IF((F11&lt;&gt;0),F11-G11," ")</f>
        <v> </v>
      </c>
    </row>
    <row r="12" customFormat="false" ht="12.75" hidden="false" customHeight="false" outlineLevel="0" collapsed="false">
      <c r="E12" s="119"/>
      <c r="G12" s="123" t="str">
        <f aca="false">IF(F12&lt;&gt;0,F12*G$2/(100+G$2)," ")</f>
        <v> </v>
      </c>
      <c r="H12" s="123" t="str">
        <f aca="false">IF((F12&lt;&gt;0),F12-G12," ")</f>
        <v> </v>
      </c>
    </row>
    <row r="13" customFormat="false" ht="12.75" hidden="false" customHeight="false" outlineLevel="0" collapsed="false">
      <c r="E13" s="119"/>
      <c r="G13" s="123" t="str">
        <f aca="false">IF(F13&lt;&gt;0,F13*G$2/(100+G$2)," ")</f>
        <v> </v>
      </c>
      <c r="H13" s="123" t="str">
        <f aca="false">IF((F13&lt;&gt;0),F13-G13," ")</f>
        <v> </v>
      </c>
    </row>
    <row r="14" customFormat="false" ht="12.75" hidden="false" customHeight="false" outlineLevel="0" collapsed="false">
      <c r="E14" s="119"/>
      <c r="G14" s="123" t="str">
        <f aca="false">IF(F14&lt;&gt;0,F14*G$2/(100+G$2)," ")</f>
        <v> </v>
      </c>
      <c r="H14" s="123" t="str">
        <f aca="false">IF((F14&lt;&gt;0),F14-G14," ")</f>
        <v> </v>
      </c>
    </row>
    <row r="15" customFormat="false" ht="12.75" hidden="false" customHeight="false" outlineLevel="0" collapsed="false">
      <c r="E15" s="119"/>
      <c r="G15" s="123" t="str">
        <f aca="false">IF(G$4="X"," ",IF(F15&lt;&gt;0,F15*G$2/(100+G$2)," "))</f>
        <v> </v>
      </c>
      <c r="H15" s="123" t="str">
        <f aca="false">IF((F15&lt;&gt;0),F15-G15," ")</f>
        <v> </v>
      </c>
    </row>
    <row r="16" customFormat="false" ht="12.75" hidden="false" customHeight="false" outlineLevel="0" collapsed="false">
      <c r="E16" s="119"/>
      <c r="G16" s="123" t="str">
        <f aca="false">IF(G$4="X"," ",IF(F16&lt;&gt;0,F16*G$2/(100+G$2)," "))</f>
        <v> </v>
      </c>
      <c r="H16" s="123" t="str">
        <f aca="false">IF((F16&lt;&gt;0),F16-G16," ")</f>
        <v> </v>
      </c>
    </row>
    <row r="17" customFormat="false" ht="12.75" hidden="false" customHeight="false" outlineLevel="0" collapsed="false">
      <c r="E17" s="119"/>
      <c r="G17" s="123" t="str">
        <f aca="false">IF(G$4="X"," ",IF(F17&lt;&gt;0,F17*G$2/(100+G$2)," "))</f>
        <v> </v>
      </c>
      <c r="H17" s="123" t="str">
        <f aca="false">IF((F17&lt;&gt;0),F17-G17," ")</f>
        <v> </v>
      </c>
    </row>
    <row r="18" customFormat="false" ht="12.75" hidden="false" customHeight="false" outlineLevel="0" collapsed="false">
      <c r="E18" s="119"/>
      <c r="G18" s="123" t="str">
        <f aca="false">IF(G$4="X"," ",IF(F18&lt;&gt;0,F18*G$2/(100+G$2)," "))</f>
        <v> </v>
      </c>
      <c r="H18" s="123" t="str">
        <f aca="false">IF((F18&lt;&gt;0),F18-G18," ")</f>
        <v> </v>
      </c>
    </row>
    <row r="19" customFormat="false" ht="12.75" hidden="false" customHeight="false" outlineLevel="0" collapsed="false">
      <c r="E19" s="119"/>
      <c r="G19" s="123" t="str">
        <f aca="false">IF(G$4="X"," ",IF(F19&lt;&gt;0,F19*G$2/(100+G$2)," "))</f>
        <v> </v>
      </c>
      <c r="H19" s="123" t="str">
        <f aca="false">IF((F19&lt;&gt;0),F19-G19," ")</f>
        <v> </v>
      </c>
    </row>
    <row r="20" customFormat="false" ht="12.75" hidden="false" customHeight="false" outlineLevel="0" collapsed="false">
      <c r="E20" s="119"/>
      <c r="G20" s="123" t="str">
        <f aca="false">IF(G$4="X"," ",IF(F20&lt;&gt;0,F20*G$2/(100+G$2)," "))</f>
        <v> </v>
      </c>
      <c r="H20" s="123" t="str">
        <f aca="false">IF((F20&lt;&gt;0),F20-G20," ")</f>
        <v> </v>
      </c>
    </row>
    <row r="21" customFormat="false" ht="12.75" hidden="false" customHeight="false" outlineLevel="0" collapsed="false">
      <c r="E21" s="119"/>
      <c r="G21" s="123" t="str">
        <f aca="false">IF(G$4="X"," ",IF(F21&lt;&gt;0,F21*G$2/(100+G$2)," "))</f>
        <v> </v>
      </c>
      <c r="H21" s="123" t="str">
        <f aca="false">IF((F21&lt;&gt;0),F21-G21," ")</f>
        <v> </v>
      </c>
    </row>
    <row r="22" customFormat="false" ht="12.75" hidden="false" customHeight="false" outlineLevel="0" collapsed="false">
      <c r="D22" s="119"/>
      <c r="E22" s="119"/>
      <c r="G22" s="123" t="str">
        <f aca="false">IF(G$4="X"," ",IF(F22&lt;&gt;0,F22*G$2/(100+G$2)," "))</f>
        <v> </v>
      </c>
      <c r="H22" s="123" t="str">
        <f aca="false">IF((F22&lt;&gt;0),F22-G22," ")</f>
        <v> </v>
      </c>
    </row>
    <row r="23" customFormat="false" ht="12.75" hidden="false" customHeight="false" outlineLevel="0" collapsed="false">
      <c r="D23" s="131"/>
      <c r="E23" s="119"/>
      <c r="G23" s="123" t="str">
        <f aca="false">IF(G$4="X"," ",IF(F23&lt;&gt;0,F23*G$2/(100+G$2)," "))</f>
        <v> </v>
      </c>
      <c r="H23" s="123" t="str">
        <f aca="false">IF((F23&lt;&gt;0),F23-G23," ")</f>
        <v> </v>
      </c>
    </row>
    <row r="24" customFormat="false" ht="12.75" hidden="false" customHeight="false" outlineLevel="0" collapsed="false">
      <c r="E24" s="119"/>
      <c r="G24" s="123" t="str">
        <f aca="false">IF(G$4="X"," ",IF(F24&lt;&gt;0,F24*G$2/(100+G$2)," "))</f>
        <v> </v>
      </c>
      <c r="H24" s="123" t="str">
        <f aca="false">IF((F24&lt;&gt;0),F24-G24," ")</f>
        <v> </v>
      </c>
    </row>
    <row r="25" customFormat="false" ht="12.75" hidden="false" customHeight="false" outlineLevel="0" collapsed="false">
      <c r="E25" s="119"/>
      <c r="G25" s="123" t="str">
        <f aca="false">IF(G$4="X"," ",IF(F25&lt;&gt;0,F25*G$2/(100+G$2)," "))</f>
        <v> </v>
      </c>
      <c r="H25" s="123" t="str">
        <f aca="false">IF((F25&lt;&gt;0),F25-G25," ")</f>
        <v> </v>
      </c>
    </row>
    <row r="26" customFormat="false" ht="12.75" hidden="false" customHeight="false" outlineLevel="0" collapsed="false">
      <c r="E26" s="119"/>
      <c r="G26" s="123" t="str">
        <f aca="false">IF(G$4="X"," ",IF(F26&lt;&gt;0,F26*G$2/(100+G$2)," "))</f>
        <v> </v>
      </c>
      <c r="H26" s="123" t="str">
        <f aca="false">IF((F26&lt;&gt;0),F26-G26," ")</f>
        <v> </v>
      </c>
    </row>
    <row r="27" customFormat="false" ht="12.75" hidden="false" customHeight="false" outlineLevel="0" collapsed="false">
      <c r="E27" s="119"/>
      <c r="G27" s="123" t="str">
        <f aca="false">IF(G$4="X"," ",IF(F27&lt;&gt;0,F27*G$2/(100+G$2)," "))</f>
        <v> </v>
      </c>
      <c r="H27" s="123" t="str">
        <f aca="false">IF((F27&lt;&gt;0),F27-G27," ")</f>
        <v> </v>
      </c>
    </row>
    <row r="28" customFormat="false" ht="12.75" hidden="false" customHeight="false" outlineLevel="0" collapsed="false">
      <c r="E28" s="119"/>
      <c r="G28" s="123" t="str">
        <f aca="false">IF(G$4="X"," ",IF(F28&lt;&gt;0,F28*G$2/(100+G$2)," "))</f>
        <v> </v>
      </c>
      <c r="H28" s="123" t="str">
        <f aca="false">IF((F28&lt;&gt;0),F28-G28," ")</f>
        <v> </v>
      </c>
    </row>
    <row r="29" customFormat="false" ht="12.75" hidden="false" customHeight="false" outlineLevel="0" collapsed="false">
      <c r="E29" s="119"/>
      <c r="G29" s="123" t="str">
        <f aca="false">IF(G$4="X"," ",IF(F29&lt;&gt;0,F29*G$2/(100+G$2)," "))</f>
        <v> </v>
      </c>
      <c r="H29" s="123" t="str">
        <f aca="false">IF((F29&lt;&gt;0),F29-G29," ")</f>
        <v> </v>
      </c>
    </row>
    <row r="30" customFormat="false" ht="12.75" hidden="false" customHeight="false" outlineLevel="0" collapsed="false">
      <c r="E30" s="119"/>
      <c r="G30" s="123" t="str">
        <f aca="false">IF(G$4="X"," ",IF(F30&lt;&gt;0,F30*G$2/(100+G$2)," "))</f>
        <v> </v>
      </c>
      <c r="H30" s="123" t="str">
        <f aca="false">IF((F30&lt;&gt;0),F30-G30," ")</f>
        <v> </v>
      </c>
    </row>
    <row r="31" customFormat="false" ht="12.75" hidden="false" customHeight="false" outlineLevel="0" collapsed="false">
      <c r="E31" s="119"/>
      <c r="G31" s="123" t="str">
        <f aca="false">IF(G$4="X"," ",IF(F31&lt;&gt;0,F31*G$2/(100+G$2)," "))</f>
        <v> </v>
      </c>
      <c r="H31" s="123" t="str">
        <f aca="false">IF((F31&lt;&gt;0),F31-G31," ")</f>
        <v> </v>
      </c>
    </row>
    <row r="32" customFormat="false" ht="12.75" hidden="false" customHeight="false" outlineLevel="0" collapsed="false">
      <c r="E32" s="119"/>
      <c r="G32" s="123" t="str">
        <f aca="false">IF(G$4="X"," ",IF(F32&lt;&gt;0,F32*G$2/(100+G$2)," "))</f>
        <v> </v>
      </c>
      <c r="H32" s="123" t="str">
        <f aca="false">IF((F32&lt;&gt;0),F32-G32," ")</f>
        <v> </v>
      </c>
    </row>
    <row r="33" customFormat="false" ht="12.75" hidden="false" customHeight="false" outlineLevel="0" collapsed="false">
      <c r="E33" s="119"/>
      <c r="G33" s="123" t="str">
        <f aca="false">IF(G$4="X"," ",IF(F33&lt;&gt;0,F33*G$2/(100+G$2)," "))</f>
        <v> </v>
      </c>
      <c r="H33" s="123" t="str">
        <f aca="false">IF((F33&lt;&gt;0),F33-G33," ")</f>
        <v> </v>
      </c>
    </row>
    <row r="34" customFormat="false" ht="12.75" hidden="false" customHeight="false" outlineLevel="0" collapsed="false">
      <c r="E34" s="119"/>
      <c r="G34" s="123" t="str">
        <f aca="false">IF(G$4="X"," ",IF(F34&lt;&gt;0,F34*G$2/(100+G$2)," "))</f>
        <v> </v>
      </c>
      <c r="H34" s="123" t="str">
        <f aca="false">IF((F34&lt;&gt;0),F34-G34," ")</f>
        <v> </v>
      </c>
    </row>
    <row r="35" customFormat="false" ht="12.75" hidden="false" customHeight="false" outlineLevel="0" collapsed="false">
      <c r="E35" s="119"/>
      <c r="G35" s="123" t="str">
        <f aca="false">IF(G$4="X"," ",IF(F35&lt;&gt;0,F35*G$2/(100+G$2)," "))</f>
        <v> </v>
      </c>
      <c r="H35" s="123" t="str">
        <f aca="false">IF((F35&lt;&gt;0),F35-G35," ")</f>
        <v> </v>
      </c>
    </row>
    <row r="36" customFormat="false" ht="12.75" hidden="false" customHeight="false" outlineLevel="0" collapsed="false">
      <c r="E36" s="119"/>
      <c r="G36" s="123" t="str">
        <f aca="false">IF(G$4="X"," ",IF(F36&lt;&gt;0,F36*G$2/(100+G$2)," "))</f>
        <v> </v>
      </c>
      <c r="H36" s="123" t="str">
        <f aca="false">IF((F36&lt;&gt;0),F36-G36," ")</f>
        <v> </v>
      </c>
    </row>
    <row r="37" customFormat="false" ht="12.75" hidden="false" customHeight="false" outlineLevel="0" collapsed="false">
      <c r="E37" s="119"/>
      <c r="G37" s="123" t="str">
        <f aca="false">IF(G$4="X"," ",IF(F37&lt;&gt;0,F37*G$2/(100+G$2)," "))</f>
        <v> </v>
      </c>
      <c r="H37" s="123" t="str">
        <f aca="false">IF((F37&lt;&gt;0),F37-G37," ")</f>
        <v> </v>
      </c>
    </row>
    <row r="38" customFormat="false" ht="12.75" hidden="false" customHeight="false" outlineLevel="0" collapsed="false">
      <c r="E38" s="119"/>
      <c r="G38" s="123" t="str">
        <f aca="false">IF(G$4="X"," ",IF(F38&lt;&gt;0,F38*G$2/(100+G$2)," "))</f>
        <v> </v>
      </c>
      <c r="H38" s="123" t="str">
        <f aca="false">IF((F38&lt;&gt;0),F38-G38," ")</f>
        <v> </v>
      </c>
    </row>
    <row r="39" customFormat="false" ht="12.75" hidden="false" customHeight="false" outlineLevel="0" collapsed="false">
      <c r="E39" s="119"/>
      <c r="G39" s="123" t="str">
        <f aca="false">IF(G$4="X"," ",IF(F39&lt;&gt;0,F39*G$2/(100+G$2)," "))</f>
        <v> </v>
      </c>
      <c r="H39" s="123" t="str">
        <f aca="false">IF((F39&lt;&gt;0),F39-G39," ")</f>
        <v> </v>
      </c>
    </row>
    <row r="40" customFormat="false" ht="12.75" hidden="false" customHeight="false" outlineLevel="0" collapsed="false">
      <c r="E40" s="119"/>
      <c r="G40" s="123" t="str">
        <f aca="false">IF(G$4="X"," ",IF(F40&lt;&gt;0,F40*G$2/(100+G$2)," "))</f>
        <v> </v>
      </c>
      <c r="H40" s="123" t="str">
        <f aca="false">IF((F40&lt;&gt;0),F40-G40," ")</f>
        <v> </v>
      </c>
    </row>
    <row r="41" customFormat="false" ht="12.75" hidden="false" customHeight="false" outlineLevel="0" collapsed="false">
      <c r="E41" s="119"/>
      <c r="G41" s="123" t="str">
        <f aca="false">IF(G$4="X"," ",IF(F41&lt;&gt;0,F41*G$2/(100+G$2)," "))</f>
        <v> </v>
      </c>
      <c r="H41" s="123" t="str">
        <f aca="false">IF((F41&lt;&gt;0),F41-G41," ")</f>
        <v> </v>
      </c>
    </row>
    <row r="42" customFormat="false" ht="12.75" hidden="false" customHeight="false" outlineLevel="0" collapsed="false">
      <c r="E42" s="119"/>
      <c r="G42" s="123" t="str">
        <f aca="false">IF(G$4="X"," ",IF(F42&lt;&gt;0,F42*G$2/(100+G$2)," "))</f>
        <v> </v>
      </c>
      <c r="H42" s="123" t="str">
        <f aca="false">IF((F42&lt;&gt;0),F42-G42," ")</f>
        <v> </v>
      </c>
    </row>
    <row r="43" customFormat="false" ht="12.75" hidden="false" customHeight="false" outlineLevel="0" collapsed="false">
      <c r="E43" s="119"/>
      <c r="G43" s="123" t="str">
        <f aca="false">IF(G$4="X"," ",IF(F43&lt;&gt;0,F43*G$2/(100+G$2)," "))</f>
        <v> </v>
      </c>
      <c r="H43" s="123" t="str">
        <f aca="false">IF((F43&lt;&gt;0),F43-G43," ")</f>
        <v> </v>
      </c>
    </row>
    <row r="44" customFormat="false" ht="12.75" hidden="false" customHeight="false" outlineLevel="0" collapsed="false">
      <c r="E44" s="119"/>
      <c r="G44" s="123" t="str">
        <f aca="false">IF(G$4="X"," ",IF(F44&lt;&gt;0,F44*G$2/(100+G$2)," "))</f>
        <v> </v>
      </c>
      <c r="H44" s="123" t="str">
        <f aca="false">IF((F44&lt;&gt;0),F44-G44," ")</f>
        <v> </v>
      </c>
    </row>
    <row r="45" customFormat="false" ht="12.75" hidden="false" customHeight="false" outlineLevel="0" collapsed="false">
      <c r="E45" s="119"/>
      <c r="G45" s="123" t="str">
        <f aca="false">IF(G$4="X"," ",IF(F45&lt;&gt;0,F45*G$2/(100+G$2)," "))</f>
        <v> </v>
      </c>
      <c r="H45" s="123" t="str">
        <f aca="false">IF((F45&lt;&gt;0),F45-G45," ")</f>
        <v> </v>
      </c>
    </row>
    <row r="46" customFormat="false" ht="12.75" hidden="false" customHeight="false" outlineLevel="0" collapsed="false">
      <c r="E46" s="119"/>
      <c r="G46" s="123" t="str">
        <f aca="false">IF(G$4="X"," ",IF(F46&lt;&gt;0,F46*G$2/(100+G$2)," "))</f>
        <v> </v>
      </c>
      <c r="H46" s="123" t="str">
        <f aca="false">IF((F46&lt;&gt;0),F46-G46," ")</f>
        <v> </v>
      </c>
    </row>
    <row r="47" customFormat="false" ht="12.75" hidden="false" customHeight="false" outlineLevel="0" collapsed="false">
      <c r="E47" s="119"/>
      <c r="G47" s="123" t="str">
        <f aca="false">IF(G$4="X"," ",IF(F47&lt;&gt;0,F47*G$2/(100+G$2)," "))</f>
        <v> </v>
      </c>
      <c r="H47" s="123" t="str">
        <f aca="false">IF((F47&lt;&gt;0),F47-G47," ")</f>
        <v> </v>
      </c>
    </row>
    <row r="48" customFormat="false" ht="12.75" hidden="false" customHeight="false" outlineLevel="0" collapsed="false">
      <c r="E48" s="119"/>
      <c r="G48" s="123" t="str">
        <f aca="false">IF(G$4="X"," ",IF(F48&lt;&gt;0,F48*G$2/(100+G$2)," "))</f>
        <v> </v>
      </c>
      <c r="H48" s="123" t="str">
        <f aca="false">IF((F48&lt;&gt;0),F48-G48," ")</f>
        <v> </v>
      </c>
    </row>
    <row r="49" customFormat="false" ht="12.75" hidden="false" customHeight="false" outlineLevel="0" collapsed="false">
      <c r="E49" s="119"/>
      <c r="G49" s="123" t="str">
        <f aca="false">IF(G$4="X"," ",IF(F49&lt;&gt;0,F49*G$2/(100+G$2)," "))</f>
        <v> </v>
      </c>
      <c r="H49" s="123" t="str">
        <f aca="false">IF((F49&lt;&gt;0),F49-G49," ")</f>
        <v> </v>
      </c>
    </row>
    <row r="50" customFormat="false" ht="12.75" hidden="false" customHeight="false" outlineLevel="0" collapsed="false">
      <c r="E50" s="119"/>
      <c r="G50" s="123" t="str">
        <f aca="false">IF(G$4="X"," ",IF(F50&lt;&gt;0,F50*G$2/(100+G$2)," "))</f>
        <v> </v>
      </c>
      <c r="H50" s="123" t="str">
        <f aca="false">IF((F50&lt;&gt;0),F50-G50," ")</f>
        <v> </v>
      </c>
    </row>
    <row r="51" customFormat="false" ht="12.75" hidden="false" customHeight="false" outlineLevel="0" collapsed="false">
      <c r="E51" s="119"/>
      <c r="G51" s="123" t="str">
        <f aca="false">IF(G$4="X"," ",IF(F51&lt;&gt;0,F51*G$2/(100+G$2)," "))</f>
        <v> </v>
      </c>
      <c r="H51" s="123" t="str">
        <f aca="false">IF((F51&lt;&gt;0),F51-G51," ")</f>
        <v> </v>
      </c>
    </row>
    <row r="52" customFormat="false" ht="12.75" hidden="false" customHeight="false" outlineLevel="0" collapsed="false">
      <c r="E52" s="119"/>
      <c r="G52" s="123" t="str">
        <f aca="false">IF(G$4="X"," ",IF(F52&lt;&gt;0,F52*G$2/(100+G$2)," "))</f>
        <v> </v>
      </c>
      <c r="H52" s="123" t="str">
        <f aca="false">IF((F52&lt;&gt;0),F52-G52," ")</f>
        <v> </v>
      </c>
    </row>
    <row r="53" customFormat="false" ht="12.75" hidden="false" customHeight="false" outlineLevel="0" collapsed="false">
      <c r="E53" s="119"/>
      <c r="G53" s="123" t="str">
        <f aca="false">IF(G$4="X"," ",IF(F53&lt;&gt;0,F53*G$2/(100+G$2)," "))</f>
        <v> </v>
      </c>
      <c r="H53" s="123" t="str">
        <f aca="false">IF((F53&lt;&gt;0),F53-G53," ")</f>
        <v> </v>
      </c>
    </row>
    <row r="54" customFormat="false" ht="12.75" hidden="false" customHeight="false" outlineLevel="0" collapsed="false">
      <c r="E54" s="119"/>
      <c r="G54" s="123" t="str">
        <f aca="false">IF(G$4="X"," ",IF(F54&lt;&gt;0,F54*G$2/(100+G$2)," "))</f>
        <v> </v>
      </c>
      <c r="H54" s="123" t="str">
        <f aca="false">IF((F54&lt;&gt;0),F54-G54," ")</f>
        <v> </v>
      </c>
    </row>
    <row r="55" customFormat="false" ht="12.75" hidden="false" customHeight="false" outlineLevel="0" collapsed="false">
      <c r="E55" s="119"/>
      <c r="G55" s="123" t="str">
        <f aca="false">IF(G$4="X"," ",IF(F55&lt;&gt;0,F55*G$2/(100+G$2)," "))</f>
        <v> </v>
      </c>
      <c r="H55" s="123" t="str">
        <f aca="false">IF((F55&lt;&gt;0),F55-G55," ")</f>
        <v> </v>
      </c>
    </row>
    <row r="56" customFormat="false" ht="12.75" hidden="false" customHeight="false" outlineLevel="0" collapsed="false">
      <c r="E56" s="119"/>
      <c r="G56" s="123" t="str">
        <f aca="false">IF(G$4="X"," ",IF(F56&lt;&gt;0,F56*G$2/(100+G$2)," "))</f>
        <v> </v>
      </c>
      <c r="H56" s="123" t="str">
        <f aca="false">IF((F56&lt;&gt;0),F56-G56," ")</f>
        <v> </v>
      </c>
    </row>
    <row r="57" customFormat="false" ht="12.75" hidden="false" customHeight="false" outlineLevel="0" collapsed="false">
      <c r="E57" s="119"/>
      <c r="G57" s="123" t="str">
        <f aca="false">IF(G$4="X"," ",IF(F57&lt;&gt;0,F57*G$2/(100+G$2)," "))</f>
        <v> </v>
      </c>
      <c r="H57" s="123" t="str">
        <f aca="false">IF((F57&lt;&gt;0),F57-G57," ")</f>
        <v> </v>
      </c>
    </row>
    <row r="58" customFormat="false" ht="12.75" hidden="false" customHeight="false" outlineLevel="0" collapsed="false">
      <c r="E58" s="119"/>
      <c r="G58" s="123" t="str">
        <f aca="false">IF(G$4="X"," ",IF(F58&lt;&gt;0,F58*G$2/(100+G$2)," "))</f>
        <v> </v>
      </c>
      <c r="H58" s="123" t="str">
        <f aca="false">IF((F58&lt;&gt;0),F58-G58," ")</f>
        <v> </v>
      </c>
    </row>
    <row r="59" customFormat="false" ht="12.75" hidden="false" customHeight="false" outlineLevel="0" collapsed="false">
      <c r="E59" s="119"/>
      <c r="G59" s="123" t="str">
        <f aca="false">IF(G$4="X"," ",IF(F59&lt;&gt;0,F59*G$2/(100+G$2)," "))</f>
        <v> </v>
      </c>
      <c r="H59" s="123" t="str">
        <f aca="false">IF((F59&lt;&gt;0),F59-G59," ")</f>
        <v> </v>
      </c>
    </row>
    <row r="60" customFormat="false" ht="12.75" hidden="false" customHeight="false" outlineLevel="0" collapsed="false">
      <c r="E60" s="119"/>
      <c r="G60" s="123" t="str">
        <f aca="false">IF(G$4="X"," ",IF(F60&lt;&gt;0,F60*G$2/(100+G$2)," "))</f>
        <v> </v>
      </c>
      <c r="H60" s="123" t="str">
        <f aca="false">IF((F60&lt;&gt;0),F60-G60," ")</f>
        <v> </v>
      </c>
    </row>
    <row r="61" customFormat="false" ht="12.75" hidden="false" customHeight="false" outlineLevel="0" collapsed="false">
      <c r="E61" s="119"/>
      <c r="G61" s="123" t="str">
        <f aca="false">IF(G$4="X"," ",IF(F61&lt;&gt;0,F61*G$2/(100+G$2)," "))</f>
        <v> </v>
      </c>
      <c r="H61" s="123" t="str">
        <f aca="false">IF((F61&lt;&gt;0),F61-G61," ")</f>
        <v> </v>
      </c>
    </row>
    <row r="62" customFormat="false" ht="12.75" hidden="false" customHeight="false" outlineLevel="0" collapsed="false">
      <c r="E62" s="119"/>
      <c r="G62" s="123" t="str">
        <f aca="false">IF(G$4="X"," ",IF(F62&lt;&gt;0,F62*G$2/(100+G$2)," "))</f>
        <v> </v>
      </c>
      <c r="H62" s="123" t="str">
        <f aca="false">IF((F62&lt;&gt;0),F62-G62," ")</f>
        <v> </v>
      </c>
    </row>
    <row r="63" customFormat="false" ht="12.75" hidden="false" customHeight="false" outlineLevel="0" collapsed="false">
      <c r="E63" s="119"/>
      <c r="G63" s="123" t="str">
        <f aca="false">IF(G$4="X"," ",IF(F63&lt;&gt;0,F63*G$2/(100+G$2)," "))</f>
        <v> </v>
      </c>
      <c r="H63" s="123" t="str">
        <f aca="false">IF((F63&lt;&gt;0),F63-G63," ")</f>
        <v> </v>
      </c>
    </row>
    <row r="64" customFormat="false" ht="12.75" hidden="false" customHeight="false" outlineLevel="0" collapsed="false">
      <c r="E64" s="119"/>
      <c r="G64" s="123" t="str">
        <f aca="false">IF(G$4="X"," ",IF(F64&lt;&gt;0,F64*G$2/(100+G$2)," "))</f>
        <v> </v>
      </c>
      <c r="H64" s="123" t="str">
        <f aca="false">IF((F64&lt;&gt;0),F64-G64," ")</f>
        <v> </v>
      </c>
    </row>
    <row r="65" customFormat="false" ht="12.75" hidden="false" customHeight="false" outlineLevel="0" collapsed="false">
      <c r="E65" s="119"/>
      <c r="G65" s="123" t="str">
        <f aca="false">IF(G$4="X"," ",IF(F65&lt;&gt;0,F65*G$2/(100+G$2)," "))</f>
        <v> </v>
      </c>
      <c r="H65" s="123" t="str">
        <f aca="false">IF((F65&lt;&gt;0),F65-G65," ")</f>
        <v> </v>
      </c>
    </row>
    <row r="66" customFormat="false" ht="12.75" hidden="false" customHeight="false" outlineLevel="0" collapsed="false">
      <c r="E66" s="119"/>
      <c r="G66" s="123" t="str">
        <f aca="false">IF(G$4="X"," ",IF(F66&lt;&gt;0,F66*G$2/(100+G$2)," "))</f>
        <v> </v>
      </c>
      <c r="H66" s="123" t="str">
        <f aca="false">IF((F66&lt;&gt;0),F66-G66," ")</f>
        <v> </v>
      </c>
    </row>
    <row r="67" customFormat="false" ht="12.75" hidden="false" customHeight="false" outlineLevel="0" collapsed="false">
      <c r="E67" s="119"/>
      <c r="G67" s="123" t="str">
        <f aca="false">IF(G$4="X"," ",IF(F67&lt;&gt;0,F67*G$2/(100+G$2)," "))</f>
        <v> </v>
      </c>
      <c r="H67" s="123" t="str">
        <f aca="false">IF((F67&lt;&gt;0),F67-G67," ")</f>
        <v> </v>
      </c>
    </row>
    <row r="68" customFormat="false" ht="12.75" hidden="false" customHeight="false" outlineLevel="0" collapsed="false">
      <c r="E68" s="119"/>
      <c r="G68" s="123" t="str">
        <f aca="false">IF(G$4="X"," ",IF(F68&lt;&gt;0,F68*G$2/(100+G$2)," "))</f>
        <v> </v>
      </c>
      <c r="H68" s="123" t="str">
        <f aca="false">IF((F68&lt;&gt;0),F68-G68," ")</f>
        <v> </v>
      </c>
    </row>
    <row r="69" customFormat="false" ht="12.75" hidden="false" customHeight="false" outlineLevel="0" collapsed="false">
      <c r="E69" s="119"/>
      <c r="G69" s="123" t="str">
        <f aca="false">IF(G$4="X"," ",IF(F69&lt;&gt;0,F69*G$2/(100+G$2)," "))</f>
        <v> </v>
      </c>
      <c r="H69" s="123" t="str">
        <f aca="false">IF((F69&lt;&gt;0),F69-G69," ")</f>
        <v> </v>
      </c>
    </row>
    <row r="70" customFormat="false" ht="12.75" hidden="false" customHeight="false" outlineLevel="0" collapsed="false">
      <c r="E70" s="119"/>
      <c r="G70" s="123" t="str">
        <f aca="false">IF(G$4="X"," ",IF(F70&lt;&gt;0,F70*G$2/(100+G$2)," "))</f>
        <v> </v>
      </c>
      <c r="H70" s="123" t="str">
        <f aca="false">IF((F70&lt;&gt;0),F70-G70," ")</f>
        <v> </v>
      </c>
    </row>
    <row r="71" customFormat="false" ht="12.75" hidden="false" customHeight="false" outlineLevel="0" collapsed="false">
      <c r="E71" s="119"/>
      <c r="G71" s="123" t="str">
        <f aca="false">IF(G$4="X"," ",IF(F71&lt;&gt;0,F71*G$2/(100+G$2)," "))</f>
        <v> </v>
      </c>
      <c r="H71" s="123" t="str">
        <f aca="false">IF((F71&lt;&gt;0),F71-G71," ")</f>
        <v> </v>
      </c>
    </row>
    <row r="72" customFormat="false" ht="12.75" hidden="false" customHeight="false" outlineLevel="0" collapsed="false">
      <c r="E72" s="119"/>
      <c r="G72" s="123" t="str">
        <f aca="false">IF(G$4="X"," ",IF(F72&lt;&gt;0,F72*G$2/(100+G$2)," "))</f>
        <v> </v>
      </c>
      <c r="H72" s="123" t="str">
        <f aca="false">IF((F72&lt;&gt;0),F72-G72," ")</f>
        <v> </v>
      </c>
    </row>
    <row r="73" customFormat="false" ht="12.75" hidden="false" customHeight="false" outlineLevel="0" collapsed="false">
      <c r="E73" s="119"/>
      <c r="G73" s="123" t="str">
        <f aca="false">IF(G$4="X"," ",IF(F73&lt;&gt;0,F73*G$2/(100+G$2)," "))</f>
        <v> </v>
      </c>
      <c r="H73" s="123" t="str">
        <f aca="false">IF((F73&lt;&gt;0),F73-G73," ")</f>
        <v> </v>
      </c>
    </row>
    <row r="74" customFormat="false" ht="12.75" hidden="false" customHeight="false" outlineLevel="0" collapsed="false">
      <c r="E74" s="119"/>
      <c r="G74" s="123" t="str">
        <f aca="false">IF(G$4="X"," ",IF(F74&lt;&gt;0,F74*G$2/(100+G$2)," "))</f>
        <v> </v>
      </c>
      <c r="H74" s="123" t="str">
        <f aca="false">IF((F74&lt;&gt;0),F74-G74," ")</f>
        <v> </v>
      </c>
    </row>
    <row r="75" customFormat="false" ht="12.75" hidden="false" customHeight="false" outlineLevel="0" collapsed="false">
      <c r="E75" s="119"/>
      <c r="G75" s="123" t="str">
        <f aca="false">IF(G$4="X"," ",IF(F75&lt;&gt;0,F75*G$2/(100+G$2)," "))</f>
        <v> </v>
      </c>
      <c r="H75" s="123" t="str">
        <f aca="false">IF((F75&lt;&gt;0),F75-G75," ")</f>
        <v> </v>
      </c>
    </row>
    <row r="76" customFormat="false" ht="12.75" hidden="false" customHeight="false" outlineLevel="0" collapsed="false">
      <c r="E76" s="119"/>
      <c r="G76" s="123" t="str">
        <f aca="false">IF(G$4="X"," ",IF(F76&lt;&gt;0,F76*G$2/(100+G$2)," "))</f>
        <v> </v>
      </c>
      <c r="H76" s="123" t="str">
        <f aca="false">IF((F76&lt;&gt;0),F76-G76," ")</f>
        <v> </v>
      </c>
    </row>
    <row r="77" customFormat="false" ht="12.75" hidden="false" customHeight="false" outlineLevel="0" collapsed="false">
      <c r="E77" s="119"/>
      <c r="G77" s="123" t="str">
        <f aca="false">IF(G$4="X"," ",IF(F77&lt;&gt;0,F77*G$2/(100+G$2)," "))</f>
        <v> </v>
      </c>
      <c r="H77" s="123" t="str">
        <f aca="false">IF((F77&lt;&gt;0),F77-G77," ")</f>
        <v> </v>
      </c>
    </row>
    <row r="78" customFormat="false" ht="12.75" hidden="false" customHeight="false" outlineLevel="0" collapsed="false">
      <c r="E78" s="119"/>
      <c r="G78" s="123" t="str">
        <f aca="false">IF(G$4="X"," ",IF(F78&lt;&gt;0,F78*G$2/(100+G$2)," "))</f>
        <v> </v>
      </c>
      <c r="H78" s="123" t="str">
        <f aca="false">IF((F78&lt;&gt;0),F78-G78," ")</f>
        <v> </v>
      </c>
    </row>
    <row r="79" customFormat="false" ht="12.75" hidden="false" customHeight="false" outlineLevel="0" collapsed="false">
      <c r="E79" s="119"/>
      <c r="G79" s="123" t="str">
        <f aca="false">IF(G$4="X"," ",IF(F79&lt;&gt;0,F79*G$2/(100+G$2)," "))</f>
        <v> </v>
      </c>
      <c r="H79" s="123" t="str">
        <f aca="false">IF((F79&lt;&gt;0),F79-G79," ")</f>
        <v> </v>
      </c>
    </row>
    <row r="80" customFormat="false" ht="12.75" hidden="false" customHeight="false" outlineLevel="0" collapsed="false">
      <c r="E80" s="119"/>
      <c r="G80" s="123" t="str">
        <f aca="false">IF(G$4="X"," ",IF(F80&lt;&gt;0,F80*G$2/(100+G$2)," "))</f>
        <v> </v>
      </c>
      <c r="H80" s="123" t="str">
        <f aca="false">IF((F80&lt;&gt;0),F80-G80," ")</f>
        <v> </v>
      </c>
    </row>
    <row r="81" customFormat="false" ht="12.75" hidden="false" customHeight="false" outlineLevel="0" collapsed="false">
      <c r="E81" s="119"/>
      <c r="G81" s="123" t="str">
        <f aca="false">IF(G$4="X"," ",IF(F81&lt;&gt;0,F81*G$2/(100+G$2)," "))</f>
        <v> </v>
      </c>
      <c r="H81" s="123" t="str">
        <f aca="false">IF((F81&lt;&gt;0),F81-G81," ")</f>
        <v> </v>
      </c>
    </row>
    <row r="82" customFormat="false" ht="12.75" hidden="false" customHeight="false" outlineLevel="0" collapsed="false">
      <c r="E82" s="119"/>
      <c r="G82" s="123" t="str">
        <f aca="false">IF(G$4="X"," ",IF(F82&lt;&gt;0,F82*G$2/(100+G$2)," "))</f>
        <v> </v>
      </c>
      <c r="H82" s="123" t="str">
        <f aca="false">IF((F82&lt;&gt;0),F82-G82," ")</f>
        <v> </v>
      </c>
    </row>
    <row r="83" customFormat="false" ht="12.75" hidden="false" customHeight="false" outlineLevel="0" collapsed="false">
      <c r="E83" s="119"/>
      <c r="G83" s="123" t="str">
        <f aca="false">IF(G$4="X"," ",IF(F83&lt;&gt;0,F83*G$2/(100+G$2)," "))</f>
        <v> </v>
      </c>
      <c r="H83" s="123" t="str">
        <f aca="false">IF((F83&lt;&gt;0),F83-G83," ")</f>
        <v> </v>
      </c>
    </row>
    <row r="84" customFormat="false" ht="12.75" hidden="false" customHeight="false" outlineLevel="0" collapsed="false">
      <c r="E84" s="119"/>
      <c r="G84" s="123" t="str">
        <f aca="false">IF(G$4="X"," ",IF(F84&lt;&gt;0,F84*G$2/(100+G$2)," "))</f>
        <v> </v>
      </c>
      <c r="H84" s="123" t="str">
        <f aca="false">IF((F84&lt;&gt;0),F84-G84," ")</f>
        <v> </v>
      </c>
    </row>
    <row r="85" customFormat="false" ht="12.75" hidden="false" customHeight="false" outlineLevel="0" collapsed="false">
      <c r="E85" s="119"/>
      <c r="G85" s="123" t="str">
        <f aca="false">IF(G$4="X"," ",IF(F85&lt;&gt;0,F85*G$2/(100+G$2)," "))</f>
        <v> </v>
      </c>
      <c r="H85" s="123" t="str">
        <f aca="false">IF((F85&lt;&gt;0),F85-G85," ")</f>
        <v> </v>
      </c>
    </row>
    <row r="86" customFormat="false" ht="12.75" hidden="false" customHeight="false" outlineLevel="0" collapsed="false">
      <c r="E86" s="119"/>
      <c r="G86" s="123" t="str">
        <f aca="false">IF(G$4="X"," ",IF(F86&lt;&gt;0,F86*G$2/(100+G$2)," "))</f>
        <v> </v>
      </c>
      <c r="H86" s="123" t="str">
        <f aca="false">IF((F86&lt;&gt;0),F86-G86," ")</f>
        <v> </v>
      </c>
    </row>
    <row r="87" customFormat="false" ht="12.75" hidden="false" customHeight="false" outlineLevel="0" collapsed="false">
      <c r="E87" s="119"/>
      <c r="G87" s="123" t="str">
        <f aca="false">IF(G$4="X"," ",IF(F87&lt;&gt;0,F87*G$2/(100+G$2)," "))</f>
        <v> </v>
      </c>
      <c r="H87" s="123" t="str">
        <f aca="false">IF((F87&lt;&gt;0),F87-G87," ")</f>
        <v> </v>
      </c>
    </row>
    <row r="88" customFormat="false" ht="12.75" hidden="false" customHeight="false" outlineLevel="0" collapsed="false">
      <c r="E88" s="119"/>
      <c r="G88" s="123" t="str">
        <f aca="false">IF(G$4="X"," ",IF(F88&lt;&gt;0,F88*G$2/(100+G$2)," "))</f>
        <v> </v>
      </c>
      <c r="H88" s="123" t="str">
        <f aca="false">IF((F88&lt;&gt;0),F88-G88," ")</f>
        <v> </v>
      </c>
    </row>
    <row r="89" customFormat="false" ht="12.75" hidden="false" customHeight="false" outlineLevel="0" collapsed="false">
      <c r="E89" s="119"/>
      <c r="G89" s="123" t="str">
        <f aca="false">IF(G$4="X"," ",IF(F89&lt;&gt;0,F89*G$2/(100+G$2)," "))</f>
        <v> </v>
      </c>
      <c r="H89" s="123" t="str">
        <f aca="false">IF((F89&lt;&gt;0),F89-G89," ")</f>
        <v> </v>
      </c>
    </row>
    <row r="90" customFormat="false" ht="12.75" hidden="false" customHeight="false" outlineLevel="0" collapsed="false">
      <c r="E90" s="119"/>
      <c r="G90" s="123" t="str">
        <f aca="false">IF(G$4="X"," ",IF(F90&lt;&gt;0,F90*G$2/(100+G$2)," "))</f>
        <v> </v>
      </c>
      <c r="H90" s="123" t="str">
        <f aca="false">IF((F90&lt;&gt;0),F90-G90," ")</f>
        <v> </v>
      </c>
    </row>
    <row r="91" customFormat="false" ht="12.75" hidden="false" customHeight="false" outlineLevel="0" collapsed="false">
      <c r="E91" s="119"/>
      <c r="G91" s="123" t="str">
        <f aca="false">IF(G$4="X"," ",IF(F91&lt;&gt;0,F91*G$2/(100+G$2)," "))</f>
        <v> </v>
      </c>
      <c r="H91" s="123" t="str">
        <f aca="false">IF((F91&lt;&gt;0),F91-G91," ")</f>
        <v> </v>
      </c>
    </row>
    <row r="92" customFormat="false" ht="12.75" hidden="false" customHeight="false" outlineLevel="0" collapsed="false">
      <c r="E92" s="119"/>
      <c r="G92" s="123" t="str">
        <f aca="false">IF(G$4="X"," ",IF(F92&lt;&gt;0,F92*G$2/(100+G$2)," "))</f>
        <v> </v>
      </c>
      <c r="H92" s="123" t="str">
        <f aca="false">IF((F92&lt;&gt;0),F92-G92," ")</f>
        <v> </v>
      </c>
    </row>
    <row r="93" customFormat="false" ht="12.75" hidden="false" customHeight="false" outlineLevel="0" collapsed="false">
      <c r="E93" s="119"/>
      <c r="G93" s="123" t="str">
        <f aca="false">IF(G$4="X"," ",IF(F93&lt;&gt;0,F93*G$2/(100+G$2)," "))</f>
        <v> </v>
      </c>
      <c r="H93" s="123" t="str">
        <f aca="false">IF((F93&lt;&gt;0),F93-G93," ")</f>
        <v> </v>
      </c>
    </row>
    <row r="94" customFormat="false" ht="12.75" hidden="false" customHeight="false" outlineLevel="0" collapsed="false">
      <c r="E94" s="119"/>
      <c r="G94" s="123" t="str">
        <f aca="false">IF(G$4="X"," ",IF(F94&lt;&gt;0,F94*G$2/(100+G$2)," "))</f>
        <v> </v>
      </c>
      <c r="H94" s="123" t="str">
        <f aca="false">IF((F94&lt;&gt;0),F94-G94," ")</f>
        <v> </v>
      </c>
    </row>
    <row r="95" customFormat="false" ht="12.75" hidden="false" customHeight="false" outlineLevel="0" collapsed="false">
      <c r="E95" s="119"/>
      <c r="G95" s="123" t="str">
        <f aca="false">IF(G$4="X"," ",IF(F95&lt;&gt;0,F95*G$2/(100+G$2)," "))</f>
        <v> </v>
      </c>
      <c r="H95" s="123" t="str">
        <f aca="false">IF((F95&lt;&gt;0),F95-G95," ")</f>
        <v> </v>
      </c>
    </row>
    <row r="96" customFormat="false" ht="12.75" hidden="false" customHeight="false" outlineLevel="0" collapsed="false">
      <c r="E96" s="119"/>
      <c r="G96" s="123" t="str">
        <f aca="false">IF(G$4="X"," ",IF(F96&lt;&gt;0,F96*G$2/(100+G$2)," "))</f>
        <v> </v>
      </c>
      <c r="H96" s="123" t="str">
        <f aca="false">IF((F96&lt;&gt;0),F96-G96," ")</f>
        <v> </v>
      </c>
    </row>
    <row r="97" customFormat="false" ht="12.75" hidden="false" customHeight="false" outlineLevel="0" collapsed="false">
      <c r="E97" s="119"/>
      <c r="G97" s="123" t="str">
        <f aca="false">IF(G$4="X"," ",IF(F97&lt;&gt;0,F97*G$2/(100+G$2)," "))</f>
        <v> </v>
      </c>
      <c r="H97" s="123" t="str">
        <f aca="false">IF((F97&lt;&gt;0),F97-G97," ")</f>
        <v> </v>
      </c>
    </row>
    <row r="98" customFormat="false" ht="12.75" hidden="false" customHeight="false" outlineLevel="0" collapsed="false">
      <c r="E98" s="119"/>
      <c r="G98" s="123" t="str">
        <f aca="false">IF(G$4="X"," ",IF(F98&lt;&gt;0,F98*G$2/(100+G$2)," "))</f>
        <v> </v>
      </c>
      <c r="H98" s="123" t="str">
        <f aca="false">IF((F98&lt;&gt;0),F98-G98," ")</f>
        <v> </v>
      </c>
    </row>
    <row r="99" customFormat="false" ht="12.75" hidden="false" customHeight="false" outlineLevel="0" collapsed="false">
      <c r="E99" s="119"/>
      <c r="G99" s="123" t="str">
        <f aca="false">IF(G$4="X"," ",IF(F99&lt;&gt;0,F99*G$2/(100+G$2)," "))</f>
        <v> </v>
      </c>
      <c r="H99" s="123" t="str">
        <f aca="false">IF((F99&lt;&gt;0),F99-G99," ")</f>
        <v> </v>
      </c>
    </row>
    <row r="100" customFormat="false" ht="12.75" hidden="false" customHeight="false" outlineLevel="0" collapsed="false">
      <c r="E100" s="119"/>
      <c r="G100" s="123" t="str">
        <f aca="false">IF(G$4="X"," ",IF(F100&lt;&gt;0,F100*G$2/(100+G$2)," "))</f>
        <v> </v>
      </c>
      <c r="H100" s="123" t="str">
        <f aca="false">IF((F100&lt;&gt;0),F100-G100," ")</f>
        <v> </v>
      </c>
    </row>
    <row r="101" customFormat="false" ht="12.75" hidden="false" customHeight="false" outlineLevel="0" collapsed="false">
      <c r="E101" s="119"/>
      <c r="G101" s="123" t="str">
        <f aca="false">IF(G$4="X"," ",IF(F101&lt;&gt;0,F101*G$2/(100+G$2)," "))</f>
        <v> </v>
      </c>
      <c r="H101" s="123" t="str">
        <f aca="false">IF((F101&lt;&gt;0),F101-G101," ")</f>
        <v> </v>
      </c>
    </row>
    <row r="102" customFormat="false" ht="12.75" hidden="false" customHeight="false" outlineLevel="0" collapsed="false">
      <c r="E102" s="119"/>
      <c r="G102" s="123" t="str">
        <f aca="false">IF(G$4="X"," ",IF(F102&lt;&gt;0,F102*G$2/(100+G$2)," "))</f>
        <v> </v>
      </c>
      <c r="H102" s="123" t="str">
        <f aca="false">IF((F102&lt;&gt;0),F102-G102," ")</f>
        <v> </v>
      </c>
    </row>
    <row r="103" customFormat="false" ht="12.75" hidden="false" customHeight="false" outlineLevel="0" collapsed="false">
      <c r="E103" s="119"/>
      <c r="G103" s="123" t="str">
        <f aca="false">IF(G$4="X"," ",IF(F103&lt;&gt;0,F103*G$2/(100+G$2)," "))</f>
        <v> </v>
      </c>
      <c r="H103" s="123" t="str">
        <f aca="false">IF((F103&lt;&gt;0),F103-G103," ")</f>
        <v> </v>
      </c>
    </row>
    <row r="104" customFormat="false" ht="12.75" hidden="false" customHeight="false" outlineLevel="0" collapsed="false">
      <c r="E104" s="119"/>
      <c r="G104" s="123" t="str">
        <f aca="false">IF(G$4="X"," ",IF(F104&lt;&gt;0,F104*G$2/(100+G$2)," "))</f>
        <v> </v>
      </c>
      <c r="H104" s="123" t="str">
        <f aca="false">IF((F104&lt;&gt;0),F104-G104," ")</f>
        <v> </v>
      </c>
    </row>
    <row r="105" customFormat="false" ht="12.75" hidden="false" customHeight="false" outlineLevel="0" collapsed="false">
      <c r="E105" s="119"/>
      <c r="G105" s="123" t="str">
        <f aca="false">IF(G$4="X"," ",IF(F105&lt;&gt;0,F105*G$2/(100+G$2)," "))</f>
        <v> </v>
      </c>
      <c r="H105" s="123" t="str">
        <f aca="false">IF((F105&lt;&gt;0),F105-G105," ")</f>
        <v> </v>
      </c>
    </row>
    <row r="106" customFormat="false" ht="12.75" hidden="false" customHeight="false" outlineLevel="0" collapsed="false">
      <c r="E106" s="119"/>
      <c r="G106" s="123" t="str">
        <f aca="false">IF(G$4="X"," ",IF(F106&lt;&gt;0,F106*G$2/(100+G$2)," "))</f>
        <v> </v>
      </c>
      <c r="H106" s="123" t="str">
        <f aca="false">IF((F106&lt;&gt;0),F106-G106," ")</f>
        <v> </v>
      </c>
    </row>
    <row r="107" customFormat="false" ht="12.75" hidden="false" customHeight="false" outlineLevel="0" collapsed="false">
      <c r="E107" s="119"/>
      <c r="G107" s="123" t="str">
        <f aca="false">IF(G$4="X"," ",IF(F107&lt;&gt;0,F107*G$2/(100+G$2)," "))</f>
        <v> </v>
      </c>
      <c r="H107" s="123" t="str">
        <f aca="false">IF((F107&lt;&gt;0),F107-G107," ")</f>
        <v> </v>
      </c>
    </row>
    <row r="108" customFormat="false" ht="12.75" hidden="false" customHeight="false" outlineLevel="0" collapsed="false">
      <c r="E108" s="119"/>
      <c r="G108" s="123" t="str">
        <f aca="false">IF(G$4="X"," ",IF(F108&lt;&gt;0,F108*G$2/(100+G$2)," "))</f>
        <v> </v>
      </c>
      <c r="H108" s="123" t="str">
        <f aca="false">IF((F108&lt;&gt;0),F108-G108," ")</f>
        <v> </v>
      </c>
    </row>
    <row r="109" customFormat="false" ht="12.75" hidden="false" customHeight="false" outlineLevel="0" collapsed="false">
      <c r="E109" s="119"/>
      <c r="G109" s="123" t="str">
        <f aca="false">IF(G$4="X"," ",IF(F109&lt;&gt;0,F109*G$2/(100+G$2)," "))</f>
        <v> </v>
      </c>
      <c r="H109" s="123" t="str">
        <f aca="false">IF((F109&lt;&gt;0),F109-G109," ")</f>
        <v> </v>
      </c>
    </row>
    <row r="110" customFormat="false" ht="12.75" hidden="false" customHeight="false" outlineLevel="0" collapsed="false">
      <c r="E110" s="119"/>
      <c r="G110" s="123" t="str">
        <f aca="false">IF(G$4="X"," ",IF(F110&lt;&gt;0,F110*G$2/(100+G$2)," "))</f>
        <v> </v>
      </c>
      <c r="H110" s="123" t="str">
        <f aca="false">IF((F110&lt;&gt;0),F110-G110," ")</f>
        <v> </v>
      </c>
    </row>
    <row r="111" customFormat="false" ht="12.75" hidden="false" customHeight="false" outlineLevel="0" collapsed="false">
      <c r="E111" s="119"/>
      <c r="G111" s="123" t="str">
        <f aca="false">IF(G$4="X"," ",IF(F111&lt;&gt;0,F111*G$2/(100+G$2)," "))</f>
        <v> </v>
      </c>
      <c r="H111" s="123" t="str">
        <f aca="false">IF((F111&lt;&gt;0),F111-G111," ")</f>
        <v> </v>
      </c>
    </row>
    <row r="112" customFormat="false" ht="12.75" hidden="false" customHeight="false" outlineLevel="0" collapsed="false">
      <c r="E112" s="119"/>
      <c r="G112" s="123" t="str">
        <f aca="false">IF(G$4="X"," ",IF(F112&lt;&gt;0,F112*G$2/(100+G$2)," "))</f>
        <v> </v>
      </c>
      <c r="H112" s="123" t="str">
        <f aca="false">IF((F112&lt;&gt;0),F112-G112," ")</f>
        <v> </v>
      </c>
    </row>
    <row r="113" customFormat="false" ht="12.75" hidden="false" customHeight="false" outlineLevel="0" collapsed="false">
      <c r="E113" s="119"/>
      <c r="G113" s="123" t="str">
        <f aca="false">IF(G$4="X"," ",IF(F113&lt;&gt;0,F113*G$2/(100+G$2)," "))</f>
        <v> </v>
      </c>
      <c r="H113" s="123" t="str">
        <f aca="false">IF((F113&lt;&gt;0),F113-G113," ")</f>
        <v> </v>
      </c>
    </row>
    <row r="114" customFormat="false" ht="12.75" hidden="false" customHeight="false" outlineLevel="0" collapsed="false">
      <c r="E114" s="119"/>
      <c r="G114" s="123" t="str">
        <f aca="false">IF(G$4="X"," ",IF(F114&lt;&gt;0,F114*G$2/(100+G$2)," "))</f>
        <v> </v>
      </c>
      <c r="H114" s="123" t="str">
        <f aca="false">IF((F114&lt;&gt;0),F114-G114," ")</f>
        <v> </v>
      </c>
    </row>
    <row r="115" customFormat="false" ht="12.75" hidden="false" customHeight="false" outlineLevel="0" collapsed="false">
      <c r="E115" s="119"/>
      <c r="G115" s="123" t="str">
        <f aca="false">IF(G$4="X"," ",IF(F115&lt;&gt;0,F115*G$2/(100+G$2)," "))</f>
        <v> </v>
      </c>
      <c r="H115" s="123" t="str">
        <f aca="false">IF((F115&lt;&gt;0),F115-G115," ")</f>
        <v> </v>
      </c>
    </row>
    <row r="116" customFormat="false" ht="12.75" hidden="false" customHeight="false" outlineLevel="0" collapsed="false">
      <c r="E116" s="119"/>
      <c r="G116" s="123" t="str">
        <f aca="false">IF(G$4="X"," ",IF(F116&lt;&gt;0,F116*G$2/(100+G$2)," "))</f>
        <v> </v>
      </c>
      <c r="H116" s="123" t="str">
        <f aca="false">IF((F116&lt;&gt;0),F116-G116," ")</f>
        <v> </v>
      </c>
    </row>
    <row r="117" customFormat="false" ht="12.75" hidden="false" customHeight="false" outlineLevel="0" collapsed="false">
      <c r="E117" s="119"/>
      <c r="G117" s="123" t="str">
        <f aca="false">IF(G$4="X"," ",IF(F117&lt;&gt;0,F117*G$2/(100+G$2)," "))</f>
        <v> </v>
      </c>
      <c r="H117" s="123" t="str">
        <f aca="false">IF((F117&lt;&gt;0),F117-G117," ")</f>
        <v> </v>
      </c>
    </row>
    <row r="118" customFormat="false" ht="12.75" hidden="false" customHeight="false" outlineLevel="0" collapsed="false">
      <c r="E118" s="119"/>
      <c r="G118" s="123" t="str">
        <f aca="false">IF(G$4="X"," ",IF(F118&lt;&gt;0,F118*G$2/(100+G$2)," "))</f>
        <v> </v>
      </c>
      <c r="H118" s="123" t="str">
        <f aca="false">IF((F118&lt;&gt;0),F118-G118," ")</f>
        <v> </v>
      </c>
    </row>
    <row r="119" customFormat="false" ht="12.75" hidden="false" customHeight="false" outlineLevel="0" collapsed="false">
      <c r="E119" s="119"/>
      <c r="G119" s="123" t="str">
        <f aca="false">IF(G$4="X"," ",IF(F119&lt;&gt;0,F119*G$2/(100+G$2)," "))</f>
        <v> </v>
      </c>
      <c r="H119" s="123" t="str">
        <f aca="false">IF((F119&lt;&gt;0),F119-G119," ")</f>
        <v> </v>
      </c>
    </row>
    <row r="120" customFormat="false" ht="12.75" hidden="false" customHeight="false" outlineLevel="0" collapsed="false">
      <c r="E120" s="119"/>
      <c r="G120" s="123" t="str">
        <f aca="false">IF(G$4="X"," ",IF(F120&lt;&gt;0,F120*G$2/(100+G$2)," "))</f>
        <v> </v>
      </c>
      <c r="H120" s="123" t="str">
        <f aca="false">IF((F120&lt;&gt;0),F120-G120," ")</f>
        <v> </v>
      </c>
    </row>
    <row r="121" customFormat="false" ht="12.75" hidden="false" customHeight="false" outlineLevel="0" collapsed="false">
      <c r="E121" s="119"/>
      <c r="G121" s="123" t="str">
        <f aca="false">IF(G$4="X"," ",IF(F121&lt;&gt;0,F121*G$2/(100+G$2)," "))</f>
        <v> </v>
      </c>
      <c r="H121" s="123" t="str">
        <f aca="false">IF((F121&lt;&gt;0),F121-G121," ")</f>
        <v> </v>
      </c>
    </row>
    <row r="122" customFormat="false" ht="12.75" hidden="false" customHeight="false" outlineLevel="0" collapsed="false">
      <c r="E122" s="119"/>
      <c r="G122" s="123" t="str">
        <f aca="false">IF(G$4="X"," ",IF(F122&lt;&gt;0,F122*G$2/(100+G$2)," "))</f>
        <v> </v>
      </c>
      <c r="H122" s="123" t="str">
        <f aca="false">IF((F122&lt;&gt;0),F122-G122," ")</f>
        <v> </v>
      </c>
    </row>
    <row r="123" customFormat="false" ht="12.75" hidden="false" customHeight="false" outlineLevel="0" collapsed="false">
      <c r="E123" s="119"/>
      <c r="G123" s="123" t="str">
        <f aca="false">IF(G$4="X"," ",IF(F123&lt;&gt;0,F123*G$2/(100+G$2)," "))</f>
        <v> </v>
      </c>
      <c r="H123" s="123" t="str">
        <f aca="false">IF((F123&lt;&gt;0),F123-G123," ")</f>
        <v> </v>
      </c>
    </row>
    <row r="124" customFormat="false" ht="12.75" hidden="false" customHeight="false" outlineLevel="0" collapsed="false">
      <c r="E124" s="119"/>
      <c r="G124" s="123" t="str">
        <f aca="false">IF(G$4="X"," ",IF(F124&lt;&gt;0,F124*G$2/(100+G$2)," "))</f>
        <v> </v>
      </c>
      <c r="H124" s="123" t="str">
        <f aca="false">IF((F124&lt;&gt;0),F124-G124," ")</f>
        <v> </v>
      </c>
    </row>
    <row r="125" customFormat="false" ht="12.75" hidden="false" customHeight="false" outlineLevel="0" collapsed="false">
      <c r="E125" s="119"/>
      <c r="G125" s="123" t="str">
        <f aca="false">IF(G$4="X"," ",IF(F125&lt;&gt;0,F125*G$2/(100+G$2)," "))</f>
        <v> </v>
      </c>
      <c r="H125" s="123" t="str">
        <f aca="false">IF((F125&lt;&gt;0),F125-G125," ")</f>
        <v> </v>
      </c>
    </row>
    <row r="126" customFormat="false" ht="12.75" hidden="false" customHeight="false" outlineLevel="0" collapsed="false">
      <c r="E126" s="119"/>
      <c r="G126" s="123" t="str">
        <f aca="false">IF(G$4="X"," ",IF(F126&lt;&gt;0,F126*G$2/(100+G$2)," "))</f>
        <v> </v>
      </c>
      <c r="H126" s="123" t="str">
        <f aca="false">IF((F126&lt;&gt;0),F126-G126," ")</f>
        <v> </v>
      </c>
    </row>
    <row r="127" customFormat="false" ht="12.75" hidden="false" customHeight="false" outlineLevel="0" collapsed="false">
      <c r="E127" s="119"/>
      <c r="G127" s="123" t="str">
        <f aca="false">IF(G$4="X"," ",IF(F127&lt;&gt;0,F127*G$2/(100+G$2)," "))</f>
        <v> </v>
      </c>
      <c r="H127" s="123" t="str">
        <f aca="false">IF((F127&lt;&gt;0),F127-G127," ")</f>
        <v> </v>
      </c>
    </row>
    <row r="128" customFormat="false" ht="12.75" hidden="false" customHeight="false" outlineLevel="0" collapsed="false">
      <c r="E128" s="119"/>
      <c r="G128" s="123" t="str">
        <f aca="false">IF(G$4="X"," ",IF(F128&lt;&gt;0,F128*G$2/(100+G$2)," "))</f>
        <v> </v>
      </c>
      <c r="H128" s="123" t="str">
        <f aca="false">IF((F128&lt;&gt;0),F128-G128," ")</f>
        <v> </v>
      </c>
    </row>
    <row r="129" customFormat="false" ht="12.75" hidden="false" customHeight="false" outlineLevel="0" collapsed="false">
      <c r="E129" s="119"/>
      <c r="G129" s="123" t="str">
        <f aca="false">IF(G$4="X"," ",IF(F129&lt;&gt;0,F129*G$2/(100+G$2)," "))</f>
        <v> </v>
      </c>
      <c r="H129" s="123" t="str">
        <f aca="false">IF((F129&lt;&gt;0),F129-G129," ")</f>
        <v> </v>
      </c>
    </row>
    <row r="130" customFormat="false" ht="12.75" hidden="false" customHeight="false" outlineLevel="0" collapsed="false">
      <c r="E130" s="119"/>
      <c r="G130" s="123" t="str">
        <f aca="false">IF(G$4="X"," ",IF(F130&lt;&gt;0,F130*G$2/(100+G$2)," "))</f>
        <v> </v>
      </c>
      <c r="H130" s="123" t="str">
        <f aca="false">IF((F130&lt;&gt;0),F130-G130," ")</f>
        <v> </v>
      </c>
    </row>
    <row r="131" customFormat="false" ht="12.75" hidden="false" customHeight="false" outlineLevel="0" collapsed="false">
      <c r="E131" s="119"/>
      <c r="G131" s="123" t="str">
        <f aca="false">IF(G$4="X"," ",IF(F131&lt;&gt;0,F131*G$2/(100+G$2)," "))</f>
        <v> </v>
      </c>
      <c r="H131" s="123" t="str">
        <f aca="false">IF((F131&lt;&gt;0),F131-G131," ")</f>
        <v> </v>
      </c>
    </row>
    <row r="132" customFormat="false" ht="12.75" hidden="false" customHeight="false" outlineLevel="0" collapsed="false">
      <c r="E132" s="119"/>
      <c r="G132" s="123" t="str">
        <f aca="false">IF(G$4="X"," ",IF(F132&lt;&gt;0,F132*G$2/(100+G$2)," "))</f>
        <v> </v>
      </c>
      <c r="H132" s="123" t="str">
        <f aca="false">IF((F132&lt;&gt;0),F132-G132," ")</f>
        <v> </v>
      </c>
    </row>
    <row r="133" customFormat="false" ht="12.75" hidden="false" customHeight="false" outlineLevel="0" collapsed="false">
      <c r="E133" s="119"/>
      <c r="G133" s="123" t="str">
        <f aca="false">IF(G$4="X"," ",IF(F133&lt;&gt;0,F133*G$2/(100+G$2)," "))</f>
        <v> </v>
      </c>
      <c r="H133" s="123" t="str">
        <f aca="false">IF((F133&lt;&gt;0),F133-G133," ")</f>
        <v> </v>
      </c>
    </row>
    <row r="134" customFormat="false" ht="12.75" hidden="false" customHeight="false" outlineLevel="0" collapsed="false">
      <c r="E134" s="119"/>
      <c r="G134" s="123" t="str">
        <f aca="false">IF(G$4="X"," ",IF(F134&lt;&gt;0,F134*G$2/(100+G$2)," "))</f>
        <v> </v>
      </c>
      <c r="H134" s="123" t="str">
        <f aca="false">IF((F134&lt;&gt;0),F134-G134," ")</f>
        <v> </v>
      </c>
    </row>
    <row r="135" customFormat="false" ht="12.75" hidden="false" customHeight="false" outlineLevel="0" collapsed="false">
      <c r="E135" s="119"/>
      <c r="G135" s="123" t="str">
        <f aca="false">IF(G$4="X"," ",IF(F135&lt;&gt;0,F135*G$2/(100+G$2)," "))</f>
        <v> </v>
      </c>
      <c r="H135" s="123" t="str">
        <f aca="false">IF((F135&lt;&gt;0),F135-G135," ")</f>
        <v> </v>
      </c>
    </row>
    <row r="136" customFormat="false" ht="12.75" hidden="false" customHeight="false" outlineLevel="0" collapsed="false">
      <c r="E136" s="119"/>
      <c r="G136" s="123" t="str">
        <f aca="false">IF(G$4="X"," ",IF(F136&lt;&gt;0,F136*G$2/(100+G$2)," "))</f>
        <v> </v>
      </c>
      <c r="H136" s="123" t="str">
        <f aca="false">IF((F136&lt;&gt;0),F136-G136," ")</f>
        <v> </v>
      </c>
    </row>
    <row r="137" customFormat="false" ht="12.75" hidden="false" customHeight="false" outlineLevel="0" collapsed="false">
      <c r="E137" s="119"/>
      <c r="G137" s="123" t="str">
        <f aca="false">IF(G$4="X"," ",IF(F137&lt;&gt;0,F137*G$2/(100+G$2)," "))</f>
        <v> </v>
      </c>
      <c r="H137" s="123" t="str">
        <f aca="false">IF((F137&lt;&gt;0),F137-G137," ")</f>
        <v> </v>
      </c>
    </row>
    <row r="138" customFormat="false" ht="12.75" hidden="false" customHeight="false" outlineLevel="0" collapsed="false">
      <c r="E138" s="119"/>
      <c r="G138" s="123" t="str">
        <f aca="false">IF(G$4="X"," ",IF(F138&lt;&gt;0,F138*G$2/(100+G$2)," "))</f>
        <v> </v>
      </c>
      <c r="H138" s="123" t="str">
        <f aca="false">IF((F138&lt;&gt;0),F138-G138," ")</f>
        <v> </v>
      </c>
    </row>
    <row r="139" customFormat="false" ht="12.75" hidden="false" customHeight="false" outlineLevel="0" collapsed="false">
      <c r="E139" s="119"/>
      <c r="G139" s="123" t="str">
        <f aca="false">IF(G$4="X"," ",IF(F139&lt;&gt;0,F139*G$2/(100+G$2)," "))</f>
        <v> </v>
      </c>
      <c r="H139" s="123" t="str">
        <f aca="false">IF((F139&lt;&gt;0),F139-G139," ")</f>
        <v> </v>
      </c>
    </row>
    <row r="140" customFormat="false" ht="12.75" hidden="false" customHeight="false" outlineLevel="0" collapsed="false">
      <c r="E140" s="119"/>
      <c r="G140" s="123" t="str">
        <f aca="false">IF(G$4="X"," ",IF(F140&lt;&gt;0,F140*G$2/(100+G$2)," "))</f>
        <v> </v>
      </c>
      <c r="H140" s="123" t="str">
        <f aca="false">IF((F140&lt;&gt;0),F140-G140," ")</f>
        <v> </v>
      </c>
    </row>
    <row r="141" customFormat="false" ht="12.75" hidden="false" customHeight="false" outlineLevel="0" collapsed="false">
      <c r="E141" s="119"/>
      <c r="G141" s="123" t="str">
        <f aca="false">IF(G$4="X"," ",IF(F141&lt;&gt;0,F141*G$2/(100+G$2)," "))</f>
        <v> </v>
      </c>
      <c r="H141" s="123" t="str">
        <f aca="false">IF((F141&lt;&gt;0),F141-G141," ")</f>
        <v> </v>
      </c>
    </row>
    <row r="142" customFormat="false" ht="12.75" hidden="false" customHeight="false" outlineLevel="0" collapsed="false">
      <c r="E142" s="119"/>
      <c r="G142" s="123" t="str">
        <f aca="false">IF(G$4="X"," ",IF(F142&lt;&gt;0,F142*G$2/(100+G$2)," "))</f>
        <v> </v>
      </c>
      <c r="H142" s="123" t="str">
        <f aca="false">IF((F142&lt;&gt;0),F142-G142," ")</f>
        <v> </v>
      </c>
    </row>
    <row r="143" customFormat="false" ht="12.75" hidden="false" customHeight="false" outlineLevel="0" collapsed="false">
      <c r="E143" s="119"/>
      <c r="G143" s="123" t="str">
        <f aca="false">IF(G$4="X"," ",IF(F143&lt;&gt;0,F143*G$2/(100+G$2)," "))</f>
        <v> </v>
      </c>
      <c r="H143" s="123" t="str">
        <f aca="false">IF((F143&lt;&gt;0),F143-G143," ")</f>
        <v> </v>
      </c>
    </row>
    <row r="144" customFormat="false" ht="12.75" hidden="false" customHeight="false" outlineLevel="0" collapsed="false">
      <c r="E144" s="119"/>
      <c r="G144" s="123" t="str">
        <f aca="false">IF(G$4="X"," ",IF(F144&lt;&gt;0,F144*G$2/(100+G$2)," "))</f>
        <v> </v>
      </c>
      <c r="H144" s="123" t="str">
        <f aca="false">IF((F144&lt;&gt;0),F144-G144," ")</f>
        <v> </v>
      </c>
    </row>
    <row r="145" customFormat="false" ht="12.75" hidden="false" customHeight="false" outlineLevel="0" collapsed="false">
      <c r="E145" s="119"/>
      <c r="G145" s="123" t="str">
        <f aca="false">IF(G$4="X"," ",IF(F145&lt;&gt;0,F145*G$2/(100+G$2)," "))</f>
        <v> </v>
      </c>
      <c r="H145" s="123" t="str">
        <f aca="false">IF((F145&lt;&gt;0),F145-G145," ")</f>
        <v> </v>
      </c>
    </row>
    <row r="146" customFormat="false" ht="12.75" hidden="false" customHeight="false" outlineLevel="0" collapsed="false">
      <c r="E146" s="119"/>
      <c r="G146" s="123" t="str">
        <f aca="false">IF(G$4="X"," ",IF(F146&lt;&gt;0,F146*G$2/(100+G$2)," "))</f>
        <v> </v>
      </c>
      <c r="H146" s="123" t="str">
        <f aca="false">IF((F146&lt;&gt;0),F146-G146," ")</f>
        <v> </v>
      </c>
    </row>
    <row r="147" customFormat="false" ht="12.75" hidden="false" customHeight="false" outlineLevel="0" collapsed="false">
      <c r="E147" s="119"/>
      <c r="G147" s="123" t="str">
        <f aca="false">IF(G$4="X"," ",IF(F147&lt;&gt;0,F147*G$2/(100+G$2)," "))</f>
        <v> </v>
      </c>
      <c r="H147" s="123" t="str">
        <f aca="false">IF((F147&lt;&gt;0),F147-G147," ")</f>
        <v> </v>
      </c>
    </row>
    <row r="148" customFormat="false" ht="12.75" hidden="false" customHeight="false" outlineLevel="0" collapsed="false">
      <c r="E148" s="119"/>
      <c r="G148" s="123" t="str">
        <f aca="false">IF(G$4="X"," ",IF(F148&lt;&gt;0,F148*G$2/(100+G$2)," "))</f>
        <v> </v>
      </c>
      <c r="H148" s="123" t="str">
        <f aca="false">IF((F148&lt;&gt;0),F148-G148," ")</f>
        <v> </v>
      </c>
    </row>
    <row r="149" customFormat="false" ht="12.75" hidden="false" customHeight="false" outlineLevel="0" collapsed="false">
      <c r="E149" s="119"/>
      <c r="G149" s="123" t="str">
        <f aca="false">IF(G$4="X"," ",IF(F149&lt;&gt;0,F149*G$2/(100+G$2)," "))</f>
        <v> </v>
      </c>
      <c r="H149" s="123" t="str">
        <f aca="false">IF((F149&lt;&gt;0),F149-G149," ")</f>
        <v> </v>
      </c>
    </row>
    <row r="150" customFormat="false" ht="12.75" hidden="false" customHeight="false" outlineLevel="0" collapsed="false">
      <c r="E150" s="119"/>
      <c r="G150" s="123" t="str">
        <f aca="false">IF(G$4="X"," ",IF(F150&lt;&gt;0,F150*G$2/(100+G$2)," "))</f>
        <v> </v>
      </c>
      <c r="H150" s="123" t="str">
        <f aca="false">IF((F150&lt;&gt;0),F150-G150," ")</f>
        <v> </v>
      </c>
    </row>
    <row r="151" customFormat="false" ht="12.75" hidden="false" customHeight="false" outlineLevel="0" collapsed="false">
      <c r="E151" s="119"/>
      <c r="G151" s="123" t="str">
        <f aca="false">IF(G$4="X"," ",IF(F151&lt;&gt;0,F151*G$2/(100+G$2)," "))</f>
        <v> </v>
      </c>
      <c r="H151" s="123" t="str">
        <f aca="false">IF((F151&lt;&gt;0),F151-G151," ")</f>
        <v> </v>
      </c>
    </row>
    <row r="152" customFormat="false" ht="12.75" hidden="false" customHeight="false" outlineLevel="0" collapsed="false">
      <c r="E152" s="119"/>
      <c r="G152" s="123" t="str">
        <f aca="false">IF(G$4="X"," ",IF(F152&lt;&gt;0,F152*G$2/(100+G$2)," "))</f>
        <v> </v>
      </c>
      <c r="H152" s="123" t="str">
        <f aca="false">IF((F152&lt;&gt;0),F152-G152," ")</f>
        <v> </v>
      </c>
    </row>
    <row r="153" customFormat="false" ht="12.75" hidden="false" customHeight="false" outlineLevel="0" collapsed="false">
      <c r="E153" s="119"/>
      <c r="G153" s="123" t="str">
        <f aca="false">IF(G$4="X"," ",IF(F153&lt;&gt;0,F153*G$2/(100+G$2)," "))</f>
        <v> </v>
      </c>
      <c r="H153" s="123" t="str">
        <f aca="false">IF((F153&lt;&gt;0),F153-G153," ")</f>
        <v> </v>
      </c>
    </row>
    <row r="154" customFormat="false" ht="12.75" hidden="false" customHeight="false" outlineLevel="0" collapsed="false">
      <c r="E154" s="119"/>
      <c r="G154" s="123" t="str">
        <f aca="false">IF(G$4="X"," ",IF(F154&lt;&gt;0,F154*G$2/(100+G$2)," "))</f>
        <v> </v>
      </c>
      <c r="H154" s="123" t="str">
        <f aca="false">IF((F154&lt;&gt;0),F154-G154," ")</f>
        <v> </v>
      </c>
    </row>
    <row r="155" customFormat="false" ht="12.75" hidden="false" customHeight="false" outlineLevel="0" collapsed="false">
      <c r="E155" s="119"/>
      <c r="G155" s="123" t="str">
        <f aca="false">IF(G$4="X"," ",IF(F155&lt;&gt;0,F155*G$2/(100+G$2)," "))</f>
        <v> </v>
      </c>
      <c r="H155" s="123" t="str">
        <f aca="false">IF((F155&lt;&gt;0),F155-G155," ")</f>
        <v> </v>
      </c>
    </row>
    <row r="156" customFormat="false" ht="12.75" hidden="false" customHeight="false" outlineLevel="0" collapsed="false">
      <c r="E156" s="119"/>
      <c r="G156" s="123" t="str">
        <f aca="false">IF(G$4="X"," ",IF(F156&lt;&gt;0,F156*G$2/(100+G$2)," "))</f>
        <v> </v>
      </c>
      <c r="H156" s="123" t="str">
        <f aca="false">IF((F156&lt;&gt;0),F156-G156," ")</f>
        <v> </v>
      </c>
    </row>
    <row r="157" customFormat="false" ht="12.75" hidden="false" customHeight="false" outlineLevel="0" collapsed="false">
      <c r="E157" s="119"/>
      <c r="G157" s="123" t="str">
        <f aca="false">IF(G$4="X"," ",IF(F157&lt;&gt;0,F157*G$2/(100+G$2)," "))</f>
        <v> </v>
      </c>
      <c r="H157" s="123" t="str">
        <f aca="false">IF((F157&lt;&gt;0),F157-G157," ")</f>
        <v> </v>
      </c>
    </row>
    <row r="158" customFormat="false" ht="12.75" hidden="false" customHeight="false" outlineLevel="0" collapsed="false">
      <c r="E158" s="119"/>
      <c r="G158" s="123" t="str">
        <f aca="false">IF(G$4="X"," ",IF(F158&lt;&gt;0,F158*G$2/(100+G$2)," "))</f>
        <v> </v>
      </c>
      <c r="H158" s="123" t="str">
        <f aca="false">IF((F158&lt;&gt;0),F158-G158," ")</f>
        <v> </v>
      </c>
    </row>
    <row r="159" customFormat="false" ht="12.75" hidden="false" customHeight="false" outlineLevel="0" collapsed="false">
      <c r="E159" s="119"/>
      <c r="G159" s="123" t="str">
        <f aca="false">IF(G$4="X"," ",IF(F159&lt;&gt;0,F159*G$2/(100+G$2)," "))</f>
        <v> </v>
      </c>
      <c r="H159" s="123" t="str">
        <f aca="false">IF((F159&lt;&gt;0),F159-G159," ")</f>
        <v> </v>
      </c>
    </row>
    <row r="160" customFormat="false" ht="12.75" hidden="false" customHeight="false" outlineLevel="0" collapsed="false">
      <c r="E160" s="119"/>
      <c r="G160" s="123" t="str">
        <f aca="false">IF(G$4="X"," ",IF(F160&lt;&gt;0,F160*G$2/(100+G$2)," "))</f>
        <v> </v>
      </c>
      <c r="H160" s="123" t="str">
        <f aca="false">IF((F160&lt;&gt;0),F160-G160," ")</f>
        <v> </v>
      </c>
    </row>
    <row r="161" customFormat="false" ht="12.75" hidden="false" customHeight="false" outlineLevel="0" collapsed="false">
      <c r="E161" s="119"/>
      <c r="G161" s="123" t="str">
        <f aca="false">IF(G$4="X"," ",IF(F161&lt;&gt;0,F161*G$2/(100+G$2)," "))</f>
        <v> </v>
      </c>
      <c r="H161" s="123" t="str">
        <f aca="false">IF((F161&lt;&gt;0),F161-G161," ")</f>
        <v> </v>
      </c>
    </row>
    <row r="162" customFormat="false" ht="12.75" hidden="false" customHeight="false" outlineLevel="0" collapsed="false">
      <c r="E162" s="119"/>
      <c r="G162" s="123" t="str">
        <f aca="false">IF(G$4="X"," ",IF(F162&lt;&gt;0,F162*G$2/(100+G$2)," "))</f>
        <v> </v>
      </c>
      <c r="H162" s="123" t="str">
        <f aca="false">IF((F162&lt;&gt;0),F162-G162," ")</f>
        <v> </v>
      </c>
    </row>
    <row r="163" customFormat="false" ht="12.75" hidden="false" customHeight="false" outlineLevel="0" collapsed="false">
      <c r="E163" s="119"/>
      <c r="G163" s="123" t="str">
        <f aca="false">IF(G$4="X"," ",IF(F163&lt;&gt;0,F163*G$2/(100+G$2)," "))</f>
        <v> </v>
      </c>
      <c r="H163" s="123" t="str">
        <f aca="false">IF((F163&lt;&gt;0),F163-G163," ")</f>
        <v> </v>
      </c>
    </row>
    <row r="164" customFormat="false" ht="12.75" hidden="false" customHeight="false" outlineLevel="0" collapsed="false">
      <c r="E164" s="119"/>
      <c r="G164" s="123" t="str">
        <f aca="false">IF(G$4="X"," ",IF(F164&lt;&gt;0,F164*G$2/(100+G$2)," "))</f>
        <v> </v>
      </c>
      <c r="H164" s="123" t="str">
        <f aca="false">IF((F164&lt;&gt;0),F164-G164," ")</f>
        <v> </v>
      </c>
    </row>
    <row r="165" customFormat="false" ht="12.75" hidden="false" customHeight="false" outlineLevel="0" collapsed="false">
      <c r="E165" s="119"/>
      <c r="G165" s="123" t="str">
        <f aca="false">IF(G$4="X"," ",IF(F165&lt;&gt;0,F165*G$2/(100+G$2)," "))</f>
        <v> </v>
      </c>
      <c r="H165" s="123" t="str">
        <f aca="false">IF((F165&lt;&gt;0),F165-G165," ")</f>
        <v> </v>
      </c>
    </row>
    <row r="166" customFormat="false" ht="12.75" hidden="false" customHeight="false" outlineLevel="0" collapsed="false">
      <c r="E166" s="119"/>
      <c r="G166" s="123" t="str">
        <f aca="false">IF(G$4="X"," ",IF(F166&lt;&gt;0,F166*G$2/(100+G$2)," "))</f>
        <v> </v>
      </c>
      <c r="H166" s="123" t="str">
        <f aca="false">IF((F166&lt;&gt;0),F166-G166," ")</f>
        <v> </v>
      </c>
    </row>
    <row r="167" customFormat="false" ht="12.75" hidden="false" customHeight="false" outlineLevel="0" collapsed="false">
      <c r="E167" s="119"/>
      <c r="G167" s="123" t="str">
        <f aca="false">IF(G$4="X"," ",IF(F167&lt;&gt;0,F167*G$2/(100+G$2)," "))</f>
        <v> </v>
      </c>
      <c r="H167" s="123" t="str">
        <f aca="false">IF((F167&lt;&gt;0),F167-G167," ")</f>
        <v> </v>
      </c>
    </row>
    <row r="168" customFormat="false" ht="12.75" hidden="false" customHeight="false" outlineLevel="0" collapsed="false">
      <c r="E168" s="119"/>
      <c r="G168" s="123" t="str">
        <f aca="false">IF(G$4="X"," ",IF(F168&lt;&gt;0,F168*G$2/(100+G$2)," "))</f>
        <v> </v>
      </c>
      <c r="H168" s="123" t="str">
        <f aca="false">IF((F168&lt;&gt;0),F168-G168," ")</f>
        <v> </v>
      </c>
    </row>
    <row r="169" customFormat="false" ht="12.75" hidden="false" customHeight="false" outlineLevel="0" collapsed="false">
      <c r="E169" s="119"/>
      <c r="G169" s="123" t="str">
        <f aca="false">IF(G$4="X"," ",IF(F169&lt;&gt;0,F169*G$2/(100+G$2)," "))</f>
        <v> </v>
      </c>
      <c r="H169" s="123" t="str">
        <f aca="false">IF((F169&lt;&gt;0),F169-G169," ")</f>
        <v> </v>
      </c>
    </row>
    <row r="170" customFormat="false" ht="12.75" hidden="false" customHeight="false" outlineLevel="0" collapsed="false">
      <c r="E170" s="119"/>
      <c r="G170" s="123" t="str">
        <f aca="false">IF(G$4="X"," ",IF(F170&lt;&gt;0,F170*G$2/(100+G$2)," "))</f>
        <v> </v>
      </c>
      <c r="H170" s="123" t="str">
        <f aca="false">IF((F170&lt;&gt;0),F170-G170," ")</f>
        <v> </v>
      </c>
    </row>
    <row r="171" customFormat="false" ht="12.75" hidden="false" customHeight="false" outlineLevel="0" collapsed="false">
      <c r="E171" s="119"/>
      <c r="G171" s="123" t="str">
        <f aca="false">IF(G$4="X"," ",IF(F171&lt;&gt;0,F171*G$2/(100+G$2)," "))</f>
        <v> </v>
      </c>
      <c r="H171" s="123" t="str">
        <f aca="false">IF((F171&lt;&gt;0),F171-G171," ")</f>
        <v> </v>
      </c>
    </row>
    <row r="172" customFormat="false" ht="12.75" hidden="false" customHeight="false" outlineLevel="0" collapsed="false">
      <c r="E172" s="119"/>
      <c r="G172" s="123" t="str">
        <f aca="false">IF(G$4="X"," ",IF(F172&lt;&gt;0,F172*G$2/(100+G$2)," "))</f>
        <v> </v>
      </c>
      <c r="H172" s="123" t="str">
        <f aca="false">IF((F172&lt;&gt;0),F172-G172," ")</f>
        <v> </v>
      </c>
    </row>
    <row r="173" customFormat="false" ht="12.75" hidden="false" customHeight="false" outlineLevel="0" collapsed="false">
      <c r="E173" s="119"/>
      <c r="G173" s="123" t="str">
        <f aca="false">IF(G$4="X"," ",IF(F173&lt;&gt;0,F173*G$2/(100+G$2)," "))</f>
        <v> </v>
      </c>
      <c r="H173" s="123" t="str">
        <f aca="false">IF((F173&lt;&gt;0),F173-G173," ")</f>
        <v> </v>
      </c>
    </row>
    <row r="174" customFormat="false" ht="12.75" hidden="false" customHeight="false" outlineLevel="0" collapsed="false">
      <c r="E174" s="119"/>
      <c r="G174" s="123" t="str">
        <f aca="false">IF(G$4="X"," ",IF(F174&lt;&gt;0,F174*G$2/(100+G$2)," "))</f>
        <v> </v>
      </c>
      <c r="H174" s="123" t="str">
        <f aca="false">IF((F174&lt;&gt;0),F174-G174," ")</f>
        <v> </v>
      </c>
    </row>
    <row r="175" customFormat="false" ht="12.75" hidden="false" customHeight="false" outlineLevel="0" collapsed="false">
      <c r="E175" s="119"/>
      <c r="G175" s="123" t="str">
        <f aca="false">IF(G$4="X"," ",IF(F175&lt;&gt;0,F175*G$2/(100+G$2)," "))</f>
        <v> </v>
      </c>
      <c r="H175" s="123" t="str">
        <f aca="false">IF((F175&lt;&gt;0),F175-G175," ")</f>
        <v> </v>
      </c>
    </row>
    <row r="176" customFormat="false" ht="12.75" hidden="false" customHeight="false" outlineLevel="0" collapsed="false">
      <c r="E176" s="119"/>
      <c r="G176" s="123" t="str">
        <f aca="false">IF(G$4="X"," ",IF(F176&lt;&gt;0,F176*G$2/(100+G$2)," "))</f>
        <v> </v>
      </c>
      <c r="H176" s="123" t="str">
        <f aca="false">IF((F176&lt;&gt;0),F176-G176," ")</f>
        <v> </v>
      </c>
    </row>
    <row r="177" customFormat="false" ht="12.75" hidden="false" customHeight="false" outlineLevel="0" collapsed="false">
      <c r="E177" s="119"/>
      <c r="G177" s="123" t="str">
        <f aca="false">IF(G$4="X"," ",IF(F177&lt;&gt;0,F177*G$2/(100+G$2)," "))</f>
        <v> </v>
      </c>
      <c r="H177" s="123" t="str">
        <f aca="false">IF((F177&lt;&gt;0),F177-G177," ")</f>
        <v> </v>
      </c>
    </row>
    <row r="178" customFormat="false" ht="12.75" hidden="false" customHeight="false" outlineLevel="0" collapsed="false">
      <c r="E178" s="119"/>
      <c r="G178" s="123" t="str">
        <f aca="false">IF(G$4="X"," ",IF(F178&lt;&gt;0,F178*G$2/(100+G$2)," "))</f>
        <v> </v>
      </c>
      <c r="H178" s="123" t="str">
        <f aca="false">IF((F178&lt;&gt;0),F178-G178," ")</f>
        <v> </v>
      </c>
    </row>
    <row r="179" customFormat="false" ht="12.75" hidden="false" customHeight="false" outlineLevel="0" collapsed="false">
      <c r="E179" s="119"/>
      <c r="G179" s="123" t="str">
        <f aca="false">IF(G$4="X"," ",IF(F179&lt;&gt;0,F179*G$2/(100+G$2)," "))</f>
        <v> </v>
      </c>
      <c r="H179" s="123" t="str">
        <f aca="false">IF((F179&lt;&gt;0),F179-G179," ")</f>
        <v> </v>
      </c>
    </row>
    <row r="180" customFormat="false" ht="12.75" hidden="false" customHeight="false" outlineLevel="0" collapsed="false">
      <c r="E180" s="119"/>
      <c r="G180" s="123" t="str">
        <f aca="false">IF(G$4="X"," ",IF(F180&lt;&gt;0,F180*G$2/(100+G$2)," "))</f>
        <v> </v>
      </c>
      <c r="H180" s="123" t="str">
        <f aca="false">IF((F180&lt;&gt;0),F180-G180," ")</f>
        <v> </v>
      </c>
    </row>
    <row r="181" customFormat="false" ht="12.75" hidden="false" customHeight="false" outlineLevel="0" collapsed="false">
      <c r="E181" s="119"/>
      <c r="G181" s="123" t="str">
        <f aca="false">IF(G$4="X"," ",IF(F181&lt;&gt;0,F181*G$2/(100+G$2)," "))</f>
        <v> </v>
      </c>
      <c r="H181" s="123" t="str">
        <f aca="false">IF((F181&lt;&gt;0),F181-G181," ")</f>
        <v> </v>
      </c>
    </row>
    <row r="182" customFormat="false" ht="12.75" hidden="false" customHeight="false" outlineLevel="0" collapsed="false">
      <c r="E182" s="119"/>
      <c r="G182" s="123" t="str">
        <f aca="false">IF(G$4="X"," ",IF(F182&lt;&gt;0,F182*G$2/(100+G$2)," "))</f>
        <v> </v>
      </c>
      <c r="H182" s="123" t="str">
        <f aca="false">IF((F182&lt;&gt;0),F182-G182," ")</f>
        <v> </v>
      </c>
    </row>
    <row r="183" customFormat="false" ht="12.75" hidden="false" customHeight="false" outlineLevel="0" collapsed="false">
      <c r="E183" s="119"/>
      <c r="G183" s="123" t="str">
        <f aca="false">IF(G$4="X"," ",IF(F183&lt;&gt;0,F183*G$2/(100+G$2)," "))</f>
        <v> </v>
      </c>
      <c r="H183" s="123" t="str">
        <f aca="false">IF((F183&lt;&gt;0),F183-G183," ")</f>
        <v> </v>
      </c>
    </row>
    <row r="184" customFormat="false" ht="12.75" hidden="false" customHeight="false" outlineLevel="0" collapsed="false">
      <c r="E184" s="119"/>
      <c r="G184" s="123" t="str">
        <f aca="false">IF(G$4="X"," ",IF(F184&lt;&gt;0,F184*G$2/(100+G$2)," "))</f>
        <v> </v>
      </c>
      <c r="H184" s="123" t="str">
        <f aca="false">IF((F184&lt;&gt;0),F184-G184," ")</f>
        <v> </v>
      </c>
    </row>
    <row r="185" customFormat="false" ht="12.75" hidden="false" customHeight="false" outlineLevel="0" collapsed="false">
      <c r="E185" s="119"/>
      <c r="G185" s="123" t="str">
        <f aca="false">IF(G$4="X"," ",IF(F185&lt;&gt;0,F185*G$2/(100+G$2)," "))</f>
        <v> </v>
      </c>
      <c r="H185" s="123" t="str">
        <f aca="false">IF((F185&lt;&gt;0),F185-G185," ")</f>
        <v> </v>
      </c>
    </row>
    <row r="186" customFormat="false" ht="12.75" hidden="false" customHeight="false" outlineLevel="0" collapsed="false">
      <c r="E186" s="119"/>
      <c r="G186" s="123" t="str">
        <f aca="false">IF(G$4="X"," ",IF(F186&lt;&gt;0,F186*G$2/(100+G$2)," "))</f>
        <v> </v>
      </c>
      <c r="H186" s="123" t="str">
        <f aca="false">IF((F186&lt;&gt;0),F186-G186," ")</f>
        <v> </v>
      </c>
    </row>
    <row r="187" customFormat="false" ht="12.75" hidden="false" customHeight="false" outlineLevel="0" collapsed="false">
      <c r="E187" s="119"/>
      <c r="G187" s="123" t="str">
        <f aca="false">IF(G$4="X"," ",IF(F187&lt;&gt;0,F187*G$2/(100+G$2)," "))</f>
        <v> </v>
      </c>
      <c r="H187" s="123" t="str">
        <f aca="false">IF((F187&lt;&gt;0),F187-G187," ")</f>
        <v> </v>
      </c>
    </row>
    <row r="188" customFormat="false" ht="12.75" hidden="false" customHeight="false" outlineLevel="0" collapsed="false">
      <c r="E188" s="119"/>
      <c r="G188" s="123" t="str">
        <f aca="false">IF(G$4="X"," ",IF(F188&lt;&gt;0,F188*G$2/(100+G$2)," "))</f>
        <v> </v>
      </c>
      <c r="H188" s="123" t="str">
        <f aca="false">IF((F188&lt;&gt;0),F188-G188," ")</f>
        <v> </v>
      </c>
    </row>
    <row r="189" customFormat="false" ht="12.75" hidden="false" customHeight="false" outlineLevel="0" collapsed="false">
      <c r="E189" s="119"/>
      <c r="G189" s="123" t="str">
        <f aca="false">IF(G$4="X"," ",IF(F189&lt;&gt;0,F189*G$2/(100+G$2)," "))</f>
        <v> </v>
      </c>
      <c r="H189" s="123" t="str">
        <f aca="false">IF((F189&lt;&gt;0),F189-G189," ")</f>
        <v> </v>
      </c>
    </row>
    <row r="190" customFormat="false" ht="12.75" hidden="false" customHeight="false" outlineLevel="0" collapsed="false">
      <c r="E190" s="119"/>
      <c r="G190" s="123" t="str">
        <f aca="false">IF(G$4="X"," ",IF(F190&lt;&gt;0,F190*G$2/(100+G$2)," "))</f>
        <v> </v>
      </c>
      <c r="H190" s="123" t="str">
        <f aca="false">IF((F190&lt;&gt;0),F190-G190," ")</f>
        <v> </v>
      </c>
    </row>
    <row r="191" customFormat="false" ht="12.75" hidden="false" customHeight="false" outlineLevel="0" collapsed="false">
      <c r="E191" s="119"/>
      <c r="G191" s="123" t="str">
        <f aca="false">IF(G$4="X"," ",IF(F191&lt;&gt;0,F191*G$2/(100+G$2)," "))</f>
        <v> </v>
      </c>
      <c r="H191" s="123" t="str">
        <f aca="false">IF((F191&lt;&gt;0),F191-G191," ")</f>
        <v> </v>
      </c>
    </row>
    <row r="192" customFormat="false" ht="12.75" hidden="false" customHeight="false" outlineLevel="0" collapsed="false">
      <c r="E192" s="119"/>
      <c r="G192" s="123" t="str">
        <f aca="false">IF(G$4="X"," ",IF(F192&lt;&gt;0,F192*G$2/(100+G$2)," "))</f>
        <v> </v>
      </c>
      <c r="H192" s="123" t="str">
        <f aca="false">IF((F192&lt;&gt;0),F192-G192," ")</f>
        <v> </v>
      </c>
    </row>
    <row r="193" customFormat="false" ht="12.75" hidden="false" customHeight="false" outlineLevel="0" collapsed="false">
      <c r="E193" s="119"/>
      <c r="G193" s="123" t="str">
        <f aca="false">IF(G$4="X"," ",IF(F193&lt;&gt;0,F193*G$2/(100+G$2)," "))</f>
        <v> </v>
      </c>
      <c r="H193" s="123" t="str">
        <f aca="false">IF((F193&lt;&gt;0),F193-G193," ")</f>
        <v> </v>
      </c>
    </row>
    <row r="194" customFormat="false" ht="12.75" hidden="false" customHeight="false" outlineLevel="0" collapsed="false">
      <c r="E194" s="119"/>
      <c r="G194" s="123" t="str">
        <f aca="false">IF(G$4="X"," ",IF(F194&lt;&gt;0,F194*G$2/(100+G$2)," "))</f>
        <v> </v>
      </c>
      <c r="H194" s="123" t="str">
        <f aca="false">IF((F194&lt;&gt;0),F194-G194," ")</f>
        <v> </v>
      </c>
    </row>
    <row r="195" customFormat="false" ht="12.75" hidden="false" customHeight="false" outlineLevel="0" collapsed="false">
      <c r="E195" s="119"/>
      <c r="G195" s="123" t="str">
        <f aca="false">IF(G$4="X"," ",IF(F195&lt;&gt;0,F195*G$2/(100+G$2)," "))</f>
        <v> </v>
      </c>
      <c r="H195" s="123" t="str">
        <f aca="false">IF((F195&lt;&gt;0),F195-G195," ")</f>
        <v> </v>
      </c>
    </row>
    <row r="196" customFormat="false" ht="12.75" hidden="false" customHeight="false" outlineLevel="0" collapsed="false">
      <c r="E196" s="119"/>
      <c r="G196" s="123" t="str">
        <f aca="false">IF(G$4="X"," ",IF(F196&lt;&gt;0,F196*G$2/(100+G$2)," "))</f>
        <v> </v>
      </c>
      <c r="H196" s="123" t="str">
        <f aca="false">IF((F196&lt;&gt;0),F196-G196," ")</f>
        <v> </v>
      </c>
    </row>
    <row r="197" customFormat="false" ht="12.75" hidden="false" customHeight="false" outlineLevel="0" collapsed="false">
      <c r="E197" s="119"/>
      <c r="G197" s="123" t="str">
        <f aca="false">IF(G$4="X"," ",IF(F197&lt;&gt;0,F197*G$2/(100+G$2)," "))</f>
        <v> </v>
      </c>
      <c r="H197" s="123" t="str">
        <f aca="false">IF((F197&lt;&gt;0),F197-G197," ")</f>
        <v> </v>
      </c>
    </row>
    <row r="198" customFormat="false" ht="12.75" hidden="false" customHeight="false" outlineLevel="0" collapsed="false">
      <c r="E198" s="119"/>
      <c r="G198" s="123" t="str">
        <f aca="false">IF(G$4="X"," ",IF(F198&lt;&gt;0,F198*G$2/(100+G$2)," "))</f>
        <v> </v>
      </c>
      <c r="H198" s="123" t="str">
        <f aca="false">IF((F198&lt;&gt;0),F198-G198," ")</f>
        <v> </v>
      </c>
    </row>
    <row r="199" customFormat="false" ht="12.75" hidden="false" customHeight="false" outlineLevel="0" collapsed="false">
      <c r="E199" s="119"/>
      <c r="G199" s="123" t="str">
        <f aca="false">IF(G$4="X"," ",IF(F199&lt;&gt;0,F199*G$2/(100+G$2)," "))</f>
        <v> </v>
      </c>
      <c r="H199" s="123" t="str">
        <f aca="false">IF((F199&lt;&gt;0),F199-G199," ")</f>
        <v> </v>
      </c>
    </row>
    <row r="200" customFormat="false" ht="12.75" hidden="false" customHeight="false" outlineLevel="0" collapsed="false">
      <c r="A200" s="132"/>
      <c r="B200" s="133"/>
      <c r="C200" s="134"/>
      <c r="D200" s="135"/>
      <c r="E200" s="133"/>
      <c r="F200" s="136"/>
      <c r="G200" s="136" t="str">
        <f aca="false">IF(G$4="X"," ",IF(F200&lt;&gt;0,F200*G$2/(100+G$2)," "))</f>
        <v> </v>
      </c>
      <c r="H200" s="136" t="str">
        <f aca="false">IF((F200&lt;&gt;0),F200-G200," ")</f>
        <v> </v>
      </c>
    </row>
    <row r="201" customFormat="false" ht="12.75" hidden="false" customHeight="false" outlineLevel="0" collapsed="false">
      <c r="A201" s="98" t="s">
        <v>38</v>
      </c>
      <c r="G201" s="123" t="e">
        <f aca="false">NA()</f>
        <v>#N/A</v>
      </c>
    </row>
  </sheetData>
  <mergeCells count="10">
    <mergeCell ref="A1:C1"/>
    <mergeCell ref="D1:E1"/>
    <mergeCell ref="A2:A4"/>
    <mergeCell ref="B2:B4"/>
    <mergeCell ref="C2:C4"/>
    <mergeCell ref="D2:D4"/>
    <mergeCell ref="E2:E4"/>
    <mergeCell ref="F2:F4"/>
    <mergeCell ref="H2:H4"/>
    <mergeCell ref="G3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8" width="8.82"/>
    <col collapsed="false" customWidth="true" hidden="false" outlineLevel="0" max="2" min="2" style="119" width="19.66"/>
    <col collapsed="false" customWidth="true" hidden="false" outlineLevel="0" max="3" min="3" style="120" width="12.66"/>
    <col collapsed="false" customWidth="true" hidden="false" outlineLevel="0" max="4" min="4" style="121" width="14.66"/>
    <col collapsed="false" customWidth="true" hidden="false" outlineLevel="0" max="5" min="5" style="122" width="5.5"/>
    <col collapsed="false" customWidth="true" hidden="false" outlineLevel="0" max="6" min="6" style="123" width="10.5"/>
    <col collapsed="false" customWidth="true" hidden="false" outlineLevel="0" max="7" min="7" style="123" width="9.66"/>
    <col collapsed="false" customWidth="true" hidden="false" outlineLevel="0" max="8" min="8" style="123" width="10.66"/>
    <col collapsed="false" customWidth="false" hidden="false" outlineLevel="0" max="257" min="9" style="119" width="9.15"/>
  </cols>
  <sheetData>
    <row r="1" s="102" customFormat="true" ht="15" hidden="false" customHeight="true" outlineLevel="0" collapsed="false">
      <c r="A1" s="103" t="s">
        <v>29</v>
      </c>
      <c r="B1" s="103"/>
      <c r="C1" s="103"/>
      <c r="D1" s="105" t="s">
        <v>30</v>
      </c>
      <c r="E1" s="105"/>
      <c r="F1" s="105" t="n">
        <f aca="false">SUM(F5:F200)</f>
        <v>0</v>
      </c>
      <c r="G1" s="105" t="n">
        <f aca="false">SUM(G5:G200)</f>
        <v>0</v>
      </c>
      <c r="H1" s="105" t="n">
        <f aca="false">SUM(H5:H200)</f>
        <v>0</v>
      </c>
    </row>
    <row r="2" s="127" customFormat="true" ht="12" hidden="false" customHeight="true" outlineLevel="0" collapsed="false">
      <c r="A2" s="107" t="s">
        <v>39</v>
      </c>
      <c r="B2" s="108" t="str">
        <f aca="false">IF((H1-SUM(O1:AK1)&lt;&gt;0),"COMPLETE EXPENSE ANALYSIS by inserting expense letter in col F","Supplier")</f>
        <v>Supplier</v>
      </c>
      <c r="C2" s="110" t="s">
        <v>40</v>
      </c>
      <c r="D2" s="124" t="s">
        <v>41</v>
      </c>
      <c r="E2" s="125"/>
      <c r="F2" s="108" t="s">
        <v>42</v>
      </c>
      <c r="G2" s="126" t="n">
        <f aca="false">[3]ClosingCreditors!$G$2</f>
        <v>20</v>
      </c>
      <c r="H2" s="108" t="s">
        <v>43</v>
      </c>
    </row>
    <row r="3" s="128" customFormat="true" ht="12" hidden="false" customHeight="true" outlineLevel="0" collapsed="false">
      <c r="A3" s="107"/>
      <c r="B3" s="107"/>
      <c r="C3" s="107"/>
      <c r="D3" s="124"/>
      <c r="E3" s="125"/>
      <c r="F3" s="108"/>
      <c r="G3" s="108" t="s">
        <v>44</v>
      </c>
      <c r="H3" s="108"/>
    </row>
    <row r="4" customFormat="false" ht="12.75" hidden="false" customHeight="false" outlineLevel="0" collapsed="false">
      <c r="A4" s="107"/>
      <c r="B4" s="107"/>
      <c r="C4" s="107"/>
      <c r="D4" s="124"/>
      <c r="E4" s="125"/>
      <c r="F4" s="108"/>
      <c r="G4" s="108"/>
      <c r="H4" s="108"/>
    </row>
    <row r="5" customFormat="false" ht="12.75" hidden="false" customHeight="false" outlineLevel="0" collapsed="false">
      <c r="B5" s="122"/>
      <c r="C5" s="129"/>
      <c r="D5" s="122"/>
      <c r="E5" s="119"/>
      <c r="F5" s="130"/>
      <c r="G5" s="123" t="str">
        <f aca="false">IF(F5&lt;&gt;0,F5*G$2/(100+G$2)," ")</f>
        <v> </v>
      </c>
      <c r="H5" s="123" t="str">
        <f aca="false">IF((F5&lt;&gt;0),F5-G5," ")</f>
        <v> </v>
      </c>
    </row>
    <row r="6" customFormat="false" ht="12.75" hidden="false" customHeight="false" outlineLevel="0" collapsed="false">
      <c r="E6" s="119"/>
      <c r="G6" s="123" t="str">
        <f aca="false">IF(F6&lt;&gt;0,F6*G$2/(100+G$2)," ")</f>
        <v> </v>
      </c>
      <c r="H6" s="123" t="str">
        <f aca="false">IF((F6&lt;&gt;0),F6-G6," ")</f>
        <v> </v>
      </c>
    </row>
    <row r="7" customFormat="false" ht="12.75" hidden="false" customHeight="false" outlineLevel="0" collapsed="false">
      <c r="E7" s="119"/>
      <c r="G7" s="123" t="str">
        <f aca="false">IF(F7&lt;&gt;0,F7*G$2/(100+G$2)," ")</f>
        <v> </v>
      </c>
      <c r="H7" s="123" t="str">
        <f aca="false">IF((F7&lt;&gt;0),F7-G7," ")</f>
        <v> </v>
      </c>
    </row>
    <row r="8" customFormat="false" ht="12.75" hidden="false" customHeight="false" outlineLevel="0" collapsed="false">
      <c r="E8" s="119"/>
      <c r="G8" s="123" t="str">
        <f aca="false">IF(F8&lt;&gt;0,F8*G$2/(100+G$2)," ")</f>
        <v> </v>
      </c>
      <c r="H8" s="123" t="str">
        <f aca="false">IF((F8&lt;&gt;0),F8-G8," ")</f>
        <v> </v>
      </c>
    </row>
    <row r="9" customFormat="false" ht="12.75" hidden="false" customHeight="false" outlineLevel="0" collapsed="false">
      <c r="E9" s="119"/>
      <c r="G9" s="123" t="str">
        <f aca="false">IF(F9&lt;&gt;0,F9*G$2/(100+G$2)," ")</f>
        <v> </v>
      </c>
      <c r="H9" s="123" t="str">
        <f aca="false">IF((F9&lt;&gt;0),F9-G9," ")</f>
        <v> </v>
      </c>
    </row>
    <row r="10" customFormat="false" ht="12.75" hidden="false" customHeight="false" outlineLevel="0" collapsed="false">
      <c r="E10" s="119"/>
      <c r="G10" s="123" t="str">
        <f aca="false">IF(F10&lt;&gt;0,F10*G$2/(100+G$2)," ")</f>
        <v> </v>
      </c>
      <c r="H10" s="123" t="str">
        <f aca="false">IF((F10&lt;&gt;0),F10-G10," ")</f>
        <v> </v>
      </c>
    </row>
    <row r="11" customFormat="false" ht="12.75" hidden="false" customHeight="false" outlineLevel="0" collapsed="false">
      <c r="E11" s="119"/>
      <c r="G11" s="123" t="str">
        <f aca="false">IF(F11&lt;&gt;0,F11*G$2/(100+G$2)," ")</f>
        <v> </v>
      </c>
      <c r="H11" s="123" t="str">
        <f aca="false">IF((F11&lt;&gt;0),F11-G11," ")</f>
        <v> </v>
      </c>
    </row>
    <row r="12" customFormat="false" ht="12.75" hidden="false" customHeight="false" outlineLevel="0" collapsed="false">
      <c r="E12" s="119"/>
      <c r="G12" s="123" t="str">
        <f aca="false">IF(F12&lt;&gt;0,F12*G$2/(100+G$2)," ")</f>
        <v> </v>
      </c>
      <c r="H12" s="123" t="str">
        <f aca="false">IF((F12&lt;&gt;0),F12-G12," ")</f>
        <v> </v>
      </c>
    </row>
    <row r="13" customFormat="false" ht="12.75" hidden="false" customHeight="false" outlineLevel="0" collapsed="false">
      <c r="E13" s="119"/>
      <c r="G13" s="123" t="str">
        <f aca="false">IF(F13&lt;&gt;0,F13*G$2/(100+G$2)," ")</f>
        <v> </v>
      </c>
      <c r="H13" s="123" t="str">
        <f aca="false">IF((F13&lt;&gt;0),F13-G13," ")</f>
        <v> </v>
      </c>
    </row>
    <row r="14" customFormat="false" ht="12.75" hidden="false" customHeight="false" outlineLevel="0" collapsed="false">
      <c r="E14" s="119"/>
      <c r="G14" s="123" t="str">
        <f aca="false">IF(F14&lt;&gt;0,F14*G$2/(100+G$2)," ")</f>
        <v> </v>
      </c>
      <c r="H14" s="123" t="str">
        <f aca="false">IF((F14&lt;&gt;0),F14-G14," ")</f>
        <v> </v>
      </c>
    </row>
    <row r="15" customFormat="false" ht="12.75" hidden="false" customHeight="false" outlineLevel="0" collapsed="false">
      <c r="E15" s="119"/>
      <c r="G15" s="123" t="str">
        <f aca="false">IF(G$4="X"," ",IF(F15&lt;&gt;0,F15*G$2/(100+G$2)," "))</f>
        <v> </v>
      </c>
      <c r="H15" s="123" t="str">
        <f aca="false">IF((F15&lt;&gt;0),F15-G15," ")</f>
        <v> </v>
      </c>
    </row>
    <row r="16" customFormat="false" ht="12.75" hidden="false" customHeight="false" outlineLevel="0" collapsed="false">
      <c r="E16" s="119"/>
      <c r="G16" s="123" t="str">
        <f aca="false">IF(G$4="X"," ",IF(F16&lt;&gt;0,F16*G$2/(100+G$2)," "))</f>
        <v> </v>
      </c>
      <c r="H16" s="123" t="str">
        <f aca="false">IF((F16&lt;&gt;0),F16-G16," ")</f>
        <v> </v>
      </c>
    </row>
    <row r="17" customFormat="false" ht="12.75" hidden="false" customHeight="false" outlineLevel="0" collapsed="false">
      <c r="E17" s="119"/>
      <c r="G17" s="123" t="str">
        <f aca="false">IF(G$4="X"," ",IF(F17&lt;&gt;0,F17*G$2/(100+G$2)," "))</f>
        <v> </v>
      </c>
      <c r="H17" s="123" t="str">
        <f aca="false">IF((F17&lt;&gt;0),F17-G17," ")</f>
        <v> </v>
      </c>
    </row>
    <row r="18" customFormat="false" ht="12.75" hidden="false" customHeight="false" outlineLevel="0" collapsed="false">
      <c r="E18" s="119"/>
      <c r="G18" s="123" t="str">
        <f aca="false">IF(G$4="X"," ",IF(F18&lt;&gt;0,F18*G$2/(100+G$2)," "))</f>
        <v> </v>
      </c>
      <c r="H18" s="123" t="str">
        <f aca="false">IF((F18&lt;&gt;0),F18-G18," ")</f>
        <v> </v>
      </c>
    </row>
    <row r="19" customFormat="false" ht="12.75" hidden="false" customHeight="false" outlineLevel="0" collapsed="false">
      <c r="E19" s="119"/>
      <c r="G19" s="123" t="str">
        <f aca="false">IF(G$4="X"," ",IF(F19&lt;&gt;0,F19*G$2/(100+G$2)," "))</f>
        <v> </v>
      </c>
      <c r="H19" s="123" t="str">
        <f aca="false">IF((F19&lt;&gt;0),F19-G19," ")</f>
        <v> </v>
      </c>
    </row>
    <row r="20" customFormat="false" ht="12.75" hidden="false" customHeight="false" outlineLevel="0" collapsed="false">
      <c r="E20" s="119"/>
      <c r="G20" s="123" t="str">
        <f aca="false">IF(G$4="X"," ",IF(F20&lt;&gt;0,F20*G$2/(100+G$2)," "))</f>
        <v> </v>
      </c>
      <c r="H20" s="123" t="str">
        <f aca="false">IF((F20&lt;&gt;0),F20-G20," ")</f>
        <v> </v>
      </c>
    </row>
    <row r="21" customFormat="false" ht="12.75" hidden="false" customHeight="false" outlineLevel="0" collapsed="false">
      <c r="E21" s="119"/>
      <c r="G21" s="123" t="str">
        <f aca="false">IF(G$4="X"," ",IF(F21&lt;&gt;0,F21*G$2/(100+G$2)," "))</f>
        <v> </v>
      </c>
      <c r="H21" s="123" t="str">
        <f aca="false">IF((F21&lt;&gt;0),F21-G21," ")</f>
        <v> </v>
      </c>
    </row>
    <row r="22" customFormat="false" ht="12.75" hidden="false" customHeight="false" outlineLevel="0" collapsed="false">
      <c r="D22" s="119"/>
      <c r="E22" s="119"/>
      <c r="G22" s="123" t="str">
        <f aca="false">IF(G$4="X"," ",IF(F22&lt;&gt;0,F22*G$2/(100+G$2)," "))</f>
        <v> </v>
      </c>
      <c r="H22" s="123" t="str">
        <f aca="false">IF((F22&lt;&gt;0),F22-G22," ")</f>
        <v> </v>
      </c>
    </row>
    <row r="23" customFormat="false" ht="12.75" hidden="false" customHeight="false" outlineLevel="0" collapsed="false">
      <c r="D23" s="131"/>
      <c r="E23" s="119"/>
      <c r="G23" s="123" t="str">
        <f aca="false">IF(G$4="X"," ",IF(F23&lt;&gt;0,F23*G$2/(100+G$2)," "))</f>
        <v> </v>
      </c>
      <c r="H23" s="123" t="str">
        <f aca="false">IF((F23&lt;&gt;0),F23-G23," ")</f>
        <v> </v>
      </c>
    </row>
    <row r="24" customFormat="false" ht="12.75" hidden="false" customHeight="false" outlineLevel="0" collapsed="false">
      <c r="E24" s="119"/>
      <c r="G24" s="123" t="str">
        <f aca="false">IF(G$4="X"," ",IF(F24&lt;&gt;0,F24*G$2/(100+G$2)," "))</f>
        <v> </v>
      </c>
      <c r="H24" s="123" t="str">
        <f aca="false">IF((F24&lt;&gt;0),F24-G24," ")</f>
        <v> </v>
      </c>
    </row>
    <row r="25" customFormat="false" ht="12.75" hidden="false" customHeight="false" outlineLevel="0" collapsed="false">
      <c r="E25" s="119"/>
      <c r="G25" s="123" t="str">
        <f aca="false">IF(G$4="X"," ",IF(F25&lt;&gt;0,F25*G$2/(100+G$2)," "))</f>
        <v> </v>
      </c>
      <c r="H25" s="123" t="str">
        <f aca="false">IF((F25&lt;&gt;0),F25-G25," ")</f>
        <v> </v>
      </c>
    </row>
    <row r="26" customFormat="false" ht="12.75" hidden="false" customHeight="false" outlineLevel="0" collapsed="false">
      <c r="E26" s="119"/>
      <c r="G26" s="123" t="str">
        <f aca="false">IF(G$4="X"," ",IF(F26&lt;&gt;0,F26*G$2/(100+G$2)," "))</f>
        <v> </v>
      </c>
      <c r="H26" s="123" t="str">
        <f aca="false">IF((F26&lt;&gt;0),F26-G26," ")</f>
        <v> </v>
      </c>
    </row>
    <row r="27" customFormat="false" ht="12.75" hidden="false" customHeight="false" outlineLevel="0" collapsed="false">
      <c r="E27" s="119"/>
      <c r="G27" s="123" t="str">
        <f aca="false">IF(G$4="X"," ",IF(F27&lt;&gt;0,F27*G$2/(100+G$2)," "))</f>
        <v> </v>
      </c>
      <c r="H27" s="123" t="str">
        <f aca="false">IF((F27&lt;&gt;0),F27-G27," ")</f>
        <v> </v>
      </c>
    </row>
    <row r="28" customFormat="false" ht="12.75" hidden="false" customHeight="false" outlineLevel="0" collapsed="false">
      <c r="E28" s="119"/>
      <c r="G28" s="123" t="str">
        <f aca="false">IF(G$4="X"," ",IF(F28&lt;&gt;0,F28*G$2/(100+G$2)," "))</f>
        <v> </v>
      </c>
      <c r="H28" s="123" t="str">
        <f aca="false">IF((F28&lt;&gt;0),F28-G28," ")</f>
        <v> </v>
      </c>
    </row>
    <row r="29" customFormat="false" ht="12.75" hidden="false" customHeight="false" outlineLevel="0" collapsed="false">
      <c r="E29" s="119"/>
      <c r="G29" s="123" t="str">
        <f aca="false">IF(G$4="X"," ",IF(F29&lt;&gt;0,F29*G$2/(100+G$2)," "))</f>
        <v> </v>
      </c>
      <c r="H29" s="123" t="str">
        <f aca="false">IF((F29&lt;&gt;0),F29-G29," ")</f>
        <v> </v>
      </c>
    </row>
    <row r="30" customFormat="false" ht="12.75" hidden="false" customHeight="false" outlineLevel="0" collapsed="false">
      <c r="E30" s="119"/>
      <c r="G30" s="123" t="str">
        <f aca="false">IF(G$4="X"," ",IF(F30&lt;&gt;0,F30*G$2/(100+G$2)," "))</f>
        <v> </v>
      </c>
      <c r="H30" s="123" t="str">
        <f aca="false">IF((F30&lt;&gt;0),F30-G30," ")</f>
        <v> </v>
      </c>
    </row>
    <row r="31" customFormat="false" ht="12.75" hidden="false" customHeight="false" outlineLevel="0" collapsed="false">
      <c r="E31" s="119"/>
      <c r="G31" s="123" t="str">
        <f aca="false">IF(G$4="X"," ",IF(F31&lt;&gt;0,F31*G$2/(100+G$2)," "))</f>
        <v> </v>
      </c>
      <c r="H31" s="123" t="str">
        <f aca="false">IF((F31&lt;&gt;0),F31-G31," ")</f>
        <v> </v>
      </c>
    </row>
    <row r="32" customFormat="false" ht="12.75" hidden="false" customHeight="false" outlineLevel="0" collapsed="false">
      <c r="E32" s="119"/>
      <c r="G32" s="123" t="str">
        <f aca="false">IF(G$4="X"," ",IF(F32&lt;&gt;0,F32*G$2/(100+G$2)," "))</f>
        <v> </v>
      </c>
      <c r="H32" s="123" t="str">
        <f aca="false">IF((F32&lt;&gt;0),F32-G32," ")</f>
        <v> </v>
      </c>
    </row>
    <row r="33" customFormat="false" ht="12.75" hidden="false" customHeight="false" outlineLevel="0" collapsed="false">
      <c r="E33" s="119"/>
      <c r="G33" s="123" t="str">
        <f aca="false">IF(G$4="X"," ",IF(F33&lt;&gt;0,F33*G$2/(100+G$2)," "))</f>
        <v> </v>
      </c>
      <c r="H33" s="123" t="str">
        <f aca="false">IF((F33&lt;&gt;0),F33-G33," ")</f>
        <v> </v>
      </c>
    </row>
    <row r="34" customFormat="false" ht="12.75" hidden="false" customHeight="false" outlineLevel="0" collapsed="false">
      <c r="E34" s="119"/>
      <c r="G34" s="123" t="str">
        <f aca="false">IF(G$4="X"," ",IF(F34&lt;&gt;0,F34*G$2/(100+G$2)," "))</f>
        <v> </v>
      </c>
      <c r="H34" s="123" t="str">
        <f aca="false">IF((F34&lt;&gt;0),F34-G34," ")</f>
        <v> </v>
      </c>
    </row>
    <row r="35" customFormat="false" ht="12.75" hidden="false" customHeight="false" outlineLevel="0" collapsed="false">
      <c r="E35" s="119"/>
      <c r="G35" s="123" t="str">
        <f aca="false">IF(G$4="X"," ",IF(F35&lt;&gt;0,F35*G$2/(100+G$2)," "))</f>
        <v> </v>
      </c>
      <c r="H35" s="123" t="str">
        <f aca="false">IF((F35&lt;&gt;0),F35-G35," ")</f>
        <v> </v>
      </c>
    </row>
    <row r="36" customFormat="false" ht="12.75" hidden="false" customHeight="false" outlineLevel="0" collapsed="false">
      <c r="E36" s="119"/>
      <c r="G36" s="123" t="str">
        <f aca="false">IF(G$4="X"," ",IF(F36&lt;&gt;0,F36*G$2/(100+G$2)," "))</f>
        <v> </v>
      </c>
      <c r="H36" s="123" t="str">
        <f aca="false">IF((F36&lt;&gt;0),F36-G36," ")</f>
        <v> </v>
      </c>
    </row>
    <row r="37" customFormat="false" ht="12.75" hidden="false" customHeight="false" outlineLevel="0" collapsed="false">
      <c r="E37" s="119"/>
      <c r="G37" s="123" t="str">
        <f aca="false">IF(G$4="X"," ",IF(F37&lt;&gt;0,F37*G$2/(100+G$2)," "))</f>
        <v> </v>
      </c>
      <c r="H37" s="123" t="str">
        <f aca="false">IF((F37&lt;&gt;0),F37-G37," ")</f>
        <v> </v>
      </c>
    </row>
    <row r="38" customFormat="false" ht="12.75" hidden="false" customHeight="false" outlineLevel="0" collapsed="false">
      <c r="E38" s="119"/>
      <c r="G38" s="123" t="str">
        <f aca="false">IF(G$4="X"," ",IF(F38&lt;&gt;0,F38*G$2/(100+G$2)," "))</f>
        <v> </v>
      </c>
      <c r="H38" s="123" t="str">
        <f aca="false">IF((F38&lt;&gt;0),F38-G38," ")</f>
        <v> </v>
      </c>
    </row>
    <row r="39" customFormat="false" ht="12.75" hidden="false" customHeight="false" outlineLevel="0" collapsed="false">
      <c r="E39" s="119"/>
      <c r="G39" s="123" t="str">
        <f aca="false">IF(G$4="X"," ",IF(F39&lt;&gt;0,F39*G$2/(100+G$2)," "))</f>
        <v> </v>
      </c>
      <c r="H39" s="123" t="str">
        <f aca="false">IF((F39&lt;&gt;0),F39-G39," ")</f>
        <v> </v>
      </c>
    </row>
    <row r="40" customFormat="false" ht="12.75" hidden="false" customHeight="false" outlineLevel="0" collapsed="false">
      <c r="E40" s="119"/>
      <c r="G40" s="123" t="str">
        <f aca="false">IF(G$4="X"," ",IF(F40&lt;&gt;0,F40*G$2/(100+G$2)," "))</f>
        <v> </v>
      </c>
      <c r="H40" s="123" t="str">
        <f aca="false">IF((F40&lt;&gt;0),F40-G40," ")</f>
        <v> </v>
      </c>
    </row>
    <row r="41" customFormat="false" ht="12.75" hidden="false" customHeight="false" outlineLevel="0" collapsed="false">
      <c r="E41" s="119"/>
      <c r="G41" s="123" t="str">
        <f aca="false">IF(G$4="X"," ",IF(F41&lt;&gt;0,F41*G$2/(100+G$2)," "))</f>
        <v> </v>
      </c>
      <c r="H41" s="123" t="str">
        <f aca="false">IF((F41&lt;&gt;0),F41-G41," ")</f>
        <v> </v>
      </c>
    </row>
    <row r="42" customFormat="false" ht="12.75" hidden="false" customHeight="false" outlineLevel="0" collapsed="false">
      <c r="E42" s="119"/>
      <c r="G42" s="123" t="str">
        <f aca="false">IF(G$4="X"," ",IF(F42&lt;&gt;0,F42*G$2/(100+G$2)," "))</f>
        <v> </v>
      </c>
      <c r="H42" s="123" t="str">
        <f aca="false">IF((F42&lt;&gt;0),F42-G42," ")</f>
        <v> </v>
      </c>
    </row>
    <row r="43" customFormat="false" ht="12.75" hidden="false" customHeight="false" outlineLevel="0" collapsed="false">
      <c r="E43" s="119"/>
      <c r="G43" s="123" t="str">
        <f aca="false">IF(G$4="X"," ",IF(F43&lt;&gt;0,F43*G$2/(100+G$2)," "))</f>
        <v> </v>
      </c>
      <c r="H43" s="123" t="str">
        <f aca="false">IF((F43&lt;&gt;0),F43-G43," ")</f>
        <v> </v>
      </c>
    </row>
    <row r="44" customFormat="false" ht="12.75" hidden="false" customHeight="false" outlineLevel="0" collapsed="false">
      <c r="E44" s="119"/>
      <c r="G44" s="123" t="str">
        <f aca="false">IF(G$4="X"," ",IF(F44&lt;&gt;0,F44*G$2/(100+G$2)," "))</f>
        <v> </v>
      </c>
      <c r="H44" s="123" t="str">
        <f aca="false">IF((F44&lt;&gt;0),F44-G44," ")</f>
        <v> </v>
      </c>
    </row>
    <row r="45" customFormat="false" ht="12.75" hidden="false" customHeight="false" outlineLevel="0" collapsed="false">
      <c r="E45" s="119"/>
      <c r="G45" s="123" t="str">
        <f aca="false">IF(G$4="X"," ",IF(F45&lt;&gt;0,F45*G$2/(100+G$2)," "))</f>
        <v> </v>
      </c>
      <c r="H45" s="123" t="str">
        <f aca="false">IF((F45&lt;&gt;0),F45-G45," ")</f>
        <v> </v>
      </c>
    </row>
    <row r="46" customFormat="false" ht="12.75" hidden="false" customHeight="false" outlineLevel="0" collapsed="false">
      <c r="E46" s="119"/>
      <c r="G46" s="123" t="str">
        <f aca="false">IF(G$4="X"," ",IF(F46&lt;&gt;0,F46*G$2/(100+G$2)," "))</f>
        <v> </v>
      </c>
      <c r="H46" s="123" t="str">
        <f aca="false">IF((F46&lt;&gt;0),F46-G46," ")</f>
        <v> </v>
      </c>
    </row>
    <row r="47" customFormat="false" ht="12.75" hidden="false" customHeight="false" outlineLevel="0" collapsed="false">
      <c r="E47" s="119"/>
      <c r="G47" s="123" t="str">
        <f aca="false">IF(G$4="X"," ",IF(F47&lt;&gt;0,F47*G$2/(100+G$2)," "))</f>
        <v> </v>
      </c>
      <c r="H47" s="123" t="str">
        <f aca="false">IF((F47&lt;&gt;0),F47-G47," ")</f>
        <v> </v>
      </c>
    </row>
    <row r="48" customFormat="false" ht="12.75" hidden="false" customHeight="false" outlineLevel="0" collapsed="false">
      <c r="E48" s="119"/>
      <c r="G48" s="123" t="str">
        <f aca="false">IF(G$4="X"," ",IF(F48&lt;&gt;0,F48*G$2/(100+G$2)," "))</f>
        <v> </v>
      </c>
      <c r="H48" s="123" t="str">
        <f aca="false">IF((F48&lt;&gt;0),F48-G48," ")</f>
        <v> </v>
      </c>
    </row>
    <row r="49" customFormat="false" ht="12.75" hidden="false" customHeight="false" outlineLevel="0" collapsed="false">
      <c r="E49" s="119"/>
      <c r="G49" s="123" t="str">
        <f aca="false">IF(G$4="X"," ",IF(F49&lt;&gt;0,F49*G$2/(100+G$2)," "))</f>
        <v> </v>
      </c>
      <c r="H49" s="123" t="str">
        <f aca="false">IF((F49&lt;&gt;0),F49-G49," ")</f>
        <v> </v>
      </c>
    </row>
    <row r="50" customFormat="false" ht="12.75" hidden="false" customHeight="false" outlineLevel="0" collapsed="false">
      <c r="E50" s="119"/>
      <c r="G50" s="123" t="str">
        <f aca="false">IF(G$4="X"," ",IF(F50&lt;&gt;0,F50*G$2/(100+G$2)," "))</f>
        <v> </v>
      </c>
      <c r="H50" s="123" t="str">
        <f aca="false">IF((F50&lt;&gt;0),F50-G50," ")</f>
        <v> </v>
      </c>
    </row>
    <row r="51" customFormat="false" ht="12.75" hidden="false" customHeight="false" outlineLevel="0" collapsed="false">
      <c r="E51" s="119"/>
      <c r="G51" s="123" t="str">
        <f aca="false">IF(G$4="X"," ",IF(F51&lt;&gt;0,F51*G$2/(100+G$2)," "))</f>
        <v> </v>
      </c>
      <c r="H51" s="123" t="str">
        <f aca="false">IF((F51&lt;&gt;0),F51-G51," ")</f>
        <v> </v>
      </c>
    </row>
    <row r="52" customFormat="false" ht="12.75" hidden="false" customHeight="false" outlineLevel="0" collapsed="false">
      <c r="E52" s="119"/>
      <c r="G52" s="123" t="str">
        <f aca="false">IF(G$4="X"," ",IF(F52&lt;&gt;0,F52*G$2/(100+G$2)," "))</f>
        <v> </v>
      </c>
      <c r="H52" s="123" t="str">
        <f aca="false">IF((F52&lt;&gt;0),F52-G52," ")</f>
        <v> </v>
      </c>
    </row>
    <row r="53" customFormat="false" ht="12.75" hidden="false" customHeight="false" outlineLevel="0" collapsed="false">
      <c r="E53" s="119"/>
      <c r="G53" s="123" t="str">
        <f aca="false">IF(G$4="X"," ",IF(F53&lt;&gt;0,F53*G$2/(100+G$2)," "))</f>
        <v> </v>
      </c>
      <c r="H53" s="123" t="str">
        <f aca="false">IF((F53&lt;&gt;0),F53-G53," ")</f>
        <v> </v>
      </c>
    </row>
    <row r="54" customFormat="false" ht="12.75" hidden="false" customHeight="false" outlineLevel="0" collapsed="false">
      <c r="E54" s="119"/>
      <c r="G54" s="123" t="str">
        <f aca="false">IF(G$4="X"," ",IF(F54&lt;&gt;0,F54*G$2/(100+G$2)," "))</f>
        <v> </v>
      </c>
      <c r="H54" s="123" t="str">
        <f aca="false">IF((F54&lt;&gt;0),F54-G54," ")</f>
        <v> </v>
      </c>
    </row>
    <row r="55" customFormat="false" ht="12.75" hidden="false" customHeight="false" outlineLevel="0" collapsed="false">
      <c r="E55" s="119"/>
      <c r="G55" s="123" t="str">
        <f aca="false">IF(G$4="X"," ",IF(F55&lt;&gt;0,F55*G$2/(100+G$2)," "))</f>
        <v> </v>
      </c>
      <c r="H55" s="123" t="str">
        <f aca="false">IF((F55&lt;&gt;0),F55-G55," ")</f>
        <v> </v>
      </c>
    </row>
    <row r="56" customFormat="false" ht="12.75" hidden="false" customHeight="false" outlineLevel="0" collapsed="false">
      <c r="E56" s="119"/>
      <c r="G56" s="123" t="str">
        <f aca="false">IF(G$4="X"," ",IF(F56&lt;&gt;0,F56*G$2/(100+G$2)," "))</f>
        <v> </v>
      </c>
      <c r="H56" s="123" t="str">
        <f aca="false">IF((F56&lt;&gt;0),F56-G56," ")</f>
        <v> </v>
      </c>
    </row>
    <row r="57" customFormat="false" ht="12.75" hidden="false" customHeight="false" outlineLevel="0" collapsed="false">
      <c r="E57" s="119"/>
      <c r="G57" s="123" t="str">
        <f aca="false">IF(G$4="X"," ",IF(F57&lt;&gt;0,F57*G$2/(100+G$2)," "))</f>
        <v> </v>
      </c>
      <c r="H57" s="123" t="str">
        <f aca="false">IF((F57&lt;&gt;0),F57-G57," ")</f>
        <v> </v>
      </c>
    </row>
    <row r="58" customFormat="false" ht="12.75" hidden="false" customHeight="false" outlineLevel="0" collapsed="false">
      <c r="E58" s="119"/>
      <c r="G58" s="123" t="str">
        <f aca="false">IF(G$4="X"," ",IF(F58&lt;&gt;0,F58*G$2/(100+G$2)," "))</f>
        <v> </v>
      </c>
      <c r="H58" s="123" t="str">
        <f aca="false">IF((F58&lt;&gt;0),F58-G58," ")</f>
        <v> </v>
      </c>
    </row>
    <row r="59" customFormat="false" ht="12.75" hidden="false" customHeight="false" outlineLevel="0" collapsed="false">
      <c r="E59" s="119"/>
      <c r="G59" s="123" t="str">
        <f aca="false">IF(G$4="X"," ",IF(F59&lt;&gt;0,F59*G$2/(100+G$2)," "))</f>
        <v> </v>
      </c>
      <c r="H59" s="123" t="str">
        <f aca="false">IF((F59&lt;&gt;0),F59-G59," ")</f>
        <v> </v>
      </c>
    </row>
    <row r="60" customFormat="false" ht="12.75" hidden="false" customHeight="false" outlineLevel="0" collapsed="false">
      <c r="E60" s="119"/>
      <c r="G60" s="123" t="str">
        <f aca="false">IF(G$4="X"," ",IF(F60&lt;&gt;0,F60*G$2/(100+G$2)," "))</f>
        <v> </v>
      </c>
      <c r="H60" s="123" t="str">
        <f aca="false">IF((F60&lt;&gt;0),F60-G60," ")</f>
        <v> </v>
      </c>
    </row>
    <row r="61" customFormat="false" ht="12.75" hidden="false" customHeight="false" outlineLevel="0" collapsed="false">
      <c r="E61" s="119"/>
      <c r="G61" s="123" t="str">
        <f aca="false">IF(G$4="X"," ",IF(F61&lt;&gt;0,F61*G$2/(100+G$2)," "))</f>
        <v> </v>
      </c>
      <c r="H61" s="123" t="str">
        <f aca="false">IF((F61&lt;&gt;0),F61-G61," ")</f>
        <v> </v>
      </c>
    </row>
    <row r="62" customFormat="false" ht="12.75" hidden="false" customHeight="false" outlineLevel="0" collapsed="false">
      <c r="E62" s="119"/>
      <c r="G62" s="123" t="str">
        <f aca="false">IF(G$4="X"," ",IF(F62&lt;&gt;0,F62*G$2/(100+G$2)," "))</f>
        <v> </v>
      </c>
      <c r="H62" s="123" t="str">
        <f aca="false">IF((F62&lt;&gt;0),F62-G62," ")</f>
        <v> </v>
      </c>
    </row>
    <row r="63" customFormat="false" ht="12.75" hidden="false" customHeight="false" outlineLevel="0" collapsed="false">
      <c r="E63" s="119"/>
      <c r="G63" s="123" t="str">
        <f aca="false">IF(G$4="X"," ",IF(F63&lt;&gt;0,F63*G$2/(100+G$2)," "))</f>
        <v> </v>
      </c>
      <c r="H63" s="123" t="str">
        <f aca="false">IF((F63&lt;&gt;0),F63-G63," ")</f>
        <v> </v>
      </c>
    </row>
    <row r="64" customFormat="false" ht="12.75" hidden="false" customHeight="false" outlineLevel="0" collapsed="false">
      <c r="E64" s="119"/>
      <c r="G64" s="123" t="str">
        <f aca="false">IF(G$4="X"," ",IF(F64&lt;&gt;0,F64*G$2/(100+G$2)," "))</f>
        <v> </v>
      </c>
      <c r="H64" s="123" t="str">
        <f aca="false">IF((F64&lt;&gt;0),F64-G64," ")</f>
        <v> </v>
      </c>
    </row>
    <row r="65" customFormat="false" ht="12.75" hidden="false" customHeight="false" outlineLevel="0" collapsed="false">
      <c r="E65" s="119"/>
      <c r="G65" s="123" t="str">
        <f aca="false">IF(G$4="X"," ",IF(F65&lt;&gt;0,F65*G$2/(100+G$2)," "))</f>
        <v> </v>
      </c>
      <c r="H65" s="123" t="str">
        <f aca="false">IF((F65&lt;&gt;0),F65-G65," ")</f>
        <v> </v>
      </c>
    </row>
    <row r="66" customFormat="false" ht="12.75" hidden="false" customHeight="false" outlineLevel="0" collapsed="false">
      <c r="E66" s="119"/>
      <c r="G66" s="123" t="str">
        <f aca="false">IF(G$4="X"," ",IF(F66&lt;&gt;0,F66*G$2/(100+G$2)," "))</f>
        <v> </v>
      </c>
      <c r="H66" s="123" t="str">
        <f aca="false">IF((F66&lt;&gt;0),F66-G66," ")</f>
        <v> </v>
      </c>
    </row>
    <row r="67" customFormat="false" ht="12.75" hidden="false" customHeight="false" outlineLevel="0" collapsed="false">
      <c r="E67" s="119"/>
      <c r="G67" s="123" t="str">
        <f aca="false">IF(G$4="X"," ",IF(F67&lt;&gt;0,F67*G$2/(100+G$2)," "))</f>
        <v> </v>
      </c>
      <c r="H67" s="123" t="str">
        <f aca="false">IF((F67&lt;&gt;0),F67-G67," ")</f>
        <v> </v>
      </c>
    </row>
    <row r="68" customFormat="false" ht="12.75" hidden="false" customHeight="false" outlineLevel="0" collapsed="false">
      <c r="E68" s="119"/>
      <c r="G68" s="123" t="str">
        <f aca="false">IF(G$4="X"," ",IF(F68&lt;&gt;0,F68*G$2/(100+G$2)," "))</f>
        <v> </v>
      </c>
      <c r="H68" s="123" t="str">
        <f aca="false">IF((F68&lt;&gt;0),F68-G68," ")</f>
        <v> </v>
      </c>
    </row>
    <row r="69" customFormat="false" ht="12.75" hidden="false" customHeight="false" outlineLevel="0" collapsed="false">
      <c r="E69" s="119"/>
      <c r="G69" s="123" t="str">
        <f aca="false">IF(G$4="X"," ",IF(F69&lt;&gt;0,F69*G$2/(100+G$2)," "))</f>
        <v> </v>
      </c>
      <c r="H69" s="123" t="str">
        <f aca="false">IF((F69&lt;&gt;0),F69-G69," ")</f>
        <v> </v>
      </c>
    </row>
    <row r="70" customFormat="false" ht="12.75" hidden="false" customHeight="false" outlineLevel="0" collapsed="false">
      <c r="E70" s="119"/>
      <c r="G70" s="123" t="str">
        <f aca="false">IF(G$4="X"," ",IF(F70&lt;&gt;0,F70*G$2/(100+G$2)," "))</f>
        <v> </v>
      </c>
      <c r="H70" s="123" t="str">
        <f aca="false">IF((F70&lt;&gt;0),F70-G70," ")</f>
        <v> </v>
      </c>
    </row>
    <row r="71" customFormat="false" ht="12.75" hidden="false" customHeight="false" outlineLevel="0" collapsed="false">
      <c r="E71" s="119"/>
      <c r="G71" s="123" t="str">
        <f aca="false">IF(G$4="X"," ",IF(F71&lt;&gt;0,F71*G$2/(100+G$2)," "))</f>
        <v> </v>
      </c>
      <c r="H71" s="123" t="str">
        <f aca="false">IF((F71&lt;&gt;0),F71-G71," ")</f>
        <v> </v>
      </c>
    </row>
    <row r="72" customFormat="false" ht="12.75" hidden="false" customHeight="false" outlineLevel="0" collapsed="false">
      <c r="E72" s="119"/>
      <c r="G72" s="123" t="str">
        <f aca="false">IF(G$4="X"," ",IF(F72&lt;&gt;0,F72*G$2/(100+G$2)," "))</f>
        <v> </v>
      </c>
      <c r="H72" s="123" t="str">
        <f aca="false">IF((F72&lt;&gt;0),F72-G72," ")</f>
        <v> </v>
      </c>
    </row>
    <row r="73" customFormat="false" ht="12.75" hidden="false" customHeight="false" outlineLevel="0" collapsed="false">
      <c r="E73" s="119"/>
      <c r="G73" s="123" t="str">
        <f aca="false">IF(G$4="X"," ",IF(F73&lt;&gt;0,F73*G$2/(100+G$2)," "))</f>
        <v> </v>
      </c>
      <c r="H73" s="123" t="str">
        <f aca="false">IF((F73&lt;&gt;0),F73-G73," ")</f>
        <v> </v>
      </c>
    </row>
    <row r="74" customFormat="false" ht="12.75" hidden="false" customHeight="false" outlineLevel="0" collapsed="false">
      <c r="E74" s="119"/>
      <c r="G74" s="123" t="str">
        <f aca="false">IF(G$4="X"," ",IF(F74&lt;&gt;0,F74*G$2/(100+G$2)," "))</f>
        <v> </v>
      </c>
      <c r="H74" s="123" t="str">
        <f aca="false">IF((F74&lt;&gt;0),F74-G74," ")</f>
        <v> </v>
      </c>
    </row>
    <row r="75" customFormat="false" ht="12.75" hidden="false" customHeight="false" outlineLevel="0" collapsed="false">
      <c r="E75" s="119"/>
      <c r="G75" s="123" t="str">
        <f aca="false">IF(G$4="X"," ",IF(F75&lt;&gt;0,F75*G$2/(100+G$2)," "))</f>
        <v> </v>
      </c>
      <c r="H75" s="123" t="str">
        <f aca="false">IF((F75&lt;&gt;0),F75-G75," ")</f>
        <v> </v>
      </c>
    </row>
    <row r="76" customFormat="false" ht="12.75" hidden="false" customHeight="false" outlineLevel="0" collapsed="false">
      <c r="E76" s="119"/>
      <c r="G76" s="123" t="str">
        <f aca="false">IF(G$4="X"," ",IF(F76&lt;&gt;0,F76*G$2/(100+G$2)," "))</f>
        <v> </v>
      </c>
      <c r="H76" s="123" t="str">
        <f aca="false">IF((F76&lt;&gt;0),F76-G76," ")</f>
        <v> </v>
      </c>
    </row>
    <row r="77" customFormat="false" ht="12.75" hidden="false" customHeight="false" outlineLevel="0" collapsed="false">
      <c r="E77" s="119"/>
      <c r="G77" s="123" t="str">
        <f aca="false">IF(G$4="X"," ",IF(F77&lt;&gt;0,F77*G$2/(100+G$2)," "))</f>
        <v> </v>
      </c>
      <c r="H77" s="123" t="str">
        <f aca="false">IF((F77&lt;&gt;0),F77-G77," ")</f>
        <v> </v>
      </c>
    </row>
    <row r="78" customFormat="false" ht="12.75" hidden="false" customHeight="false" outlineLevel="0" collapsed="false">
      <c r="E78" s="119"/>
      <c r="G78" s="123" t="str">
        <f aca="false">IF(G$4="X"," ",IF(F78&lt;&gt;0,F78*G$2/(100+G$2)," "))</f>
        <v> </v>
      </c>
      <c r="H78" s="123" t="str">
        <f aca="false">IF((F78&lt;&gt;0),F78-G78," ")</f>
        <v> </v>
      </c>
    </row>
    <row r="79" customFormat="false" ht="12.75" hidden="false" customHeight="false" outlineLevel="0" collapsed="false">
      <c r="E79" s="119"/>
      <c r="G79" s="123" t="str">
        <f aca="false">IF(G$4="X"," ",IF(F79&lt;&gt;0,F79*G$2/(100+G$2)," "))</f>
        <v> </v>
      </c>
      <c r="H79" s="123" t="str">
        <f aca="false">IF((F79&lt;&gt;0),F79-G79," ")</f>
        <v> </v>
      </c>
    </row>
    <row r="80" customFormat="false" ht="12.75" hidden="false" customHeight="false" outlineLevel="0" collapsed="false">
      <c r="E80" s="119"/>
      <c r="G80" s="123" t="str">
        <f aca="false">IF(G$4="X"," ",IF(F80&lt;&gt;0,F80*G$2/(100+G$2)," "))</f>
        <v> </v>
      </c>
      <c r="H80" s="123" t="str">
        <f aca="false">IF((F80&lt;&gt;0),F80-G80," ")</f>
        <v> </v>
      </c>
    </row>
    <row r="81" customFormat="false" ht="12.75" hidden="false" customHeight="false" outlineLevel="0" collapsed="false">
      <c r="E81" s="119"/>
      <c r="G81" s="123" t="str">
        <f aca="false">IF(G$4="X"," ",IF(F81&lt;&gt;0,F81*G$2/(100+G$2)," "))</f>
        <v> </v>
      </c>
      <c r="H81" s="123" t="str">
        <f aca="false">IF((F81&lt;&gt;0),F81-G81," ")</f>
        <v> </v>
      </c>
    </row>
    <row r="82" customFormat="false" ht="12.75" hidden="false" customHeight="false" outlineLevel="0" collapsed="false">
      <c r="E82" s="119"/>
      <c r="G82" s="123" t="str">
        <f aca="false">IF(G$4="X"," ",IF(F82&lt;&gt;0,F82*G$2/(100+G$2)," "))</f>
        <v> </v>
      </c>
      <c r="H82" s="123" t="str">
        <f aca="false">IF((F82&lt;&gt;0),F82-G82," ")</f>
        <v> </v>
      </c>
    </row>
    <row r="83" customFormat="false" ht="12.75" hidden="false" customHeight="false" outlineLevel="0" collapsed="false">
      <c r="E83" s="119"/>
      <c r="G83" s="123" t="str">
        <f aca="false">IF(G$4="X"," ",IF(F83&lt;&gt;0,F83*G$2/(100+G$2)," "))</f>
        <v> </v>
      </c>
      <c r="H83" s="123" t="str">
        <f aca="false">IF((F83&lt;&gt;0),F83-G83," ")</f>
        <v> </v>
      </c>
    </row>
    <row r="84" customFormat="false" ht="12.75" hidden="false" customHeight="false" outlineLevel="0" collapsed="false">
      <c r="E84" s="119"/>
      <c r="G84" s="123" t="str">
        <f aca="false">IF(G$4="X"," ",IF(F84&lt;&gt;0,F84*G$2/(100+G$2)," "))</f>
        <v> </v>
      </c>
      <c r="H84" s="123" t="str">
        <f aca="false">IF((F84&lt;&gt;0),F84-G84," ")</f>
        <v> </v>
      </c>
    </row>
    <row r="85" customFormat="false" ht="12.75" hidden="false" customHeight="false" outlineLevel="0" collapsed="false">
      <c r="E85" s="119"/>
      <c r="G85" s="123" t="str">
        <f aca="false">IF(G$4="X"," ",IF(F85&lt;&gt;0,F85*G$2/(100+G$2)," "))</f>
        <v> </v>
      </c>
      <c r="H85" s="123" t="str">
        <f aca="false">IF((F85&lt;&gt;0),F85-G85," ")</f>
        <v> </v>
      </c>
    </row>
    <row r="86" customFormat="false" ht="12.75" hidden="false" customHeight="false" outlineLevel="0" collapsed="false">
      <c r="E86" s="119"/>
      <c r="G86" s="123" t="str">
        <f aca="false">IF(G$4="X"," ",IF(F86&lt;&gt;0,F86*G$2/(100+G$2)," "))</f>
        <v> </v>
      </c>
      <c r="H86" s="123" t="str">
        <f aca="false">IF((F86&lt;&gt;0),F86-G86," ")</f>
        <v> </v>
      </c>
    </row>
    <row r="87" customFormat="false" ht="12.75" hidden="false" customHeight="false" outlineLevel="0" collapsed="false">
      <c r="E87" s="119"/>
      <c r="G87" s="123" t="str">
        <f aca="false">IF(G$4="X"," ",IF(F87&lt;&gt;0,F87*G$2/(100+G$2)," "))</f>
        <v> </v>
      </c>
      <c r="H87" s="123" t="str">
        <f aca="false">IF((F87&lt;&gt;0),F87-G87," ")</f>
        <v> </v>
      </c>
    </row>
    <row r="88" customFormat="false" ht="12.75" hidden="false" customHeight="false" outlineLevel="0" collapsed="false">
      <c r="E88" s="119"/>
      <c r="G88" s="123" t="str">
        <f aca="false">IF(G$4="X"," ",IF(F88&lt;&gt;0,F88*G$2/(100+G$2)," "))</f>
        <v> </v>
      </c>
      <c r="H88" s="123" t="str">
        <f aca="false">IF((F88&lt;&gt;0),F88-G88," ")</f>
        <v> </v>
      </c>
    </row>
    <row r="89" customFormat="false" ht="12.75" hidden="false" customHeight="false" outlineLevel="0" collapsed="false">
      <c r="E89" s="119"/>
      <c r="G89" s="123" t="str">
        <f aca="false">IF(G$4="X"," ",IF(F89&lt;&gt;0,F89*G$2/(100+G$2)," "))</f>
        <v> </v>
      </c>
      <c r="H89" s="123" t="str">
        <f aca="false">IF((F89&lt;&gt;0),F89-G89," ")</f>
        <v> </v>
      </c>
    </row>
    <row r="90" customFormat="false" ht="12.75" hidden="false" customHeight="false" outlineLevel="0" collapsed="false">
      <c r="E90" s="119"/>
      <c r="G90" s="123" t="str">
        <f aca="false">IF(G$4="X"," ",IF(F90&lt;&gt;0,F90*G$2/(100+G$2)," "))</f>
        <v> </v>
      </c>
      <c r="H90" s="123" t="str">
        <f aca="false">IF((F90&lt;&gt;0),F90-G90," ")</f>
        <v> </v>
      </c>
    </row>
    <row r="91" customFormat="false" ht="12.75" hidden="false" customHeight="false" outlineLevel="0" collapsed="false">
      <c r="E91" s="119"/>
      <c r="G91" s="123" t="str">
        <f aca="false">IF(G$4="X"," ",IF(F91&lt;&gt;0,F91*G$2/(100+G$2)," "))</f>
        <v> </v>
      </c>
      <c r="H91" s="123" t="str">
        <f aca="false">IF((F91&lt;&gt;0),F91-G91," ")</f>
        <v> </v>
      </c>
    </row>
    <row r="92" customFormat="false" ht="12.75" hidden="false" customHeight="false" outlineLevel="0" collapsed="false">
      <c r="E92" s="119"/>
      <c r="G92" s="123" t="str">
        <f aca="false">IF(G$4="X"," ",IF(F92&lt;&gt;0,F92*G$2/(100+G$2)," "))</f>
        <v> </v>
      </c>
      <c r="H92" s="123" t="str">
        <f aca="false">IF((F92&lt;&gt;0),F92-G92," ")</f>
        <v> </v>
      </c>
    </row>
    <row r="93" customFormat="false" ht="12.75" hidden="false" customHeight="false" outlineLevel="0" collapsed="false">
      <c r="E93" s="119"/>
      <c r="G93" s="123" t="str">
        <f aca="false">IF(G$4="X"," ",IF(F93&lt;&gt;0,F93*G$2/(100+G$2)," "))</f>
        <v> </v>
      </c>
      <c r="H93" s="123" t="str">
        <f aca="false">IF((F93&lt;&gt;0),F93-G93," ")</f>
        <v> </v>
      </c>
    </row>
    <row r="94" customFormat="false" ht="12.75" hidden="false" customHeight="false" outlineLevel="0" collapsed="false">
      <c r="E94" s="119"/>
      <c r="G94" s="123" t="str">
        <f aca="false">IF(G$4="X"," ",IF(F94&lt;&gt;0,F94*G$2/(100+G$2)," "))</f>
        <v> </v>
      </c>
      <c r="H94" s="123" t="str">
        <f aca="false">IF((F94&lt;&gt;0),F94-G94," ")</f>
        <v> </v>
      </c>
    </row>
    <row r="95" customFormat="false" ht="12.75" hidden="false" customHeight="false" outlineLevel="0" collapsed="false">
      <c r="E95" s="119"/>
      <c r="G95" s="123" t="str">
        <f aca="false">IF(G$4="X"," ",IF(F95&lt;&gt;0,F95*G$2/(100+G$2)," "))</f>
        <v> </v>
      </c>
      <c r="H95" s="123" t="str">
        <f aca="false">IF((F95&lt;&gt;0),F95-G95," ")</f>
        <v> </v>
      </c>
    </row>
    <row r="96" customFormat="false" ht="12.75" hidden="false" customHeight="false" outlineLevel="0" collapsed="false">
      <c r="E96" s="119"/>
      <c r="G96" s="123" t="str">
        <f aca="false">IF(G$4="X"," ",IF(F96&lt;&gt;0,F96*G$2/(100+G$2)," "))</f>
        <v> </v>
      </c>
      <c r="H96" s="123" t="str">
        <f aca="false">IF((F96&lt;&gt;0),F96-G96," ")</f>
        <v> </v>
      </c>
    </row>
    <row r="97" customFormat="false" ht="12.75" hidden="false" customHeight="false" outlineLevel="0" collapsed="false">
      <c r="E97" s="119"/>
      <c r="G97" s="123" t="str">
        <f aca="false">IF(G$4="X"," ",IF(F97&lt;&gt;0,F97*G$2/(100+G$2)," "))</f>
        <v> </v>
      </c>
      <c r="H97" s="123" t="str">
        <f aca="false">IF((F97&lt;&gt;0),F97-G97," ")</f>
        <v> </v>
      </c>
    </row>
    <row r="98" customFormat="false" ht="12.75" hidden="false" customHeight="false" outlineLevel="0" collapsed="false">
      <c r="E98" s="119"/>
      <c r="G98" s="123" t="str">
        <f aca="false">IF(G$4="X"," ",IF(F98&lt;&gt;0,F98*G$2/(100+G$2)," "))</f>
        <v> </v>
      </c>
      <c r="H98" s="123" t="str">
        <f aca="false">IF((F98&lt;&gt;0),F98-G98," ")</f>
        <v> </v>
      </c>
    </row>
    <row r="99" customFormat="false" ht="12.75" hidden="false" customHeight="false" outlineLevel="0" collapsed="false">
      <c r="E99" s="119"/>
      <c r="G99" s="123" t="str">
        <f aca="false">IF(G$4="X"," ",IF(F99&lt;&gt;0,F99*G$2/(100+G$2)," "))</f>
        <v> </v>
      </c>
      <c r="H99" s="123" t="str">
        <f aca="false">IF((F99&lt;&gt;0),F99-G99," ")</f>
        <v> </v>
      </c>
    </row>
    <row r="100" customFormat="false" ht="12.75" hidden="false" customHeight="false" outlineLevel="0" collapsed="false">
      <c r="E100" s="119"/>
      <c r="G100" s="123" t="str">
        <f aca="false">IF(G$4="X"," ",IF(F100&lt;&gt;0,F100*G$2/(100+G$2)," "))</f>
        <v> </v>
      </c>
      <c r="H100" s="123" t="str">
        <f aca="false">IF((F100&lt;&gt;0),F100-G100," ")</f>
        <v> </v>
      </c>
    </row>
    <row r="101" customFormat="false" ht="12.75" hidden="false" customHeight="false" outlineLevel="0" collapsed="false">
      <c r="E101" s="119"/>
      <c r="G101" s="123" t="str">
        <f aca="false">IF(G$4="X"," ",IF(F101&lt;&gt;0,F101*G$2/(100+G$2)," "))</f>
        <v> </v>
      </c>
      <c r="H101" s="123" t="str">
        <f aca="false">IF((F101&lt;&gt;0),F101-G101," ")</f>
        <v> </v>
      </c>
    </row>
    <row r="102" customFormat="false" ht="12.75" hidden="false" customHeight="false" outlineLevel="0" collapsed="false">
      <c r="E102" s="119"/>
      <c r="G102" s="123" t="str">
        <f aca="false">IF(G$4="X"," ",IF(F102&lt;&gt;0,F102*G$2/(100+G$2)," "))</f>
        <v> </v>
      </c>
      <c r="H102" s="123" t="str">
        <f aca="false">IF((F102&lt;&gt;0),F102-G102," ")</f>
        <v> </v>
      </c>
    </row>
    <row r="103" customFormat="false" ht="12.75" hidden="false" customHeight="false" outlineLevel="0" collapsed="false">
      <c r="E103" s="119"/>
      <c r="G103" s="123" t="str">
        <f aca="false">IF(G$4="X"," ",IF(F103&lt;&gt;0,F103*G$2/(100+G$2)," "))</f>
        <v> </v>
      </c>
      <c r="H103" s="123" t="str">
        <f aca="false">IF((F103&lt;&gt;0),F103-G103," ")</f>
        <v> </v>
      </c>
    </row>
    <row r="104" customFormat="false" ht="12.75" hidden="false" customHeight="false" outlineLevel="0" collapsed="false">
      <c r="E104" s="119"/>
      <c r="G104" s="123" t="str">
        <f aca="false">IF(G$4="X"," ",IF(F104&lt;&gt;0,F104*G$2/(100+G$2)," "))</f>
        <v> </v>
      </c>
      <c r="H104" s="123" t="str">
        <f aca="false">IF((F104&lt;&gt;0),F104-G104," ")</f>
        <v> </v>
      </c>
    </row>
    <row r="105" customFormat="false" ht="12.75" hidden="false" customHeight="false" outlineLevel="0" collapsed="false">
      <c r="E105" s="119"/>
      <c r="G105" s="123" t="str">
        <f aca="false">IF(G$4="X"," ",IF(F105&lt;&gt;0,F105*G$2/(100+G$2)," "))</f>
        <v> </v>
      </c>
      <c r="H105" s="123" t="str">
        <f aca="false">IF((F105&lt;&gt;0),F105-G105," ")</f>
        <v> </v>
      </c>
    </row>
    <row r="106" customFormat="false" ht="12.75" hidden="false" customHeight="false" outlineLevel="0" collapsed="false">
      <c r="E106" s="119"/>
      <c r="G106" s="123" t="str">
        <f aca="false">IF(G$4="X"," ",IF(F106&lt;&gt;0,F106*G$2/(100+G$2)," "))</f>
        <v> </v>
      </c>
      <c r="H106" s="123" t="str">
        <f aca="false">IF((F106&lt;&gt;0),F106-G106," ")</f>
        <v> </v>
      </c>
    </row>
    <row r="107" customFormat="false" ht="12.75" hidden="false" customHeight="false" outlineLevel="0" collapsed="false">
      <c r="E107" s="119"/>
      <c r="G107" s="123" t="str">
        <f aca="false">IF(G$4="X"," ",IF(F107&lt;&gt;0,F107*G$2/(100+G$2)," "))</f>
        <v> </v>
      </c>
      <c r="H107" s="123" t="str">
        <f aca="false">IF((F107&lt;&gt;0),F107-G107," ")</f>
        <v> </v>
      </c>
    </row>
    <row r="108" customFormat="false" ht="12.75" hidden="false" customHeight="false" outlineLevel="0" collapsed="false">
      <c r="E108" s="119"/>
      <c r="G108" s="123" t="str">
        <f aca="false">IF(G$4="X"," ",IF(F108&lt;&gt;0,F108*G$2/(100+G$2)," "))</f>
        <v> </v>
      </c>
      <c r="H108" s="123" t="str">
        <f aca="false">IF((F108&lt;&gt;0),F108-G108," ")</f>
        <v> </v>
      </c>
    </row>
    <row r="109" customFormat="false" ht="12.75" hidden="false" customHeight="false" outlineLevel="0" collapsed="false">
      <c r="E109" s="119"/>
      <c r="G109" s="123" t="str">
        <f aca="false">IF(G$4="X"," ",IF(F109&lt;&gt;0,F109*G$2/(100+G$2)," "))</f>
        <v> </v>
      </c>
      <c r="H109" s="123" t="str">
        <f aca="false">IF((F109&lt;&gt;0),F109-G109," ")</f>
        <v> </v>
      </c>
    </row>
    <row r="110" customFormat="false" ht="12.75" hidden="false" customHeight="false" outlineLevel="0" collapsed="false">
      <c r="E110" s="119"/>
      <c r="G110" s="123" t="str">
        <f aca="false">IF(G$4="X"," ",IF(F110&lt;&gt;0,F110*G$2/(100+G$2)," "))</f>
        <v> </v>
      </c>
      <c r="H110" s="123" t="str">
        <f aca="false">IF((F110&lt;&gt;0),F110-G110," ")</f>
        <v> </v>
      </c>
    </row>
    <row r="111" customFormat="false" ht="12.75" hidden="false" customHeight="false" outlineLevel="0" collapsed="false">
      <c r="E111" s="119"/>
      <c r="G111" s="123" t="str">
        <f aca="false">IF(G$4="X"," ",IF(F111&lt;&gt;0,F111*G$2/(100+G$2)," "))</f>
        <v> </v>
      </c>
      <c r="H111" s="123" t="str">
        <f aca="false">IF((F111&lt;&gt;0),F111-G111," ")</f>
        <v> </v>
      </c>
    </row>
    <row r="112" customFormat="false" ht="12.75" hidden="false" customHeight="false" outlineLevel="0" collapsed="false">
      <c r="E112" s="119"/>
      <c r="G112" s="123" t="str">
        <f aca="false">IF(G$4="X"," ",IF(F112&lt;&gt;0,F112*G$2/(100+G$2)," "))</f>
        <v> </v>
      </c>
      <c r="H112" s="123" t="str">
        <f aca="false">IF((F112&lt;&gt;0),F112-G112," ")</f>
        <v> </v>
      </c>
    </row>
    <row r="113" customFormat="false" ht="12.75" hidden="false" customHeight="false" outlineLevel="0" collapsed="false">
      <c r="E113" s="119"/>
      <c r="G113" s="123" t="str">
        <f aca="false">IF(G$4="X"," ",IF(F113&lt;&gt;0,F113*G$2/(100+G$2)," "))</f>
        <v> </v>
      </c>
      <c r="H113" s="123" t="str">
        <f aca="false">IF((F113&lt;&gt;0),F113-G113," ")</f>
        <v> </v>
      </c>
    </row>
    <row r="114" customFormat="false" ht="12.75" hidden="false" customHeight="false" outlineLevel="0" collapsed="false">
      <c r="E114" s="119"/>
      <c r="G114" s="123" t="str">
        <f aca="false">IF(G$4="X"," ",IF(F114&lt;&gt;0,F114*G$2/(100+G$2)," "))</f>
        <v> </v>
      </c>
      <c r="H114" s="123" t="str">
        <f aca="false">IF((F114&lt;&gt;0),F114-G114," ")</f>
        <v> </v>
      </c>
    </row>
    <row r="115" customFormat="false" ht="12.75" hidden="false" customHeight="false" outlineLevel="0" collapsed="false">
      <c r="E115" s="119"/>
      <c r="G115" s="123" t="str">
        <f aca="false">IF(G$4="X"," ",IF(F115&lt;&gt;0,F115*G$2/(100+G$2)," "))</f>
        <v> </v>
      </c>
      <c r="H115" s="123" t="str">
        <f aca="false">IF((F115&lt;&gt;0),F115-G115," ")</f>
        <v> </v>
      </c>
    </row>
    <row r="116" customFormat="false" ht="12.75" hidden="false" customHeight="false" outlineLevel="0" collapsed="false">
      <c r="E116" s="119"/>
      <c r="G116" s="123" t="str">
        <f aca="false">IF(G$4="X"," ",IF(F116&lt;&gt;0,F116*G$2/(100+G$2)," "))</f>
        <v> </v>
      </c>
      <c r="H116" s="123" t="str">
        <f aca="false">IF((F116&lt;&gt;0),F116-G116," ")</f>
        <v> </v>
      </c>
    </row>
    <row r="117" customFormat="false" ht="12.75" hidden="false" customHeight="false" outlineLevel="0" collapsed="false">
      <c r="E117" s="119"/>
      <c r="G117" s="123" t="str">
        <f aca="false">IF(G$4="X"," ",IF(F117&lt;&gt;0,F117*G$2/(100+G$2)," "))</f>
        <v> </v>
      </c>
      <c r="H117" s="123" t="str">
        <f aca="false">IF((F117&lt;&gt;0),F117-G117," ")</f>
        <v> </v>
      </c>
    </row>
    <row r="118" customFormat="false" ht="12.75" hidden="false" customHeight="false" outlineLevel="0" collapsed="false">
      <c r="E118" s="119"/>
      <c r="G118" s="123" t="str">
        <f aca="false">IF(G$4="X"," ",IF(F118&lt;&gt;0,F118*G$2/(100+G$2)," "))</f>
        <v> </v>
      </c>
      <c r="H118" s="123" t="str">
        <f aca="false">IF((F118&lt;&gt;0),F118-G118," ")</f>
        <v> </v>
      </c>
    </row>
    <row r="119" customFormat="false" ht="12.75" hidden="false" customHeight="false" outlineLevel="0" collapsed="false">
      <c r="E119" s="119"/>
      <c r="G119" s="123" t="str">
        <f aca="false">IF(G$4="X"," ",IF(F119&lt;&gt;0,F119*G$2/(100+G$2)," "))</f>
        <v> </v>
      </c>
      <c r="H119" s="123" t="str">
        <f aca="false">IF((F119&lt;&gt;0),F119-G119," ")</f>
        <v> </v>
      </c>
    </row>
    <row r="120" customFormat="false" ht="12.75" hidden="false" customHeight="false" outlineLevel="0" collapsed="false">
      <c r="E120" s="119"/>
      <c r="G120" s="123" t="str">
        <f aca="false">IF(G$4="X"," ",IF(F120&lt;&gt;0,F120*G$2/(100+G$2)," "))</f>
        <v> </v>
      </c>
      <c r="H120" s="123" t="str">
        <f aca="false">IF((F120&lt;&gt;0),F120-G120," ")</f>
        <v> </v>
      </c>
    </row>
    <row r="121" customFormat="false" ht="12.75" hidden="false" customHeight="false" outlineLevel="0" collapsed="false">
      <c r="E121" s="119"/>
      <c r="G121" s="123" t="str">
        <f aca="false">IF(G$4="X"," ",IF(F121&lt;&gt;0,F121*G$2/(100+G$2)," "))</f>
        <v> </v>
      </c>
      <c r="H121" s="123" t="str">
        <f aca="false">IF((F121&lt;&gt;0),F121-G121," ")</f>
        <v> </v>
      </c>
    </row>
    <row r="122" customFormat="false" ht="12.75" hidden="false" customHeight="false" outlineLevel="0" collapsed="false">
      <c r="E122" s="119"/>
      <c r="G122" s="123" t="str">
        <f aca="false">IF(G$4="X"," ",IF(F122&lt;&gt;0,F122*G$2/(100+G$2)," "))</f>
        <v> </v>
      </c>
      <c r="H122" s="123" t="str">
        <f aca="false">IF((F122&lt;&gt;0),F122-G122," ")</f>
        <v> </v>
      </c>
    </row>
    <row r="123" customFormat="false" ht="12.75" hidden="false" customHeight="false" outlineLevel="0" collapsed="false">
      <c r="E123" s="119"/>
      <c r="G123" s="123" t="str">
        <f aca="false">IF(G$4="X"," ",IF(F123&lt;&gt;0,F123*G$2/(100+G$2)," "))</f>
        <v> </v>
      </c>
      <c r="H123" s="123" t="str">
        <f aca="false">IF((F123&lt;&gt;0),F123-G123," ")</f>
        <v> </v>
      </c>
    </row>
    <row r="124" customFormat="false" ht="12.75" hidden="false" customHeight="false" outlineLevel="0" collapsed="false">
      <c r="E124" s="119"/>
      <c r="G124" s="123" t="str">
        <f aca="false">IF(G$4="X"," ",IF(F124&lt;&gt;0,F124*G$2/(100+G$2)," "))</f>
        <v> </v>
      </c>
      <c r="H124" s="123" t="str">
        <f aca="false">IF((F124&lt;&gt;0),F124-G124," ")</f>
        <v> </v>
      </c>
    </row>
    <row r="125" customFormat="false" ht="12.75" hidden="false" customHeight="false" outlineLevel="0" collapsed="false">
      <c r="E125" s="119"/>
      <c r="G125" s="123" t="str">
        <f aca="false">IF(G$4="X"," ",IF(F125&lt;&gt;0,F125*G$2/(100+G$2)," "))</f>
        <v> </v>
      </c>
      <c r="H125" s="123" t="str">
        <f aca="false">IF((F125&lt;&gt;0),F125-G125," ")</f>
        <v> </v>
      </c>
    </row>
    <row r="126" customFormat="false" ht="12.75" hidden="false" customHeight="false" outlineLevel="0" collapsed="false">
      <c r="E126" s="119"/>
      <c r="G126" s="123" t="str">
        <f aca="false">IF(G$4="X"," ",IF(F126&lt;&gt;0,F126*G$2/(100+G$2)," "))</f>
        <v> </v>
      </c>
      <c r="H126" s="123" t="str">
        <f aca="false">IF((F126&lt;&gt;0),F126-G126," ")</f>
        <v> </v>
      </c>
    </row>
    <row r="127" customFormat="false" ht="12.75" hidden="false" customHeight="false" outlineLevel="0" collapsed="false">
      <c r="E127" s="119"/>
      <c r="G127" s="123" t="str">
        <f aca="false">IF(G$4="X"," ",IF(F127&lt;&gt;0,F127*G$2/(100+G$2)," "))</f>
        <v> </v>
      </c>
      <c r="H127" s="123" t="str">
        <f aca="false">IF((F127&lt;&gt;0),F127-G127," ")</f>
        <v> </v>
      </c>
    </row>
    <row r="128" customFormat="false" ht="12.75" hidden="false" customHeight="false" outlineLevel="0" collapsed="false">
      <c r="E128" s="119"/>
      <c r="G128" s="123" t="str">
        <f aca="false">IF(G$4="X"," ",IF(F128&lt;&gt;0,F128*G$2/(100+G$2)," "))</f>
        <v> </v>
      </c>
      <c r="H128" s="123" t="str">
        <f aca="false">IF((F128&lt;&gt;0),F128-G128," ")</f>
        <v> </v>
      </c>
    </row>
    <row r="129" customFormat="false" ht="12.75" hidden="false" customHeight="false" outlineLevel="0" collapsed="false">
      <c r="E129" s="119"/>
      <c r="G129" s="123" t="str">
        <f aca="false">IF(G$4="X"," ",IF(F129&lt;&gt;0,F129*G$2/(100+G$2)," "))</f>
        <v> </v>
      </c>
      <c r="H129" s="123" t="str">
        <f aca="false">IF((F129&lt;&gt;0),F129-G129," ")</f>
        <v> </v>
      </c>
    </row>
    <row r="130" customFormat="false" ht="12.75" hidden="false" customHeight="false" outlineLevel="0" collapsed="false">
      <c r="E130" s="119"/>
      <c r="G130" s="123" t="str">
        <f aca="false">IF(G$4="X"," ",IF(F130&lt;&gt;0,F130*G$2/(100+G$2)," "))</f>
        <v> </v>
      </c>
      <c r="H130" s="123" t="str">
        <f aca="false">IF((F130&lt;&gt;0),F130-G130," ")</f>
        <v> </v>
      </c>
    </row>
    <row r="131" customFormat="false" ht="12.75" hidden="false" customHeight="false" outlineLevel="0" collapsed="false">
      <c r="E131" s="119"/>
      <c r="G131" s="123" t="str">
        <f aca="false">IF(G$4="X"," ",IF(F131&lt;&gt;0,F131*G$2/(100+G$2)," "))</f>
        <v> </v>
      </c>
      <c r="H131" s="123" t="str">
        <f aca="false">IF((F131&lt;&gt;0),F131-G131," ")</f>
        <v> </v>
      </c>
    </row>
    <row r="132" customFormat="false" ht="12.75" hidden="false" customHeight="false" outlineLevel="0" collapsed="false">
      <c r="E132" s="119"/>
      <c r="G132" s="123" t="str">
        <f aca="false">IF(G$4="X"," ",IF(F132&lt;&gt;0,F132*G$2/(100+G$2)," "))</f>
        <v> </v>
      </c>
      <c r="H132" s="123" t="str">
        <f aca="false">IF((F132&lt;&gt;0),F132-G132," ")</f>
        <v> </v>
      </c>
    </row>
    <row r="133" customFormat="false" ht="12.75" hidden="false" customHeight="false" outlineLevel="0" collapsed="false">
      <c r="E133" s="119"/>
      <c r="G133" s="123" t="str">
        <f aca="false">IF(G$4="X"," ",IF(F133&lt;&gt;0,F133*G$2/(100+G$2)," "))</f>
        <v> </v>
      </c>
      <c r="H133" s="123" t="str">
        <f aca="false">IF((F133&lt;&gt;0),F133-G133," ")</f>
        <v> </v>
      </c>
    </row>
    <row r="134" customFormat="false" ht="12.75" hidden="false" customHeight="false" outlineLevel="0" collapsed="false">
      <c r="E134" s="119"/>
      <c r="G134" s="123" t="str">
        <f aca="false">IF(G$4="X"," ",IF(F134&lt;&gt;0,F134*G$2/(100+G$2)," "))</f>
        <v> </v>
      </c>
      <c r="H134" s="123" t="str">
        <f aca="false">IF((F134&lt;&gt;0),F134-G134," ")</f>
        <v> </v>
      </c>
    </row>
    <row r="135" customFormat="false" ht="12.75" hidden="false" customHeight="false" outlineLevel="0" collapsed="false">
      <c r="E135" s="119"/>
      <c r="G135" s="123" t="str">
        <f aca="false">IF(G$4="X"," ",IF(F135&lt;&gt;0,F135*G$2/(100+G$2)," "))</f>
        <v> </v>
      </c>
      <c r="H135" s="123" t="str">
        <f aca="false">IF((F135&lt;&gt;0),F135-G135," ")</f>
        <v> </v>
      </c>
    </row>
    <row r="136" customFormat="false" ht="12.75" hidden="false" customHeight="false" outlineLevel="0" collapsed="false">
      <c r="E136" s="119"/>
      <c r="G136" s="123" t="str">
        <f aca="false">IF(G$4="X"," ",IF(F136&lt;&gt;0,F136*G$2/(100+G$2)," "))</f>
        <v> </v>
      </c>
      <c r="H136" s="123" t="str">
        <f aca="false">IF((F136&lt;&gt;0),F136-G136," ")</f>
        <v> </v>
      </c>
    </row>
    <row r="137" customFormat="false" ht="12.75" hidden="false" customHeight="false" outlineLevel="0" collapsed="false">
      <c r="E137" s="119"/>
      <c r="G137" s="123" t="str">
        <f aca="false">IF(G$4="X"," ",IF(F137&lt;&gt;0,F137*G$2/(100+G$2)," "))</f>
        <v> </v>
      </c>
      <c r="H137" s="123" t="str">
        <f aca="false">IF((F137&lt;&gt;0),F137-G137," ")</f>
        <v> </v>
      </c>
    </row>
    <row r="138" customFormat="false" ht="12.75" hidden="false" customHeight="false" outlineLevel="0" collapsed="false">
      <c r="E138" s="119"/>
      <c r="G138" s="123" t="str">
        <f aca="false">IF(G$4="X"," ",IF(F138&lt;&gt;0,F138*G$2/(100+G$2)," "))</f>
        <v> </v>
      </c>
      <c r="H138" s="123" t="str">
        <f aca="false">IF((F138&lt;&gt;0),F138-G138," ")</f>
        <v> </v>
      </c>
    </row>
    <row r="139" customFormat="false" ht="12.75" hidden="false" customHeight="false" outlineLevel="0" collapsed="false">
      <c r="E139" s="119"/>
      <c r="G139" s="123" t="str">
        <f aca="false">IF(G$4="X"," ",IF(F139&lt;&gt;0,F139*G$2/(100+G$2)," "))</f>
        <v> </v>
      </c>
      <c r="H139" s="123" t="str">
        <f aca="false">IF((F139&lt;&gt;0),F139-G139," ")</f>
        <v> </v>
      </c>
    </row>
    <row r="140" customFormat="false" ht="12.75" hidden="false" customHeight="false" outlineLevel="0" collapsed="false">
      <c r="E140" s="119"/>
      <c r="G140" s="123" t="str">
        <f aca="false">IF(G$4="X"," ",IF(F140&lt;&gt;0,F140*G$2/(100+G$2)," "))</f>
        <v> </v>
      </c>
      <c r="H140" s="123" t="str">
        <f aca="false">IF((F140&lt;&gt;0),F140-G140," ")</f>
        <v> </v>
      </c>
    </row>
    <row r="141" customFormat="false" ht="12.75" hidden="false" customHeight="false" outlineLevel="0" collapsed="false">
      <c r="E141" s="119"/>
      <c r="G141" s="123" t="str">
        <f aca="false">IF(G$4="X"," ",IF(F141&lt;&gt;0,F141*G$2/(100+G$2)," "))</f>
        <v> </v>
      </c>
      <c r="H141" s="123" t="str">
        <f aca="false">IF((F141&lt;&gt;0),F141-G141," ")</f>
        <v> </v>
      </c>
    </row>
    <row r="142" customFormat="false" ht="12.75" hidden="false" customHeight="false" outlineLevel="0" collapsed="false">
      <c r="E142" s="119"/>
      <c r="G142" s="123" t="str">
        <f aca="false">IF(G$4="X"," ",IF(F142&lt;&gt;0,F142*G$2/(100+G$2)," "))</f>
        <v> </v>
      </c>
      <c r="H142" s="123" t="str">
        <f aca="false">IF((F142&lt;&gt;0),F142-G142," ")</f>
        <v> </v>
      </c>
    </row>
    <row r="143" customFormat="false" ht="12.75" hidden="false" customHeight="false" outlineLevel="0" collapsed="false">
      <c r="E143" s="119"/>
      <c r="G143" s="123" t="str">
        <f aca="false">IF(G$4="X"," ",IF(F143&lt;&gt;0,F143*G$2/(100+G$2)," "))</f>
        <v> </v>
      </c>
      <c r="H143" s="123" t="str">
        <f aca="false">IF((F143&lt;&gt;0),F143-G143," ")</f>
        <v> </v>
      </c>
    </row>
    <row r="144" customFormat="false" ht="12.75" hidden="false" customHeight="false" outlineLevel="0" collapsed="false">
      <c r="E144" s="119"/>
      <c r="G144" s="123" t="str">
        <f aca="false">IF(G$4="X"," ",IF(F144&lt;&gt;0,F144*G$2/(100+G$2)," "))</f>
        <v> </v>
      </c>
      <c r="H144" s="123" t="str">
        <f aca="false">IF((F144&lt;&gt;0),F144-G144," ")</f>
        <v> </v>
      </c>
    </row>
    <row r="145" customFormat="false" ht="12.75" hidden="false" customHeight="false" outlineLevel="0" collapsed="false">
      <c r="E145" s="119"/>
      <c r="G145" s="123" t="str">
        <f aca="false">IF(G$4="X"," ",IF(F145&lt;&gt;0,F145*G$2/(100+G$2)," "))</f>
        <v> </v>
      </c>
      <c r="H145" s="123" t="str">
        <f aca="false">IF((F145&lt;&gt;0),F145-G145," ")</f>
        <v> </v>
      </c>
    </row>
    <row r="146" customFormat="false" ht="12.75" hidden="false" customHeight="false" outlineLevel="0" collapsed="false">
      <c r="E146" s="119"/>
      <c r="G146" s="123" t="str">
        <f aca="false">IF(G$4="X"," ",IF(F146&lt;&gt;0,F146*G$2/(100+G$2)," "))</f>
        <v> </v>
      </c>
      <c r="H146" s="123" t="str">
        <f aca="false">IF((F146&lt;&gt;0),F146-G146," ")</f>
        <v> </v>
      </c>
    </row>
    <row r="147" customFormat="false" ht="12.75" hidden="false" customHeight="false" outlineLevel="0" collapsed="false">
      <c r="E147" s="119"/>
      <c r="G147" s="123" t="str">
        <f aca="false">IF(G$4="X"," ",IF(F147&lt;&gt;0,F147*G$2/(100+G$2)," "))</f>
        <v> </v>
      </c>
      <c r="H147" s="123" t="str">
        <f aca="false">IF((F147&lt;&gt;0),F147-G147," ")</f>
        <v> </v>
      </c>
    </row>
    <row r="148" customFormat="false" ht="12.75" hidden="false" customHeight="false" outlineLevel="0" collapsed="false">
      <c r="E148" s="119"/>
      <c r="G148" s="123" t="str">
        <f aca="false">IF(G$4="X"," ",IF(F148&lt;&gt;0,F148*G$2/(100+G$2)," "))</f>
        <v> </v>
      </c>
      <c r="H148" s="123" t="str">
        <f aca="false">IF((F148&lt;&gt;0),F148-G148," ")</f>
        <v> </v>
      </c>
    </row>
    <row r="149" customFormat="false" ht="12.75" hidden="false" customHeight="false" outlineLevel="0" collapsed="false">
      <c r="E149" s="119"/>
      <c r="G149" s="123" t="str">
        <f aca="false">IF(G$4="X"," ",IF(F149&lt;&gt;0,F149*G$2/(100+G$2)," "))</f>
        <v> </v>
      </c>
      <c r="H149" s="123" t="str">
        <f aca="false">IF((F149&lt;&gt;0),F149-G149," ")</f>
        <v> </v>
      </c>
    </row>
    <row r="150" customFormat="false" ht="12.75" hidden="false" customHeight="false" outlineLevel="0" collapsed="false">
      <c r="E150" s="119"/>
      <c r="G150" s="123" t="str">
        <f aca="false">IF(G$4="X"," ",IF(F150&lt;&gt;0,F150*G$2/(100+G$2)," "))</f>
        <v> </v>
      </c>
      <c r="H150" s="123" t="str">
        <f aca="false">IF((F150&lt;&gt;0),F150-G150," ")</f>
        <v> </v>
      </c>
    </row>
    <row r="151" customFormat="false" ht="12.75" hidden="false" customHeight="false" outlineLevel="0" collapsed="false">
      <c r="E151" s="119"/>
      <c r="G151" s="123" t="str">
        <f aca="false">IF(G$4="X"," ",IF(F151&lt;&gt;0,F151*G$2/(100+G$2)," "))</f>
        <v> </v>
      </c>
      <c r="H151" s="123" t="str">
        <f aca="false">IF((F151&lt;&gt;0),F151-G151," ")</f>
        <v> </v>
      </c>
    </row>
    <row r="152" customFormat="false" ht="12.75" hidden="false" customHeight="false" outlineLevel="0" collapsed="false">
      <c r="E152" s="119"/>
      <c r="G152" s="123" t="str">
        <f aca="false">IF(G$4="X"," ",IF(F152&lt;&gt;0,F152*G$2/(100+G$2)," "))</f>
        <v> </v>
      </c>
      <c r="H152" s="123" t="str">
        <f aca="false">IF((F152&lt;&gt;0),F152-G152," ")</f>
        <v> </v>
      </c>
    </row>
    <row r="153" customFormat="false" ht="12.75" hidden="false" customHeight="false" outlineLevel="0" collapsed="false">
      <c r="E153" s="119"/>
      <c r="G153" s="123" t="str">
        <f aca="false">IF(G$4="X"," ",IF(F153&lt;&gt;0,F153*G$2/(100+G$2)," "))</f>
        <v> </v>
      </c>
      <c r="H153" s="123" t="str">
        <f aca="false">IF((F153&lt;&gt;0),F153-G153," ")</f>
        <v> </v>
      </c>
    </row>
    <row r="154" customFormat="false" ht="12.75" hidden="false" customHeight="false" outlineLevel="0" collapsed="false">
      <c r="E154" s="119"/>
      <c r="G154" s="123" t="str">
        <f aca="false">IF(G$4="X"," ",IF(F154&lt;&gt;0,F154*G$2/(100+G$2)," "))</f>
        <v> </v>
      </c>
      <c r="H154" s="123" t="str">
        <f aca="false">IF((F154&lt;&gt;0),F154-G154," ")</f>
        <v> </v>
      </c>
    </row>
    <row r="155" customFormat="false" ht="12.75" hidden="false" customHeight="false" outlineLevel="0" collapsed="false">
      <c r="E155" s="119"/>
      <c r="G155" s="123" t="str">
        <f aca="false">IF(G$4="X"," ",IF(F155&lt;&gt;0,F155*G$2/(100+G$2)," "))</f>
        <v> </v>
      </c>
      <c r="H155" s="123" t="str">
        <f aca="false">IF((F155&lt;&gt;0),F155-G155," ")</f>
        <v> </v>
      </c>
    </row>
    <row r="156" customFormat="false" ht="12.75" hidden="false" customHeight="false" outlineLevel="0" collapsed="false">
      <c r="E156" s="119"/>
      <c r="G156" s="123" t="str">
        <f aca="false">IF(G$4="X"," ",IF(F156&lt;&gt;0,F156*G$2/(100+G$2)," "))</f>
        <v> </v>
      </c>
      <c r="H156" s="123" t="str">
        <f aca="false">IF((F156&lt;&gt;0),F156-G156," ")</f>
        <v> </v>
      </c>
    </row>
    <row r="157" customFormat="false" ht="12.75" hidden="false" customHeight="false" outlineLevel="0" collapsed="false">
      <c r="E157" s="119"/>
      <c r="G157" s="123" t="str">
        <f aca="false">IF(G$4="X"," ",IF(F157&lt;&gt;0,F157*G$2/(100+G$2)," "))</f>
        <v> </v>
      </c>
      <c r="H157" s="123" t="str">
        <f aca="false">IF((F157&lt;&gt;0),F157-G157," ")</f>
        <v> </v>
      </c>
    </row>
    <row r="158" customFormat="false" ht="12.75" hidden="false" customHeight="false" outlineLevel="0" collapsed="false">
      <c r="E158" s="119"/>
      <c r="G158" s="123" t="str">
        <f aca="false">IF(G$4="X"," ",IF(F158&lt;&gt;0,F158*G$2/(100+G$2)," "))</f>
        <v> </v>
      </c>
      <c r="H158" s="123" t="str">
        <f aca="false">IF((F158&lt;&gt;0),F158-G158," ")</f>
        <v> </v>
      </c>
    </row>
    <row r="159" customFormat="false" ht="12.75" hidden="false" customHeight="false" outlineLevel="0" collapsed="false">
      <c r="E159" s="119"/>
      <c r="G159" s="123" t="str">
        <f aca="false">IF(G$4="X"," ",IF(F159&lt;&gt;0,F159*G$2/(100+G$2)," "))</f>
        <v> </v>
      </c>
      <c r="H159" s="123" t="str">
        <f aca="false">IF((F159&lt;&gt;0),F159-G159," ")</f>
        <v> </v>
      </c>
    </row>
    <row r="160" customFormat="false" ht="12.75" hidden="false" customHeight="false" outlineLevel="0" collapsed="false">
      <c r="E160" s="119"/>
      <c r="G160" s="123" t="str">
        <f aca="false">IF(G$4="X"," ",IF(F160&lt;&gt;0,F160*G$2/(100+G$2)," "))</f>
        <v> </v>
      </c>
      <c r="H160" s="123" t="str">
        <f aca="false">IF((F160&lt;&gt;0),F160-G160," ")</f>
        <v> </v>
      </c>
    </row>
    <row r="161" customFormat="false" ht="12.75" hidden="false" customHeight="false" outlineLevel="0" collapsed="false">
      <c r="E161" s="119"/>
      <c r="G161" s="123" t="str">
        <f aca="false">IF(G$4="X"," ",IF(F161&lt;&gt;0,F161*G$2/(100+G$2)," "))</f>
        <v> </v>
      </c>
      <c r="H161" s="123" t="str">
        <f aca="false">IF((F161&lt;&gt;0),F161-G161," ")</f>
        <v> </v>
      </c>
    </row>
    <row r="162" customFormat="false" ht="12.75" hidden="false" customHeight="false" outlineLevel="0" collapsed="false">
      <c r="E162" s="119"/>
      <c r="G162" s="123" t="str">
        <f aca="false">IF(G$4="X"," ",IF(F162&lt;&gt;0,F162*G$2/(100+G$2)," "))</f>
        <v> </v>
      </c>
      <c r="H162" s="123" t="str">
        <f aca="false">IF((F162&lt;&gt;0),F162-G162," ")</f>
        <v> </v>
      </c>
    </row>
    <row r="163" customFormat="false" ht="12.75" hidden="false" customHeight="false" outlineLevel="0" collapsed="false">
      <c r="E163" s="119"/>
      <c r="G163" s="123" t="str">
        <f aca="false">IF(G$4="X"," ",IF(F163&lt;&gt;0,F163*G$2/(100+G$2)," "))</f>
        <v> </v>
      </c>
      <c r="H163" s="123" t="str">
        <f aca="false">IF((F163&lt;&gt;0),F163-G163," ")</f>
        <v> </v>
      </c>
    </row>
    <row r="164" customFormat="false" ht="12.75" hidden="false" customHeight="false" outlineLevel="0" collapsed="false">
      <c r="E164" s="119"/>
      <c r="G164" s="123" t="str">
        <f aca="false">IF(G$4="X"," ",IF(F164&lt;&gt;0,F164*G$2/(100+G$2)," "))</f>
        <v> </v>
      </c>
      <c r="H164" s="123" t="str">
        <f aca="false">IF((F164&lt;&gt;0),F164-G164," ")</f>
        <v> </v>
      </c>
    </row>
    <row r="165" customFormat="false" ht="12.75" hidden="false" customHeight="false" outlineLevel="0" collapsed="false">
      <c r="E165" s="119"/>
      <c r="G165" s="123" t="str">
        <f aca="false">IF(G$4="X"," ",IF(F165&lt;&gt;0,F165*G$2/(100+G$2)," "))</f>
        <v> </v>
      </c>
      <c r="H165" s="123" t="str">
        <f aca="false">IF((F165&lt;&gt;0),F165-G165," ")</f>
        <v> </v>
      </c>
    </row>
    <row r="166" customFormat="false" ht="12.75" hidden="false" customHeight="false" outlineLevel="0" collapsed="false">
      <c r="E166" s="119"/>
      <c r="G166" s="123" t="str">
        <f aca="false">IF(G$4="X"," ",IF(F166&lt;&gt;0,F166*G$2/(100+G$2)," "))</f>
        <v> </v>
      </c>
      <c r="H166" s="123" t="str">
        <f aca="false">IF((F166&lt;&gt;0),F166-G166," ")</f>
        <v> </v>
      </c>
    </row>
    <row r="167" customFormat="false" ht="12.75" hidden="false" customHeight="false" outlineLevel="0" collapsed="false">
      <c r="E167" s="119"/>
      <c r="G167" s="123" t="str">
        <f aca="false">IF(G$4="X"," ",IF(F167&lt;&gt;0,F167*G$2/(100+G$2)," "))</f>
        <v> </v>
      </c>
      <c r="H167" s="123" t="str">
        <f aca="false">IF((F167&lt;&gt;0),F167-G167," ")</f>
        <v> </v>
      </c>
    </row>
    <row r="168" customFormat="false" ht="12.75" hidden="false" customHeight="false" outlineLevel="0" collapsed="false">
      <c r="E168" s="119"/>
      <c r="G168" s="123" t="str">
        <f aca="false">IF(G$4="X"," ",IF(F168&lt;&gt;0,F168*G$2/(100+G$2)," "))</f>
        <v> </v>
      </c>
      <c r="H168" s="123" t="str">
        <f aca="false">IF((F168&lt;&gt;0),F168-G168," ")</f>
        <v> </v>
      </c>
    </row>
    <row r="169" customFormat="false" ht="12.75" hidden="false" customHeight="false" outlineLevel="0" collapsed="false">
      <c r="E169" s="119"/>
      <c r="G169" s="123" t="str">
        <f aca="false">IF(G$4="X"," ",IF(F169&lt;&gt;0,F169*G$2/(100+G$2)," "))</f>
        <v> </v>
      </c>
      <c r="H169" s="123" t="str">
        <f aca="false">IF((F169&lt;&gt;0),F169-G169," ")</f>
        <v> </v>
      </c>
    </row>
    <row r="170" customFormat="false" ht="12.75" hidden="false" customHeight="false" outlineLevel="0" collapsed="false">
      <c r="E170" s="119"/>
      <c r="G170" s="123" t="str">
        <f aca="false">IF(G$4="X"," ",IF(F170&lt;&gt;0,F170*G$2/(100+G$2)," "))</f>
        <v> </v>
      </c>
      <c r="H170" s="123" t="str">
        <f aca="false">IF((F170&lt;&gt;0),F170-G170," ")</f>
        <v> </v>
      </c>
    </row>
    <row r="171" customFormat="false" ht="12.75" hidden="false" customHeight="false" outlineLevel="0" collapsed="false">
      <c r="E171" s="119"/>
      <c r="G171" s="123" t="str">
        <f aca="false">IF(G$4="X"," ",IF(F171&lt;&gt;0,F171*G$2/(100+G$2)," "))</f>
        <v> </v>
      </c>
      <c r="H171" s="123" t="str">
        <f aca="false">IF((F171&lt;&gt;0),F171-G171," ")</f>
        <v> </v>
      </c>
    </row>
    <row r="172" customFormat="false" ht="12.75" hidden="false" customHeight="false" outlineLevel="0" collapsed="false">
      <c r="E172" s="119"/>
      <c r="G172" s="123" t="str">
        <f aca="false">IF(G$4="X"," ",IF(F172&lt;&gt;0,F172*G$2/(100+G$2)," "))</f>
        <v> </v>
      </c>
      <c r="H172" s="123" t="str">
        <f aca="false">IF((F172&lt;&gt;0),F172-G172," ")</f>
        <v> </v>
      </c>
    </row>
    <row r="173" customFormat="false" ht="12.75" hidden="false" customHeight="false" outlineLevel="0" collapsed="false">
      <c r="E173" s="119"/>
      <c r="G173" s="123" t="str">
        <f aca="false">IF(G$4="X"," ",IF(F173&lt;&gt;0,F173*G$2/(100+G$2)," "))</f>
        <v> </v>
      </c>
      <c r="H173" s="123" t="str">
        <f aca="false">IF((F173&lt;&gt;0),F173-G173," ")</f>
        <v> </v>
      </c>
    </row>
    <row r="174" customFormat="false" ht="12.75" hidden="false" customHeight="false" outlineLevel="0" collapsed="false">
      <c r="E174" s="119"/>
      <c r="G174" s="123" t="str">
        <f aca="false">IF(G$4="X"," ",IF(F174&lt;&gt;0,F174*G$2/(100+G$2)," "))</f>
        <v> </v>
      </c>
      <c r="H174" s="123" t="str">
        <f aca="false">IF((F174&lt;&gt;0),F174-G174," ")</f>
        <v> </v>
      </c>
    </row>
    <row r="175" customFormat="false" ht="12.75" hidden="false" customHeight="false" outlineLevel="0" collapsed="false">
      <c r="E175" s="119"/>
      <c r="G175" s="123" t="str">
        <f aca="false">IF(G$4="X"," ",IF(F175&lt;&gt;0,F175*G$2/(100+G$2)," "))</f>
        <v> </v>
      </c>
      <c r="H175" s="123" t="str">
        <f aca="false">IF((F175&lt;&gt;0),F175-G175," ")</f>
        <v> </v>
      </c>
    </row>
    <row r="176" customFormat="false" ht="12.75" hidden="false" customHeight="false" outlineLevel="0" collapsed="false">
      <c r="E176" s="119"/>
      <c r="G176" s="123" t="str">
        <f aca="false">IF(G$4="X"," ",IF(F176&lt;&gt;0,F176*G$2/(100+G$2)," "))</f>
        <v> </v>
      </c>
      <c r="H176" s="123" t="str">
        <f aca="false">IF((F176&lt;&gt;0),F176-G176," ")</f>
        <v> </v>
      </c>
    </row>
    <row r="177" customFormat="false" ht="12.75" hidden="false" customHeight="false" outlineLevel="0" collapsed="false">
      <c r="E177" s="119"/>
      <c r="G177" s="123" t="str">
        <f aca="false">IF(G$4="X"," ",IF(F177&lt;&gt;0,F177*G$2/(100+G$2)," "))</f>
        <v> </v>
      </c>
      <c r="H177" s="123" t="str">
        <f aca="false">IF((F177&lt;&gt;0),F177-G177," ")</f>
        <v> </v>
      </c>
    </row>
    <row r="178" customFormat="false" ht="12.75" hidden="false" customHeight="false" outlineLevel="0" collapsed="false">
      <c r="E178" s="119"/>
      <c r="G178" s="123" t="str">
        <f aca="false">IF(G$4="X"," ",IF(F178&lt;&gt;0,F178*G$2/(100+G$2)," "))</f>
        <v> </v>
      </c>
      <c r="H178" s="123" t="str">
        <f aca="false">IF((F178&lt;&gt;0),F178-G178," ")</f>
        <v> </v>
      </c>
    </row>
    <row r="179" customFormat="false" ht="12.75" hidden="false" customHeight="false" outlineLevel="0" collapsed="false">
      <c r="E179" s="119"/>
      <c r="G179" s="123" t="str">
        <f aca="false">IF(G$4="X"," ",IF(F179&lt;&gt;0,F179*G$2/(100+G$2)," "))</f>
        <v> </v>
      </c>
      <c r="H179" s="123" t="str">
        <f aca="false">IF((F179&lt;&gt;0),F179-G179," ")</f>
        <v> </v>
      </c>
    </row>
    <row r="180" customFormat="false" ht="12.75" hidden="false" customHeight="false" outlineLevel="0" collapsed="false">
      <c r="E180" s="119"/>
      <c r="G180" s="123" t="str">
        <f aca="false">IF(G$4="X"," ",IF(F180&lt;&gt;0,F180*G$2/(100+G$2)," "))</f>
        <v> </v>
      </c>
      <c r="H180" s="123" t="str">
        <f aca="false">IF((F180&lt;&gt;0),F180-G180," ")</f>
        <v> </v>
      </c>
    </row>
    <row r="181" customFormat="false" ht="12.75" hidden="false" customHeight="false" outlineLevel="0" collapsed="false">
      <c r="E181" s="119"/>
      <c r="G181" s="123" t="str">
        <f aca="false">IF(G$4="X"," ",IF(F181&lt;&gt;0,F181*G$2/(100+G$2)," "))</f>
        <v> </v>
      </c>
      <c r="H181" s="123" t="str">
        <f aca="false">IF((F181&lt;&gt;0),F181-G181," ")</f>
        <v> </v>
      </c>
    </row>
    <row r="182" customFormat="false" ht="12.75" hidden="false" customHeight="false" outlineLevel="0" collapsed="false">
      <c r="E182" s="119"/>
      <c r="G182" s="123" t="str">
        <f aca="false">IF(G$4="X"," ",IF(F182&lt;&gt;0,F182*G$2/(100+G$2)," "))</f>
        <v> </v>
      </c>
      <c r="H182" s="123" t="str">
        <f aca="false">IF((F182&lt;&gt;0),F182-G182," ")</f>
        <v> </v>
      </c>
    </row>
    <row r="183" customFormat="false" ht="12.75" hidden="false" customHeight="false" outlineLevel="0" collapsed="false">
      <c r="E183" s="119"/>
      <c r="G183" s="123" t="str">
        <f aca="false">IF(G$4="X"," ",IF(F183&lt;&gt;0,F183*G$2/(100+G$2)," "))</f>
        <v> </v>
      </c>
      <c r="H183" s="123" t="str">
        <f aca="false">IF((F183&lt;&gt;0),F183-G183," ")</f>
        <v> </v>
      </c>
    </row>
    <row r="184" customFormat="false" ht="12.75" hidden="false" customHeight="false" outlineLevel="0" collapsed="false">
      <c r="E184" s="119"/>
      <c r="G184" s="123" t="str">
        <f aca="false">IF(G$4="X"," ",IF(F184&lt;&gt;0,F184*G$2/(100+G$2)," "))</f>
        <v> </v>
      </c>
      <c r="H184" s="123" t="str">
        <f aca="false">IF((F184&lt;&gt;0),F184-G184," ")</f>
        <v> </v>
      </c>
    </row>
    <row r="185" customFormat="false" ht="12.75" hidden="false" customHeight="false" outlineLevel="0" collapsed="false">
      <c r="E185" s="119"/>
      <c r="G185" s="123" t="str">
        <f aca="false">IF(G$4="X"," ",IF(F185&lt;&gt;0,F185*G$2/(100+G$2)," "))</f>
        <v> </v>
      </c>
      <c r="H185" s="123" t="str">
        <f aca="false">IF((F185&lt;&gt;0),F185-G185," ")</f>
        <v> </v>
      </c>
    </row>
    <row r="186" customFormat="false" ht="12.75" hidden="false" customHeight="false" outlineLevel="0" collapsed="false">
      <c r="E186" s="119"/>
      <c r="G186" s="123" t="str">
        <f aca="false">IF(G$4="X"," ",IF(F186&lt;&gt;0,F186*G$2/(100+G$2)," "))</f>
        <v> </v>
      </c>
      <c r="H186" s="123" t="str">
        <f aca="false">IF((F186&lt;&gt;0),F186-G186," ")</f>
        <v> </v>
      </c>
    </row>
    <row r="187" customFormat="false" ht="12.75" hidden="false" customHeight="false" outlineLevel="0" collapsed="false">
      <c r="E187" s="119"/>
      <c r="G187" s="123" t="str">
        <f aca="false">IF(G$4="X"," ",IF(F187&lt;&gt;0,F187*G$2/(100+G$2)," "))</f>
        <v> </v>
      </c>
      <c r="H187" s="123" t="str">
        <f aca="false">IF((F187&lt;&gt;0),F187-G187," ")</f>
        <v> </v>
      </c>
    </row>
    <row r="188" customFormat="false" ht="12.75" hidden="false" customHeight="false" outlineLevel="0" collapsed="false">
      <c r="E188" s="119"/>
      <c r="G188" s="123" t="str">
        <f aca="false">IF(G$4="X"," ",IF(F188&lt;&gt;0,F188*G$2/(100+G$2)," "))</f>
        <v> </v>
      </c>
      <c r="H188" s="123" t="str">
        <f aca="false">IF((F188&lt;&gt;0),F188-G188," ")</f>
        <v> </v>
      </c>
    </row>
    <row r="189" customFormat="false" ht="12.75" hidden="false" customHeight="false" outlineLevel="0" collapsed="false">
      <c r="E189" s="119"/>
      <c r="G189" s="123" t="str">
        <f aca="false">IF(G$4="X"," ",IF(F189&lt;&gt;0,F189*G$2/(100+G$2)," "))</f>
        <v> </v>
      </c>
      <c r="H189" s="123" t="str">
        <f aca="false">IF((F189&lt;&gt;0),F189-G189," ")</f>
        <v> </v>
      </c>
    </row>
    <row r="190" customFormat="false" ht="12.75" hidden="false" customHeight="false" outlineLevel="0" collapsed="false">
      <c r="E190" s="119"/>
      <c r="G190" s="123" t="str">
        <f aca="false">IF(G$4="X"," ",IF(F190&lt;&gt;0,F190*G$2/(100+G$2)," "))</f>
        <v> </v>
      </c>
      <c r="H190" s="123" t="str">
        <f aca="false">IF((F190&lt;&gt;0),F190-G190," ")</f>
        <v> </v>
      </c>
    </row>
    <row r="191" customFormat="false" ht="12.75" hidden="false" customHeight="false" outlineLevel="0" collapsed="false">
      <c r="E191" s="119"/>
      <c r="G191" s="123" t="str">
        <f aca="false">IF(G$4="X"," ",IF(F191&lt;&gt;0,F191*G$2/(100+G$2)," "))</f>
        <v> </v>
      </c>
      <c r="H191" s="123" t="str">
        <f aca="false">IF((F191&lt;&gt;0),F191-G191," ")</f>
        <v> </v>
      </c>
    </row>
    <row r="192" customFormat="false" ht="12.75" hidden="false" customHeight="false" outlineLevel="0" collapsed="false">
      <c r="E192" s="119"/>
      <c r="G192" s="123" t="str">
        <f aca="false">IF(G$4="X"," ",IF(F192&lt;&gt;0,F192*G$2/(100+G$2)," "))</f>
        <v> </v>
      </c>
      <c r="H192" s="123" t="str">
        <f aca="false">IF((F192&lt;&gt;0),F192-G192," ")</f>
        <v> </v>
      </c>
    </row>
    <row r="193" customFormat="false" ht="12.75" hidden="false" customHeight="false" outlineLevel="0" collapsed="false">
      <c r="E193" s="119"/>
      <c r="G193" s="123" t="str">
        <f aca="false">IF(G$4="X"," ",IF(F193&lt;&gt;0,F193*G$2/(100+G$2)," "))</f>
        <v> </v>
      </c>
      <c r="H193" s="123" t="str">
        <f aca="false">IF((F193&lt;&gt;0),F193-G193," ")</f>
        <v> </v>
      </c>
    </row>
    <row r="194" customFormat="false" ht="12.75" hidden="false" customHeight="false" outlineLevel="0" collapsed="false">
      <c r="E194" s="119"/>
      <c r="G194" s="123" t="str">
        <f aca="false">IF(G$4="X"," ",IF(F194&lt;&gt;0,F194*G$2/(100+G$2)," "))</f>
        <v> </v>
      </c>
      <c r="H194" s="123" t="str">
        <f aca="false">IF((F194&lt;&gt;0),F194-G194," ")</f>
        <v> </v>
      </c>
    </row>
    <row r="195" customFormat="false" ht="12.75" hidden="false" customHeight="false" outlineLevel="0" collapsed="false">
      <c r="E195" s="119"/>
      <c r="G195" s="123" t="str">
        <f aca="false">IF(G$4="X"," ",IF(F195&lt;&gt;0,F195*G$2/(100+G$2)," "))</f>
        <v> </v>
      </c>
      <c r="H195" s="123" t="str">
        <f aca="false">IF((F195&lt;&gt;0),F195-G195," ")</f>
        <v> </v>
      </c>
    </row>
    <row r="196" customFormat="false" ht="12.75" hidden="false" customHeight="false" outlineLevel="0" collapsed="false">
      <c r="E196" s="119"/>
      <c r="G196" s="123" t="str">
        <f aca="false">IF(G$4="X"," ",IF(F196&lt;&gt;0,F196*G$2/(100+G$2)," "))</f>
        <v> </v>
      </c>
      <c r="H196" s="123" t="str">
        <f aca="false">IF((F196&lt;&gt;0),F196-G196," ")</f>
        <v> </v>
      </c>
    </row>
    <row r="197" customFormat="false" ht="12.75" hidden="false" customHeight="false" outlineLevel="0" collapsed="false">
      <c r="E197" s="119"/>
      <c r="G197" s="123" t="str">
        <f aca="false">IF(G$4="X"," ",IF(F197&lt;&gt;0,F197*G$2/(100+G$2)," "))</f>
        <v> </v>
      </c>
      <c r="H197" s="123" t="str">
        <f aca="false">IF((F197&lt;&gt;0),F197-G197," ")</f>
        <v> </v>
      </c>
    </row>
    <row r="198" customFormat="false" ht="12.75" hidden="false" customHeight="false" outlineLevel="0" collapsed="false">
      <c r="E198" s="119"/>
      <c r="G198" s="123" t="str">
        <f aca="false">IF(G$4="X"," ",IF(F198&lt;&gt;0,F198*G$2/(100+G$2)," "))</f>
        <v> </v>
      </c>
      <c r="H198" s="123" t="str">
        <f aca="false">IF((F198&lt;&gt;0),F198-G198," ")</f>
        <v> </v>
      </c>
    </row>
    <row r="199" customFormat="false" ht="12.75" hidden="false" customHeight="false" outlineLevel="0" collapsed="false">
      <c r="E199" s="119"/>
      <c r="G199" s="123" t="str">
        <f aca="false">IF(G$4="X"," ",IF(F199&lt;&gt;0,F199*G$2/(100+G$2)," "))</f>
        <v> </v>
      </c>
      <c r="H199" s="123" t="str">
        <f aca="false">IF((F199&lt;&gt;0),F199-G199," ")</f>
        <v> </v>
      </c>
    </row>
    <row r="200" customFormat="false" ht="12.75" hidden="false" customHeight="false" outlineLevel="0" collapsed="false">
      <c r="A200" s="132"/>
      <c r="B200" s="133"/>
      <c r="C200" s="134"/>
      <c r="D200" s="135"/>
      <c r="E200" s="133"/>
      <c r="F200" s="136"/>
      <c r="G200" s="136" t="str">
        <f aca="false">IF(G$4="X"," ",IF(F200&lt;&gt;0,F200*G$2/(100+G$2)," "))</f>
        <v> </v>
      </c>
      <c r="H200" s="136" t="str">
        <f aca="false">IF((F200&lt;&gt;0),F200-G200," ")</f>
        <v> </v>
      </c>
    </row>
    <row r="201" customFormat="false" ht="12.75" hidden="false" customHeight="false" outlineLevel="0" collapsed="false">
      <c r="A201" s="98" t="s">
        <v>38</v>
      </c>
      <c r="G201" s="123" t="e">
        <f aca="false">NA()</f>
        <v>#N/A</v>
      </c>
    </row>
  </sheetData>
  <mergeCells count="10">
    <mergeCell ref="A1:C1"/>
    <mergeCell ref="D1:E1"/>
    <mergeCell ref="A2:A4"/>
    <mergeCell ref="B2:B4"/>
    <mergeCell ref="C2:C4"/>
    <mergeCell ref="D2:D4"/>
    <mergeCell ref="E2:E4"/>
    <mergeCell ref="F2:F4"/>
    <mergeCell ref="H2:H4"/>
    <mergeCell ref="G3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18" width="8.82"/>
    <col collapsed="false" customWidth="true" hidden="false" outlineLevel="0" max="2" min="2" style="119" width="19.66"/>
    <col collapsed="false" customWidth="true" hidden="false" outlineLevel="0" max="3" min="3" style="120" width="12.66"/>
    <col collapsed="false" customWidth="true" hidden="false" outlineLevel="0" max="4" min="4" style="121" width="14.66"/>
    <col collapsed="false" customWidth="true" hidden="false" outlineLevel="0" max="5" min="5" style="122" width="5.5"/>
    <col collapsed="false" customWidth="true" hidden="false" outlineLevel="0" max="6" min="6" style="123" width="10.5"/>
    <col collapsed="false" customWidth="true" hidden="false" outlineLevel="0" max="7" min="7" style="123" width="9.66"/>
    <col collapsed="false" customWidth="true" hidden="false" outlineLevel="0" max="8" min="8" style="123" width="10.66"/>
    <col collapsed="false" customWidth="false" hidden="false" outlineLevel="0" max="257" min="9" style="119" width="9.15"/>
  </cols>
  <sheetData>
    <row r="1" s="102" customFormat="true" ht="15" hidden="false" customHeight="true" outlineLevel="0" collapsed="false">
      <c r="A1" s="103" t="s">
        <v>29</v>
      </c>
      <c r="B1" s="103"/>
      <c r="C1" s="103"/>
      <c r="D1" s="105" t="s">
        <v>30</v>
      </c>
      <c r="E1" s="105"/>
      <c r="F1" s="105" t="n">
        <f aca="false">SUM(F5:F200)</f>
        <v>0</v>
      </c>
      <c r="G1" s="105" t="n">
        <f aca="false">SUM(G5:G200)</f>
        <v>0</v>
      </c>
      <c r="H1" s="105" t="n">
        <f aca="false">SUM(H5:H200)</f>
        <v>0</v>
      </c>
    </row>
    <row r="2" s="127" customFormat="true" ht="12" hidden="false" customHeight="true" outlineLevel="0" collapsed="false">
      <c r="A2" s="107" t="s">
        <v>39</v>
      </c>
      <c r="B2" s="108" t="str">
        <f aca="false">IF((H1-SUM(O1:AK1)&lt;&gt;0),"COMPLETE EXPENSE ANALYSIS by inserting expense letter in col F","Supplier")</f>
        <v>Supplier</v>
      </c>
      <c r="C2" s="110" t="s">
        <v>40</v>
      </c>
      <c r="D2" s="124" t="s">
        <v>41</v>
      </c>
      <c r="E2" s="125"/>
      <c r="F2" s="108" t="s">
        <v>42</v>
      </c>
      <c r="G2" s="126" t="n">
        <f aca="false">[3]ClosingCreditors!$G$2</f>
        <v>20</v>
      </c>
      <c r="H2" s="108" t="s">
        <v>43</v>
      </c>
    </row>
    <row r="3" s="128" customFormat="true" ht="12" hidden="false" customHeight="true" outlineLevel="0" collapsed="false">
      <c r="A3" s="107"/>
      <c r="B3" s="107"/>
      <c r="C3" s="107"/>
      <c r="D3" s="124"/>
      <c r="E3" s="125"/>
      <c r="F3" s="108"/>
      <c r="G3" s="108" t="s">
        <v>44</v>
      </c>
      <c r="H3" s="108"/>
    </row>
    <row r="4" customFormat="false" ht="12.75" hidden="false" customHeight="false" outlineLevel="0" collapsed="false">
      <c r="A4" s="107"/>
      <c r="B4" s="107"/>
      <c r="C4" s="107"/>
      <c r="D4" s="124"/>
      <c r="E4" s="125"/>
      <c r="F4" s="108"/>
      <c r="G4" s="108"/>
      <c r="H4" s="108"/>
    </row>
    <row r="5" customFormat="false" ht="12.75" hidden="false" customHeight="false" outlineLevel="0" collapsed="false">
      <c r="B5" s="122"/>
      <c r="C5" s="129"/>
      <c r="D5" s="122"/>
      <c r="E5" s="119"/>
      <c r="F5" s="130"/>
      <c r="G5" s="123" t="str">
        <f aca="false">IF(F5&lt;&gt;0,F5*G$2/(100+G$2)," ")</f>
        <v> </v>
      </c>
      <c r="H5" s="123" t="str">
        <f aca="false">IF((F5&lt;&gt;0),F5-G5," ")</f>
        <v> </v>
      </c>
    </row>
    <row r="6" customFormat="false" ht="12.75" hidden="false" customHeight="false" outlineLevel="0" collapsed="false">
      <c r="E6" s="119"/>
      <c r="G6" s="123" t="str">
        <f aca="false">IF(F6&lt;&gt;0,F6*G$2/(100+G$2)," ")</f>
        <v> </v>
      </c>
      <c r="H6" s="123" t="str">
        <f aca="false">IF((F6&lt;&gt;0),F6-G6," ")</f>
        <v> </v>
      </c>
    </row>
    <row r="7" customFormat="false" ht="12.75" hidden="false" customHeight="false" outlineLevel="0" collapsed="false">
      <c r="E7" s="119"/>
      <c r="G7" s="123" t="str">
        <f aca="false">IF(F7&lt;&gt;0,F7*G$2/(100+G$2)," ")</f>
        <v> </v>
      </c>
      <c r="H7" s="123" t="str">
        <f aca="false">IF((F7&lt;&gt;0),F7-G7," ")</f>
        <v> </v>
      </c>
    </row>
    <row r="8" customFormat="false" ht="12.75" hidden="false" customHeight="false" outlineLevel="0" collapsed="false">
      <c r="E8" s="119"/>
      <c r="G8" s="123" t="str">
        <f aca="false">IF(F8&lt;&gt;0,F8*G$2/(100+G$2)," ")</f>
        <v> </v>
      </c>
      <c r="H8" s="123" t="str">
        <f aca="false">IF((F8&lt;&gt;0),F8-G8," ")</f>
        <v> </v>
      </c>
    </row>
    <row r="9" customFormat="false" ht="12.75" hidden="false" customHeight="false" outlineLevel="0" collapsed="false">
      <c r="E9" s="119"/>
      <c r="G9" s="123" t="str">
        <f aca="false">IF(F9&lt;&gt;0,F9*G$2/(100+G$2)," ")</f>
        <v> </v>
      </c>
      <c r="H9" s="123" t="str">
        <f aca="false">IF((F9&lt;&gt;0),F9-G9," ")</f>
        <v> </v>
      </c>
    </row>
    <row r="10" customFormat="false" ht="12.75" hidden="false" customHeight="false" outlineLevel="0" collapsed="false">
      <c r="E10" s="119"/>
      <c r="G10" s="123" t="str">
        <f aca="false">IF(F10&lt;&gt;0,F10*G$2/(100+G$2)," ")</f>
        <v> </v>
      </c>
      <c r="H10" s="123" t="str">
        <f aca="false">IF((F10&lt;&gt;0),F10-G10," ")</f>
        <v> </v>
      </c>
    </row>
    <row r="11" customFormat="false" ht="12.75" hidden="false" customHeight="false" outlineLevel="0" collapsed="false">
      <c r="E11" s="119"/>
      <c r="G11" s="123" t="str">
        <f aca="false">IF(F11&lt;&gt;0,F11*G$2/(100+G$2)," ")</f>
        <v> </v>
      </c>
      <c r="H11" s="123" t="str">
        <f aca="false">IF((F11&lt;&gt;0),F11-G11," ")</f>
        <v> </v>
      </c>
    </row>
    <row r="12" customFormat="false" ht="12.75" hidden="false" customHeight="false" outlineLevel="0" collapsed="false">
      <c r="E12" s="119"/>
      <c r="G12" s="123" t="str">
        <f aca="false">IF(F12&lt;&gt;0,F12*G$2/(100+G$2)," ")</f>
        <v> </v>
      </c>
      <c r="H12" s="123" t="str">
        <f aca="false">IF((F12&lt;&gt;0),F12-G12," ")</f>
        <v> </v>
      </c>
    </row>
    <row r="13" customFormat="false" ht="12.75" hidden="false" customHeight="false" outlineLevel="0" collapsed="false">
      <c r="E13" s="119"/>
      <c r="G13" s="123" t="str">
        <f aca="false">IF(F13&lt;&gt;0,F13*G$2/(100+G$2)," ")</f>
        <v> </v>
      </c>
      <c r="H13" s="123" t="str">
        <f aca="false">IF((F13&lt;&gt;0),F13-G13," ")</f>
        <v> </v>
      </c>
    </row>
    <row r="14" customFormat="false" ht="12.75" hidden="false" customHeight="false" outlineLevel="0" collapsed="false">
      <c r="E14" s="119"/>
      <c r="G14" s="123" t="str">
        <f aca="false">IF(F14&lt;&gt;0,F14*G$2/(100+G$2)," ")</f>
        <v> </v>
      </c>
      <c r="H14" s="123" t="str">
        <f aca="false">IF((F14&lt;&gt;0),F14-G14," ")</f>
        <v> </v>
      </c>
    </row>
    <row r="15" customFormat="false" ht="12.75" hidden="false" customHeight="false" outlineLevel="0" collapsed="false">
      <c r="E15" s="119"/>
      <c r="G15" s="123" t="str">
        <f aca="false">IF(G$4="X"," ",IF(F15&lt;&gt;0,F15*G$2/(100+G$2)," "))</f>
        <v> </v>
      </c>
      <c r="H15" s="123" t="str">
        <f aca="false">IF((F15&lt;&gt;0),F15-G15," ")</f>
        <v> </v>
      </c>
    </row>
    <row r="16" customFormat="false" ht="12.75" hidden="false" customHeight="false" outlineLevel="0" collapsed="false">
      <c r="E16" s="119"/>
      <c r="G16" s="123" t="str">
        <f aca="false">IF(G$4="X"," ",IF(F16&lt;&gt;0,F16*G$2/(100+G$2)," "))</f>
        <v> </v>
      </c>
      <c r="H16" s="123" t="str">
        <f aca="false">IF((F16&lt;&gt;0),F16-G16," ")</f>
        <v> </v>
      </c>
    </row>
    <row r="17" customFormat="false" ht="12.75" hidden="false" customHeight="false" outlineLevel="0" collapsed="false">
      <c r="E17" s="119"/>
      <c r="G17" s="123" t="str">
        <f aca="false">IF(G$4="X"," ",IF(F17&lt;&gt;0,F17*G$2/(100+G$2)," "))</f>
        <v> </v>
      </c>
      <c r="H17" s="123" t="str">
        <f aca="false">IF((F17&lt;&gt;0),F17-G17," ")</f>
        <v> </v>
      </c>
    </row>
    <row r="18" customFormat="false" ht="12.75" hidden="false" customHeight="false" outlineLevel="0" collapsed="false">
      <c r="E18" s="119"/>
      <c r="G18" s="123" t="str">
        <f aca="false">IF(G$4="X"," ",IF(F18&lt;&gt;0,F18*G$2/(100+G$2)," "))</f>
        <v> </v>
      </c>
      <c r="H18" s="123" t="str">
        <f aca="false">IF((F18&lt;&gt;0),F18-G18," ")</f>
        <v> </v>
      </c>
    </row>
    <row r="19" customFormat="false" ht="12.75" hidden="false" customHeight="false" outlineLevel="0" collapsed="false">
      <c r="E19" s="119"/>
      <c r="G19" s="123" t="str">
        <f aca="false">IF(G$4="X"," ",IF(F19&lt;&gt;0,F19*G$2/(100+G$2)," "))</f>
        <v> </v>
      </c>
      <c r="H19" s="123" t="str">
        <f aca="false">IF((F19&lt;&gt;0),F19-G19," ")</f>
        <v> </v>
      </c>
    </row>
    <row r="20" customFormat="false" ht="12.75" hidden="false" customHeight="false" outlineLevel="0" collapsed="false">
      <c r="E20" s="119"/>
      <c r="G20" s="123" t="str">
        <f aca="false">IF(G$4="X"," ",IF(F20&lt;&gt;0,F20*G$2/(100+G$2)," "))</f>
        <v> </v>
      </c>
      <c r="H20" s="123" t="str">
        <f aca="false">IF((F20&lt;&gt;0),F20-G20," ")</f>
        <v> </v>
      </c>
    </row>
    <row r="21" customFormat="false" ht="12.75" hidden="false" customHeight="false" outlineLevel="0" collapsed="false">
      <c r="E21" s="119"/>
      <c r="G21" s="123" t="str">
        <f aca="false">IF(G$4="X"," ",IF(F21&lt;&gt;0,F21*G$2/(100+G$2)," "))</f>
        <v> </v>
      </c>
      <c r="H21" s="123" t="str">
        <f aca="false">IF((F21&lt;&gt;0),F21-G21," ")</f>
        <v> </v>
      </c>
    </row>
    <row r="22" customFormat="false" ht="12.75" hidden="false" customHeight="false" outlineLevel="0" collapsed="false">
      <c r="D22" s="119"/>
      <c r="E22" s="119"/>
      <c r="G22" s="123" t="str">
        <f aca="false">IF(G$4="X"," ",IF(F22&lt;&gt;0,F22*G$2/(100+G$2)," "))</f>
        <v> </v>
      </c>
      <c r="H22" s="123" t="str">
        <f aca="false">IF((F22&lt;&gt;0),F22-G22," ")</f>
        <v> </v>
      </c>
    </row>
    <row r="23" customFormat="false" ht="12.75" hidden="false" customHeight="false" outlineLevel="0" collapsed="false">
      <c r="D23" s="131"/>
      <c r="E23" s="119"/>
      <c r="G23" s="123" t="str">
        <f aca="false">IF(G$4="X"," ",IF(F23&lt;&gt;0,F23*G$2/(100+G$2)," "))</f>
        <v> </v>
      </c>
      <c r="H23" s="123" t="str">
        <f aca="false">IF((F23&lt;&gt;0),F23-G23," ")</f>
        <v> </v>
      </c>
    </row>
    <row r="24" customFormat="false" ht="12.75" hidden="false" customHeight="false" outlineLevel="0" collapsed="false">
      <c r="E24" s="119"/>
      <c r="G24" s="123" t="str">
        <f aca="false">IF(G$4="X"," ",IF(F24&lt;&gt;0,F24*G$2/(100+G$2)," "))</f>
        <v> </v>
      </c>
      <c r="H24" s="123" t="str">
        <f aca="false">IF((F24&lt;&gt;0),F24-G24," ")</f>
        <v> </v>
      </c>
    </row>
    <row r="25" customFormat="false" ht="12.75" hidden="false" customHeight="false" outlineLevel="0" collapsed="false">
      <c r="E25" s="119"/>
      <c r="G25" s="123" t="str">
        <f aca="false">IF(G$4="X"," ",IF(F25&lt;&gt;0,F25*G$2/(100+G$2)," "))</f>
        <v> </v>
      </c>
      <c r="H25" s="123" t="str">
        <f aca="false">IF((F25&lt;&gt;0),F25-G25," ")</f>
        <v> </v>
      </c>
    </row>
    <row r="26" customFormat="false" ht="12.75" hidden="false" customHeight="false" outlineLevel="0" collapsed="false">
      <c r="E26" s="119"/>
      <c r="G26" s="123" t="str">
        <f aca="false">IF(G$4="X"," ",IF(F26&lt;&gt;0,F26*G$2/(100+G$2)," "))</f>
        <v> </v>
      </c>
      <c r="H26" s="123" t="str">
        <f aca="false">IF((F26&lt;&gt;0),F26-G26," ")</f>
        <v> </v>
      </c>
    </row>
    <row r="27" customFormat="false" ht="12.75" hidden="false" customHeight="false" outlineLevel="0" collapsed="false">
      <c r="E27" s="119"/>
      <c r="G27" s="123" t="str">
        <f aca="false">IF(G$4="X"," ",IF(F27&lt;&gt;0,F27*G$2/(100+G$2)," "))</f>
        <v> </v>
      </c>
      <c r="H27" s="123" t="str">
        <f aca="false">IF((F27&lt;&gt;0),F27-G27," ")</f>
        <v> </v>
      </c>
    </row>
    <row r="28" customFormat="false" ht="12.75" hidden="false" customHeight="false" outlineLevel="0" collapsed="false">
      <c r="E28" s="119"/>
      <c r="G28" s="123" t="str">
        <f aca="false">IF(G$4="X"," ",IF(F28&lt;&gt;0,F28*G$2/(100+G$2)," "))</f>
        <v> </v>
      </c>
      <c r="H28" s="123" t="str">
        <f aca="false">IF((F28&lt;&gt;0),F28-G28," ")</f>
        <v> </v>
      </c>
    </row>
    <row r="29" customFormat="false" ht="12.75" hidden="false" customHeight="false" outlineLevel="0" collapsed="false">
      <c r="E29" s="119"/>
      <c r="G29" s="123" t="str">
        <f aca="false">IF(G$4="X"," ",IF(F29&lt;&gt;0,F29*G$2/(100+G$2)," "))</f>
        <v> </v>
      </c>
      <c r="H29" s="123" t="str">
        <f aca="false">IF((F29&lt;&gt;0),F29-G29," ")</f>
        <v> </v>
      </c>
    </row>
    <row r="30" customFormat="false" ht="12.75" hidden="false" customHeight="false" outlineLevel="0" collapsed="false">
      <c r="E30" s="119"/>
      <c r="G30" s="123" t="str">
        <f aca="false">IF(G$4="X"," ",IF(F30&lt;&gt;0,F30*G$2/(100+G$2)," "))</f>
        <v> </v>
      </c>
      <c r="H30" s="123" t="str">
        <f aca="false">IF((F30&lt;&gt;0),F30-G30," ")</f>
        <v> </v>
      </c>
    </row>
    <row r="31" customFormat="false" ht="12.75" hidden="false" customHeight="false" outlineLevel="0" collapsed="false">
      <c r="E31" s="119"/>
      <c r="G31" s="123" t="str">
        <f aca="false">IF(G$4="X"," ",IF(F31&lt;&gt;0,F31*G$2/(100+G$2)," "))</f>
        <v> </v>
      </c>
      <c r="H31" s="123" t="str">
        <f aca="false">IF((F31&lt;&gt;0),F31-G31," ")</f>
        <v> </v>
      </c>
    </row>
    <row r="32" customFormat="false" ht="12.75" hidden="false" customHeight="false" outlineLevel="0" collapsed="false">
      <c r="E32" s="119"/>
      <c r="G32" s="123" t="str">
        <f aca="false">IF(G$4="X"," ",IF(F32&lt;&gt;0,F32*G$2/(100+G$2)," "))</f>
        <v> </v>
      </c>
      <c r="H32" s="123" t="str">
        <f aca="false">IF((F32&lt;&gt;0),F32-G32," ")</f>
        <v> </v>
      </c>
    </row>
    <row r="33" customFormat="false" ht="12.75" hidden="false" customHeight="false" outlineLevel="0" collapsed="false">
      <c r="E33" s="119"/>
      <c r="G33" s="123" t="str">
        <f aca="false">IF(G$4="X"," ",IF(F33&lt;&gt;0,F33*G$2/(100+G$2)," "))</f>
        <v> </v>
      </c>
      <c r="H33" s="123" t="str">
        <f aca="false">IF((F33&lt;&gt;0),F33-G33," ")</f>
        <v> </v>
      </c>
    </row>
    <row r="34" customFormat="false" ht="12.75" hidden="false" customHeight="false" outlineLevel="0" collapsed="false">
      <c r="E34" s="119"/>
      <c r="G34" s="123" t="str">
        <f aca="false">IF(G$4="X"," ",IF(F34&lt;&gt;0,F34*G$2/(100+G$2)," "))</f>
        <v> </v>
      </c>
      <c r="H34" s="123" t="str">
        <f aca="false">IF((F34&lt;&gt;0),F34-G34," ")</f>
        <v> </v>
      </c>
    </row>
    <row r="35" customFormat="false" ht="12.75" hidden="false" customHeight="false" outlineLevel="0" collapsed="false">
      <c r="E35" s="119"/>
      <c r="G35" s="123" t="str">
        <f aca="false">IF(G$4="X"," ",IF(F35&lt;&gt;0,F35*G$2/(100+G$2)," "))</f>
        <v> </v>
      </c>
      <c r="H35" s="123" t="str">
        <f aca="false">IF((F35&lt;&gt;0),F35-G35," ")</f>
        <v> </v>
      </c>
    </row>
    <row r="36" customFormat="false" ht="12.75" hidden="false" customHeight="false" outlineLevel="0" collapsed="false">
      <c r="E36" s="119"/>
      <c r="G36" s="123" t="str">
        <f aca="false">IF(G$4="X"," ",IF(F36&lt;&gt;0,F36*G$2/(100+G$2)," "))</f>
        <v> </v>
      </c>
      <c r="H36" s="123" t="str">
        <f aca="false">IF((F36&lt;&gt;0),F36-G36," ")</f>
        <v> </v>
      </c>
    </row>
    <row r="37" customFormat="false" ht="12.75" hidden="false" customHeight="false" outlineLevel="0" collapsed="false">
      <c r="E37" s="119"/>
      <c r="G37" s="123" t="str">
        <f aca="false">IF(G$4="X"," ",IF(F37&lt;&gt;0,F37*G$2/(100+G$2)," "))</f>
        <v> </v>
      </c>
      <c r="H37" s="123" t="str">
        <f aca="false">IF((F37&lt;&gt;0),F37-G37," ")</f>
        <v> </v>
      </c>
    </row>
    <row r="38" customFormat="false" ht="12.75" hidden="false" customHeight="false" outlineLevel="0" collapsed="false">
      <c r="E38" s="119"/>
      <c r="G38" s="123" t="str">
        <f aca="false">IF(G$4="X"," ",IF(F38&lt;&gt;0,F38*G$2/(100+G$2)," "))</f>
        <v> </v>
      </c>
      <c r="H38" s="123" t="str">
        <f aca="false">IF((F38&lt;&gt;0),F38-G38," ")</f>
        <v> </v>
      </c>
    </row>
    <row r="39" customFormat="false" ht="12.75" hidden="false" customHeight="false" outlineLevel="0" collapsed="false">
      <c r="E39" s="119"/>
      <c r="G39" s="123" t="str">
        <f aca="false">IF(G$4="X"," ",IF(F39&lt;&gt;0,F39*G$2/(100+G$2)," "))</f>
        <v> </v>
      </c>
      <c r="H39" s="123" t="str">
        <f aca="false">IF((F39&lt;&gt;0),F39-G39," ")</f>
        <v> </v>
      </c>
    </row>
    <row r="40" customFormat="false" ht="12.75" hidden="false" customHeight="false" outlineLevel="0" collapsed="false">
      <c r="E40" s="119"/>
      <c r="G40" s="123" t="str">
        <f aca="false">IF(G$4="X"," ",IF(F40&lt;&gt;0,F40*G$2/(100+G$2)," "))</f>
        <v> </v>
      </c>
      <c r="H40" s="123" t="str">
        <f aca="false">IF((F40&lt;&gt;0),F40-G40," ")</f>
        <v> </v>
      </c>
    </row>
    <row r="41" customFormat="false" ht="12.75" hidden="false" customHeight="false" outlineLevel="0" collapsed="false">
      <c r="E41" s="119"/>
      <c r="G41" s="123" t="str">
        <f aca="false">IF(G$4="X"," ",IF(F41&lt;&gt;0,F41*G$2/(100+G$2)," "))</f>
        <v> </v>
      </c>
      <c r="H41" s="123" t="str">
        <f aca="false">IF((F41&lt;&gt;0),F41-G41," ")</f>
        <v> </v>
      </c>
    </row>
    <row r="42" customFormat="false" ht="12.75" hidden="false" customHeight="false" outlineLevel="0" collapsed="false">
      <c r="E42" s="119"/>
      <c r="G42" s="123" t="str">
        <f aca="false">IF(G$4="X"," ",IF(F42&lt;&gt;0,F42*G$2/(100+G$2)," "))</f>
        <v> </v>
      </c>
      <c r="H42" s="123" t="str">
        <f aca="false">IF((F42&lt;&gt;0),F42-G42," ")</f>
        <v> </v>
      </c>
    </row>
    <row r="43" customFormat="false" ht="12.75" hidden="false" customHeight="false" outlineLevel="0" collapsed="false">
      <c r="E43" s="119"/>
      <c r="G43" s="123" t="str">
        <f aca="false">IF(G$4="X"," ",IF(F43&lt;&gt;0,F43*G$2/(100+G$2)," "))</f>
        <v> </v>
      </c>
      <c r="H43" s="123" t="str">
        <f aca="false">IF((F43&lt;&gt;0),F43-G43," ")</f>
        <v> </v>
      </c>
    </row>
    <row r="44" customFormat="false" ht="12.75" hidden="false" customHeight="false" outlineLevel="0" collapsed="false">
      <c r="E44" s="119"/>
      <c r="G44" s="123" t="str">
        <f aca="false">IF(G$4="X"," ",IF(F44&lt;&gt;0,F44*G$2/(100+G$2)," "))</f>
        <v> </v>
      </c>
      <c r="H44" s="123" t="str">
        <f aca="false">IF((F44&lt;&gt;0),F44-G44," ")</f>
        <v> </v>
      </c>
    </row>
    <row r="45" customFormat="false" ht="12.75" hidden="false" customHeight="false" outlineLevel="0" collapsed="false">
      <c r="E45" s="119"/>
      <c r="G45" s="123" t="str">
        <f aca="false">IF(G$4="X"," ",IF(F45&lt;&gt;0,F45*G$2/(100+G$2)," "))</f>
        <v> </v>
      </c>
      <c r="H45" s="123" t="str">
        <f aca="false">IF((F45&lt;&gt;0),F45-G45," ")</f>
        <v> </v>
      </c>
    </row>
    <row r="46" customFormat="false" ht="12.75" hidden="false" customHeight="false" outlineLevel="0" collapsed="false">
      <c r="E46" s="119"/>
      <c r="G46" s="123" t="str">
        <f aca="false">IF(G$4="X"," ",IF(F46&lt;&gt;0,F46*G$2/(100+G$2)," "))</f>
        <v> </v>
      </c>
      <c r="H46" s="123" t="str">
        <f aca="false">IF((F46&lt;&gt;0),F46-G46," ")</f>
        <v> </v>
      </c>
    </row>
    <row r="47" customFormat="false" ht="12.75" hidden="false" customHeight="false" outlineLevel="0" collapsed="false">
      <c r="E47" s="119"/>
      <c r="G47" s="123" t="str">
        <f aca="false">IF(G$4="X"," ",IF(F47&lt;&gt;0,F47*G$2/(100+G$2)," "))</f>
        <v> </v>
      </c>
      <c r="H47" s="123" t="str">
        <f aca="false">IF((F47&lt;&gt;0),F47-G47," ")</f>
        <v> </v>
      </c>
    </row>
    <row r="48" customFormat="false" ht="12.75" hidden="false" customHeight="false" outlineLevel="0" collapsed="false">
      <c r="E48" s="119"/>
      <c r="G48" s="123" t="str">
        <f aca="false">IF(G$4="X"," ",IF(F48&lt;&gt;0,F48*G$2/(100+G$2)," "))</f>
        <v> </v>
      </c>
      <c r="H48" s="123" t="str">
        <f aca="false">IF((F48&lt;&gt;0),F48-G48," ")</f>
        <v> </v>
      </c>
    </row>
    <row r="49" customFormat="false" ht="12.75" hidden="false" customHeight="false" outlineLevel="0" collapsed="false">
      <c r="E49" s="119"/>
      <c r="G49" s="123" t="str">
        <f aca="false">IF(G$4="X"," ",IF(F49&lt;&gt;0,F49*G$2/(100+G$2)," "))</f>
        <v> </v>
      </c>
      <c r="H49" s="123" t="str">
        <f aca="false">IF((F49&lt;&gt;0),F49-G49," ")</f>
        <v> </v>
      </c>
    </row>
    <row r="50" customFormat="false" ht="12.75" hidden="false" customHeight="false" outlineLevel="0" collapsed="false">
      <c r="E50" s="119"/>
      <c r="G50" s="123" t="str">
        <f aca="false">IF(G$4="X"," ",IF(F50&lt;&gt;0,F50*G$2/(100+G$2)," "))</f>
        <v> </v>
      </c>
      <c r="H50" s="123" t="str">
        <f aca="false">IF((F50&lt;&gt;0),F50-G50," ")</f>
        <v> </v>
      </c>
    </row>
    <row r="51" customFormat="false" ht="12.75" hidden="false" customHeight="false" outlineLevel="0" collapsed="false">
      <c r="E51" s="119"/>
      <c r="G51" s="123" t="str">
        <f aca="false">IF(G$4="X"," ",IF(F51&lt;&gt;0,F51*G$2/(100+G$2)," "))</f>
        <v> </v>
      </c>
      <c r="H51" s="123" t="str">
        <f aca="false">IF((F51&lt;&gt;0),F51-G51," ")</f>
        <v> </v>
      </c>
    </row>
    <row r="52" customFormat="false" ht="12.75" hidden="false" customHeight="false" outlineLevel="0" collapsed="false">
      <c r="E52" s="119"/>
      <c r="G52" s="123" t="str">
        <f aca="false">IF(G$4="X"," ",IF(F52&lt;&gt;0,F52*G$2/(100+G$2)," "))</f>
        <v> </v>
      </c>
      <c r="H52" s="123" t="str">
        <f aca="false">IF((F52&lt;&gt;0),F52-G52," ")</f>
        <v> </v>
      </c>
    </row>
    <row r="53" customFormat="false" ht="12.75" hidden="false" customHeight="false" outlineLevel="0" collapsed="false">
      <c r="E53" s="119"/>
      <c r="G53" s="123" t="str">
        <f aca="false">IF(G$4="X"," ",IF(F53&lt;&gt;0,F53*G$2/(100+G$2)," "))</f>
        <v> </v>
      </c>
      <c r="H53" s="123" t="str">
        <f aca="false">IF((F53&lt;&gt;0),F53-G53," ")</f>
        <v> </v>
      </c>
    </row>
    <row r="54" customFormat="false" ht="12.75" hidden="false" customHeight="false" outlineLevel="0" collapsed="false">
      <c r="E54" s="119"/>
      <c r="G54" s="123" t="str">
        <f aca="false">IF(G$4="X"," ",IF(F54&lt;&gt;0,F54*G$2/(100+G$2)," "))</f>
        <v> </v>
      </c>
      <c r="H54" s="123" t="str">
        <f aca="false">IF((F54&lt;&gt;0),F54-G54," ")</f>
        <v> </v>
      </c>
    </row>
    <row r="55" customFormat="false" ht="12.75" hidden="false" customHeight="false" outlineLevel="0" collapsed="false">
      <c r="E55" s="119"/>
      <c r="G55" s="123" t="str">
        <f aca="false">IF(G$4="X"," ",IF(F55&lt;&gt;0,F55*G$2/(100+G$2)," "))</f>
        <v> </v>
      </c>
      <c r="H55" s="123" t="str">
        <f aca="false">IF((F55&lt;&gt;0),F55-G55," ")</f>
        <v> </v>
      </c>
    </row>
    <row r="56" customFormat="false" ht="12.75" hidden="false" customHeight="false" outlineLevel="0" collapsed="false">
      <c r="E56" s="119"/>
      <c r="G56" s="123" t="str">
        <f aca="false">IF(G$4="X"," ",IF(F56&lt;&gt;0,F56*G$2/(100+G$2)," "))</f>
        <v> </v>
      </c>
      <c r="H56" s="123" t="str">
        <f aca="false">IF((F56&lt;&gt;0),F56-G56," ")</f>
        <v> </v>
      </c>
    </row>
    <row r="57" customFormat="false" ht="12.75" hidden="false" customHeight="false" outlineLevel="0" collapsed="false">
      <c r="E57" s="119"/>
      <c r="G57" s="123" t="str">
        <f aca="false">IF(G$4="X"," ",IF(F57&lt;&gt;0,F57*G$2/(100+G$2)," "))</f>
        <v> </v>
      </c>
      <c r="H57" s="123" t="str">
        <f aca="false">IF((F57&lt;&gt;0),F57-G57," ")</f>
        <v> </v>
      </c>
    </row>
    <row r="58" customFormat="false" ht="12.75" hidden="false" customHeight="false" outlineLevel="0" collapsed="false">
      <c r="E58" s="119"/>
      <c r="G58" s="123" t="str">
        <f aca="false">IF(G$4="X"," ",IF(F58&lt;&gt;0,F58*G$2/(100+G$2)," "))</f>
        <v> </v>
      </c>
      <c r="H58" s="123" t="str">
        <f aca="false">IF((F58&lt;&gt;0),F58-G58," ")</f>
        <v> </v>
      </c>
    </row>
    <row r="59" customFormat="false" ht="12.75" hidden="false" customHeight="false" outlineLevel="0" collapsed="false">
      <c r="E59" s="119"/>
      <c r="G59" s="123" t="str">
        <f aca="false">IF(G$4="X"," ",IF(F59&lt;&gt;0,F59*G$2/(100+G$2)," "))</f>
        <v> </v>
      </c>
      <c r="H59" s="123" t="str">
        <f aca="false">IF((F59&lt;&gt;0),F59-G59," ")</f>
        <v> </v>
      </c>
    </row>
    <row r="60" customFormat="false" ht="12.75" hidden="false" customHeight="false" outlineLevel="0" collapsed="false">
      <c r="E60" s="119"/>
      <c r="G60" s="123" t="str">
        <f aca="false">IF(G$4="X"," ",IF(F60&lt;&gt;0,F60*G$2/(100+G$2)," "))</f>
        <v> </v>
      </c>
      <c r="H60" s="123" t="str">
        <f aca="false">IF((F60&lt;&gt;0),F60-G60," ")</f>
        <v> </v>
      </c>
    </row>
    <row r="61" customFormat="false" ht="12.75" hidden="false" customHeight="false" outlineLevel="0" collapsed="false">
      <c r="E61" s="119"/>
      <c r="G61" s="123" t="str">
        <f aca="false">IF(G$4="X"," ",IF(F61&lt;&gt;0,F61*G$2/(100+G$2)," "))</f>
        <v> </v>
      </c>
      <c r="H61" s="123" t="str">
        <f aca="false">IF((F61&lt;&gt;0),F61-G61," ")</f>
        <v> </v>
      </c>
    </row>
    <row r="62" customFormat="false" ht="12.75" hidden="false" customHeight="false" outlineLevel="0" collapsed="false">
      <c r="E62" s="119"/>
      <c r="G62" s="123" t="str">
        <f aca="false">IF(G$4="X"," ",IF(F62&lt;&gt;0,F62*G$2/(100+G$2)," "))</f>
        <v> </v>
      </c>
      <c r="H62" s="123" t="str">
        <f aca="false">IF((F62&lt;&gt;0),F62-G62," ")</f>
        <v> </v>
      </c>
    </row>
    <row r="63" customFormat="false" ht="12.75" hidden="false" customHeight="false" outlineLevel="0" collapsed="false">
      <c r="E63" s="119"/>
      <c r="G63" s="123" t="str">
        <f aca="false">IF(G$4="X"," ",IF(F63&lt;&gt;0,F63*G$2/(100+G$2)," "))</f>
        <v> </v>
      </c>
      <c r="H63" s="123" t="str">
        <f aca="false">IF((F63&lt;&gt;0),F63-G63," ")</f>
        <v> </v>
      </c>
    </row>
    <row r="64" customFormat="false" ht="12.75" hidden="false" customHeight="false" outlineLevel="0" collapsed="false">
      <c r="E64" s="119"/>
      <c r="G64" s="123" t="str">
        <f aca="false">IF(G$4="X"," ",IF(F64&lt;&gt;0,F64*G$2/(100+G$2)," "))</f>
        <v> </v>
      </c>
      <c r="H64" s="123" t="str">
        <f aca="false">IF((F64&lt;&gt;0),F64-G64," ")</f>
        <v> </v>
      </c>
    </row>
    <row r="65" customFormat="false" ht="12.75" hidden="false" customHeight="false" outlineLevel="0" collapsed="false">
      <c r="E65" s="119"/>
      <c r="G65" s="123" t="str">
        <f aca="false">IF(G$4="X"," ",IF(F65&lt;&gt;0,F65*G$2/(100+G$2)," "))</f>
        <v> </v>
      </c>
      <c r="H65" s="123" t="str">
        <f aca="false">IF((F65&lt;&gt;0),F65-G65," ")</f>
        <v> </v>
      </c>
    </row>
    <row r="66" customFormat="false" ht="12.75" hidden="false" customHeight="false" outlineLevel="0" collapsed="false">
      <c r="E66" s="119"/>
      <c r="G66" s="123" t="str">
        <f aca="false">IF(G$4="X"," ",IF(F66&lt;&gt;0,F66*G$2/(100+G$2)," "))</f>
        <v> </v>
      </c>
      <c r="H66" s="123" t="str">
        <f aca="false">IF((F66&lt;&gt;0),F66-G66," ")</f>
        <v> </v>
      </c>
    </row>
    <row r="67" customFormat="false" ht="12.75" hidden="false" customHeight="false" outlineLevel="0" collapsed="false">
      <c r="E67" s="119"/>
      <c r="G67" s="123" t="str">
        <f aca="false">IF(G$4="X"," ",IF(F67&lt;&gt;0,F67*G$2/(100+G$2)," "))</f>
        <v> </v>
      </c>
      <c r="H67" s="123" t="str">
        <f aca="false">IF((F67&lt;&gt;0),F67-G67," ")</f>
        <v> </v>
      </c>
    </row>
    <row r="68" customFormat="false" ht="12.75" hidden="false" customHeight="false" outlineLevel="0" collapsed="false">
      <c r="E68" s="119"/>
      <c r="G68" s="123" t="str">
        <f aca="false">IF(G$4="X"," ",IF(F68&lt;&gt;0,F68*G$2/(100+G$2)," "))</f>
        <v> </v>
      </c>
      <c r="H68" s="123" t="str">
        <f aca="false">IF((F68&lt;&gt;0),F68-G68," ")</f>
        <v> </v>
      </c>
    </row>
    <row r="69" customFormat="false" ht="12.75" hidden="false" customHeight="false" outlineLevel="0" collapsed="false">
      <c r="E69" s="119"/>
      <c r="G69" s="123" t="str">
        <f aca="false">IF(G$4="X"," ",IF(F69&lt;&gt;0,F69*G$2/(100+G$2)," "))</f>
        <v> </v>
      </c>
      <c r="H69" s="123" t="str">
        <f aca="false">IF((F69&lt;&gt;0),F69-G69," ")</f>
        <v> </v>
      </c>
    </row>
    <row r="70" customFormat="false" ht="12.75" hidden="false" customHeight="false" outlineLevel="0" collapsed="false">
      <c r="E70" s="119"/>
      <c r="G70" s="123" t="str">
        <f aca="false">IF(G$4="X"," ",IF(F70&lt;&gt;0,F70*G$2/(100+G$2)," "))</f>
        <v> </v>
      </c>
      <c r="H70" s="123" t="str">
        <f aca="false">IF((F70&lt;&gt;0),F70-G70," ")</f>
        <v> </v>
      </c>
    </row>
    <row r="71" customFormat="false" ht="12.75" hidden="false" customHeight="false" outlineLevel="0" collapsed="false">
      <c r="E71" s="119"/>
      <c r="G71" s="123" t="str">
        <f aca="false">IF(G$4="X"," ",IF(F71&lt;&gt;0,F71*G$2/(100+G$2)," "))</f>
        <v> </v>
      </c>
      <c r="H71" s="123" t="str">
        <f aca="false">IF((F71&lt;&gt;0),F71-G71," ")</f>
        <v> </v>
      </c>
    </row>
    <row r="72" customFormat="false" ht="12.75" hidden="false" customHeight="false" outlineLevel="0" collapsed="false">
      <c r="E72" s="119"/>
      <c r="G72" s="123" t="str">
        <f aca="false">IF(G$4="X"," ",IF(F72&lt;&gt;0,F72*G$2/(100+G$2)," "))</f>
        <v> </v>
      </c>
      <c r="H72" s="123" t="str">
        <f aca="false">IF((F72&lt;&gt;0),F72-G72," ")</f>
        <v> </v>
      </c>
    </row>
    <row r="73" customFormat="false" ht="12.75" hidden="false" customHeight="false" outlineLevel="0" collapsed="false">
      <c r="E73" s="119"/>
      <c r="G73" s="123" t="str">
        <f aca="false">IF(G$4="X"," ",IF(F73&lt;&gt;0,F73*G$2/(100+G$2)," "))</f>
        <v> </v>
      </c>
      <c r="H73" s="123" t="str">
        <f aca="false">IF((F73&lt;&gt;0),F73-G73," ")</f>
        <v> </v>
      </c>
    </row>
    <row r="74" customFormat="false" ht="12.75" hidden="false" customHeight="false" outlineLevel="0" collapsed="false">
      <c r="E74" s="119"/>
      <c r="G74" s="123" t="str">
        <f aca="false">IF(G$4="X"," ",IF(F74&lt;&gt;0,F74*G$2/(100+G$2)," "))</f>
        <v> </v>
      </c>
      <c r="H74" s="123" t="str">
        <f aca="false">IF((F74&lt;&gt;0),F74-G74," ")</f>
        <v> </v>
      </c>
    </row>
    <row r="75" customFormat="false" ht="12.75" hidden="false" customHeight="false" outlineLevel="0" collapsed="false">
      <c r="E75" s="119"/>
      <c r="G75" s="123" t="str">
        <f aca="false">IF(G$4="X"," ",IF(F75&lt;&gt;0,F75*G$2/(100+G$2)," "))</f>
        <v> </v>
      </c>
      <c r="H75" s="123" t="str">
        <f aca="false">IF((F75&lt;&gt;0),F75-G75," ")</f>
        <v> </v>
      </c>
    </row>
    <row r="76" customFormat="false" ht="12.75" hidden="false" customHeight="false" outlineLevel="0" collapsed="false">
      <c r="E76" s="119"/>
      <c r="G76" s="123" t="str">
        <f aca="false">IF(G$4="X"," ",IF(F76&lt;&gt;0,F76*G$2/(100+G$2)," "))</f>
        <v> </v>
      </c>
      <c r="H76" s="123" t="str">
        <f aca="false">IF((F76&lt;&gt;0),F76-G76," ")</f>
        <v> </v>
      </c>
    </row>
    <row r="77" customFormat="false" ht="12.75" hidden="false" customHeight="false" outlineLevel="0" collapsed="false">
      <c r="E77" s="119"/>
      <c r="G77" s="123" t="str">
        <f aca="false">IF(G$4="X"," ",IF(F77&lt;&gt;0,F77*G$2/(100+G$2)," "))</f>
        <v> </v>
      </c>
      <c r="H77" s="123" t="str">
        <f aca="false">IF((F77&lt;&gt;0),F77-G77," ")</f>
        <v> </v>
      </c>
    </row>
    <row r="78" customFormat="false" ht="12.75" hidden="false" customHeight="false" outlineLevel="0" collapsed="false">
      <c r="E78" s="119"/>
      <c r="G78" s="123" t="str">
        <f aca="false">IF(G$4="X"," ",IF(F78&lt;&gt;0,F78*G$2/(100+G$2)," "))</f>
        <v> </v>
      </c>
      <c r="H78" s="123" t="str">
        <f aca="false">IF((F78&lt;&gt;0),F78-G78," ")</f>
        <v> </v>
      </c>
    </row>
    <row r="79" customFormat="false" ht="12.75" hidden="false" customHeight="false" outlineLevel="0" collapsed="false">
      <c r="E79" s="119"/>
      <c r="G79" s="123" t="str">
        <f aca="false">IF(G$4="X"," ",IF(F79&lt;&gt;0,F79*G$2/(100+G$2)," "))</f>
        <v> </v>
      </c>
      <c r="H79" s="123" t="str">
        <f aca="false">IF((F79&lt;&gt;0),F79-G79," ")</f>
        <v> </v>
      </c>
    </row>
    <row r="80" customFormat="false" ht="12.75" hidden="false" customHeight="false" outlineLevel="0" collapsed="false">
      <c r="E80" s="119"/>
      <c r="G80" s="123" t="str">
        <f aca="false">IF(G$4="X"," ",IF(F80&lt;&gt;0,F80*G$2/(100+G$2)," "))</f>
        <v> </v>
      </c>
      <c r="H80" s="123" t="str">
        <f aca="false">IF((F80&lt;&gt;0),F80-G80," ")</f>
        <v> </v>
      </c>
    </row>
    <row r="81" customFormat="false" ht="12.75" hidden="false" customHeight="false" outlineLevel="0" collapsed="false">
      <c r="E81" s="119"/>
      <c r="G81" s="123" t="str">
        <f aca="false">IF(G$4="X"," ",IF(F81&lt;&gt;0,F81*G$2/(100+G$2)," "))</f>
        <v> </v>
      </c>
      <c r="H81" s="123" t="str">
        <f aca="false">IF((F81&lt;&gt;0),F81-G81," ")</f>
        <v> </v>
      </c>
    </row>
    <row r="82" customFormat="false" ht="12.75" hidden="false" customHeight="false" outlineLevel="0" collapsed="false">
      <c r="E82" s="119"/>
      <c r="G82" s="123" t="str">
        <f aca="false">IF(G$4="X"," ",IF(F82&lt;&gt;0,F82*G$2/(100+G$2)," "))</f>
        <v> </v>
      </c>
      <c r="H82" s="123" t="str">
        <f aca="false">IF((F82&lt;&gt;0),F82-G82," ")</f>
        <v> </v>
      </c>
    </row>
    <row r="83" customFormat="false" ht="12.75" hidden="false" customHeight="false" outlineLevel="0" collapsed="false">
      <c r="E83" s="119"/>
      <c r="G83" s="123" t="str">
        <f aca="false">IF(G$4="X"," ",IF(F83&lt;&gt;0,F83*G$2/(100+G$2)," "))</f>
        <v> </v>
      </c>
      <c r="H83" s="123" t="str">
        <f aca="false">IF((F83&lt;&gt;0),F83-G83," ")</f>
        <v> </v>
      </c>
    </row>
    <row r="84" customFormat="false" ht="12.75" hidden="false" customHeight="false" outlineLevel="0" collapsed="false">
      <c r="E84" s="119"/>
      <c r="G84" s="123" t="str">
        <f aca="false">IF(G$4="X"," ",IF(F84&lt;&gt;0,F84*G$2/(100+G$2)," "))</f>
        <v> </v>
      </c>
      <c r="H84" s="123" t="str">
        <f aca="false">IF((F84&lt;&gt;0),F84-G84," ")</f>
        <v> </v>
      </c>
    </row>
    <row r="85" customFormat="false" ht="12.75" hidden="false" customHeight="false" outlineLevel="0" collapsed="false">
      <c r="E85" s="119"/>
      <c r="G85" s="123" t="str">
        <f aca="false">IF(G$4="X"," ",IF(F85&lt;&gt;0,F85*G$2/(100+G$2)," "))</f>
        <v> </v>
      </c>
      <c r="H85" s="123" t="str">
        <f aca="false">IF((F85&lt;&gt;0),F85-G85," ")</f>
        <v> </v>
      </c>
    </row>
    <row r="86" customFormat="false" ht="12.75" hidden="false" customHeight="false" outlineLevel="0" collapsed="false">
      <c r="E86" s="119"/>
      <c r="G86" s="123" t="str">
        <f aca="false">IF(G$4="X"," ",IF(F86&lt;&gt;0,F86*G$2/(100+G$2)," "))</f>
        <v> </v>
      </c>
      <c r="H86" s="123" t="str">
        <f aca="false">IF((F86&lt;&gt;0),F86-G86," ")</f>
        <v> </v>
      </c>
    </row>
    <row r="87" customFormat="false" ht="12.75" hidden="false" customHeight="false" outlineLevel="0" collapsed="false">
      <c r="E87" s="119"/>
      <c r="G87" s="123" t="str">
        <f aca="false">IF(G$4="X"," ",IF(F87&lt;&gt;0,F87*G$2/(100+G$2)," "))</f>
        <v> </v>
      </c>
      <c r="H87" s="123" t="str">
        <f aca="false">IF((F87&lt;&gt;0),F87-G87," ")</f>
        <v> </v>
      </c>
    </row>
    <row r="88" customFormat="false" ht="12.75" hidden="false" customHeight="false" outlineLevel="0" collapsed="false">
      <c r="E88" s="119"/>
      <c r="G88" s="123" t="str">
        <f aca="false">IF(G$4="X"," ",IF(F88&lt;&gt;0,F88*G$2/(100+G$2)," "))</f>
        <v> </v>
      </c>
      <c r="H88" s="123" t="str">
        <f aca="false">IF((F88&lt;&gt;0),F88-G88," ")</f>
        <v> </v>
      </c>
    </row>
    <row r="89" customFormat="false" ht="12.75" hidden="false" customHeight="false" outlineLevel="0" collapsed="false">
      <c r="E89" s="119"/>
      <c r="G89" s="123" t="str">
        <f aca="false">IF(G$4="X"," ",IF(F89&lt;&gt;0,F89*G$2/(100+G$2)," "))</f>
        <v> </v>
      </c>
      <c r="H89" s="123" t="str">
        <f aca="false">IF((F89&lt;&gt;0),F89-G89," ")</f>
        <v> </v>
      </c>
    </row>
    <row r="90" customFormat="false" ht="12.75" hidden="false" customHeight="false" outlineLevel="0" collapsed="false">
      <c r="E90" s="119"/>
      <c r="G90" s="123" t="str">
        <f aca="false">IF(G$4="X"," ",IF(F90&lt;&gt;0,F90*G$2/(100+G$2)," "))</f>
        <v> </v>
      </c>
      <c r="H90" s="123" t="str">
        <f aca="false">IF((F90&lt;&gt;0),F90-G90," ")</f>
        <v> </v>
      </c>
    </row>
    <row r="91" customFormat="false" ht="12.75" hidden="false" customHeight="false" outlineLevel="0" collapsed="false">
      <c r="E91" s="119"/>
      <c r="G91" s="123" t="str">
        <f aca="false">IF(G$4="X"," ",IF(F91&lt;&gt;0,F91*G$2/(100+G$2)," "))</f>
        <v> </v>
      </c>
      <c r="H91" s="123" t="str">
        <f aca="false">IF((F91&lt;&gt;0),F91-G91," ")</f>
        <v> </v>
      </c>
    </row>
    <row r="92" customFormat="false" ht="12.75" hidden="false" customHeight="false" outlineLevel="0" collapsed="false">
      <c r="E92" s="119"/>
      <c r="G92" s="123" t="str">
        <f aca="false">IF(G$4="X"," ",IF(F92&lt;&gt;0,F92*G$2/(100+G$2)," "))</f>
        <v> </v>
      </c>
      <c r="H92" s="123" t="str">
        <f aca="false">IF((F92&lt;&gt;0),F92-G92," ")</f>
        <v> </v>
      </c>
    </row>
    <row r="93" customFormat="false" ht="12.75" hidden="false" customHeight="false" outlineLevel="0" collapsed="false">
      <c r="E93" s="119"/>
      <c r="G93" s="123" t="str">
        <f aca="false">IF(G$4="X"," ",IF(F93&lt;&gt;0,F93*G$2/(100+G$2)," "))</f>
        <v> </v>
      </c>
      <c r="H93" s="123" t="str">
        <f aca="false">IF((F93&lt;&gt;0),F93-G93," ")</f>
        <v> </v>
      </c>
    </row>
    <row r="94" customFormat="false" ht="12.75" hidden="false" customHeight="false" outlineLevel="0" collapsed="false">
      <c r="E94" s="119"/>
      <c r="G94" s="123" t="str">
        <f aca="false">IF(G$4="X"," ",IF(F94&lt;&gt;0,F94*G$2/(100+G$2)," "))</f>
        <v> </v>
      </c>
      <c r="H94" s="123" t="str">
        <f aca="false">IF((F94&lt;&gt;0),F94-G94," ")</f>
        <v> </v>
      </c>
    </row>
    <row r="95" customFormat="false" ht="12.75" hidden="false" customHeight="false" outlineLevel="0" collapsed="false">
      <c r="E95" s="119"/>
      <c r="G95" s="123" t="str">
        <f aca="false">IF(G$4="X"," ",IF(F95&lt;&gt;0,F95*G$2/(100+G$2)," "))</f>
        <v> </v>
      </c>
      <c r="H95" s="123" t="str">
        <f aca="false">IF((F95&lt;&gt;0),F95-G95," ")</f>
        <v> </v>
      </c>
    </row>
    <row r="96" customFormat="false" ht="12.75" hidden="false" customHeight="false" outlineLevel="0" collapsed="false">
      <c r="E96" s="119"/>
      <c r="G96" s="123" t="str">
        <f aca="false">IF(G$4="X"," ",IF(F96&lt;&gt;0,F96*G$2/(100+G$2)," "))</f>
        <v> </v>
      </c>
      <c r="H96" s="123" t="str">
        <f aca="false">IF((F96&lt;&gt;0),F96-G96," ")</f>
        <v> </v>
      </c>
    </row>
    <row r="97" customFormat="false" ht="12.75" hidden="false" customHeight="false" outlineLevel="0" collapsed="false">
      <c r="E97" s="119"/>
      <c r="G97" s="123" t="str">
        <f aca="false">IF(G$4="X"," ",IF(F97&lt;&gt;0,F97*G$2/(100+G$2)," "))</f>
        <v> </v>
      </c>
      <c r="H97" s="123" t="str">
        <f aca="false">IF((F97&lt;&gt;0),F97-G97," ")</f>
        <v> </v>
      </c>
    </row>
    <row r="98" customFormat="false" ht="12.75" hidden="false" customHeight="false" outlineLevel="0" collapsed="false">
      <c r="E98" s="119"/>
      <c r="G98" s="123" t="str">
        <f aca="false">IF(G$4="X"," ",IF(F98&lt;&gt;0,F98*G$2/(100+G$2)," "))</f>
        <v> </v>
      </c>
      <c r="H98" s="123" t="str">
        <f aca="false">IF((F98&lt;&gt;0),F98-G98," ")</f>
        <v> </v>
      </c>
    </row>
    <row r="99" customFormat="false" ht="12.75" hidden="false" customHeight="false" outlineLevel="0" collapsed="false">
      <c r="E99" s="119"/>
      <c r="G99" s="123" t="str">
        <f aca="false">IF(G$4="X"," ",IF(F99&lt;&gt;0,F99*G$2/(100+G$2)," "))</f>
        <v> </v>
      </c>
      <c r="H99" s="123" t="str">
        <f aca="false">IF((F99&lt;&gt;0),F99-G99," ")</f>
        <v> </v>
      </c>
    </row>
    <row r="100" customFormat="false" ht="12.75" hidden="false" customHeight="false" outlineLevel="0" collapsed="false">
      <c r="E100" s="119"/>
      <c r="G100" s="123" t="str">
        <f aca="false">IF(G$4="X"," ",IF(F100&lt;&gt;0,F100*G$2/(100+G$2)," "))</f>
        <v> </v>
      </c>
      <c r="H100" s="123" t="str">
        <f aca="false">IF((F100&lt;&gt;0),F100-G100," ")</f>
        <v> </v>
      </c>
    </row>
    <row r="101" customFormat="false" ht="12.75" hidden="false" customHeight="false" outlineLevel="0" collapsed="false">
      <c r="E101" s="119"/>
      <c r="G101" s="123" t="str">
        <f aca="false">IF(G$4="X"," ",IF(F101&lt;&gt;0,F101*G$2/(100+G$2)," "))</f>
        <v> </v>
      </c>
      <c r="H101" s="123" t="str">
        <f aca="false">IF((F101&lt;&gt;0),F101-G101," ")</f>
        <v> </v>
      </c>
    </row>
    <row r="102" customFormat="false" ht="12.75" hidden="false" customHeight="false" outlineLevel="0" collapsed="false">
      <c r="E102" s="119"/>
      <c r="G102" s="123" t="str">
        <f aca="false">IF(G$4="X"," ",IF(F102&lt;&gt;0,F102*G$2/(100+G$2)," "))</f>
        <v> </v>
      </c>
      <c r="H102" s="123" t="str">
        <f aca="false">IF((F102&lt;&gt;0),F102-G102," ")</f>
        <v> </v>
      </c>
    </row>
    <row r="103" customFormat="false" ht="12.75" hidden="false" customHeight="false" outlineLevel="0" collapsed="false">
      <c r="E103" s="119"/>
      <c r="G103" s="123" t="str">
        <f aca="false">IF(G$4="X"," ",IF(F103&lt;&gt;0,F103*G$2/(100+G$2)," "))</f>
        <v> </v>
      </c>
      <c r="H103" s="123" t="str">
        <f aca="false">IF((F103&lt;&gt;0),F103-G103," ")</f>
        <v> </v>
      </c>
    </row>
    <row r="104" customFormat="false" ht="12.75" hidden="false" customHeight="false" outlineLevel="0" collapsed="false">
      <c r="E104" s="119"/>
      <c r="G104" s="123" t="str">
        <f aca="false">IF(G$4="X"," ",IF(F104&lt;&gt;0,F104*G$2/(100+G$2)," "))</f>
        <v> </v>
      </c>
      <c r="H104" s="123" t="str">
        <f aca="false">IF((F104&lt;&gt;0),F104-G104," ")</f>
        <v> </v>
      </c>
    </row>
    <row r="105" customFormat="false" ht="12.75" hidden="false" customHeight="false" outlineLevel="0" collapsed="false">
      <c r="E105" s="119"/>
      <c r="G105" s="123" t="str">
        <f aca="false">IF(G$4="X"," ",IF(F105&lt;&gt;0,F105*G$2/(100+G$2)," "))</f>
        <v> </v>
      </c>
      <c r="H105" s="123" t="str">
        <f aca="false">IF((F105&lt;&gt;0),F105-G105," ")</f>
        <v> </v>
      </c>
    </row>
    <row r="106" customFormat="false" ht="12.75" hidden="false" customHeight="false" outlineLevel="0" collapsed="false">
      <c r="E106" s="119"/>
      <c r="G106" s="123" t="str">
        <f aca="false">IF(G$4="X"," ",IF(F106&lt;&gt;0,F106*G$2/(100+G$2)," "))</f>
        <v> </v>
      </c>
      <c r="H106" s="123" t="str">
        <f aca="false">IF((F106&lt;&gt;0),F106-G106," ")</f>
        <v> </v>
      </c>
    </row>
    <row r="107" customFormat="false" ht="12.75" hidden="false" customHeight="false" outlineLevel="0" collapsed="false">
      <c r="E107" s="119"/>
      <c r="G107" s="123" t="str">
        <f aca="false">IF(G$4="X"," ",IF(F107&lt;&gt;0,F107*G$2/(100+G$2)," "))</f>
        <v> </v>
      </c>
      <c r="H107" s="123" t="str">
        <f aca="false">IF((F107&lt;&gt;0),F107-G107," ")</f>
        <v> </v>
      </c>
    </row>
    <row r="108" customFormat="false" ht="12.75" hidden="false" customHeight="false" outlineLevel="0" collapsed="false">
      <c r="E108" s="119"/>
      <c r="G108" s="123" t="str">
        <f aca="false">IF(G$4="X"," ",IF(F108&lt;&gt;0,F108*G$2/(100+G$2)," "))</f>
        <v> </v>
      </c>
      <c r="H108" s="123" t="str">
        <f aca="false">IF((F108&lt;&gt;0),F108-G108," ")</f>
        <v> </v>
      </c>
    </row>
    <row r="109" customFormat="false" ht="12.75" hidden="false" customHeight="false" outlineLevel="0" collapsed="false">
      <c r="E109" s="119"/>
      <c r="G109" s="123" t="str">
        <f aca="false">IF(G$4="X"," ",IF(F109&lt;&gt;0,F109*G$2/(100+G$2)," "))</f>
        <v> </v>
      </c>
      <c r="H109" s="123" t="str">
        <f aca="false">IF((F109&lt;&gt;0),F109-G109," ")</f>
        <v> </v>
      </c>
    </row>
    <row r="110" customFormat="false" ht="12.75" hidden="false" customHeight="false" outlineLevel="0" collapsed="false">
      <c r="E110" s="119"/>
      <c r="G110" s="123" t="str">
        <f aca="false">IF(G$4="X"," ",IF(F110&lt;&gt;0,F110*G$2/(100+G$2)," "))</f>
        <v> </v>
      </c>
      <c r="H110" s="123" t="str">
        <f aca="false">IF((F110&lt;&gt;0),F110-G110," ")</f>
        <v> </v>
      </c>
    </row>
    <row r="111" customFormat="false" ht="12.75" hidden="false" customHeight="false" outlineLevel="0" collapsed="false">
      <c r="E111" s="119"/>
      <c r="G111" s="123" t="str">
        <f aca="false">IF(G$4="X"," ",IF(F111&lt;&gt;0,F111*G$2/(100+G$2)," "))</f>
        <v> </v>
      </c>
      <c r="H111" s="123" t="str">
        <f aca="false">IF((F111&lt;&gt;0),F111-G111," ")</f>
        <v> </v>
      </c>
    </row>
    <row r="112" customFormat="false" ht="12.75" hidden="false" customHeight="false" outlineLevel="0" collapsed="false">
      <c r="E112" s="119"/>
      <c r="G112" s="123" t="str">
        <f aca="false">IF(G$4="X"," ",IF(F112&lt;&gt;0,F112*G$2/(100+G$2)," "))</f>
        <v> </v>
      </c>
      <c r="H112" s="123" t="str">
        <f aca="false">IF((F112&lt;&gt;0),F112-G112," ")</f>
        <v> </v>
      </c>
    </row>
    <row r="113" customFormat="false" ht="12.75" hidden="false" customHeight="false" outlineLevel="0" collapsed="false">
      <c r="E113" s="119"/>
      <c r="G113" s="123" t="str">
        <f aca="false">IF(G$4="X"," ",IF(F113&lt;&gt;0,F113*G$2/(100+G$2)," "))</f>
        <v> </v>
      </c>
      <c r="H113" s="123" t="str">
        <f aca="false">IF((F113&lt;&gt;0),F113-G113," ")</f>
        <v> </v>
      </c>
    </row>
    <row r="114" customFormat="false" ht="12.75" hidden="false" customHeight="false" outlineLevel="0" collapsed="false">
      <c r="E114" s="119"/>
      <c r="G114" s="123" t="str">
        <f aca="false">IF(G$4="X"," ",IF(F114&lt;&gt;0,F114*G$2/(100+G$2)," "))</f>
        <v> </v>
      </c>
      <c r="H114" s="123" t="str">
        <f aca="false">IF((F114&lt;&gt;0),F114-G114," ")</f>
        <v> </v>
      </c>
    </row>
    <row r="115" customFormat="false" ht="12.75" hidden="false" customHeight="false" outlineLevel="0" collapsed="false">
      <c r="E115" s="119"/>
      <c r="G115" s="123" t="str">
        <f aca="false">IF(G$4="X"," ",IF(F115&lt;&gt;0,F115*G$2/(100+G$2)," "))</f>
        <v> </v>
      </c>
      <c r="H115" s="123" t="str">
        <f aca="false">IF((F115&lt;&gt;0),F115-G115," ")</f>
        <v> </v>
      </c>
    </row>
    <row r="116" customFormat="false" ht="12.75" hidden="false" customHeight="false" outlineLevel="0" collapsed="false">
      <c r="E116" s="119"/>
      <c r="G116" s="123" t="str">
        <f aca="false">IF(G$4="X"," ",IF(F116&lt;&gt;0,F116*G$2/(100+G$2)," "))</f>
        <v> </v>
      </c>
      <c r="H116" s="123" t="str">
        <f aca="false">IF((F116&lt;&gt;0),F116-G116," ")</f>
        <v> </v>
      </c>
    </row>
    <row r="117" customFormat="false" ht="12.75" hidden="false" customHeight="false" outlineLevel="0" collapsed="false">
      <c r="E117" s="119"/>
      <c r="G117" s="123" t="str">
        <f aca="false">IF(G$4="X"," ",IF(F117&lt;&gt;0,F117*G$2/(100+G$2)," "))</f>
        <v> </v>
      </c>
      <c r="H117" s="123" t="str">
        <f aca="false">IF((F117&lt;&gt;0),F117-G117," ")</f>
        <v> </v>
      </c>
    </row>
    <row r="118" customFormat="false" ht="12.75" hidden="false" customHeight="false" outlineLevel="0" collapsed="false">
      <c r="E118" s="119"/>
      <c r="G118" s="123" t="str">
        <f aca="false">IF(G$4="X"," ",IF(F118&lt;&gt;0,F118*G$2/(100+G$2)," "))</f>
        <v> </v>
      </c>
      <c r="H118" s="123" t="str">
        <f aca="false">IF((F118&lt;&gt;0),F118-G118," ")</f>
        <v> </v>
      </c>
    </row>
    <row r="119" customFormat="false" ht="12.75" hidden="false" customHeight="false" outlineLevel="0" collapsed="false">
      <c r="E119" s="119"/>
      <c r="G119" s="123" t="str">
        <f aca="false">IF(G$4="X"," ",IF(F119&lt;&gt;0,F119*G$2/(100+G$2)," "))</f>
        <v> </v>
      </c>
      <c r="H119" s="123" t="str">
        <f aca="false">IF((F119&lt;&gt;0),F119-G119," ")</f>
        <v> </v>
      </c>
    </row>
    <row r="120" customFormat="false" ht="12.75" hidden="false" customHeight="false" outlineLevel="0" collapsed="false">
      <c r="E120" s="119"/>
      <c r="G120" s="123" t="str">
        <f aca="false">IF(G$4="X"," ",IF(F120&lt;&gt;0,F120*G$2/(100+G$2)," "))</f>
        <v> </v>
      </c>
      <c r="H120" s="123" t="str">
        <f aca="false">IF((F120&lt;&gt;0),F120-G120," ")</f>
        <v> </v>
      </c>
    </row>
    <row r="121" customFormat="false" ht="12.75" hidden="false" customHeight="false" outlineLevel="0" collapsed="false">
      <c r="E121" s="119"/>
      <c r="G121" s="123" t="str">
        <f aca="false">IF(G$4="X"," ",IF(F121&lt;&gt;0,F121*G$2/(100+G$2)," "))</f>
        <v> </v>
      </c>
      <c r="H121" s="123" t="str">
        <f aca="false">IF((F121&lt;&gt;0),F121-G121," ")</f>
        <v> </v>
      </c>
    </row>
    <row r="122" customFormat="false" ht="12.75" hidden="false" customHeight="false" outlineLevel="0" collapsed="false">
      <c r="E122" s="119"/>
      <c r="G122" s="123" t="str">
        <f aca="false">IF(G$4="X"," ",IF(F122&lt;&gt;0,F122*G$2/(100+G$2)," "))</f>
        <v> </v>
      </c>
      <c r="H122" s="123" t="str">
        <f aca="false">IF((F122&lt;&gt;0),F122-G122," ")</f>
        <v> </v>
      </c>
    </row>
    <row r="123" customFormat="false" ht="12.75" hidden="false" customHeight="false" outlineLevel="0" collapsed="false">
      <c r="E123" s="119"/>
      <c r="G123" s="123" t="str">
        <f aca="false">IF(G$4="X"," ",IF(F123&lt;&gt;0,F123*G$2/(100+G$2)," "))</f>
        <v> </v>
      </c>
      <c r="H123" s="123" t="str">
        <f aca="false">IF((F123&lt;&gt;0),F123-G123," ")</f>
        <v> </v>
      </c>
    </row>
    <row r="124" customFormat="false" ht="12.75" hidden="false" customHeight="false" outlineLevel="0" collapsed="false">
      <c r="E124" s="119"/>
      <c r="G124" s="123" t="str">
        <f aca="false">IF(G$4="X"," ",IF(F124&lt;&gt;0,F124*G$2/(100+G$2)," "))</f>
        <v> </v>
      </c>
      <c r="H124" s="123" t="str">
        <f aca="false">IF((F124&lt;&gt;0),F124-G124," ")</f>
        <v> </v>
      </c>
    </row>
    <row r="125" customFormat="false" ht="12.75" hidden="false" customHeight="false" outlineLevel="0" collapsed="false">
      <c r="E125" s="119"/>
      <c r="G125" s="123" t="str">
        <f aca="false">IF(G$4="X"," ",IF(F125&lt;&gt;0,F125*G$2/(100+G$2)," "))</f>
        <v> </v>
      </c>
      <c r="H125" s="123" t="str">
        <f aca="false">IF((F125&lt;&gt;0),F125-G125," ")</f>
        <v> </v>
      </c>
    </row>
    <row r="126" customFormat="false" ht="12.75" hidden="false" customHeight="false" outlineLevel="0" collapsed="false">
      <c r="E126" s="119"/>
      <c r="G126" s="123" t="str">
        <f aca="false">IF(G$4="X"," ",IF(F126&lt;&gt;0,F126*G$2/(100+G$2)," "))</f>
        <v> </v>
      </c>
      <c r="H126" s="123" t="str">
        <f aca="false">IF((F126&lt;&gt;0),F126-G126," ")</f>
        <v> </v>
      </c>
    </row>
    <row r="127" customFormat="false" ht="12.75" hidden="false" customHeight="false" outlineLevel="0" collapsed="false">
      <c r="E127" s="119"/>
      <c r="G127" s="123" t="str">
        <f aca="false">IF(G$4="X"," ",IF(F127&lt;&gt;0,F127*G$2/(100+G$2)," "))</f>
        <v> </v>
      </c>
      <c r="H127" s="123" t="str">
        <f aca="false">IF((F127&lt;&gt;0),F127-G127," ")</f>
        <v> </v>
      </c>
    </row>
    <row r="128" customFormat="false" ht="12.75" hidden="false" customHeight="false" outlineLevel="0" collapsed="false">
      <c r="E128" s="119"/>
      <c r="G128" s="123" t="str">
        <f aca="false">IF(G$4="X"," ",IF(F128&lt;&gt;0,F128*G$2/(100+G$2)," "))</f>
        <v> </v>
      </c>
      <c r="H128" s="123" t="str">
        <f aca="false">IF((F128&lt;&gt;0),F128-G128," ")</f>
        <v> </v>
      </c>
    </row>
    <row r="129" customFormat="false" ht="12.75" hidden="false" customHeight="false" outlineLevel="0" collapsed="false">
      <c r="E129" s="119"/>
      <c r="G129" s="123" t="str">
        <f aca="false">IF(G$4="X"," ",IF(F129&lt;&gt;0,F129*G$2/(100+G$2)," "))</f>
        <v> </v>
      </c>
      <c r="H129" s="123" t="str">
        <f aca="false">IF((F129&lt;&gt;0),F129-G129," ")</f>
        <v> </v>
      </c>
    </row>
    <row r="130" customFormat="false" ht="12.75" hidden="false" customHeight="false" outlineLevel="0" collapsed="false">
      <c r="E130" s="119"/>
      <c r="G130" s="123" t="str">
        <f aca="false">IF(G$4="X"," ",IF(F130&lt;&gt;0,F130*G$2/(100+G$2)," "))</f>
        <v> </v>
      </c>
      <c r="H130" s="123" t="str">
        <f aca="false">IF((F130&lt;&gt;0),F130-G130," ")</f>
        <v> </v>
      </c>
    </row>
    <row r="131" customFormat="false" ht="12.75" hidden="false" customHeight="false" outlineLevel="0" collapsed="false">
      <c r="E131" s="119"/>
      <c r="G131" s="123" t="str">
        <f aca="false">IF(G$4="X"," ",IF(F131&lt;&gt;0,F131*G$2/(100+G$2)," "))</f>
        <v> </v>
      </c>
      <c r="H131" s="123" t="str">
        <f aca="false">IF((F131&lt;&gt;0),F131-G131," ")</f>
        <v> </v>
      </c>
    </row>
    <row r="132" customFormat="false" ht="12.75" hidden="false" customHeight="false" outlineLevel="0" collapsed="false">
      <c r="E132" s="119"/>
      <c r="G132" s="123" t="str">
        <f aca="false">IF(G$4="X"," ",IF(F132&lt;&gt;0,F132*G$2/(100+G$2)," "))</f>
        <v> </v>
      </c>
      <c r="H132" s="123" t="str">
        <f aca="false">IF((F132&lt;&gt;0),F132-G132," ")</f>
        <v> </v>
      </c>
    </row>
    <row r="133" customFormat="false" ht="12.75" hidden="false" customHeight="false" outlineLevel="0" collapsed="false">
      <c r="E133" s="119"/>
      <c r="G133" s="123" t="str">
        <f aca="false">IF(G$4="X"," ",IF(F133&lt;&gt;0,F133*G$2/(100+G$2)," "))</f>
        <v> </v>
      </c>
      <c r="H133" s="123" t="str">
        <f aca="false">IF((F133&lt;&gt;0),F133-G133," ")</f>
        <v> </v>
      </c>
    </row>
    <row r="134" customFormat="false" ht="12.75" hidden="false" customHeight="false" outlineLevel="0" collapsed="false">
      <c r="E134" s="119"/>
      <c r="G134" s="123" t="str">
        <f aca="false">IF(G$4="X"," ",IF(F134&lt;&gt;0,F134*G$2/(100+G$2)," "))</f>
        <v> </v>
      </c>
      <c r="H134" s="123" t="str">
        <f aca="false">IF((F134&lt;&gt;0),F134-G134," ")</f>
        <v> </v>
      </c>
    </row>
    <row r="135" customFormat="false" ht="12.75" hidden="false" customHeight="false" outlineLevel="0" collapsed="false">
      <c r="E135" s="119"/>
      <c r="G135" s="123" t="str">
        <f aca="false">IF(G$4="X"," ",IF(F135&lt;&gt;0,F135*G$2/(100+G$2)," "))</f>
        <v> </v>
      </c>
      <c r="H135" s="123" t="str">
        <f aca="false">IF((F135&lt;&gt;0),F135-G135," ")</f>
        <v> </v>
      </c>
    </row>
    <row r="136" customFormat="false" ht="12.75" hidden="false" customHeight="false" outlineLevel="0" collapsed="false">
      <c r="E136" s="119"/>
      <c r="G136" s="123" t="str">
        <f aca="false">IF(G$4="X"," ",IF(F136&lt;&gt;0,F136*G$2/(100+G$2)," "))</f>
        <v> </v>
      </c>
      <c r="H136" s="123" t="str">
        <f aca="false">IF((F136&lt;&gt;0),F136-G136," ")</f>
        <v> </v>
      </c>
    </row>
    <row r="137" customFormat="false" ht="12.75" hidden="false" customHeight="false" outlineLevel="0" collapsed="false">
      <c r="E137" s="119"/>
      <c r="G137" s="123" t="str">
        <f aca="false">IF(G$4="X"," ",IF(F137&lt;&gt;0,F137*G$2/(100+G$2)," "))</f>
        <v> </v>
      </c>
      <c r="H137" s="123" t="str">
        <f aca="false">IF((F137&lt;&gt;0),F137-G137," ")</f>
        <v> </v>
      </c>
    </row>
    <row r="138" customFormat="false" ht="12.75" hidden="false" customHeight="false" outlineLevel="0" collapsed="false">
      <c r="E138" s="119"/>
      <c r="G138" s="123" t="str">
        <f aca="false">IF(G$4="X"," ",IF(F138&lt;&gt;0,F138*G$2/(100+G$2)," "))</f>
        <v> </v>
      </c>
      <c r="H138" s="123" t="str">
        <f aca="false">IF((F138&lt;&gt;0),F138-G138," ")</f>
        <v> </v>
      </c>
    </row>
    <row r="139" customFormat="false" ht="12.75" hidden="false" customHeight="false" outlineLevel="0" collapsed="false">
      <c r="E139" s="119"/>
      <c r="G139" s="123" t="str">
        <f aca="false">IF(G$4="X"," ",IF(F139&lt;&gt;0,F139*G$2/(100+G$2)," "))</f>
        <v> </v>
      </c>
      <c r="H139" s="123" t="str">
        <f aca="false">IF((F139&lt;&gt;0),F139-G139," ")</f>
        <v> </v>
      </c>
    </row>
    <row r="140" customFormat="false" ht="12.75" hidden="false" customHeight="false" outlineLevel="0" collapsed="false">
      <c r="E140" s="119"/>
      <c r="G140" s="123" t="str">
        <f aca="false">IF(G$4="X"," ",IF(F140&lt;&gt;0,F140*G$2/(100+G$2)," "))</f>
        <v> </v>
      </c>
      <c r="H140" s="123" t="str">
        <f aca="false">IF((F140&lt;&gt;0),F140-G140," ")</f>
        <v> </v>
      </c>
    </row>
    <row r="141" customFormat="false" ht="12.75" hidden="false" customHeight="false" outlineLevel="0" collapsed="false">
      <c r="E141" s="119"/>
      <c r="G141" s="123" t="str">
        <f aca="false">IF(G$4="X"," ",IF(F141&lt;&gt;0,F141*G$2/(100+G$2)," "))</f>
        <v> </v>
      </c>
      <c r="H141" s="123" t="str">
        <f aca="false">IF((F141&lt;&gt;0),F141-G141," ")</f>
        <v> </v>
      </c>
    </row>
    <row r="142" customFormat="false" ht="12.75" hidden="false" customHeight="false" outlineLevel="0" collapsed="false">
      <c r="E142" s="119"/>
      <c r="G142" s="123" t="str">
        <f aca="false">IF(G$4="X"," ",IF(F142&lt;&gt;0,F142*G$2/(100+G$2)," "))</f>
        <v> </v>
      </c>
      <c r="H142" s="123" t="str">
        <f aca="false">IF((F142&lt;&gt;0),F142-G142," ")</f>
        <v> </v>
      </c>
    </row>
    <row r="143" customFormat="false" ht="12.75" hidden="false" customHeight="false" outlineLevel="0" collapsed="false">
      <c r="E143" s="119"/>
      <c r="G143" s="123" t="str">
        <f aca="false">IF(G$4="X"," ",IF(F143&lt;&gt;0,F143*G$2/(100+G$2)," "))</f>
        <v> </v>
      </c>
      <c r="H143" s="123" t="str">
        <f aca="false">IF((F143&lt;&gt;0),F143-G143," ")</f>
        <v> </v>
      </c>
    </row>
    <row r="144" customFormat="false" ht="12.75" hidden="false" customHeight="false" outlineLevel="0" collapsed="false">
      <c r="E144" s="119"/>
      <c r="G144" s="123" t="str">
        <f aca="false">IF(G$4="X"," ",IF(F144&lt;&gt;0,F144*G$2/(100+G$2)," "))</f>
        <v> </v>
      </c>
      <c r="H144" s="123" t="str">
        <f aca="false">IF((F144&lt;&gt;0),F144-G144," ")</f>
        <v> </v>
      </c>
    </row>
    <row r="145" customFormat="false" ht="12.75" hidden="false" customHeight="false" outlineLevel="0" collapsed="false">
      <c r="E145" s="119"/>
      <c r="G145" s="123" t="str">
        <f aca="false">IF(G$4="X"," ",IF(F145&lt;&gt;0,F145*G$2/(100+G$2)," "))</f>
        <v> </v>
      </c>
      <c r="H145" s="123" t="str">
        <f aca="false">IF((F145&lt;&gt;0),F145-G145," ")</f>
        <v> </v>
      </c>
    </row>
    <row r="146" customFormat="false" ht="12.75" hidden="false" customHeight="false" outlineLevel="0" collapsed="false">
      <c r="E146" s="119"/>
      <c r="G146" s="123" t="str">
        <f aca="false">IF(G$4="X"," ",IF(F146&lt;&gt;0,F146*G$2/(100+G$2)," "))</f>
        <v> </v>
      </c>
      <c r="H146" s="123" t="str">
        <f aca="false">IF((F146&lt;&gt;0),F146-G146," ")</f>
        <v> </v>
      </c>
    </row>
    <row r="147" customFormat="false" ht="12.75" hidden="false" customHeight="false" outlineLevel="0" collapsed="false">
      <c r="E147" s="119"/>
      <c r="G147" s="123" t="str">
        <f aca="false">IF(G$4="X"," ",IF(F147&lt;&gt;0,F147*G$2/(100+G$2)," "))</f>
        <v> </v>
      </c>
      <c r="H147" s="123" t="str">
        <f aca="false">IF((F147&lt;&gt;0),F147-G147," ")</f>
        <v> </v>
      </c>
    </row>
    <row r="148" customFormat="false" ht="12.75" hidden="false" customHeight="false" outlineLevel="0" collapsed="false">
      <c r="E148" s="119"/>
      <c r="G148" s="123" t="str">
        <f aca="false">IF(G$4="X"," ",IF(F148&lt;&gt;0,F148*G$2/(100+G$2)," "))</f>
        <v> </v>
      </c>
      <c r="H148" s="123" t="str">
        <f aca="false">IF((F148&lt;&gt;0),F148-G148," ")</f>
        <v> </v>
      </c>
    </row>
    <row r="149" customFormat="false" ht="12.75" hidden="false" customHeight="false" outlineLevel="0" collapsed="false">
      <c r="E149" s="119"/>
      <c r="G149" s="123" t="str">
        <f aca="false">IF(G$4="X"," ",IF(F149&lt;&gt;0,F149*G$2/(100+G$2)," "))</f>
        <v> </v>
      </c>
      <c r="H149" s="123" t="str">
        <f aca="false">IF((F149&lt;&gt;0),F149-G149," ")</f>
        <v> </v>
      </c>
    </row>
    <row r="150" customFormat="false" ht="12.75" hidden="false" customHeight="false" outlineLevel="0" collapsed="false">
      <c r="E150" s="119"/>
      <c r="G150" s="123" t="str">
        <f aca="false">IF(G$4="X"," ",IF(F150&lt;&gt;0,F150*G$2/(100+G$2)," "))</f>
        <v> </v>
      </c>
      <c r="H150" s="123" t="str">
        <f aca="false">IF((F150&lt;&gt;0),F150-G150," ")</f>
        <v> </v>
      </c>
    </row>
    <row r="151" customFormat="false" ht="12.75" hidden="false" customHeight="false" outlineLevel="0" collapsed="false">
      <c r="E151" s="119"/>
      <c r="G151" s="123" t="str">
        <f aca="false">IF(G$4="X"," ",IF(F151&lt;&gt;0,F151*G$2/(100+G$2)," "))</f>
        <v> </v>
      </c>
      <c r="H151" s="123" t="str">
        <f aca="false">IF((F151&lt;&gt;0),F151-G151," ")</f>
        <v> </v>
      </c>
    </row>
    <row r="152" customFormat="false" ht="12.75" hidden="false" customHeight="false" outlineLevel="0" collapsed="false">
      <c r="E152" s="119"/>
      <c r="G152" s="123" t="str">
        <f aca="false">IF(G$4="X"," ",IF(F152&lt;&gt;0,F152*G$2/(100+G$2)," "))</f>
        <v> </v>
      </c>
      <c r="H152" s="123" t="str">
        <f aca="false">IF((F152&lt;&gt;0),F152-G152," ")</f>
        <v> </v>
      </c>
    </row>
    <row r="153" customFormat="false" ht="12.75" hidden="false" customHeight="false" outlineLevel="0" collapsed="false">
      <c r="E153" s="119"/>
      <c r="G153" s="123" t="str">
        <f aca="false">IF(G$4="X"," ",IF(F153&lt;&gt;0,F153*G$2/(100+G$2)," "))</f>
        <v> </v>
      </c>
      <c r="H153" s="123" t="str">
        <f aca="false">IF((F153&lt;&gt;0),F153-G153," ")</f>
        <v> </v>
      </c>
    </row>
    <row r="154" customFormat="false" ht="12.75" hidden="false" customHeight="false" outlineLevel="0" collapsed="false">
      <c r="E154" s="119"/>
      <c r="G154" s="123" t="str">
        <f aca="false">IF(G$4="X"," ",IF(F154&lt;&gt;0,F154*G$2/(100+G$2)," "))</f>
        <v> </v>
      </c>
      <c r="H154" s="123" t="str">
        <f aca="false">IF((F154&lt;&gt;0),F154-G154," ")</f>
        <v> </v>
      </c>
    </row>
    <row r="155" customFormat="false" ht="12.75" hidden="false" customHeight="false" outlineLevel="0" collapsed="false">
      <c r="E155" s="119"/>
      <c r="G155" s="123" t="str">
        <f aca="false">IF(G$4="X"," ",IF(F155&lt;&gt;0,F155*G$2/(100+G$2)," "))</f>
        <v> </v>
      </c>
      <c r="H155" s="123" t="str">
        <f aca="false">IF((F155&lt;&gt;0),F155-G155," ")</f>
        <v> </v>
      </c>
    </row>
    <row r="156" customFormat="false" ht="12.75" hidden="false" customHeight="false" outlineLevel="0" collapsed="false">
      <c r="E156" s="119"/>
      <c r="G156" s="123" t="str">
        <f aca="false">IF(G$4="X"," ",IF(F156&lt;&gt;0,F156*G$2/(100+G$2)," "))</f>
        <v> </v>
      </c>
      <c r="H156" s="123" t="str">
        <f aca="false">IF((F156&lt;&gt;0),F156-G156," ")</f>
        <v> </v>
      </c>
    </row>
    <row r="157" customFormat="false" ht="12.75" hidden="false" customHeight="false" outlineLevel="0" collapsed="false">
      <c r="E157" s="119"/>
      <c r="G157" s="123" t="str">
        <f aca="false">IF(G$4="X"," ",IF(F157&lt;&gt;0,F157*G$2/(100+G$2)," "))</f>
        <v> </v>
      </c>
      <c r="H157" s="123" t="str">
        <f aca="false">IF((F157&lt;&gt;0),F157-G157," ")</f>
        <v> </v>
      </c>
    </row>
    <row r="158" customFormat="false" ht="12.75" hidden="false" customHeight="false" outlineLevel="0" collapsed="false">
      <c r="E158" s="119"/>
      <c r="G158" s="123" t="str">
        <f aca="false">IF(G$4="X"," ",IF(F158&lt;&gt;0,F158*G$2/(100+G$2)," "))</f>
        <v> </v>
      </c>
      <c r="H158" s="123" t="str">
        <f aca="false">IF((F158&lt;&gt;0),F158-G158," ")</f>
        <v> </v>
      </c>
    </row>
    <row r="159" customFormat="false" ht="12.75" hidden="false" customHeight="false" outlineLevel="0" collapsed="false">
      <c r="E159" s="119"/>
      <c r="G159" s="123" t="str">
        <f aca="false">IF(G$4="X"," ",IF(F159&lt;&gt;0,F159*G$2/(100+G$2)," "))</f>
        <v> </v>
      </c>
      <c r="H159" s="123" t="str">
        <f aca="false">IF((F159&lt;&gt;0),F159-G159," ")</f>
        <v> </v>
      </c>
    </row>
    <row r="160" customFormat="false" ht="12.75" hidden="false" customHeight="false" outlineLevel="0" collapsed="false">
      <c r="E160" s="119"/>
      <c r="G160" s="123" t="str">
        <f aca="false">IF(G$4="X"," ",IF(F160&lt;&gt;0,F160*G$2/(100+G$2)," "))</f>
        <v> </v>
      </c>
      <c r="H160" s="123" t="str">
        <f aca="false">IF((F160&lt;&gt;0),F160-G160," ")</f>
        <v> </v>
      </c>
    </row>
    <row r="161" customFormat="false" ht="12.75" hidden="false" customHeight="false" outlineLevel="0" collapsed="false">
      <c r="E161" s="119"/>
      <c r="G161" s="123" t="str">
        <f aca="false">IF(G$4="X"," ",IF(F161&lt;&gt;0,F161*G$2/(100+G$2)," "))</f>
        <v> </v>
      </c>
      <c r="H161" s="123" t="str">
        <f aca="false">IF((F161&lt;&gt;0),F161-G161," ")</f>
        <v> </v>
      </c>
    </row>
    <row r="162" customFormat="false" ht="12.75" hidden="false" customHeight="false" outlineLevel="0" collapsed="false">
      <c r="E162" s="119"/>
      <c r="G162" s="123" t="str">
        <f aca="false">IF(G$4="X"," ",IF(F162&lt;&gt;0,F162*G$2/(100+G$2)," "))</f>
        <v> </v>
      </c>
      <c r="H162" s="123" t="str">
        <f aca="false">IF((F162&lt;&gt;0),F162-G162," ")</f>
        <v> </v>
      </c>
    </row>
    <row r="163" customFormat="false" ht="12.75" hidden="false" customHeight="false" outlineLevel="0" collapsed="false">
      <c r="E163" s="119"/>
      <c r="G163" s="123" t="str">
        <f aca="false">IF(G$4="X"," ",IF(F163&lt;&gt;0,F163*G$2/(100+G$2)," "))</f>
        <v> </v>
      </c>
      <c r="H163" s="123" t="str">
        <f aca="false">IF((F163&lt;&gt;0),F163-G163," ")</f>
        <v> </v>
      </c>
    </row>
    <row r="164" customFormat="false" ht="12.75" hidden="false" customHeight="false" outlineLevel="0" collapsed="false">
      <c r="E164" s="119"/>
      <c r="G164" s="123" t="str">
        <f aca="false">IF(G$4="X"," ",IF(F164&lt;&gt;0,F164*G$2/(100+G$2)," "))</f>
        <v> </v>
      </c>
      <c r="H164" s="123" t="str">
        <f aca="false">IF((F164&lt;&gt;0),F164-G164," ")</f>
        <v> </v>
      </c>
    </row>
    <row r="165" customFormat="false" ht="12.75" hidden="false" customHeight="false" outlineLevel="0" collapsed="false">
      <c r="E165" s="119"/>
      <c r="G165" s="123" t="str">
        <f aca="false">IF(G$4="X"," ",IF(F165&lt;&gt;0,F165*G$2/(100+G$2)," "))</f>
        <v> </v>
      </c>
      <c r="H165" s="123" t="str">
        <f aca="false">IF((F165&lt;&gt;0),F165-G165," ")</f>
        <v> </v>
      </c>
    </row>
    <row r="166" customFormat="false" ht="12.75" hidden="false" customHeight="false" outlineLevel="0" collapsed="false">
      <c r="E166" s="119"/>
      <c r="G166" s="123" t="str">
        <f aca="false">IF(G$4="X"," ",IF(F166&lt;&gt;0,F166*G$2/(100+G$2)," "))</f>
        <v> </v>
      </c>
      <c r="H166" s="123" t="str">
        <f aca="false">IF((F166&lt;&gt;0),F166-G166," ")</f>
        <v> </v>
      </c>
    </row>
    <row r="167" customFormat="false" ht="12.75" hidden="false" customHeight="false" outlineLevel="0" collapsed="false">
      <c r="E167" s="119"/>
      <c r="G167" s="123" t="str">
        <f aca="false">IF(G$4="X"," ",IF(F167&lt;&gt;0,F167*G$2/(100+G$2)," "))</f>
        <v> </v>
      </c>
      <c r="H167" s="123" t="str">
        <f aca="false">IF((F167&lt;&gt;0),F167-G167," ")</f>
        <v> </v>
      </c>
    </row>
    <row r="168" customFormat="false" ht="12.75" hidden="false" customHeight="false" outlineLevel="0" collapsed="false">
      <c r="E168" s="119"/>
      <c r="G168" s="123" t="str">
        <f aca="false">IF(G$4="X"," ",IF(F168&lt;&gt;0,F168*G$2/(100+G$2)," "))</f>
        <v> </v>
      </c>
      <c r="H168" s="123" t="str">
        <f aca="false">IF((F168&lt;&gt;0),F168-G168," ")</f>
        <v> </v>
      </c>
    </row>
    <row r="169" customFormat="false" ht="12.75" hidden="false" customHeight="false" outlineLevel="0" collapsed="false">
      <c r="E169" s="119"/>
      <c r="G169" s="123" t="str">
        <f aca="false">IF(G$4="X"," ",IF(F169&lt;&gt;0,F169*G$2/(100+G$2)," "))</f>
        <v> </v>
      </c>
      <c r="H169" s="123" t="str">
        <f aca="false">IF((F169&lt;&gt;0),F169-G169," ")</f>
        <v> </v>
      </c>
    </row>
    <row r="170" customFormat="false" ht="12.75" hidden="false" customHeight="false" outlineLevel="0" collapsed="false">
      <c r="E170" s="119"/>
      <c r="G170" s="123" t="str">
        <f aca="false">IF(G$4="X"," ",IF(F170&lt;&gt;0,F170*G$2/(100+G$2)," "))</f>
        <v> </v>
      </c>
      <c r="H170" s="123" t="str">
        <f aca="false">IF((F170&lt;&gt;0),F170-G170," ")</f>
        <v> </v>
      </c>
    </row>
    <row r="171" customFormat="false" ht="12.75" hidden="false" customHeight="false" outlineLevel="0" collapsed="false">
      <c r="E171" s="119"/>
      <c r="G171" s="123" t="str">
        <f aca="false">IF(G$4="X"," ",IF(F171&lt;&gt;0,F171*G$2/(100+G$2)," "))</f>
        <v> </v>
      </c>
      <c r="H171" s="123" t="str">
        <f aca="false">IF((F171&lt;&gt;0),F171-G171," ")</f>
        <v> </v>
      </c>
    </row>
    <row r="172" customFormat="false" ht="12.75" hidden="false" customHeight="false" outlineLevel="0" collapsed="false">
      <c r="E172" s="119"/>
      <c r="G172" s="123" t="str">
        <f aca="false">IF(G$4="X"," ",IF(F172&lt;&gt;0,F172*G$2/(100+G$2)," "))</f>
        <v> </v>
      </c>
      <c r="H172" s="123" t="str">
        <f aca="false">IF((F172&lt;&gt;0),F172-G172," ")</f>
        <v> </v>
      </c>
    </row>
    <row r="173" customFormat="false" ht="12.75" hidden="false" customHeight="false" outlineLevel="0" collapsed="false">
      <c r="E173" s="119"/>
      <c r="G173" s="123" t="str">
        <f aca="false">IF(G$4="X"," ",IF(F173&lt;&gt;0,F173*G$2/(100+G$2)," "))</f>
        <v> </v>
      </c>
      <c r="H173" s="123" t="str">
        <f aca="false">IF((F173&lt;&gt;0),F173-G173," ")</f>
        <v> </v>
      </c>
    </row>
    <row r="174" customFormat="false" ht="12.75" hidden="false" customHeight="false" outlineLevel="0" collapsed="false">
      <c r="E174" s="119"/>
      <c r="G174" s="123" t="str">
        <f aca="false">IF(G$4="X"," ",IF(F174&lt;&gt;0,F174*G$2/(100+G$2)," "))</f>
        <v> </v>
      </c>
      <c r="H174" s="123" t="str">
        <f aca="false">IF((F174&lt;&gt;0),F174-G174," ")</f>
        <v> </v>
      </c>
    </row>
    <row r="175" customFormat="false" ht="12.75" hidden="false" customHeight="false" outlineLevel="0" collapsed="false">
      <c r="E175" s="119"/>
      <c r="G175" s="123" t="str">
        <f aca="false">IF(G$4="X"," ",IF(F175&lt;&gt;0,F175*G$2/(100+G$2)," "))</f>
        <v> </v>
      </c>
      <c r="H175" s="123" t="str">
        <f aca="false">IF((F175&lt;&gt;0),F175-G175," ")</f>
        <v> </v>
      </c>
    </row>
    <row r="176" customFormat="false" ht="12.75" hidden="false" customHeight="false" outlineLevel="0" collapsed="false">
      <c r="E176" s="119"/>
      <c r="G176" s="123" t="str">
        <f aca="false">IF(G$4="X"," ",IF(F176&lt;&gt;0,F176*G$2/(100+G$2)," "))</f>
        <v> </v>
      </c>
      <c r="H176" s="123" t="str">
        <f aca="false">IF((F176&lt;&gt;0),F176-G176," ")</f>
        <v> </v>
      </c>
    </row>
    <row r="177" customFormat="false" ht="12.75" hidden="false" customHeight="false" outlineLevel="0" collapsed="false">
      <c r="E177" s="119"/>
      <c r="G177" s="123" t="str">
        <f aca="false">IF(G$4="X"," ",IF(F177&lt;&gt;0,F177*G$2/(100+G$2)," "))</f>
        <v> </v>
      </c>
      <c r="H177" s="123" t="str">
        <f aca="false">IF((F177&lt;&gt;0),F177-G177," ")</f>
        <v> </v>
      </c>
    </row>
    <row r="178" customFormat="false" ht="12.75" hidden="false" customHeight="false" outlineLevel="0" collapsed="false">
      <c r="E178" s="119"/>
      <c r="G178" s="123" t="str">
        <f aca="false">IF(G$4="X"," ",IF(F178&lt;&gt;0,F178*G$2/(100+G$2)," "))</f>
        <v> </v>
      </c>
      <c r="H178" s="123" t="str">
        <f aca="false">IF((F178&lt;&gt;0),F178-G178," ")</f>
        <v> </v>
      </c>
    </row>
    <row r="179" customFormat="false" ht="12.75" hidden="false" customHeight="false" outlineLevel="0" collapsed="false">
      <c r="E179" s="119"/>
      <c r="G179" s="123" t="str">
        <f aca="false">IF(G$4="X"," ",IF(F179&lt;&gt;0,F179*G$2/(100+G$2)," "))</f>
        <v> </v>
      </c>
      <c r="H179" s="123" t="str">
        <f aca="false">IF((F179&lt;&gt;0),F179-G179," ")</f>
        <v> </v>
      </c>
    </row>
    <row r="180" customFormat="false" ht="12.75" hidden="false" customHeight="false" outlineLevel="0" collapsed="false">
      <c r="E180" s="119"/>
      <c r="G180" s="123" t="str">
        <f aca="false">IF(G$4="X"," ",IF(F180&lt;&gt;0,F180*G$2/(100+G$2)," "))</f>
        <v> </v>
      </c>
      <c r="H180" s="123" t="str">
        <f aca="false">IF((F180&lt;&gt;0),F180-G180," ")</f>
        <v> </v>
      </c>
    </row>
    <row r="181" customFormat="false" ht="12.75" hidden="false" customHeight="false" outlineLevel="0" collapsed="false">
      <c r="E181" s="119"/>
      <c r="G181" s="123" t="str">
        <f aca="false">IF(G$4="X"," ",IF(F181&lt;&gt;0,F181*G$2/(100+G$2)," "))</f>
        <v> </v>
      </c>
      <c r="H181" s="123" t="str">
        <f aca="false">IF((F181&lt;&gt;0),F181-G181," ")</f>
        <v> </v>
      </c>
    </row>
    <row r="182" customFormat="false" ht="12.75" hidden="false" customHeight="false" outlineLevel="0" collapsed="false">
      <c r="E182" s="119"/>
      <c r="G182" s="123" t="str">
        <f aca="false">IF(G$4="X"," ",IF(F182&lt;&gt;0,F182*G$2/(100+G$2)," "))</f>
        <v> </v>
      </c>
      <c r="H182" s="123" t="str">
        <f aca="false">IF((F182&lt;&gt;0),F182-G182," ")</f>
        <v> </v>
      </c>
    </row>
    <row r="183" customFormat="false" ht="12.75" hidden="false" customHeight="false" outlineLevel="0" collapsed="false">
      <c r="E183" s="119"/>
      <c r="G183" s="123" t="str">
        <f aca="false">IF(G$4="X"," ",IF(F183&lt;&gt;0,F183*G$2/(100+G$2)," "))</f>
        <v> </v>
      </c>
      <c r="H183" s="123" t="str">
        <f aca="false">IF((F183&lt;&gt;0),F183-G183," ")</f>
        <v> </v>
      </c>
    </row>
    <row r="184" customFormat="false" ht="12.75" hidden="false" customHeight="false" outlineLevel="0" collapsed="false">
      <c r="E184" s="119"/>
      <c r="G184" s="123" t="str">
        <f aca="false">IF(G$4="X"," ",IF(F184&lt;&gt;0,F184*G$2/(100+G$2)," "))</f>
        <v> </v>
      </c>
      <c r="H184" s="123" t="str">
        <f aca="false">IF((F184&lt;&gt;0),F184-G184," ")</f>
        <v> </v>
      </c>
    </row>
    <row r="185" customFormat="false" ht="12.75" hidden="false" customHeight="false" outlineLevel="0" collapsed="false">
      <c r="E185" s="119"/>
      <c r="G185" s="123" t="str">
        <f aca="false">IF(G$4="X"," ",IF(F185&lt;&gt;0,F185*G$2/(100+G$2)," "))</f>
        <v> </v>
      </c>
      <c r="H185" s="123" t="str">
        <f aca="false">IF((F185&lt;&gt;0),F185-G185," ")</f>
        <v> </v>
      </c>
    </row>
    <row r="186" customFormat="false" ht="12.75" hidden="false" customHeight="false" outlineLevel="0" collapsed="false">
      <c r="E186" s="119"/>
      <c r="G186" s="123" t="str">
        <f aca="false">IF(G$4="X"," ",IF(F186&lt;&gt;0,F186*G$2/(100+G$2)," "))</f>
        <v> </v>
      </c>
      <c r="H186" s="123" t="str">
        <f aca="false">IF((F186&lt;&gt;0),F186-G186," ")</f>
        <v> </v>
      </c>
    </row>
    <row r="187" customFormat="false" ht="12.75" hidden="false" customHeight="false" outlineLevel="0" collapsed="false">
      <c r="E187" s="119"/>
      <c r="G187" s="123" t="str">
        <f aca="false">IF(G$4="X"," ",IF(F187&lt;&gt;0,F187*G$2/(100+G$2)," "))</f>
        <v> </v>
      </c>
      <c r="H187" s="123" t="str">
        <f aca="false">IF((F187&lt;&gt;0),F187-G187," ")</f>
        <v> </v>
      </c>
    </row>
    <row r="188" customFormat="false" ht="12.75" hidden="false" customHeight="false" outlineLevel="0" collapsed="false">
      <c r="E188" s="119"/>
      <c r="G188" s="123" t="str">
        <f aca="false">IF(G$4="X"," ",IF(F188&lt;&gt;0,F188*G$2/(100+G$2)," "))</f>
        <v> </v>
      </c>
      <c r="H188" s="123" t="str">
        <f aca="false">IF((F188&lt;&gt;0),F188-G188," ")</f>
        <v> </v>
      </c>
    </row>
    <row r="189" customFormat="false" ht="12.75" hidden="false" customHeight="false" outlineLevel="0" collapsed="false">
      <c r="E189" s="119"/>
      <c r="G189" s="123" t="str">
        <f aca="false">IF(G$4="X"," ",IF(F189&lt;&gt;0,F189*G$2/(100+G$2)," "))</f>
        <v> </v>
      </c>
      <c r="H189" s="123" t="str">
        <f aca="false">IF((F189&lt;&gt;0),F189-G189," ")</f>
        <v> </v>
      </c>
    </row>
    <row r="190" customFormat="false" ht="12.75" hidden="false" customHeight="false" outlineLevel="0" collapsed="false">
      <c r="E190" s="119"/>
      <c r="G190" s="123" t="str">
        <f aca="false">IF(G$4="X"," ",IF(F190&lt;&gt;0,F190*G$2/(100+G$2)," "))</f>
        <v> </v>
      </c>
      <c r="H190" s="123" t="str">
        <f aca="false">IF((F190&lt;&gt;0),F190-G190," ")</f>
        <v> </v>
      </c>
    </row>
    <row r="191" customFormat="false" ht="12.75" hidden="false" customHeight="false" outlineLevel="0" collapsed="false">
      <c r="E191" s="119"/>
      <c r="G191" s="123" t="str">
        <f aca="false">IF(G$4="X"," ",IF(F191&lt;&gt;0,F191*G$2/(100+G$2)," "))</f>
        <v> </v>
      </c>
      <c r="H191" s="123" t="str">
        <f aca="false">IF((F191&lt;&gt;0),F191-G191," ")</f>
        <v> </v>
      </c>
    </row>
    <row r="192" customFormat="false" ht="12.75" hidden="false" customHeight="false" outlineLevel="0" collapsed="false">
      <c r="E192" s="119"/>
      <c r="G192" s="123" t="str">
        <f aca="false">IF(G$4="X"," ",IF(F192&lt;&gt;0,F192*G$2/(100+G$2)," "))</f>
        <v> </v>
      </c>
      <c r="H192" s="123" t="str">
        <f aca="false">IF((F192&lt;&gt;0),F192-G192," ")</f>
        <v> </v>
      </c>
    </row>
    <row r="193" customFormat="false" ht="12.75" hidden="false" customHeight="false" outlineLevel="0" collapsed="false">
      <c r="E193" s="119"/>
      <c r="G193" s="123" t="str">
        <f aca="false">IF(G$4="X"," ",IF(F193&lt;&gt;0,F193*G$2/(100+G$2)," "))</f>
        <v> </v>
      </c>
      <c r="H193" s="123" t="str">
        <f aca="false">IF((F193&lt;&gt;0),F193-G193," ")</f>
        <v> </v>
      </c>
    </row>
    <row r="194" customFormat="false" ht="12.75" hidden="false" customHeight="false" outlineLevel="0" collapsed="false">
      <c r="E194" s="119"/>
      <c r="G194" s="123" t="str">
        <f aca="false">IF(G$4="X"," ",IF(F194&lt;&gt;0,F194*G$2/(100+G$2)," "))</f>
        <v> </v>
      </c>
      <c r="H194" s="123" t="str">
        <f aca="false">IF((F194&lt;&gt;0),F194-G194," ")</f>
        <v> </v>
      </c>
    </row>
    <row r="195" customFormat="false" ht="12.75" hidden="false" customHeight="false" outlineLevel="0" collapsed="false">
      <c r="E195" s="119"/>
      <c r="G195" s="123" t="str">
        <f aca="false">IF(G$4="X"," ",IF(F195&lt;&gt;0,F195*G$2/(100+G$2)," "))</f>
        <v> </v>
      </c>
      <c r="H195" s="123" t="str">
        <f aca="false">IF((F195&lt;&gt;0),F195-G195," ")</f>
        <v> </v>
      </c>
    </row>
    <row r="196" customFormat="false" ht="12.75" hidden="false" customHeight="false" outlineLevel="0" collapsed="false">
      <c r="E196" s="119"/>
      <c r="G196" s="123" t="str">
        <f aca="false">IF(G$4="X"," ",IF(F196&lt;&gt;0,F196*G$2/(100+G$2)," "))</f>
        <v> </v>
      </c>
      <c r="H196" s="123" t="str">
        <f aca="false">IF((F196&lt;&gt;0),F196-G196," ")</f>
        <v> </v>
      </c>
    </row>
    <row r="197" customFormat="false" ht="12.75" hidden="false" customHeight="false" outlineLevel="0" collapsed="false">
      <c r="E197" s="119"/>
      <c r="G197" s="123" t="str">
        <f aca="false">IF(G$4="X"," ",IF(F197&lt;&gt;0,F197*G$2/(100+G$2)," "))</f>
        <v> </v>
      </c>
      <c r="H197" s="123" t="str">
        <f aca="false">IF((F197&lt;&gt;0),F197-G197," ")</f>
        <v> </v>
      </c>
    </row>
    <row r="198" customFormat="false" ht="12.75" hidden="false" customHeight="false" outlineLevel="0" collapsed="false">
      <c r="E198" s="119"/>
      <c r="G198" s="123" t="str">
        <f aca="false">IF(G$4="X"," ",IF(F198&lt;&gt;0,F198*G$2/(100+G$2)," "))</f>
        <v> </v>
      </c>
      <c r="H198" s="123" t="str">
        <f aca="false">IF((F198&lt;&gt;0),F198-G198," ")</f>
        <v> </v>
      </c>
    </row>
    <row r="199" customFormat="false" ht="12.75" hidden="false" customHeight="false" outlineLevel="0" collapsed="false">
      <c r="E199" s="119"/>
      <c r="G199" s="123" t="str">
        <f aca="false">IF(G$4="X"," ",IF(F199&lt;&gt;0,F199*G$2/(100+G$2)," "))</f>
        <v> </v>
      </c>
      <c r="H199" s="123" t="str">
        <f aca="false">IF((F199&lt;&gt;0),F199-G199," ")</f>
        <v> </v>
      </c>
    </row>
    <row r="200" customFormat="false" ht="12.75" hidden="false" customHeight="false" outlineLevel="0" collapsed="false">
      <c r="A200" s="132"/>
      <c r="B200" s="133"/>
      <c r="C200" s="134"/>
      <c r="D200" s="135"/>
      <c r="E200" s="133"/>
      <c r="F200" s="136"/>
      <c r="G200" s="136" t="str">
        <f aca="false">IF(G$4="X"," ",IF(F200&lt;&gt;0,F200*G$2/(100+G$2)," "))</f>
        <v> </v>
      </c>
      <c r="H200" s="136" t="str">
        <f aca="false">IF((F200&lt;&gt;0),F200-G200," ")</f>
        <v> </v>
      </c>
    </row>
    <row r="201" customFormat="false" ht="12.75" hidden="false" customHeight="false" outlineLevel="0" collapsed="false">
      <c r="A201" s="98" t="s">
        <v>38</v>
      </c>
      <c r="G201" s="123" t="e">
        <f aca="false">NA()</f>
        <v>#N/A</v>
      </c>
    </row>
  </sheetData>
  <mergeCells count="10">
    <mergeCell ref="A1:C1"/>
    <mergeCell ref="D1:E1"/>
    <mergeCell ref="A2:A4"/>
    <mergeCell ref="B2:B4"/>
    <mergeCell ref="C2:C4"/>
    <mergeCell ref="D2:D4"/>
    <mergeCell ref="E2:E4"/>
    <mergeCell ref="F2:F4"/>
    <mergeCell ref="H2:H4"/>
    <mergeCell ref="G3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2006-06-05T10:56:36Z</dcterms:created>
  <dc:creator>Terry Cartwright</dc:creator>
  <dc:description/>
  <dc:language>en-US</dc:language>
  <cp:lastModifiedBy>Cartwright, Antony</cp:lastModifiedBy>
  <cp:lastPrinted>2007-02-10T23:38:25Z</cp:lastPrinted>
  <dcterms:modified xsi:type="dcterms:W3CDTF">2025-04-03T23:06:00Z</dcterms:modified>
  <cp:revision>0</cp:revision>
  <dc:subject/>
  <dc:title>Vat returns FMAN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