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" sheetId="1" state="visible" r:id="rId3"/>
    <sheet name="Jul" sheetId="2" state="visible" r:id="rId4"/>
    <sheet name="Aug" sheetId="3" state="visible" r:id="rId5"/>
    <sheet name="Sep" sheetId="4" state="visible" r:id="rId6"/>
    <sheet name="Oct" sheetId="5" state="visible" r:id="rId7"/>
    <sheet name="Nov" sheetId="6" state="visible" r:id="rId8"/>
    <sheet name="Dec" sheetId="7" state="visible" r:id="rId9"/>
    <sheet name="Jan" sheetId="8" state="visible" r:id="rId10"/>
    <sheet name="Feb" sheetId="9" state="visible" r:id="rId11"/>
    <sheet name="Mar" sheetId="10" state="visible" r:id="rId12"/>
    <sheet name="Apr" sheetId="11" state="visible" r:id="rId13"/>
    <sheet name="May" sheetId="12" state="visible" r:id="rId14"/>
  </sheets>
  <externalReferences>
    <externalReference r:id="rId15"/>
  </externalReferences>
  <definedNames>
    <definedName function="false" hidden="false" localSheetId="0" name="_xlnm_Print_Area" vbProcedure="false">Apr!$A$1:$AG$75</definedName>
    <definedName function="false" hidden="false" localSheetId="0" name="_xlnm_Print_Titles" vbProcedure="false">Apr!$1:$5</definedName>
    <definedName function="false" hidden="false" localSheetId="1" name="_xlnm_Print_Area" vbProcedure="false">May!$A$1:$AJ$75</definedName>
    <definedName function="false" hidden="false" localSheetId="1" name="_xlnm_Print_Titles" vbProcedure="false">May!$1:$5</definedName>
    <definedName function="false" hidden="false" localSheetId="2" name="_xlnm_Print_Area" vbProcedure="false">Jun!$A$1:$AJ$75</definedName>
    <definedName function="false" hidden="false" localSheetId="2" name="_xlnm_Print_Titles" vbProcedure="false">Jun!$1:$5</definedName>
    <definedName function="false" hidden="false" localSheetId="3" name="_xlnm_Print_Area" vbProcedure="false">Jul!$A$1:$AJ$75</definedName>
    <definedName function="false" hidden="false" localSheetId="3" name="_xlnm_Print_Titles" vbProcedure="false">Jul!$1:$5</definedName>
    <definedName function="false" hidden="false" localSheetId="4" name="_xlnm_Print_Area" vbProcedure="false">Aug!$A$1:$AJ$75</definedName>
    <definedName function="false" hidden="false" localSheetId="4" name="_xlnm_Print_Titles" vbProcedure="false">Aug!$1:$5</definedName>
    <definedName function="false" hidden="false" localSheetId="5" name="_xlnm_Print_Area" vbProcedure="false">Sep!$A$1:$AJ$75</definedName>
    <definedName function="false" hidden="false" localSheetId="5" name="_xlnm_Print_Titles" vbProcedure="false">Sep!$1:$5</definedName>
    <definedName function="false" hidden="false" localSheetId="6" name="_xlnm_Print_Area" vbProcedure="false">Oct!$A$1:$AJ$75</definedName>
    <definedName function="false" hidden="false" localSheetId="6" name="_xlnm_Print_Titles" vbProcedure="false">Oct!$1:$5</definedName>
    <definedName function="false" hidden="false" localSheetId="7" name="_xlnm_Print_Area" vbProcedure="false">Nov!$A$1:$AJ$75</definedName>
    <definedName function="false" hidden="false" localSheetId="7" name="_xlnm_Print_Titles" vbProcedure="false">Nov!$1:$5</definedName>
    <definedName function="false" hidden="false" localSheetId="8" name="_xlnm_Print_Area" vbProcedure="false">Dec!$A$1:$AJ$75</definedName>
    <definedName function="false" hidden="false" localSheetId="8" name="_xlnm_Print_Titles" vbProcedure="false">Dec!$1:$5</definedName>
    <definedName function="false" hidden="false" localSheetId="9" name="_xlnm_Print_Area" vbProcedure="false">Jan!$A$1:$AJ$75</definedName>
    <definedName function="false" hidden="false" localSheetId="9" name="_xlnm_Print_Titles" vbProcedure="false">Jan!$1:$5</definedName>
    <definedName function="false" hidden="false" localSheetId="10" name="_xlnm_Print_Area" vbProcedure="false">Feb!$A$1:$AJ$71</definedName>
    <definedName function="false" hidden="false" localSheetId="10" name="_xlnm_Print_Titles" vbProcedure="false">Feb!$1:$5</definedName>
    <definedName function="false" hidden="false" localSheetId="11" name="_xlnm_Print_Area" vbProcedure="false">Mar!$A$1:$AJ$75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<sst xmlns="http://schemas.openxmlformats.org/spreadsheetml/2006/main" count="791" uniqueCount="60">
  <si>
    <t xml:space="preserve">Totals &gt;</t>
  </si>
  <si>
    <t xml:space="preserve">&lt;  Closing Cash Balance</t>
  </si>
  <si>
    <t xml:space="preserve">Deposit   Cash     Reference</t>
  </si>
  <si>
    <t xml:space="preserve">Enter Code Letters</t>
  </si>
  <si>
    <t xml:space="preserve">CASH RECEIPTS</t>
  </si>
  <si>
    <t xml:space="preserve">Enter Purchase Invoice No.</t>
  </si>
  <si>
    <t xml:space="preserve">Optional cash payment reference</t>
  </si>
  <si>
    <t xml:space="preserve">CASH PAYMENTS</t>
  </si>
  <si>
    <t xml:space="preserve">&lt;  Physical Cash Count</t>
  </si>
  <si>
    <t xml:space="preserve">Amounts received from each Source</t>
  </si>
  <si>
    <t xml:space="preserve">Transfers From Current</t>
  </si>
  <si>
    <t xml:space="preserve">Transfers   From        Savings</t>
  </si>
  <si>
    <t xml:space="preserve">Transfers     From        Cr Card</t>
  </si>
  <si>
    <t xml:space="preserve">Amount Received Debtors</t>
  </si>
  <si>
    <t xml:space="preserve">Interest Received</t>
  </si>
  <si>
    <t xml:space="preserve">Long Term Debtor</t>
  </si>
  <si>
    <t xml:space="preserve">Long Term Creditor</t>
  </si>
  <si>
    <t xml:space="preserve">Directors Loan Account</t>
  </si>
  <si>
    <t xml:space="preserve">Amount Cash Payment</t>
  </si>
  <si>
    <t xml:space="preserve">Transfers  To   Current</t>
  </si>
  <si>
    <t xml:space="preserve">Transfers      To     Savings</t>
  </si>
  <si>
    <t xml:space="preserve">Transfers      To            Cr Card</t>
  </si>
  <si>
    <t xml:space="preserve">Amount Paid Creditors</t>
  </si>
  <si>
    <t xml:space="preserve">Net        Wages      Paid</t>
  </si>
  <si>
    <t xml:space="preserve">Bank Charges Paid</t>
  </si>
  <si>
    <t xml:space="preserve">Interest Paid</t>
  </si>
  <si>
    <t xml:space="preserve">HMRC Paye Payments</t>
  </si>
  <si>
    <t xml:space="preserve">HMRC    Vat Payments</t>
  </si>
  <si>
    <t xml:space="preserve">HMRC CIS Payments</t>
  </si>
  <si>
    <t xml:space="preserve">HMRC Corp Tax Payment</t>
  </si>
  <si>
    <t xml:space="preserve">Dividends Paid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</si>
  <si>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</si>
  <si>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</si>
  <si>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</si>
  <si>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</si>
  <si>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</si>
  <si>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BB</t>
  </si>
  <si>
    <t xml:space="preserve">BS</t>
  </si>
  <si>
    <t xml:space="preserve">BD</t>
  </si>
  <si>
    <t xml:space="preserve">DR</t>
  </si>
  <si>
    <t xml:space="preserve">K</t>
  </si>
  <si>
    <t xml:space="preserve">LDR</t>
  </si>
  <si>
    <t xml:space="preserve">LCR</t>
  </si>
  <si>
    <t xml:space="preserve">DL</t>
  </si>
  <si>
    <t xml:space="preserve">CR</t>
  </si>
  <si>
    <t xml:space="preserve">W</t>
  </si>
  <si>
    <t xml:space="preserve">B</t>
  </si>
  <si>
    <t xml:space="preserve">J</t>
  </si>
  <si>
    <t xml:space="preserve">RP</t>
  </si>
  <si>
    <t xml:space="preserve">RV</t>
  </si>
  <si>
    <t xml:space="preserve">RC</t>
  </si>
  <si>
    <t xml:space="preserve">RT</t>
  </si>
  <si>
    <t xml:space="preserve">DV</t>
  </si>
  <si>
    <t xml:space="preserve">Corner shop</t>
  </si>
  <si>
    <t xml:space="preserve">&lt;  Opening Cash Balance</t>
  </si>
  <si>
    <t xml:space="preserve">Cash top-up</t>
  </si>
  <si>
    <t xml:space="preserve">X</t>
  </si>
  <si>
    <t xml:space="preserve">WH Smith</t>
  </si>
  <si>
    <t xml:space="preserve">Various</t>
  </si>
  <si>
    <t xml:space="preserve">Newsagent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</si>
</sst>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6" width="9.15"/>
  </cols>
  <sheetData>
    <row r="1" customFormat="false" ht="15" hidden="false" customHeight="true" outlineLevel="0" collapsed="false">
      <c r="A1" s="7" t="n">
        <v>500</v>
      </c>
      <c r="C1" s="8" t="n">
        <f aca="false">[1]Admin!$B$9</f>
        <v>45748</v>
      </c>
      <c r="D1" s="9" t="s">
        <v>0</v>
      </c>
      <c r="E1" s="10" t="n">
        <f aca="false">F1-SUM(G1:N1)</f>
        <v>15</v>
      </c>
      <c r="F1" s="11" t="n">
        <f aca="false">SUM(F6:F200)</f>
        <v>15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customFormat="false" ht="15" hidden="false" customHeight="true" outlineLevel="0" collapsed="false">
      <c r="A2" s="16" t="n">
        <f aca="false">A1+F1-U1</f>
        <v>515</v>
      </c>
      <c r="B2" s="17" t="s">
        <v>1</v>
      </c>
      <c r="C2" s="8" t="n">
        <f aca="false">[1]Admin!$B$10</f>
        <v>45777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Check all Receipts Code Letters entered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45777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515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A6" s="1" t="n">
        <v>45818</v>
      </c>
      <c r="B6" s="2" t="s">
        <v>53</v>
      </c>
      <c r="E6" s="5" t="s">
        <v>44</v>
      </c>
      <c r="F6" s="6" t="n">
        <v>15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2" manualBreakCount="2">
    <brk id="14" man="true" max="65535" min="0"/>
    <brk id="18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8" width="9.15"/>
  </cols>
  <sheetData>
    <row r="1" s="6" customFormat="true" ht="15" hidden="false" customHeight="true" outlineLevel="0" collapsed="false">
      <c r="A1" s="49" t="n">
        <f aca="false">Jun!A2</f>
        <v>515</v>
      </c>
      <c r="B1" s="50" t="s">
        <v>54</v>
      </c>
      <c r="C1" s="8" t="n">
        <f aca="false">[1]Admin!$B$11</f>
        <v>45778</v>
      </c>
      <c r="D1" s="9" t="s">
        <v>0</v>
      </c>
      <c r="E1" s="10" t="n">
        <f aca="false">F1-SUM(G1:N1)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s="6" customFormat="true" ht="15" hidden="false" customHeight="true" outlineLevel="0" collapsed="false">
      <c r="A2" s="16" t="n">
        <f aca="false">A1+F1-U1</f>
        <v>515</v>
      </c>
      <c r="B2" s="17" t="s">
        <v>1</v>
      </c>
      <c r="C2" s="8" t="n">
        <f aca="false">[1]Admin!$B$12</f>
        <v>45808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 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="6" customFormat="true" ht="19.5" hidden="false" customHeight="true" outlineLevel="0" collapsed="false">
      <c r="A3" s="7"/>
      <c r="B3" s="23" t="s">
        <v>8</v>
      </c>
      <c r="C3" s="24" t="n">
        <f aca="false">C2</f>
        <v>45808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515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0"/>
      <c r="C200" s="52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5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8" width="9.15"/>
  </cols>
  <sheetData>
    <row r="1" s="6" customFormat="true" ht="15" hidden="false" customHeight="true" outlineLevel="0" collapsed="false">
      <c r="A1" s="49" t="n">
        <f aca="false">Jul!A2</f>
        <v>515</v>
      </c>
      <c r="B1" s="50" t="s">
        <v>54</v>
      </c>
      <c r="C1" s="8" t="n">
        <f aca="false">[1]Admin!$B$13</f>
        <v>45809</v>
      </c>
      <c r="D1" s="9" t="s">
        <v>0</v>
      </c>
      <c r="E1" s="10" t="n">
        <f aca="false">F1-SUM(G1:N1)</f>
        <v>125</v>
      </c>
      <c r="F1" s="11" t="n">
        <f aca="false">SUM(F6:F200)</f>
        <v>125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s="6" customFormat="true" ht="15" hidden="false" customHeight="true" outlineLevel="0" collapsed="false">
      <c r="A2" s="16" t="n">
        <f aca="false">A1+F1-U1</f>
        <v>640</v>
      </c>
      <c r="B2" s="17" t="s">
        <v>1</v>
      </c>
      <c r="C2" s="8" t="n">
        <f aca="false">[1]Admin!$B$14</f>
        <v>45838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Check all Receipts Code Letters entered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="6" customFormat="true" ht="19.5" hidden="false" customHeight="true" outlineLevel="0" collapsed="false">
      <c r="A3" s="7"/>
      <c r="B3" s="23" t="s">
        <v>8</v>
      </c>
      <c r="C3" s="24" t="n">
        <f aca="false">C2</f>
        <v>45838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640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A6" s="46" t="n">
        <v>45879</v>
      </c>
      <c r="B6" s="2" t="s">
        <v>55</v>
      </c>
      <c r="E6" s="5" t="s">
        <v>56</v>
      </c>
      <c r="F6" s="6" t="n">
        <v>100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A7" s="46" t="n">
        <v>45879</v>
      </c>
      <c r="B7" s="2" t="s">
        <v>57</v>
      </c>
      <c r="E7" s="5" t="s">
        <v>44</v>
      </c>
      <c r="F7" s="6" t="n">
        <v>25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0"/>
      <c r="C200" s="52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8" width="9.15"/>
  </cols>
  <sheetData>
    <row r="1" s="6" customFormat="true" ht="15" hidden="false" customHeight="true" outlineLevel="0" collapsed="false">
      <c r="A1" s="49" t="n">
        <f aca="false">Aug!A2</f>
        <v>640</v>
      </c>
      <c r="B1" s="50" t="s">
        <v>54</v>
      </c>
      <c r="C1" s="8" t="n">
        <f aca="false">[1]Admin!$B$15</f>
        <v>45839</v>
      </c>
      <c r="D1" s="9" t="s">
        <v>0</v>
      </c>
      <c r="E1" s="10" t="n">
        <f aca="false">F1-SUM(G1:N1)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s="6" customFormat="true" ht="15" hidden="false" customHeight="true" outlineLevel="0" collapsed="false">
      <c r="A2" s="16" t="n">
        <f aca="false">A1+F1-U1</f>
        <v>640</v>
      </c>
      <c r="B2" s="17" t="s">
        <v>1</v>
      </c>
      <c r="C2" s="8" t="n">
        <f aca="false">[1]Admin!$B$16</f>
        <v>45869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 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="6" customFormat="true" ht="19.5" hidden="false" customHeight="true" outlineLevel="0" collapsed="false">
      <c r="A3" s="7"/>
      <c r="B3" s="23" t="s">
        <v>8</v>
      </c>
      <c r="C3" s="24" t="n">
        <f aca="false">C2</f>
        <v>45869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640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0"/>
      <c r="C200" s="52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8" width="9.15"/>
  </cols>
  <sheetData>
    <row r="1" s="6" customFormat="true" ht="15" hidden="false" customHeight="true" outlineLevel="0" collapsed="false">
      <c r="A1" s="49" t="n">
        <f aca="false">Sep!A2</f>
        <v>640</v>
      </c>
      <c r="B1" s="50" t="s">
        <v>54</v>
      </c>
      <c r="C1" s="8" t="n">
        <f aca="false">[1]Admin!$B$17</f>
        <v>45870</v>
      </c>
      <c r="D1" s="9" t="s">
        <v>0</v>
      </c>
      <c r="E1" s="10" t="n">
        <f aca="false">F1-SUM(G1:N1)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s="6" customFormat="true" ht="15" hidden="false" customHeight="true" outlineLevel="0" collapsed="false">
      <c r="A2" s="16" t="n">
        <f aca="false">A1+F1-U1</f>
        <v>640</v>
      </c>
      <c r="B2" s="17" t="s">
        <v>1</v>
      </c>
      <c r="C2" s="8" t="n">
        <f aca="false">[1]Admin!$B$18</f>
        <v>45900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 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="6" customFormat="true" ht="19.5" hidden="false" customHeight="true" outlineLevel="0" collapsed="false">
      <c r="A3" s="7"/>
      <c r="B3" s="23" t="s">
        <v>8</v>
      </c>
      <c r="C3" s="24" t="n">
        <f aca="false">C2</f>
        <v>45900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640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0"/>
      <c r="C200" s="52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8" width="9.15"/>
  </cols>
  <sheetData>
    <row r="1" s="6" customFormat="true" ht="15" hidden="false" customHeight="true" outlineLevel="0" collapsed="false">
      <c r="A1" s="49" t="n">
        <f aca="false">Oct!A2</f>
        <v>640</v>
      </c>
      <c r="B1" s="50" t="s">
        <v>54</v>
      </c>
      <c r="C1" s="8" t="n">
        <f aca="false">[1]Admin!$B$19</f>
        <v>45901</v>
      </c>
      <c r="D1" s="9" t="s">
        <v>0</v>
      </c>
      <c r="E1" s="10" t="n">
        <f aca="false">F1-SUM(G1:N1)</f>
        <v>18</v>
      </c>
      <c r="F1" s="11" t="n">
        <f aca="false">SUM(F6:F200)</f>
        <v>18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s="6" customFormat="true" ht="15" hidden="false" customHeight="true" outlineLevel="0" collapsed="false">
      <c r="A2" s="16" t="n">
        <f aca="false">A1+F1-U1</f>
        <v>658</v>
      </c>
      <c r="B2" s="17" t="s">
        <v>1</v>
      </c>
      <c r="C2" s="8" t="n">
        <f aca="false">[1]Admin!$B$20</f>
        <v>45930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Check all Receipts Code Letters entered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="6" customFormat="true" ht="19.5" hidden="false" customHeight="true" outlineLevel="0" collapsed="false">
      <c r="A3" s="7"/>
      <c r="B3" s="23" t="s">
        <v>8</v>
      </c>
      <c r="C3" s="24" t="n">
        <f aca="false">C2</f>
        <v>45930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658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A6" s="46" t="n">
        <v>45966</v>
      </c>
      <c r="B6" s="2" t="s">
        <v>53</v>
      </c>
      <c r="E6" s="5" t="s">
        <v>44</v>
      </c>
      <c r="F6" s="6" t="n">
        <v>18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0"/>
      <c r="C200" s="52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8" width="9.15"/>
  </cols>
  <sheetData>
    <row r="1" s="6" customFormat="true" ht="15" hidden="false" customHeight="true" outlineLevel="0" collapsed="false">
      <c r="A1" s="49" t="n">
        <f aca="false">Nov!A2</f>
        <v>658</v>
      </c>
      <c r="B1" s="50" t="s">
        <v>54</v>
      </c>
      <c r="C1" s="8" t="n">
        <f aca="false">[1]Admin!$B$21</f>
        <v>45931</v>
      </c>
      <c r="D1" s="9" t="s">
        <v>0</v>
      </c>
      <c r="E1" s="10" t="n">
        <f aca="false">F1-SUM(G1:N1)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s="6" customFormat="true" ht="15" hidden="false" customHeight="true" outlineLevel="0" collapsed="false">
      <c r="A2" s="16" t="n">
        <f aca="false">A1+F1-U1</f>
        <v>658</v>
      </c>
      <c r="B2" s="17" t="s">
        <v>1</v>
      </c>
      <c r="C2" s="8" t="n">
        <f aca="false">[1]Admin!$B$22</f>
        <v>45961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 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="6" customFormat="true" ht="19.5" hidden="false" customHeight="true" outlineLevel="0" collapsed="false">
      <c r="A3" s="7"/>
      <c r="B3" s="23" t="s">
        <v>8</v>
      </c>
      <c r="C3" s="24" t="n">
        <f aca="false">C2</f>
        <v>45961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658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0"/>
      <c r="C200" s="52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8" width="9.15"/>
  </cols>
  <sheetData>
    <row r="1" s="6" customFormat="true" ht="15" hidden="false" customHeight="true" outlineLevel="0" collapsed="false">
      <c r="A1" s="49" t="n">
        <f aca="false">Dec!A2</f>
        <v>658</v>
      </c>
      <c r="B1" s="50" t="s">
        <v>54</v>
      </c>
      <c r="C1" s="8" t="n">
        <f aca="false">[1]Admin!$B$23</f>
        <v>45962</v>
      </c>
      <c r="D1" s="9" t="s">
        <v>0</v>
      </c>
      <c r="E1" s="10" t="n">
        <f aca="false">F1-SUM(G1:N1)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s="6" customFormat="true" ht="15" hidden="false" customHeight="true" outlineLevel="0" collapsed="false">
      <c r="A2" s="16" t="n">
        <f aca="false">A1+F1-U1</f>
        <v>658</v>
      </c>
      <c r="B2" s="17" t="s">
        <v>1</v>
      </c>
      <c r="C2" s="8" t="n">
        <f aca="false">[1]Admin!$B$24</f>
        <v>45991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 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="6" customFormat="true" ht="19.5" hidden="false" customHeight="true" outlineLevel="0" collapsed="false">
      <c r="A3" s="7"/>
      <c r="B3" s="23" t="s">
        <v>8</v>
      </c>
      <c r="C3" s="24" t="n">
        <f aca="false">C2</f>
        <v>45991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658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0"/>
      <c r="C200" s="52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8" width="9.15"/>
  </cols>
  <sheetData>
    <row r="1" s="6" customFormat="true" ht="15" hidden="false" customHeight="true" outlineLevel="0" collapsed="false">
      <c r="A1" s="49" t="n">
        <f aca="false">Jan!A2</f>
        <v>658</v>
      </c>
      <c r="B1" s="50" t="s">
        <v>54</v>
      </c>
      <c r="C1" s="8" t="n">
        <f aca="false">[1]Admin!$B$25</f>
        <v>45992</v>
      </c>
      <c r="D1" s="9" t="s">
        <v>0</v>
      </c>
      <c r="E1" s="10" t="n">
        <f aca="false">F1-SUM(G1:N1)</f>
        <v>50</v>
      </c>
      <c r="F1" s="11" t="n">
        <f aca="false">SUM(F6:F200)</f>
        <v>50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s="6" customFormat="true" ht="15" hidden="false" customHeight="true" outlineLevel="0" collapsed="false">
      <c r="A2" s="16" t="n">
        <f aca="false">A1+F1-U1</f>
        <v>708</v>
      </c>
      <c r="B2" s="17" t="s">
        <v>1</v>
      </c>
      <c r="C2" s="8" t="n">
        <f aca="false">[1]Admin!$B$26</f>
        <v>46022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Check all Receipts Code Letters entered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="6" customFormat="true" ht="19.5" hidden="false" customHeight="true" outlineLevel="0" collapsed="false">
      <c r="A3" s="7"/>
      <c r="B3" s="23" t="s">
        <v>8</v>
      </c>
      <c r="C3" s="24" t="n">
        <f aca="false">C2</f>
        <v>46022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708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A6" s="46" t="n">
        <v>46063</v>
      </c>
      <c r="B6" s="2" t="s">
        <v>58</v>
      </c>
      <c r="E6" s="5" t="s">
        <v>44</v>
      </c>
      <c r="F6" s="6" t="n">
        <v>50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0"/>
      <c r="C200" s="52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8" width="9.15"/>
  </cols>
  <sheetData>
    <row r="1" s="6" customFormat="true" ht="15" hidden="false" customHeight="true" outlineLevel="0" collapsed="false">
      <c r="A1" s="49" t="n">
        <f aca="false">Feb!A2</f>
        <v>708</v>
      </c>
      <c r="B1" s="50" t="s">
        <v>54</v>
      </c>
      <c r="C1" s="8" t="n">
        <f aca="false">[1]Admin!$B$27</f>
        <v>46023</v>
      </c>
      <c r="D1" s="9" t="s">
        <v>0</v>
      </c>
      <c r="E1" s="10" t="n">
        <f aca="false">F1-SUM(G1:N1)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s="6" customFormat="true" ht="15" hidden="false" customHeight="true" outlineLevel="0" collapsed="false">
      <c r="A2" s="16" t="n">
        <f aca="false">A1+F1-U1</f>
        <v>708</v>
      </c>
      <c r="B2" s="17" t="s">
        <v>1</v>
      </c>
      <c r="C2" s="8" t="n">
        <f aca="false">[1]Admin!$B$28</f>
        <v>46053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 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="6" customFormat="true" ht="19.5" hidden="false" customHeight="true" outlineLevel="0" collapsed="false">
      <c r="A3" s="7"/>
      <c r="B3" s="23" t="s">
        <v>8</v>
      </c>
      <c r="C3" s="24" t="n">
        <f aca="false">C2</f>
        <v>46053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708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0"/>
      <c r="C200" s="52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8" width="9.15"/>
  </cols>
  <sheetData>
    <row r="1" s="6" customFormat="true" ht="15" hidden="false" customHeight="true" outlineLevel="0" collapsed="false">
      <c r="A1" s="49" t="n">
        <f aca="false">Mar!A2</f>
        <v>708</v>
      </c>
      <c r="B1" s="50" t="s">
        <v>54</v>
      </c>
      <c r="C1" s="8" t="n">
        <f aca="false">[1]Admin!$B$29</f>
        <v>46054</v>
      </c>
      <c r="D1" s="9" t="s">
        <v>0</v>
      </c>
      <c r="E1" s="10" t="n">
        <f aca="false">F1-SUM(G1:N1)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s="6" customFormat="true" ht="15" hidden="false" customHeight="true" outlineLevel="0" collapsed="false">
      <c r="A2" s="16" t="n">
        <f aca="false">A1+F1-U1</f>
        <v>708</v>
      </c>
      <c r="B2" s="17" t="s">
        <v>1</v>
      </c>
      <c r="C2" s="8" t="n">
        <f aca="false">[1]Admin!$B$30</f>
        <v>46081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 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="6" customFormat="true" ht="19.5" hidden="false" customHeight="true" outlineLevel="0" collapsed="false">
      <c r="A3" s="7"/>
      <c r="B3" s="23" t="s">
        <v>8</v>
      </c>
      <c r="C3" s="24" t="n">
        <f aca="false">C2</f>
        <v>46081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708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0"/>
      <c r="C200" s="52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 of  &amp;N&amp;R&amp;F  &amp;A</oddFooter>
  </headerFooter>
  <colBreaks count="1" manualBreakCount="1">
    <brk id="1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8" width="9.15"/>
  </cols>
  <sheetData>
    <row r="1" s="6" customFormat="true" ht="15" hidden="false" customHeight="true" outlineLevel="0" collapsed="false">
      <c r="A1" s="49" t="n">
        <f aca="false">Apr!A2</f>
        <v>708</v>
      </c>
      <c r="B1" s="50" t="s">
        <v>54</v>
      </c>
      <c r="C1" s="8" t="n">
        <f aca="false">[1]Admin!$B$31</f>
        <v>46082</v>
      </c>
      <c r="D1" s="9" t="s">
        <v>0</v>
      </c>
      <c r="E1" s="10" t="n">
        <f aca="false">F1-SUM(G1:N1)</f>
        <v>12</v>
      </c>
      <c r="F1" s="11" t="n">
        <f aca="false">SUM(F6:F200)</f>
        <v>12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2"/>
      <c r="P1" s="13" t="str">
        <f aca="false">IF(T1=0," ","Check all payment code letters entered")</f>
        <v> </v>
      </c>
      <c r="Q1" s="13"/>
      <c r="R1" s="14"/>
      <c r="S1" s="15" t="s">
        <v>0</v>
      </c>
      <c r="T1" s="10" t="n">
        <f aca="false">U1-SUM(V1:AJ1)</f>
        <v>0</v>
      </c>
      <c r="U1" s="11" t="n">
        <f aca="false">SUM(U6:U200)</f>
        <v>0</v>
      </c>
      <c r="V1" s="11" t="n">
        <f aca="false">SUM(V6:V200)</f>
        <v>0</v>
      </c>
      <c r="W1" s="11" t="n">
        <f aca="false">SUM(W6:W200)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</row>
    <row r="2" s="6" customFormat="true" ht="15" hidden="false" customHeight="true" outlineLevel="0" collapsed="false">
      <c r="A2" s="16" t="n">
        <f aca="false">A1+F1-U1</f>
        <v>720</v>
      </c>
      <c r="B2" s="17" t="s">
        <v>1</v>
      </c>
      <c r="C2" s="8" t="n">
        <f aca="false">[1]Admin!$B$32</f>
        <v>46112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12"/>
      <c r="P2" s="13" t="str">
        <f aca="false">IF(E1=0," ","Check all Receipts Code Letters entered")</f>
        <v>Check all Receipts Code Letters entered</v>
      </c>
      <c r="Q2" s="13"/>
      <c r="R2" s="21" t="s">
        <v>5</v>
      </c>
      <c r="S2" s="22" t="s">
        <v>6</v>
      </c>
      <c r="T2" s="19" t="s">
        <v>3</v>
      </c>
      <c r="U2" s="20" t="s">
        <v>7</v>
      </c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="6" customFormat="true" ht="19.5" hidden="false" customHeight="true" outlineLevel="0" collapsed="false">
      <c r="A3" s="7"/>
      <c r="B3" s="23" t="s">
        <v>8</v>
      </c>
      <c r="C3" s="24" t="n">
        <f aca="false">C2</f>
        <v>46112</v>
      </c>
      <c r="D3" s="18"/>
      <c r="E3" s="19"/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12"/>
      <c r="P3" s="25"/>
      <c r="Q3" s="26"/>
      <c r="R3" s="21"/>
      <c r="S3" s="22"/>
      <c r="T3" s="19"/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15</v>
      </c>
      <c r="AD3" s="22" t="s">
        <v>16</v>
      </c>
      <c r="AE3" s="22" t="s">
        <v>26</v>
      </c>
      <c r="AF3" s="22" t="s">
        <v>27</v>
      </c>
      <c r="AG3" s="22" t="s">
        <v>28</v>
      </c>
      <c r="AH3" s="22" t="s">
        <v>29</v>
      </c>
      <c r="AI3" s="22" t="s">
        <v>30</v>
      </c>
      <c r="AJ3" s="22" t="s">
        <v>17</v>
      </c>
    </row>
    <row r="4" s="5" customFormat="true" ht="19.5" hidden="false" customHeight="true" outlineLevel="0" collapsed="false">
      <c r="A4" s="27" t="n">
        <f aca="false">A2-A3</f>
        <v>720</v>
      </c>
      <c r="B4" s="28" t="str">
        <f aca="false">IF(A4=0,"&lt;  Cash Balanced","  Reconcile Cash")</f>
        <v>  Reconcile Cash</v>
      </c>
      <c r="C4" s="28"/>
      <c r="D4" s="18"/>
      <c r="E4" s="19"/>
      <c r="F4" s="22"/>
      <c r="G4" s="22"/>
      <c r="H4" s="22"/>
      <c r="I4" s="22"/>
      <c r="J4" s="22"/>
      <c r="K4" s="22"/>
      <c r="L4" s="22"/>
      <c r="M4" s="22"/>
      <c r="N4" s="22"/>
      <c r="O4" s="12"/>
      <c r="P4" s="29" t="s">
        <v>31</v>
      </c>
      <c r="Q4" s="30" t="s">
        <v>32</v>
      </c>
      <c r="R4" s="21"/>
      <c r="S4" s="22"/>
      <c r="T4" s="19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 s="5" customFormat="true" ht="15" hidden="false" customHeight="true" outlineLevel="0" collapsed="false">
      <c r="A5" s="31" t="s">
        <v>33</v>
      </c>
      <c r="B5" s="32" t="s">
        <v>34</v>
      </c>
      <c r="C5" s="33" t="s">
        <v>35</v>
      </c>
      <c r="D5" s="18"/>
      <c r="E5" s="19"/>
      <c r="F5" s="22"/>
      <c r="G5" s="34" t="s">
        <v>36</v>
      </c>
      <c r="H5" s="34" t="s">
        <v>37</v>
      </c>
      <c r="I5" s="34" t="s">
        <v>38</v>
      </c>
      <c r="J5" s="34" t="s">
        <v>39</v>
      </c>
      <c r="K5" s="34" t="s">
        <v>40</v>
      </c>
      <c r="L5" s="34" t="s">
        <v>41</v>
      </c>
      <c r="M5" s="34" t="s">
        <v>42</v>
      </c>
      <c r="N5" s="34" t="s">
        <v>43</v>
      </c>
      <c r="O5" s="12"/>
      <c r="P5" s="29"/>
      <c r="Q5" s="30"/>
      <c r="R5" s="21"/>
      <c r="S5" s="22"/>
      <c r="T5" s="19"/>
      <c r="U5" s="22"/>
      <c r="V5" s="34" t="s">
        <v>36</v>
      </c>
      <c r="W5" s="34" t="s">
        <v>37</v>
      </c>
      <c r="X5" s="34" t="s">
        <v>38</v>
      </c>
      <c r="Y5" s="34" t="s">
        <v>44</v>
      </c>
      <c r="Z5" s="34" t="s">
        <v>45</v>
      </c>
      <c r="AA5" s="34" t="s">
        <v>46</v>
      </c>
      <c r="AB5" s="34" t="s">
        <v>47</v>
      </c>
      <c r="AC5" s="34" t="s">
        <v>41</v>
      </c>
      <c r="AD5" s="34" t="s">
        <v>42</v>
      </c>
      <c r="AE5" s="34" t="s">
        <v>48</v>
      </c>
      <c r="AF5" s="34" t="s">
        <v>49</v>
      </c>
      <c r="AG5" s="34" t="s">
        <v>50</v>
      </c>
      <c r="AH5" s="34" t="s">
        <v>51</v>
      </c>
      <c r="AI5" s="34" t="s">
        <v>52</v>
      </c>
      <c r="AJ5" s="34" t="s">
        <v>43</v>
      </c>
    </row>
    <row r="6" customFormat="false" ht="12.65" hidden="false" customHeight="false" outlineLevel="0" collapsed="false">
      <c r="A6" s="46" t="n">
        <v>46162</v>
      </c>
      <c r="B6" s="2" t="s">
        <v>59</v>
      </c>
      <c r="E6" s="5" t="s">
        <v>44</v>
      </c>
      <c r="F6" s="6" t="n">
        <v>12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5"/>
      <c r="T6" s="36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7"/>
      <c r="T7" s="36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7"/>
      <c r="T8" s="36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7"/>
      <c r="T9" s="36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7"/>
      <c r="T10" s="36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7"/>
      <c r="T11" s="36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7"/>
      <c r="T12" s="36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7"/>
      <c r="T13" s="36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7"/>
      <c r="T14" s="36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7"/>
      <c r="T15" s="36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7"/>
      <c r="T16" s="36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7"/>
      <c r="T17" s="36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7"/>
      <c r="T18" s="36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7"/>
      <c r="T19" s="36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7"/>
      <c r="T20" s="36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7"/>
      <c r="T21" s="36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7"/>
      <c r="T22" s="36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7"/>
      <c r="T23" s="36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7"/>
      <c r="T24" s="36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7"/>
      <c r="T25" s="36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7"/>
      <c r="T26" s="36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7"/>
      <c r="T27" s="36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7"/>
      <c r="T28" s="36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7"/>
      <c r="T29" s="36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7"/>
      <c r="T30" s="36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7"/>
      <c r="T31" s="36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7"/>
      <c r="T32" s="36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7"/>
      <c r="T33" s="36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7"/>
      <c r="T34" s="36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7"/>
      <c r="T35" s="36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7"/>
      <c r="T36" s="36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7"/>
      <c r="T37" s="36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7"/>
      <c r="T38" s="36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7"/>
      <c r="T39" s="36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7"/>
      <c r="T40" s="36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7"/>
      <c r="T41" s="36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7"/>
      <c r="T42" s="36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7"/>
      <c r="T43" s="36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7"/>
      <c r="T44" s="36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7"/>
      <c r="T45" s="36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7"/>
      <c r="T46" s="36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7"/>
      <c r="T47" s="36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7"/>
      <c r="T48" s="36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7"/>
      <c r="T49" s="36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7"/>
      <c r="T50" s="36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7"/>
      <c r="T51" s="36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7"/>
      <c r="T52" s="36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7"/>
      <c r="T53" s="36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7"/>
      <c r="T54" s="36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7"/>
      <c r="T55" s="36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7"/>
      <c r="T56" s="36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7"/>
      <c r="T57" s="36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7"/>
      <c r="T58" s="36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7"/>
      <c r="T59" s="36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7"/>
      <c r="T60" s="36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7"/>
      <c r="T61" s="36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7"/>
      <c r="T62" s="36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7"/>
      <c r="T63" s="36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7"/>
      <c r="T64" s="36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7"/>
      <c r="T65" s="36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7"/>
      <c r="T66" s="36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7"/>
      <c r="T67" s="36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7"/>
      <c r="T68" s="36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7"/>
      <c r="T69" s="36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7"/>
      <c r="T70" s="36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7"/>
      <c r="T71" s="36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7"/>
      <c r="T72" s="36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7"/>
      <c r="T73" s="36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7"/>
      <c r="T74" s="36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7"/>
      <c r="T75" s="36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7"/>
      <c r="T76" s="36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7"/>
      <c r="T77" s="36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7"/>
      <c r="T78" s="36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7"/>
      <c r="T79" s="36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7"/>
      <c r="T80" s="36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7"/>
      <c r="T81" s="36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7"/>
      <c r="T82" s="36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7"/>
      <c r="T83" s="36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7"/>
      <c r="T84" s="36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7"/>
      <c r="T85" s="36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7"/>
      <c r="T86" s="36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7"/>
      <c r="T87" s="36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7"/>
      <c r="T88" s="36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7"/>
      <c r="T89" s="36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7"/>
      <c r="T90" s="36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7"/>
      <c r="T91" s="36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7"/>
      <c r="T92" s="36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7"/>
      <c r="T93" s="36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7"/>
      <c r="T94" s="36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7"/>
      <c r="T95" s="36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7"/>
      <c r="T96" s="36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7"/>
      <c r="T97" s="36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7"/>
      <c r="T98" s="36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7"/>
      <c r="T99" s="36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7"/>
      <c r="T100" s="36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7"/>
      <c r="T101" s="36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7"/>
      <c r="T102" s="36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7"/>
      <c r="T103" s="36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7"/>
      <c r="T104" s="36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7"/>
      <c r="T105" s="36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7"/>
      <c r="T106" s="36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7"/>
      <c r="T107" s="36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7"/>
      <c r="T108" s="36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7"/>
      <c r="T109" s="36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7"/>
      <c r="T110" s="36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7"/>
      <c r="T111" s="36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7"/>
      <c r="T112" s="36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7"/>
      <c r="T113" s="36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7"/>
      <c r="T114" s="36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7"/>
      <c r="T115" s="36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7"/>
      <c r="T116" s="36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7"/>
      <c r="T117" s="36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7"/>
      <c r="T118" s="36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7"/>
      <c r="T119" s="36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7"/>
      <c r="T120" s="36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7"/>
      <c r="T121" s="36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7"/>
      <c r="T122" s="36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7"/>
      <c r="T123" s="36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7"/>
      <c r="T124" s="36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7"/>
      <c r="T125" s="36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7"/>
      <c r="T126" s="36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7"/>
      <c r="T127" s="36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7"/>
      <c r="T128" s="36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7"/>
      <c r="T129" s="36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7"/>
      <c r="T130" s="36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7"/>
      <c r="T131" s="36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7"/>
      <c r="T132" s="36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7"/>
      <c r="T133" s="36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7"/>
      <c r="T134" s="36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7"/>
      <c r="T135" s="36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7"/>
      <c r="T136" s="36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7"/>
      <c r="T137" s="36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7"/>
      <c r="T138" s="36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7"/>
      <c r="T139" s="36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7"/>
      <c r="T140" s="36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7"/>
      <c r="T141" s="36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7"/>
      <c r="T142" s="36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7"/>
      <c r="T143" s="36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7"/>
      <c r="T144" s="36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7"/>
      <c r="T145" s="36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7"/>
      <c r="T146" s="36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7"/>
      <c r="T147" s="36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7"/>
      <c r="T148" s="36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7"/>
      <c r="T149" s="36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7"/>
      <c r="T150" s="36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7"/>
      <c r="T151" s="36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7"/>
      <c r="T152" s="36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7"/>
      <c r="T153" s="36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7"/>
      <c r="T154" s="36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7"/>
      <c r="T155" s="36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7"/>
      <c r="T156" s="36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7"/>
      <c r="T157" s="36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7"/>
      <c r="T158" s="36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7"/>
      <c r="T159" s="36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7"/>
      <c r="T160" s="36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7"/>
      <c r="T161" s="36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7"/>
      <c r="T162" s="36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7"/>
      <c r="T163" s="36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7"/>
      <c r="T164" s="36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7"/>
      <c r="T165" s="36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7"/>
      <c r="T166" s="36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7"/>
      <c r="T167" s="36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7"/>
      <c r="T168" s="36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7"/>
      <c r="T169" s="36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7"/>
      <c r="T170" s="36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7"/>
      <c r="T171" s="36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7"/>
      <c r="T172" s="36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7"/>
      <c r="T173" s="36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5"/>
      <c r="T174" s="36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8"/>
      <c r="T175" s="36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7"/>
      <c r="T176" s="36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7"/>
      <c r="T177" s="36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7"/>
      <c r="T178" s="36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7"/>
      <c r="T179" s="36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7"/>
      <c r="T180" s="36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7"/>
      <c r="T181" s="36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7"/>
      <c r="T182" s="36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7"/>
      <c r="T183" s="36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7"/>
      <c r="T184" s="36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7"/>
      <c r="T185" s="36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7"/>
      <c r="T186" s="36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7"/>
      <c r="T187" s="36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7"/>
      <c r="T188" s="36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7"/>
      <c r="T189" s="36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7"/>
      <c r="T190" s="36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7"/>
      <c r="T191" s="36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7"/>
      <c r="T192" s="36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7"/>
      <c r="T193" s="36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7"/>
      <c r="T194" s="36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7"/>
      <c r="T195" s="36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7"/>
      <c r="T196" s="36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7"/>
      <c r="T197" s="36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7"/>
      <c r="T198" s="36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7"/>
      <c r="T199" s="36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0"/>
      <c r="C200" s="52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IF(E200="BS",F200," ")</f>
        <v> </v>
      </c>
      <c r="I200" s="44" t="str">
        <f aca="false">IF(E200="BD",F200,"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IF(E200="DL",F200," ")</f>
        <v> </v>
      </c>
      <c r="O200" s="38"/>
      <c r="P200" s="39"/>
      <c r="Q200" s="42"/>
      <c r="R200" s="41"/>
      <c r="S200" s="41"/>
      <c r="T200" s="45" t="str">
        <f aca="false">IF(U200&lt;&gt;0,"Enter Code"," ")</f>
        <v> </v>
      </c>
      <c r="U200" s="44"/>
      <c r="V200" s="44" t="str">
        <f aca="false">IF(T200="BB",U200," ")</f>
        <v> </v>
      </c>
      <c r="W200" s="44" t="str">
        <f aca="false">IF(T200="BS",U200," ")</f>
        <v> </v>
      </c>
      <c r="X200" s="44" t="str">
        <f aca="false">IF(T200="BD",U200," ")</f>
        <v> </v>
      </c>
      <c r="Y200" s="44" t="str">
        <f aca="false">IF(T200="CR",U200," ")</f>
        <v> </v>
      </c>
      <c r="Z200" s="44" t="str">
        <f aca="false">IF(T200="W",U200," ")</f>
        <v> </v>
      </c>
      <c r="AA200" s="44" t="str">
        <f aca="false">IF(T200="B",U200," ")</f>
        <v> </v>
      </c>
      <c r="AB200" s="44" t="str">
        <f aca="false">IF(T200="J",U200," ")</f>
        <v> </v>
      </c>
      <c r="AC200" s="44" t="str">
        <f aca="false">IF(T200="LDR",U200," ")</f>
        <v> </v>
      </c>
      <c r="AD200" s="44" t="str">
        <f aca="false">IF(T200="LCR",U200," ")</f>
        <v> </v>
      </c>
      <c r="AE200" s="44" t="str">
        <f aca="false">IF(T200="RP",U200," ")</f>
        <v> </v>
      </c>
      <c r="AF200" s="44" t="str">
        <f aca="false">IF(T200="RV",U200," ")</f>
        <v> </v>
      </c>
      <c r="AG200" s="44" t="str">
        <f aca="false">IF(T200="RC",U200," ")</f>
        <v> </v>
      </c>
      <c r="AH200" s="44" t="str">
        <f aca="false">IF(T200="RT",U200," ")</f>
        <v> </v>
      </c>
      <c r="AI200" s="44" t="str">
        <f aca="false">IF(T200="DV",U200," ")</f>
        <v> </v>
      </c>
      <c r="AJ200" s="44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Terry</dc:creator>
  <dc:description/>
  <dc:language>en-US</dc:language>
  <cp:lastModifiedBy>Cartwright, Antony</cp:lastModifiedBy>
  <cp:lastPrinted>2007-03-02T15:36:23Z</cp:lastPrinted>
  <dcterms:modified xsi:type="dcterms:W3CDTF">2025-04-03T23:05:05Z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