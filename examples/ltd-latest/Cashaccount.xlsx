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ul" sheetId="1" state="visible" r:id="rId3"/>
    <sheet name="Aug" sheetId="2" state="visible" r:id="rId4"/>
    <sheet name="Sep" sheetId="3" state="visible" r:id="rId5"/>
    <sheet name="Oct" sheetId="4" state="visible" r:id="rId6"/>
    <sheet name="Nov" sheetId="5" state="visible" r:id="rId7"/>
    <sheet name="Dec" sheetId="6" state="visible" r:id="rId8"/>
    <sheet name="Jan" sheetId="7" state="visible" r:id="rId9"/>
    <sheet name="Feb" sheetId="8" state="visible" r:id="rId10"/>
    <sheet name="Mar" sheetId="9" state="visible" r:id="rId11"/>
    <sheet name="Apr" sheetId="10" state="visible" r:id="rId12"/>
    <sheet name="May" sheetId="11" state="visible" r:id="rId13"/>
    <sheet name="Jun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Apr!$A$1:$AG$75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Feb!$A$1:$AJ$71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<sst xmlns="http://schemas.openxmlformats.org/spreadsheetml/2006/main" count="791" uniqueCount="60">
  <si>
    <t xml:space="preserve">Totals &gt;</t>
  </si>
  <si>
    <t xml:space="preserve">&lt;  Closing Cash Balance</t>
  </si>
  <si>
    <t xml:space="preserve">Deposit   Cash     Reference</t>
  </si>
  <si>
    <t xml:space="preserve">Enter Code Letters</t>
  </si>
  <si>
    <t xml:space="preserve">CASH RECEIPTS</t>
  </si>
  <si>
    <t xml:space="preserve">Enter Purchase Invoice No.</t>
  </si>
  <si>
    <t xml:space="preserve">Optional cash payment reference</t>
  </si>
  <si>
    <t xml:space="preserve">CASH PAYMENTS</t>
  </si>
  <si>
    <t xml:space="preserve">&lt;  Physical Cash Count</t>
  </si>
  <si>
    <t xml:space="preserve">Amounts received from each Source</t>
  </si>
  <si>
    <t xml:space="preserve">Transfers From Current</t>
  </si>
  <si>
    <t xml:space="preserve">Transfers   From        Savings</t>
  </si>
  <si>
    <t xml:space="preserve">Transfers     From        Cr Card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</si>
  <si>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</si>
  <si>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</si>
  <si>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</si>
  <si>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</si>
  <si>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Directors Loan Account</t>
  </si>
  <si>
    <t xml:space="preserve">Amount Cash Payment</t>
  </si>
  <si>
    <t xml:space="preserve">Transfers  To   Current</t>
  </si>
  <si>
    <t xml:space="preserve">Transfers      To     Savings</t>
  </si>
  <si>
    <t xml:space="preserve">Transfers      To            Cr Card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</si>
  <si>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</si>
  <si>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</si>
  <si>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</si>
  <si>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</si>
  <si>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</si>
  <si>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</si>
  <si>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</si>
  <si>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</si>
  <si>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</si>
  <si>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</si>
  <si>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</si>
  <si>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</si>
  <si>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</si>
  <si>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</si>
  <si>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</si>
  <si>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BS</t>
  </si>
  <si>
    <t xml:space="preserve">BD</t>
  </si>
  <si>
    <t xml:space="preserve">DR</t>
  </si>
  <si>
    <t xml:space="preserve">K</t>
  </si>
  <si>
    <t xml:space="preserve">LDR</t>
  </si>
  <si>
    <t xml:space="preserve">LCR</t>
  </si>
  <si>
    <t xml:space="preserve">DL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</si>
  <si>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</si>
  <si>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</si>
  <si>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</si>
  <si>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</si>
  <si>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</si>
  <si>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RV</t>
  </si>
  <si>
    <t xml:space="preserve">RC</t>
  </si>
  <si>
    <t xml:space="preserve">RT</t>
  </si>
  <si>
    <t xml:space="preserve">DV</t>
  </si>
  <si>
    <t xml:space="preserve">Corner shop</t>
  </si>
  <si>
    <t xml:space="preserve">&lt;  Opening Cash Balance</t>
  </si>
  <si>
    <t xml:space="preserve">Cash top-up</t>
  </si>
  <si>
    <t xml:space="preserve">X</t>
  </si>
  <si>
    <t xml:space="preserve">WH Smith</t>
  </si>
  <si>
    <t xml:space="preserve">Various</t>
  </si>
  <si>
    <t xml:space="preserve">Newsagent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</si>
</sst>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6" width="9.15"/>
  </cols>
  <sheetData>
    <row r="1" customFormat="false" ht="15" hidden="false" customHeight="true" outlineLevel="0" collapsed="false">
      <c r="A1" s="7" t="n">
        <v>500</v>
      </c>
      <c r="C1" s="8" t="n">
        <f aca="false">[1]Admin!$B$9</f>
        <v>45748</v>
      </c>
      <c r="D1" s="9" t="s">
        <v>0</v>
      </c>
      <c r="E1" s="10" t="n">
        <f aca="false">F1-SUM(G1:N1)</f>
        <v>15</v>
      </c>
      <c r="F1" s="11" t="n">
        <f aca="false">SUM(F6:F200)</f>
        <v>15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customFormat="false" ht="15" hidden="false" customHeight="true" outlineLevel="0" collapsed="false">
      <c r="A2" s="16" t="n">
        <f aca="false">A1+F1-U1</f>
        <v>515</v>
      </c>
      <c r="B2" s="17" t="s">
        <v>1</v>
      </c>
      <c r="C2" s="8" t="n">
        <f aca="false">[1]Admin!$B$10</f>
        <v>45777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Check all Receipts Code Letters entered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45777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515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A6" s="1" t="n">
        <v>45848</v>
      </c>
      <c r="B6" s="2" t="s">
        <v>53</v>
      </c>
      <c r="E6" s="5" t="s">
        <v>44</v>
      </c>
      <c r="F6" s="6" t="n">
        <v>15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2" manualBreakCount="2">
    <brk id="14" man="true" max="65535" min="0"/>
    <brk id="18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Jul!A2</f>
        <v>515</v>
      </c>
      <c r="B1" s="50" t="s">
        <v>54</v>
      </c>
      <c r="C1" s="8" t="n">
        <f aca="false">[1]Admin!$B$11</f>
        <v>45778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515</v>
      </c>
      <c r="B2" s="17" t="s">
        <v>1</v>
      </c>
      <c r="C2" s="8" t="n">
        <f aca="false">[1]Admin!$B$12</f>
        <v>45808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45808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515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5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Aug!A2</f>
        <v>515</v>
      </c>
      <c r="B1" s="50" t="s">
        <v>54</v>
      </c>
      <c r="C1" s="8" t="n">
        <f aca="false">[1]Admin!$B$13</f>
        <v>45809</v>
      </c>
      <c r="D1" s="9" t="s">
        <v>0</v>
      </c>
      <c r="E1" s="10" t="n">
        <f aca="false">F1-SUM(G1:N1)</f>
        <v>125</v>
      </c>
      <c r="F1" s="11" t="n">
        <f aca="false">SUM(F6:F200)</f>
        <v>125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640</v>
      </c>
      <c r="B2" s="17" t="s">
        <v>1</v>
      </c>
      <c r="C2" s="8" t="n">
        <f aca="false">[1]Admin!$B$14</f>
        <v>45838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Check all Receipts Code Letters entered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45838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640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A6" s="46" t="n">
        <v>45910</v>
      </c>
      <c r="B6" s="2" t="s">
        <v>55</v>
      </c>
      <c r="E6" s="5" t="s">
        <v>56</v>
      </c>
      <c r="F6" s="6" t="n">
        <v>100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A7" s="46" t="n">
        <v>45910</v>
      </c>
      <c r="B7" s="2" t="s">
        <v>57</v>
      </c>
      <c r="E7" s="5" t="s">
        <v>44</v>
      </c>
      <c r="F7" s="6" t="n">
        <v>25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Sep!A2</f>
        <v>640</v>
      </c>
      <c r="B1" s="50" t="s">
        <v>54</v>
      </c>
      <c r="C1" s="8" t="n">
        <f aca="false">[1]Admin!$B$15</f>
        <v>45839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640</v>
      </c>
      <c r="B2" s="17" t="s">
        <v>1</v>
      </c>
      <c r="C2" s="8" t="n">
        <f aca="false">[1]Admin!$B$16</f>
        <v>45869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45869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640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Oct!A2</f>
        <v>640</v>
      </c>
      <c r="B1" s="50" t="s">
        <v>54</v>
      </c>
      <c r="C1" s="8" t="n">
        <f aca="false">[1]Admin!$B$17</f>
        <v>45870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640</v>
      </c>
      <c r="B2" s="17" t="s">
        <v>1</v>
      </c>
      <c r="C2" s="8" t="n">
        <f aca="false">[1]Admin!$B$18</f>
        <v>45900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45900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640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Nov!A2</f>
        <v>640</v>
      </c>
      <c r="B1" s="50" t="s">
        <v>54</v>
      </c>
      <c r="C1" s="8" t="n">
        <f aca="false">[1]Admin!$B$19</f>
        <v>45901</v>
      </c>
      <c r="D1" s="9" t="s">
        <v>0</v>
      </c>
      <c r="E1" s="10" t="n">
        <f aca="false">F1-SUM(G1:N1)</f>
        <v>18</v>
      </c>
      <c r="F1" s="11" t="n">
        <f aca="false">SUM(F6:F200)</f>
        <v>18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658</v>
      </c>
      <c r="B2" s="17" t="s">
        <v>1</v>
      </c>
      <c r="C2" s="8" t="n">
        <f aca="false">[1]Admin!$B$20</f>
        <v>45930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Check all Receipts Code Letters entered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45930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658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A6" s="46" t="n">
        <v>45996</v>
      </c>
      <c r="B6" s="2" t="s">
        <v>53</v>
      </c>
      <c r="E6" s="5" t="s">
        <v>44</v>
      </c>
      <c r="F6" s="6" t="n">
        <v>18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Dec!A2</f>
        <v>658</v>
      </c>
      <c r="B1" s="50" t="s">
        <v>54</v>
      </c>
      <c r="C1" s="8" t="n">
        <f aca="false">[1]Admin!$B$21</f>
        <v>45931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658</v>
      </c>
      <c r="B2" s="17" t="s">
        <v>1</v>
      </c>
      <c r="C2" s="8" t="n">
        <f aca="false">[1]Admin!$B$22</f>
        <v>45961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45961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658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Jan!A2</f>
        <v>658</v>
      </c>
      <c r="B1" s="50" t="s">
        <v>54</v>
      </c>
      <c r="C1" s="8" t="n">
        <f aca="false">[1]Admin!$B$23</f>
        <v>45962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658</v>
      </c>
      <c r="B2" s="17" t="s">
        <v>1</v>
      </c>
      <c r="C2" s="8" t="n">
        <f aca="false">[1]Admin!$B$24</f>
        <v>45991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45991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658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Feb!A2</f>
        <v>658</v>
      </c>
      <c r="B1" s="50" t="s">
        <v>54</v>
      </c>
      <c r="C1" s="8" t="n">
        <f aca="false">[1]Admin!$B$25</f>
        <v>45992</v>
      </c>
      <c r="D1" s="9" t="s">
        <v>0</v>
      </c>
      <c r="E1" s="10" t="n">
        <f aca="false">F1-SUM(G1:N1)</f>
        <v>50</v>
      </c>
      <c r="F1" s="11" t="n">
        <f aca="false">SUM(F6:F200)</f>
        <v>50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708</v>
      </c>
      <c r="B2" s="17" t="s">
        <v>1</v>
      </c>
      <c r="C2" s="8" t="n">
        <f aca="false">[1]Admin!$B$26</f>
        <v>46022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Check all Receipts Code Letters entered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46022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708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A6" s="46" t="n">
        <v>46091</v>
      </c>
      <c r="B6" s="2" t="s">
        <v>58</v>
      </c>
      <c r="E6" s="5" t="s">
        <v>44</v>
      </c>
      <c r="F6" s="6" t="n">
        <v>50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Mar!A2</f>
        <v>708</v>
      </c>
      <c r="B1" s="50" t="s">
        <v>54</v>
      </c>
      <c r="C1" s="8" t="n">
        <f aca="false">[1]Admin!$B$27</f>
        <v>46023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708</v>
      </c>
      <c r="B2" s="17" t="s">
        <v>1</v>
      </c>
      <c r="C2" s="8" t="n">
        <f aca="false">[1]Admin!$B$28</f>
        <v>46053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46053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708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Apr!A2</f>
        <v>708</v>
      </c>
      <c r="B1" s="50" t="s">
        <v>54</v>
      </c>
      <c r="C1" s="8" t="n">
        <f aca="false">[1]Admin!$B$29</f>
        <v>46054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708</v>
      </c>
      <c r="B2" s="17" t="s">
        <v>1</v>
      </c>
      <c r="C2" s="8" t="n">
        <f aca="false">[1]Admin!$B$30</f>
        <v>46081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46081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708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 of  &amp;N&amp;R&amp;F  &amp;A</oddFooter>
  </headerFooter>
  <colBreaks count="1" manualBreakCount="1">
    <brk id="1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May!A2</f>
        <v>708</v>
      </c>
      <c r="B1" s="50" t="s">
        <v>54</v>
      </c>
      <c r="C1" s="8" t="n">
        <f aca="false">[1]Admin!$B$31</f>
        <v>46082</v>
      </c>
      <c r="D1" s="9" t="s">
        <v>0</v>
      </c>
      <c r="E1" s="10" t="n">
        <f aca="false">F1-SUM(G1:N1)</f>
        <v>12</v>
      </c>
      <c r="F1" s="11" t="n">
        <f aca="false">SUM(F6:F200)</f>
        <v>12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720</v>
      </c>
      <c r="B2" s="17" t="s">
        <v>1</v>
      </c>
      <c r="C2" s="8" t="n">
        <f aca="false">[1]Admin!$B$32</f>
        <v>46112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Check all Receipts Code Letters entered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46112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720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A6" s="46" t="n">
        <v>46193</v>
      </c>
      <c r="B6" s="2" t="s">
        <v>59</v>
      </c>
      <c r="E6" s="5" t="s">
        <v>44</v>
      </c>
      <c r="F6" s="6" t="n">
        <v>12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2007-03-02T15:36:23Z</cp:lastPrinted>
  <dcterms:modified xsi:type="dcterms:W3CDTF">2025-04-03T23:05:05Z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