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Debtors" sheetId="1" state="visible" r:id="rId3"/>
    <sheet name="Jun" sheetId="2" state="visible" r:id="rId4"/>
    <sheet name="Jul" sheetId="3" state="visible" r:id="rId5"/>
    <sheet name="Aug" sheetId="4" state="visible" r:id="rId6"/>
    <sheet name="Sep" sheetId="5" state="visible" r:id="rId7"/>
    <sheet name="Oct" sheetId="6" state="visible" r:id="rId8"/>
    <sheet name="Nov" sheetId="7" state="visible" r:id="rId9"/>
    <sheet name="Dec" sheetId="8" state="visible" r:id="rId10"/>
    <sheet name="Jan" sheetId="9" state="visible" r:id="rId11"/>
    <sheet name="Feb" sheetId="10" state="visible" r:id="rId12"/>
    <sheet name="Mar" sheetId="11" state="visible" r:id="rId13"/>
    <sheet name="Apr" sheetId="12" state="visible" r:id="rId14"/>
    <sheet name="May" sheetId="13" state="visible" r:id="rId15"/>
    <sheet name="ClosingDebtors" sheetId="14" state="visible" r:id="rId16"/>
  </sheets>
  <externalReferences>
    <externalReference r:id="rId17"/>
  </externalReferences>
  <definedNames>
    <definedName function="false" hidden="false" localSheetId="13" name="_xlnm.Print_Area" vbProcedure="false">ClosingDebtors!$A$1:$P$75</definedName>
    <definedName function="false" hidden="false" localSheetId="13" name="_xlnm.Print_Titles" vbProcedure="false">ClosingDebtors!$A:$D,ClosingDebtors!$1:$4</definedName>
    <definedName function="false" hidden="false" localSheetId="0" name="_xlnm.Print_Area" vbProcedure="false">OpeningDebtors!$A$1:$P$75</definedName>
    <definedName function="false" hidden="false" localSheetId="0" name="_xlnm.Print_Titles" vbProcedure="false">OpeningDebtors!$A:$D,OpeningDebtors!$1:$4</definedName>
    <definedName function="false" hidden="false" localSheetId="0" name="Excel_BuiltIn_Print_Titles" vbProcedure="false">(OpeningDebtors!$A:$D,OpeningDebtors!$1:$4)</definedName>
    <definedName function="false" hidden="false" localSheetId="0" name="_xlnm_Print_Area" vbProcedure="false">OpeningDebtors!$A$1:$P$75</definedName>
    <definedName function="false" hidden="false" localSheetId="0" name="_xlnm_Print_Titles" vbProcedure="false">(OpeningDebtors!$A:$D,OpeningDebtors!$1:$4)</definedName>
    <definedName function="false" hidden="false" localSheetId="1" name="_xlnm_Print_Area" vbProcedure="false">Apr!$A$1:$W$75</definedName>
    <definedName function="false" hidden="false" localSheetId="1" name="_xlnm_Print_Titles" vbProcedure="false">(Apr!$A:$D,Apr!$1:$4)</definedName>
    <definedName function="false" hidden="false" localSheetId="2" name="_xlnm_Print_Area" vbProcedure="false">May!$A$1:$W$75</definedName>
    <definedName function="false" hidden="false" localSheetId="2" name="_xlnm_Print_Titles" vbProcedure="false">(May!$A:$D,May!$1:$4)</definedName>
    <definedName function="false" hidden="false" localSheetId="3" name="_xlnm_Print_Area" vbProcedure="false">Jun!$A$1:$W$75</definedName>
    <definedName function="false" hidden="false" localSheetId="3" name="_xlnm_Print_Titles" vbProcedure="false">(Jun!$A:$D,Jun!$1:$4)</definedName>
    <definedName function="false" hidden="false" localSheetId="4" name="_xlnm_Print_Area" vbProcedure="false">Jul!$A$1:$W$75</definedName>
    <definedName function="false" hidden="false" localSheetId="4" name="_xlnm_Print_Titles" vbProcedure="false">(Jul!$A:$D,Jul!$1:$4)</definedName>
    <definedName function="false" hidden="false" localSheetId="5" name="_xlnm_Print_Area" vbProcedure="false">Aug!$A$1:$W$75</definedName>
    <definedName function="false" hidden="false" localSheetId="5" name="_xlnm_Print_Titles" vbProcedure="false">(Aug!$A:$D,Aug!$1:$4)</definedName>
    <definedName function="false" hidden="false" localSheetId="6" name="_xlnm_Print_Area" vbProcedure="false">Sep!$A$1:$W$75</definedName>
    <definedName function="false" hidden="false" localSheetId="6" name="_xlnm_Print_Titles" vbProcedure="false">(Sep!$A:$D,Sep!$1:$4)</definedName>
    <definedName function="false" hidden="false" localSheetId="7" name="_xlnm_Print_Area" vbProcedure="false">Oct!$A$1:$W$75</definedName>
    <definedName function="false" hidden="false" localSheetId="7" name="_xlnm_Print_Titles" vbProcedure="false">(Oct!$A:$D,Oct!$1:$4)</definedName>
    <definedName function="false" hidden="false" localSheetId="8" name="_xlnm_Print_Area" vbProcedure="false">Nov!$A$1:$W$75</definedName>
    <definedName function="false" hidden="false" localSheetId="8" name="_xlnm_Print_Titles" vbProcedure="false">(Nov!$A:$D,Nov!$1:$4)</definedName>
    <definedName function="false" hidden="false" localSheetId="9" name="_xlnm_Print_Area" vbProcedure="false">Dec!$A$1:$W$75</definedName>
    <definedName function="false" hidden="false" localSheetId="9" name="_xlnm_Print_Titles" vbProcedure="false">(Dec!$A:$D,Dec!$1:$4)</definedName>
    <definedName function="false" hidden="false" localSheetId="10" name="_xlnm_Print_Area" vbProcedure="false">Jan!$A$1:$W$75</definedName>
    <definedName function="false" hidden="false" localSheetId="10" name="_xlnm_Print_Titles" vbProcedure="false">(Jan!$A:$D,Jan!$1:$4)</definedName>
    <definedName function="false" hidden="false" localSheetId="11" name="_xlnm_Print_Area" vbProcedure="false">Feb!$A$1:$W$75</definedName>
    <definedName function="false" hidden="false" localSheetId="11" name="_xlnm_Print_Titles" vbProcedure="false">(Feb!$A:$D,Feb!$1:$4)</definedName>
    <definedName function="false" hidden="false" localSheetId="12" name="_xlnm_Print_Area" vbProcedure="false">Mar!$A$1:$W$75</definedName>
    <definedName function="false" hidden="false" localSheetId="12" name="_xlnm_Print_Titles" vbProcedure="false">(Mar!$A:$D,Mar!$1:$4)</definedName>
    <definedName function="false" hidden="false" localSheetId="13" name="Excel_BuiltIn_Print_Titles" vbProcedure="false">(ClosingDebtors!$A:$D,ClosingDebtors!$1:$4)</definedName>
    <definedName function="false" hidden="false" localSheetId="13" name="_xlnm_Print_Area" vbProcedure="false">ClosingDebtors!$A$1:$P$75</definedName>
    <definedName function="false" hidden="false" localSheetId="13" name="_xlnm_Print_Titles" vbProcedure="false">(ClosingDebtors!$A:$D,ClosingDebtors!$1:$4)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<sst xmlns="http://schemas.openxmlformats.org/spreadsheetml/2006/main" count="664" uniqueCount="72">
  <si>
    <t xml:space="preserve">Opening Debtors Balance</t>
  </si>
  <si>
    <t xml:space="preserve">Total in C1 should equal F1</t>
  </si>
  <si>
    <t xml:space="preserve">For your information only. Enter How Paid e.g. Cash, Cheque etc.,</t>
  </si>
  <si>
    <t xml:space="preserve">Sales      Date</t>
  </si>
  <si>
    <t xml:space="preserve">Customer Name</t>
  </si>
  <si>
    <t xml:space="preserve">Sales Invoice Number or reference</t>
  </si>
  <si>
    <t xml:space="preserve">Sales             Description</t>
  </si>
  <si>
    <t xml:space="preserve">Sales Value including   Vat</t>
  </si>
  <si>
    <t xml:space="preserve">Sales         Net of Vat</t>
  </si>
  <si>
    <t xml:space="preserve">Receipts from Customers</t>
  </si>
  <si>
    <t xml:space="preserve">Sub contractors only</t>
  </si>
  <si>
    <t xml:space="preserve">Vat       Output</t>
  </si>
  <si>
    <t xml:space="preserve">Actual amount received</t>
  </si>
  <si>
    <t xml:space="preserve">Sales Value not yet received</t>
  </si>
  <si>
    <t xml:space="preserve">Number of Days Outstanding</t>
  </si>
  <si>
    <t xml:space="preserve">CIS Tax Deducted</t>
  </si>
  <si>
    <t xml:space="preserve">CIS Certificate reference</t>
  </si>
  <si>
    <t xml:space="preserve">Acme Corp</t>
  </si>
  <si>
    <t xml:space="preserve">INV-0901</t>
  </si>
  <si>
    <t xml:space="preserve">Beta Systems</t>
  </si>
  <si>
    <t xml:space="preserve">INV-0902</t>
  </si>
  <si>
    <t xml:space="preserve">Gamma Ltd</t>
  </si>
  <si>
    <t xml:space="preserve">INV-0903</t>
  </si>
  <si>
    <t xml:space="preserve">Check Total</t>
  </si>
  <si>
    <t xml:space="preserve">Total for Month</t>
  </si>
  <si>
    <t xml:space="preserve"> Enter Expense Code Letter</t>
  </si>
  <si>
    <t xml:space="preserve">Sales           Net of Vat</t>
  </si>
  <si>
    <t xml:space="preserve">Sales Net of Vat</t>
  </si>
  <si>
    <t xml:space="preserve">Other Income</t>
  </si>
  <si>
    <t xml:space="preserve">Investment Grants</t>
  </si>
  <si>
    <t xml:space="preserve">Bad Debts written off</t>
  </si>
  <si>
    <t xml:space="preserve">Sale of          Fixed Assets</t>
  </si>
  <si>
    <t xml:space="preserve">Product          A</t>
  </si>
  <si>
    <t xml:space="preserve">Product      B</t>
  </si>
  <si>
    <t xml:space="preserve">Product        C</t>
  </si>
  <si>
    <t xml:space="preserve">A</t>
  </si>
  <si>
    <t xml:space="preserve">B</t>
  </si>
  <si>
    <t xml:space="preserve">C</t>
  </si>
  <si>
    <t xml:space="preserve">D</t>
  </si>
  <si>
    <t xml:space="preserve">G</t>
  </si>
  <si>
    <t xml:space="preserve">O</t>
  </si>
  <si>
    <t xml:space="preserve">FS</t>
  </si>
  <si>
    <t xml:space="preserve">b</t>
  </si>
  <si>
    <t xml:space="preserve">FreshField Ltd</t>
  </si>
  <si>
    <t xml:space="preserve">CloudNine Ltd</t>
  </si>
  <si>
    <t xml:space="preserve">Cedar Systems</t>
  </si>
  <si>
    <t xml:space="preserve">a</t>
  </si>
  <si>
    <t xml:space="preserve">Pinnacle Group</t>
  </si>
  <si>
    <t xml:space="preserve">TechStart Ltd</t>
  </si>
  <si>
    <t xml:space="preserve">DataFlow Inc</t>
  </si>
  <si>
    <t xml:space="preserve">Horizon Analytics</t>
  </si>
  <si>
    <t xml:space="preserve">d</t>
  </si>
  <si>
    <t xml:space="preserve">QuickFix IT</t>
  </si>
  <si>
    <t xml:space="preserve">Summit Training</t>
  </si>
  <si>
    <t xml:space="preserve">c</t>
  </si>
  <si>
    <t xml:space="preserve">Oakridge Partners</t>
  </si>
  <si>
    <t xml:space="preserve">WidgetWorks</t>
  </si>
  <si>
    <t xml:space="preserve">NorthStar Digital</t>
  </si>
  <si>
    <t xml:space="preserve">Innovate UK</t>
  </si>
  <si>
    <t xml:space="preserve">g</t>
  </si>
  <si>
    <t xml:space="preserve">StartupHub</t>
  </si>
  <si>
    <t xml:space="preserve">Epsilon Partners</t>
  </si>
  <si>
    <t xml:space="preserve">Private buyer</t>
  </si>
  <si>
    <t xml:space="preserve">fs</t>
  </si>
  <si>
    <t xml:space="preserve">Delta PLC</t>
  </si>
  <si>
    <t xml:space="preserve">Lambda Corp</t>
  </si>
  <si>
    <t xml:space="preserve">MegaCorp</t>
  </si>
  <si>
    <t xml:space="preserve">Zeta Corp</t>
  </si>
  <si>
    <t xml:space="preserve">o</t>
  </si>
  <si>
    <t xml:space="preserve">Closing Debtors Balance</t>
  </si>
  <si>
    <t xml:space="preserve">INV-1012</t>
  </si>
  <si>
    <t xml:space="preserve">INV-1112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</si>
</sst>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-mmm\-yy"/>
    <numFmt numFmtId="166" formatCode="#,##0.00_ ;[RED]\-#,##0.00\ "/>
    <numFmt numFmtId="167" formatCode="0"/>
    <numFmt numFmtId="168" formatCode="#,##0"/>
    <numFmt numFmtId="169" formatCode="#,##0_ ;[RED]\-#,##0\ "/>
    <numFmt numFmtId="170" formatCode="#,##0.00"/>
    <numFmt numFmtId="171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i val="true"/>
      <sz val="9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sz val="1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15.32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false" hidden="false" outlineLevel="0" max="257" min="15" style="2" width="9.15"/>
  </cols>
  <sheetData>
    <row r="1" s="19" customFormat="true" ht="13.5" hidden="false" customHeight="true" outlineLevel="0" collapsed="false">
      <c r="A1" s="9" t="s">
        <v>0</v>
      </c>
      <c r="B1" s="9"/>
      <c r="C1" s="10" t="n">
        <f aca="false">IF([1]OpenAccounts!$E$16&gt;0,[1]OpenAccounts!$E$16,0)</f>
        <v>0</v>
      </c>
      <c r="D1" s="11" t="s">
        <v>1</v>
      </c>
      <c r="E1" s="11"/>
      <c r="F1" s="12" t="n">
        <f aca="false">SUM(F5:F300)</f>
        <v>0</v>
      </c>
      <c r="G1" s="12" t="n">
        <f aca="false">SUM(G5:G300)</f>
        <v>0</v>
      </c>
      <c r="H1" s="12" t="n">
        <f aca="false">SUM(H5:H300)</f>
        <v>10800</v>
      </c>
      <c r="I1" s="13"/>
      <c r="J1" s="14" t="s">
        <v>2</v>
      </c>
      <c r="K1" s="15" t="n">
        <f aca="false">SUM(K5:K300)</f>
        <v>0</v>
      </c>
      <c r="L1" s="16" t="n">
        <f aca="false">SUM(L5:L300)</f>
        <v>0</v>
      </c>
      <c r="M1" s="17" t="n">
        <f aca="true">TODAY()</f>
        <v>46131</v>
      </c>
      <c r="N1" s="18"/>
      <c r="O1" s="12" t="n">
        <f aca="false">SUM(O5:O300)</f>
        <v>0</v>
      </c>
      <c r="P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 t="s">
        <v>5</v>
      </c>
      <c r="D2" s="23" t="s">
        <v>6</v>
      </c>
      <c r="E2" s="24"/>
      <c r="F2" s="21" t="s">
        <v>7</v>
      </c>
      <c r="G2" s="25" t="n">
        <f aca="false">Jun!G2</f>
        <v>20</v>
      </c>
      <c r="H2" s="21" t="s">
        <v>8</v>
      </c>
      <c r="I2" s="13"/>
      <c r="J2" s="14"/>
      <c r="K2" s="26" t="s">
        <v>9</v>
      </c>
      <c r="L2" s="26"/>
      <c r="M2" s="26"/>
      <c r="N2" s="18"/>
      <c r="O2" s="21" t="s">
        <v>10</v>
      </c>
      <c r="P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21" t="s">
        <v>15</v>
      </c>
      <c r="P3" s="21" t="s">
        <v>16</v>
      </c>
    </row>
    <row r="4" customFormat="false" ht="12.75" hidden="false" customHeight="true" outlineLevel="0" collapsed="false">
      <c r="A4" s="20"/>
      <c r="B4" s="20"/>
      <c r="C4" s="20"/>
      <c r="D4" s="23"/>
      <c r="E4" s="23"/>
      <c r="F4" s="21"/>
      <c r="G4" s="31" t="n">
        <f aca="false">Jun!G4</f>
        <v>0</v>
      </c>
      <c r="H4" s="21"/>
      <c r="I4" s="13"/>
      <c r="J4" s="14"/>
      <c r="K4" s="27"/>
      <c r="L4" s="28"/>
      <c r="M4" s="28"/>
      <c r="N4" s="18"/>
      <c r="O4" s="21"/>
      <c r="P4" s="21"/>
    </row>
    <row r="5" customFormat="false" ht="12.75" hidden="false" customHeight="true" outlineLevel="0" collapsed="false">
      <c r="B5" s="2" t="s">
        <v>17</v>
      </c>
      <c r="C5" s="3" t="s">
        <v>18</v>
      </c>
      <c r="G5" s="2" t="str">
        <f aca="false">IF(G$4&gt;0,(IF(F5&lt;&gt;0,F5*G$4/100," ")),IF(F5&lt;&gt;0,F5*G$2/(100+G$2)," "))</f>
        <v> </v>
      </c>
      <c r="H5" s="2" t="n">
        <v>7200</v>
      </c>
      <c r="L5" s="7" t="str">
        <f aca="false">IF(F5&lt;&gt;0,F5-K5," ")</f>
        <v> </v>
      </c>
      <c r="M5" s="8" t="str">
        <f aca="false">IF((F5-K5)&lt;&gt;0,M$1-A5," ")</f>
        <v> </v>
      </c>
    </row>
    <row r="6" customFormat="false" ht="12.75" hidden="false" customHeight="true" outlineLevel="0" collapsed="false">
      <c r="B6" s="2" t="s">
        <v>19</v>
      </c>
      <c r="C6" s="3" t="s">
        <v>20</v>
      </c>
      <c r="G6" s="2" t="str">
        <f aca="false">IF(G$4&gt;0,(IF(F6&lt;&gt;0,F6*G$4/100," ")),IF(F6&lt;&gt;0,F6*G$2/(100+G$2)," "))</f>
        <v> </v>
      </c>
      <c r="H6" s="2" t="n">
        <v>1200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B7" s="2" t="s">
        <v>21</v>
      </c>
      <c r="C7" s="3" t="s">
        <v>22</v>
      </c>
      <c r="G7" s="2" t="str">
        <f aca="false">IF(G$4&gt;0,(IF(F7&lt;&gt;0,F7*G$4/100," ")),IF(F7&lt;&gt;0,F7*G$2/(100+G$2)," "))</f>
        <v> </v>
      </c>
      <c r="H7" s="2" t="n">
        <v>2400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G8" s="2" t="str">
        <f aca="false">IF(G$4&gt;0,(IF(F8&lt;&gt;0,F8*G$4/100," ")),IF(F8&lt;&gt;0,F8*G$2/(100+G$2)," "))</f>
        <v> 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G9" s="2" t="str">
        <f aca="false">IF(G$4&gt;0,(IF(F9&lt;&gt;0,F9*G$4/100," ")),IF(F9&lt;&gt;0,F9*G$2/(100+G$2)," "))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G10" s="2" t="str">
        <f aca="false">IF(G$4&gt;0,(IF(F10&lt;&gt;0,F10*G$4/100," ")),IF(F10&lt;&gt;0,F10*G$2/(100+G$2)," "))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G11" s="2" t="str">
        <f aca="false">IF(G$4&gt;0,(IF(F11&lt;&gt;0,F11*G$4/100," ")),IF(F11&lt;&gt;0,F11*G$2/(100+G$2)," "))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G12" s="2" t="str">
        <f aca="false">IF(G$4&gt;0,(IF(F12&lt;&gt;0,F12*G$4/100," ")),IF(F12&lt;&gt;0,F12*G$2/(100+G$2)," "))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</row>
    <row r="201" customFormat="false" ht="12" hidden="false" customHeight="false" outlineLevel="0" collapsed="false"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</row>
    <row r="202" customFormat="false" ht="12" hidden="false" customHeight="false" outlineLevel="0" collapsed="false"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</row>
    <row r="203" customFormat="false" ht="12" hidden="false" customHeight="false" outlineLevel="0" collapsed="false"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</row>
    <row r="204" customFormat="false" ht="12" hidden="false" customHeight="false" outlineLevel="0" collapsed="false"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</row>
    <row r="205" customFormat="false" ht="12" hidden="false" customHeight="false" outlineLevel="0" collapsed="false"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</row>
    <row r="206" customFormat="false" ht="12" hidden="false" customHeight="false" outlineLevel="0" collapsed="false"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</row>
    <row r="207" customFormat="false" ht="12" hidden="false" customHeight="false" outlineLevel="0" collapsed="false"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</row>
    <row r="208" customFormat="false" ht="12" hidden="false" customHeight="false" outlineLevel="0" collapsed="false"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</row>
    <row r="209" customFormat="false" ht="12" hidden="false" customHeight="false" outlineLevel="0" collapsed="false"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</row>
    <row r="210" customFormat="false" ht="12" hidden="false" customHeight="false" outlineLevel="0" collapsed="false"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</row>
    <row r="211" customFormat="false" ht="12" hidden="false" customHeight="false" outlineLevel="0" collapsed="false"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</row>
    <row r="212" customFormat="false" ht="12" hidden="false" customHeight="false" outlineLevel="0" collapsed="false"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</row>
    <row r="213" customFormat="false" ht="12" hidden="false" customHeight="false" outlineLevel="0" collapsed="false"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</row>
    <row r="214" customFormat="false" ht="12" hidden="false" customHeight="false" outlineLevel="0" collapsed="false"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</row>
    <row r="215" customFormat="false" ht="12" hidden="false" customHeight="false" outlineLevel="0" collapsed="false"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</row>
    <row r="216" customFormat="false" ht="12" hidden="false" customHeight="false" outlineLevel="0" collapsed="false"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</row>
    <row r="217" customFormat="false" ht="12" hidden="false" customHeight="false" outlineLevel="0" collapsed="false"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</row>
    <row r="218" customFormat="false" ht="12" hidden="false" customHeight="false" outlineLevel="0" collapsed="false"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</row>
    <row r="219" customFormat="false" ht="12" hidden="false" customHeight="false" outlineLevel="0" collapsed="false"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</row>
    <row r="220" customFormat="false" ht="12" hidden="false" customHeight="false" outlineLevel="0" collapsed="false"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</row>
    <row r="221" customFormat="false" ht="12" hidden="false" customHeight="false" outlineLevel="0" collapsed="false"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</row>
    <row r="222" customFormat="false" ht="12" hidden="false" customHeight="false" outlineLevel="0" collapsed="false"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</row>
    <row r="223" customFormat="false" ht="12" hidden="false" customHeight="false" outlineLevel="0" collapsed="false"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</row>
    <row r="224" customFormat="false" ht="12" hidden="false" customHeight="false" outlineLevel="0" collapsed="false"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</row>
    <row r="225" customFormat="false" ht="12" hidden="false" customHeight="false" outlineLevel="0" collapsed="false"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</row>
    <row r="226" customFormat="false" ht="12" hidden="false" customHeight="false" outlineLevel="0" collapsed="false"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</row>
    <row r="227" customFormat="false" ht="12" hidden="false" customHeight="false" outlineLevel="0" collapsed="false"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</row>
    <row r="228" customFormat="false" ht="12" hidden="false" customHeight="false" outlineLevel="0" collapsed="false"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</row>
    <row r="229" customFormat="false" ht="12" hidden="false" customHeight="false" outlineLevel="0" collapsed="false"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</row>
    <row r="230" customFormat="false" ht="12" hidden="false" customHeight="false" outlineLevel="0" collapsed="false"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</row>
    <row r="231" customFormat="false" ht="12" hidden="false" customHeight="false" outlineLevel="0" collapsed="false"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</row>
    <row r="232" customFormat="false" ht="12" hidden="false" customHeight="false" outlineLevel="0" collapsed="false"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</row>
    <row r="233" customFormat="false" ht="12" hidden="false" customHeight="false" outlineLevel="0" collapsed="false"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</row>
    <row r="234" customFormat="false" ht="12" hidden="false" customHeight="false" outlineLevel="0" collapsed="false"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</row>
    <row r="235" customFormat="false" ht="12" hidden="false" customHeight="false" outlineLevel="0" collapsed="false"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</row>
    <row r="236" customFormat="false" ht="12" hidden="false" customHeight="false" outlineLevel="0" collapsed="false"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</row>
    <row r="237" customFormat="false" ht="12" hidden="false" customHeight="false" outlineLevel="0" collapsed="false"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</row>
    <row r="238" customFormat="false" ht="12" hidden="false" customHeight="false" outlineLevel="0" collapsed="false"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</row>
    <row r="239" customFormat="false" ht="12" hidden="false" customHeight="false" outlineLevel="0" collapsed="false"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</row>
    <row r="240" customFormat="false" ht="12" hidden="false" customHeight="false" outlineLevel="0" collapsed="false"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</row>
    <row r="241" customFormat="false" ht="12" hidden="false" customHeight="false" outlineLevel="0" collapsed="false"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</row>
    <row r="242" customFormat="false" ht="12" hidden="false" customHeight="false" outlineLevel="0" collapsed="false"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</row>
    <row r="243" customFormat="false" ht="12" hidden="false" customHeight="false" outlineLevel="0" collapsed="false"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</row>
    <row r="244" customFormat="false" ht="12" hidden="false" customHeight="false" outlineLevel="0" collapsed="false"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</row>
    <row r="245" customFormat="false" ht="12" hidden="false" customHeight="false" outlineLevel="0" collapsed="false"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</row>
    <row r="246" customFormat="false" ht="12" hidden="false" customHeight="false" outlineLevel="0" collapsed="false"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</row>
    <row r="247" customFormat="false" ht="12" hidden="false" customHeight="false" outlineLevel="0" collapsed="false"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</row>
    <row r="248" customFormat="false" ht="12" hidden="false" customHeight="false" outlineLevel="0" collapsed="false"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</row>
    <row r="249" customFormat="false" ht="12" hidden="false" customHeight="false" outlineLevel="0" collapsed="false"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</row>
    <row r="250" customFormat="false" ht="12" hidden="false" customHeight="false" outlineLevel="0" collapsed="false"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</row>
    <row r="251" customFormat="false" ht="12" hidden="false" customHeight="false" outlineLevel="0" collapsed="false"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</row>
    <row r="252" customFormat="false" ht="12" hidden="false" customHeight="false" outlineLevel="0" collapsed="false"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</row>
    <row r="253" customFormat="false" ht="12" hidden="false" customHeight="false" outlineLevel="0" collapsed="false"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</row>
    <row r="254" customFormat="false" ht="12" hidden="false" customHeight="false" outlineLevel="0" collapsed="false"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</row>
    <row r="255" customFormat="false" ht="12" hidden="false" customHeight="false" outlineLevel="0" collapsed="false"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</row>
    <row r="256" customFormat="false" ht="12" hidden="false" customHeight="false" outlineLevel="0" collapsed="false"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</row>
    <row r="257" customFormat="false" ht="12" hidden="false" customHeight="false" outlineLevel="0" collapsed="false"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</row>
    <row r="258" customFormat="false" ht="12" hidden="false" customHeight="false" outlineLevel="0" collapsed="false"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</row>
    <row r="259" customFormat="false" ht="12" hidden="false" customHeight="false" outlineLevel="0" collapsed="false"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</row>
    <row r="260" customFormat="false" ht="12" hidden="false" customHeight="false" outlineLevel="0" collapsed="false"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</row>
    <row r="261" customFormat="false" ht="12" hidden="false" customHeight="false" outlineLevel="0" collapsed="false"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</row>
    <row r="262" customFormat="false" ht="12" hidden="false" customHeight="false" outlineLevel="0" collapsed="false"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</row>
    <row r="263" customFormat="false" ht="12" hidden="false" customHeight="false" outlineLevel="0" collapsed="false"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</row>
    <row r="264" customFormat="false" ht="12" hidden="false" customHeight="false" outlineLevel="0" collapsed="false"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</row>
    <row r="265" customFormat="false" ht="12" hidden="false" customHeight="false" outlineLevel="0" collapsed="false"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</row>
    <row r="266" customFormat="false" ht="12" hidden="false" customHeight="false" outlineLevel="0" collapsed="false"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</row>
    <row r="267" customFormat="false" ht="12" hidden="false" customHeight="false" outlineLevel="0" collapsed="false"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</row>
    <row r="268" customFormat="false" ht="12" hidden="false" customHeight="false" outlineLevel="0" collapsed="false"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</row>
    <row r="269" customFormat="false" ht="12" hidden="false" customHeight="false" outlineLevel="0" collapsed="false"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</row>
    <row r="270" customFormat="false" ht="12" hidden="false" customHeight="false" outlineLevel="0" collapsed="false"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</row>
    <row r="271" customFormat="false" ht="12" hidden="false" customHeight="false" outlineLevel="0" collapsed="false"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</row>
    <row r="272" customFormat="false" ht="12" hidden="false" customHeight="false" outlineLevel="0" collapsed="false"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</row>
    <row r="273" customFormat="false" ht="12" hidden="false" customHeight="false" outlineLevel="0" collapsed="false"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</row>
    <row r="274" customFormat="false" ht="12" hidden="false" customHeight="false" outlineLevel="0" collapsed="false"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</row>
    <row r="275" customFormat="false" ht="12" hidden="false" customHeight="false" outlineLevel="0" collapsed="false"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</row>
    <row r="276" customFormat="false" ht="12" hidden="false" customHeight="false" outlineLevel="0" collapsed="false"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</row>
    <row r="277" customFormat="false" ht="12" hidden="false" customHeight="false" outlineLevel="0" collapsed="false"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</row>
    <row r="278" customFormat="false" ht="12" hidden="false" customHeight="false" outlineLevel="0" collapsed="false"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</row>
    <row r="279" customFormat="false" ht="12" hidden="false" customHeight="false" outlineLevel="0" collapsed="false"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</row>
    <row r="280" customFormat="false" ht="12" hidden="false" customHeight="false" outlineLevel="0" collapsed="false"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</row>
    <row r="281" customFormat="false" ht="12" hidden="false" customHeight="false" outlineLevel="0" collapsed="false"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</row>
    <row r="282" customFormat="false" ht="12" hidden="false" customHeight="false" outlineLevel="0" collapsed="false"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</row>
    <row r="283" customFormat="false" ht="12" hidden="false" customHeight="false" outlineLevel="0" collapsed="false"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</row>
    <row r="284" customFormat="false" ht="12" hidden="false" customHeight="false" outlineLevel="0" collapsed="false"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</row>
    <row r="285" customFormat="false" ht="12" hidden="false" customHeight="false" outlineLevel="0" collapsed="false"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</row>
    <row r="286" customFormat="false" ht="12" hidden="false" customHeight="false" outlineLevel="0" collapsed="false"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</row>
    <row r="287" customFormat="false" ht="12" hidden="false" customHeight="false" outlineLevel="0" collapsed="false"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</row>
    <row r="288" customFormat="false" ht="12" hidden="false" customHeight="false" outlineLevel="0" collapsed="false"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</row>
    <row r="289" customFormat="false" ht="12" hidden="false" customHeight="false" outlineLevel="0" collapsed="false"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</row>
    <row r="290" customFormat="false" ht="12" hidden="false" customHeight="false" outlineLevel="0" collapsed="false"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</row>
    <row r="291" customFormat="false" ht="12" hidden="false" customHeight="false" outlineLevel="0" collapsed="false"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</row>
    <row r="292" customFormat="false" ht="12" hidden="false" customHeight="false" outlineLevel="0" collapsed="false"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</row>
    <row r="293" customFormat="false" ht="12" hidden="false" customHeight="false" outlineLevel="0" collapsed="false"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</row>
    <row r="294" customFormat="false" ht="12" hidden="false" customHeight="false" outlineLevel="0" collapsed="false"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</row>
    <row r="295" customFormat="false" ht="12" hidden="false" customHeight="false" outlineLevel="0" collapsed="false"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</row>
    <row r="296" customFormat="false" ht="12" hidden="false" customHeight="false" outlineLevel="0" collapsed="false"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</row>
    <row r="297" customFormat="false" ht="12" hidden="false" customHeight="false" outlineLevel="0" collapsed="false"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</row>
    <row r="298" customFormat="false" ht="12" hidden="false" customHeight="false" outlineLevel="0" collapsed="false"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</row>
    <row r="299" customFormat="false" ht="12" hidden="false" customHeight="false" outlineLevel="0" collapsed="false"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</row>
    <row r="300" customFormat="false" ht="12" hidden="false" customHeight="false" outlineLevel="0" collapsed="false">
      <c r="A300" s="32"/>
      <c r="B300" s="33"/>
      <c r="C300" s="34"/>
      <c r="D300" s="35"/>
      <c r="E300" s="35"/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/>
      <c r="P300" s="33"/>
    </row>
  </sheetData>
  <mergeCells count="19">
    <mergeCell ref="A1:B1"/>
    <mergeCell ref="D1:E1"/>
    <mergeCell ref="I1:I4"/>
    <mergeCell ref="J1:J4"/>
    <mergeCell ref="N1:N4"/>
    <mergeCell ref="A2:A4"/>
    <mergeCell ref="B2:B4"/>
    <mergeCell ref="C2:C4"/>
    <mergeCell ref="D2:D4"/>
    <mergeCell ref="E2:E4"/>
    <mergeCell ref="F2:F4"/>
    <mergeCell ref="H2:H4"/>
    <mergeCell ref="K2:M2"/>
    <mergeCell ref="O2:P2"/>
    <mergeCell ref="K3:K4"/>
    <mergeCell ref="L3:L4"/>
    <mergeCell ref="M3:M4"/>
    <mergeCell ref="O3:O4"/>
    <mergeCell ref="P3:P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</dataValidations>
  <printOptions headings="false" gridLines="false" gridLinesSet="true" horizontalCentered="true" verticalCentered="true"/>
  <pageMargins left="0.275694444444444" right="0.275694444444444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33400</v>
      </c>
      <c r="G1" s="12" t="n">
        <f aca="false">SUM(G5:G300)</f>
        <v>5566.66666666667</v>
      </c>
      <c r="H1" s="12" t="n">
        <f aca="false">SUM(H5:H300)</f>
        <v>27833.3333333333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33400</v>
      </c>
      <c r="M1" s="17" t="n">
        <f aca="true">TODAY()</f>
        <v>46131</v>
      </c>
      <c r="N1" s="18"/>
      <c r="O1" s="12" t="n">
        <f aca="false">SUM(O5:O300)</f>
        <v>25333.3333333333</v>
      </c>
      <c r="P1" s="12" t="n">
        <f aca="false">SUM(P5:P300)</f>
        <v>1800</v>
      </c>
      <c r="Q1" s="12" t="n">
        <f aca="false">SUM(Q5:Q300)</f>
        <v>0</v>
      </c>
      <c r="R1" s="12" t="n">
        <f aca="false">SUM(R5:R300)</f>
        <v>700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[1]Admin!$M$19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/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45809</v>
      </c>
      <c r="B5" s="2" t="s">
        <v>19</v>
      </c>
      <c r="E5" s="4" t="s">
        <v>42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322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45811</v>
      </c>
      <c r="B6" s="2" t="s">
        <v>43</v>
      </c>
      <c r="E6" s="4" t="s">
        <v>42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320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45813</v>
      </c>
      <c r="B7" s="2" t="s">
        <v>44</v>
      </c>
      <c r="E7" s="4" t="s">
        <v>42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318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45816</v>
      </c>
      <c r="B8" s="2" t="s">
        <v>45</v>
      </c>
      <c r="E8" s="4" t="s">
        <v>46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315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45818</v>
      </c>
      <c r="B9" s="2" t="s">
        <v>47</v>
      </c>
      <c r="E9" s="4" t="s">
        <v>46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313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</row>
    <row r="10" customFormat="false" ht="12" hidden="false" customHeight="false" outlineLevel="0" collapsed="false">
      <c r="A10" s="1" t="n">
        <v>45823</v>
      </c>
      <c r="B10" s="2" t="s">
        <v>17</v>
      </c>
      <c r="E10" s="4" t="s">
        <v>46</v>
      </c>
      <c r="F10" s="2" t="n">
        <v>25000</v>
      </c>
      <c r="G10" s="2" t="n">
        <f aca="false">IF(G$4&gt;0,(IF(F10&lt;&gt;0,F10*G$4/100," ")),IF(F10&lt;&gt;0,F10*G$2/(100+G$2)," "))</f>
        <v>4166.66666666667</v>
      </c>
      <c r="H10" s="2" t="n">
        <f aca="false">IF((F10&lt;&gt;0),F10-G10," ")</f>
        <v>20833.3333333333</v>
      </c>
      <c r="L10" s="7" t="n">
        <f aca="false">IF(F10&lt;&gt;0,F10-K10," ")</f>
        <v>25000</v>
      </c>
      <c r="M10" s="8" t="n">
        <f aca="false">IF((F10-K10)&lt;&gt;0,M$1-A10," ")</f>
        <v>308</v>
      </c>
      <c r="O10" s="2" t="n">
        <f aca="false">IF((E10="a"),H10," ")</f>
        <v>20833.3333333333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45826</v>
      </c>
      <c r="B11" s="2" t="s">
        <v>48</v>
      </c>
      <c r="E11" s="4" t="s">
        <v>46</v>
      </c>
      <c r="F11" s="2" t="n">
        <v>2400</v>
      </c>
      <c r="G11" s="2" t="n">
        <f aca="false">IF(G$4&gt;0,(IF(F11&lt;&gt;0,F11*G$4/100," ")),IF(F11&lt;&gt;0,F11*G$2/(100+G$2)," "))</f>
        <v>400</v>
      </c>
      <c r="H11" s="2" t="n">
        <f aca="false">IF((F11&lt;&gt;0),F11-G11," ")</f>
        <v>2000</v>
      </c>
      <c r="L11" s="7" t="n">
        <f aca="false">IF(F11&lt;&gt;0,F11-K11," ")</f>
        <v>2400</v>
      </c>
      <c r="M11" s="8" t="n">
        <f aca="false">IF((F11-K11)&lt;&gt;0,M$1-A11," ")</f>
        <v>305</v>
      </c>
      <c r="O11" s="2" t="n">
        <f aca="false">IF((E11="a"),H11," ")</f>
        <v>2000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45828</v>
      </c>
      <c r="B12" s="2" t="s">
        <v>49</v>
      </c>
      <c r="E12" s="4" t="s">
        <v>46</v>
      </c>
      <c r="F12" s="2" t="n">
        <v>1800</v>
      </c>
      <c r="G12" s="2" t="n">
        <f aca="false">IF(G$4&gt;0,(IF(F12&lt;&gt;0,F12*G$4/100," ")),IF(F12&lt;&gt;0,F12*G$2/(100+G$2)," "))</f>
        <v>300</v>
      </c>
      <c r="H12" s="2" t="n">
        <f aca="false">IF((F12&lt;&gt;0),F12-G12," ")</f>
        <v>1500</v>
      </c>
      <c r="L12" s="7" t="n">
        <f aca="false">IF(F12&lt;&gt;0,F12-K12," ")</f>
        <v>1800</v>
      </c>
      <c r="M12" s="8" t="n">
        <f aca="false">IF((F12-K12)&lt;&gt;0,M$1-A12," ")</f>
        <v>303</v>
      </c>
      <c r="O12" s="2" t="n">
        <f aca="false">IF((E12="a"),H12," ")</f>
        <v>1500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</row>
    <row r="13" customFormat="false" ht="12" hidden="false" customHeight="false" outlineLevel="0" collapsed="false">
      <c r="A13" s="1" t="n">
        <v>45836</v>
      </c>
      <c r="B13" s="2" t="s">
        <v>50</v>
      </c>
      <c r="E13" s="4" t="s">
        <v>51</v>
      </c>
      <c r="F13" s="2" t="n">
        <v>840</v>
      </c>
      <c r="G13" s="2" t="n">
        <f aca="false">IF(G$4&gt;0,(IF(F13&lt;&gt;0,F13*G$4/100," ")),IF(F13&lt;&gt;0,F13*G$2/(100+G$2)," "))</f>
        <v>140</v>
      </c>
      <c r="H13" s="2" t="n">
        <f aca="false">IF((F13&lt;&gt;0),F13-G13," ")</f>
        <v>700</v>
      </c>
      <c r="L13" s="7" t="n">
        <f aca="false">IF(F13&lt;&gt;0,F13-K13," ")</f>
        <v>840</v>
      </c>
      <c r="M13" s="8" t="n">
        <f aca="false">IF((F13-K13)&lt;&gt;0,M$1-A13," ")</f>
        <v>295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n">
        <f aca="false">IF((E13="d"),H13," ")</f>
        <v>700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</dataValidations>
  <printOptions headings="false" gridLines="true" gridLinesSet="true" horizontalCentered="false" verticalCentered="false"/>
  <pageMargins left="0.196527777777778" right="0.196527777777778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  <colBreaks count="1" manualBreakCount="1">
    <brk id="21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32920</v>
      </c>
      <c r="G1" s="12" t="n">
        <f aca="false">SUM(G5:G300)</f>
        <v>5486.66666666667</v>
      </c>
      <c r="H1" s="12" t="n">
        <f aca="false">SUM(H5:H300)</f>
        <v>27433.3333333333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32920</v>
      </c>
      <c r="M1" s="17" t="n">
        <f aca="true">TODAY()</f>
        <v>46131</v>
      </c>
      <c r="N1" s="18"/>
      <c r="O1" s="12" t="n">
        <f aca="false">SUM(O5:O300)</f>
        <v>25633.3333333333</v>
      </c>
      <c r="P1" s="12" t="n">
        <f aca="false">SUM(P5:P300)</f>
        <v>800</v>
      </c>
      <c r="Q1" s="12" t="n">
        <f aca="false">SUM(Q5:Q300)</f>
        <v>1000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Jun!G2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Jun!G4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45841</v>
      </c>
      <c r="B5" s="2" t="s">
        <v>43</v>
      </c>
      <c r="E5" s="4" t="s">
        <v>42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290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45843</v>
      </c>
      <c r="B6" s="2" t="s">
        <v>44</v>
      </c>
      <c r="E6" s="4" t="s">
        <v>42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288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45846</v>
      </c>
      <c r="B7" s="2" t="s">
        <v>45</v>
      </c>
      <c r="E7" s="4" t="s">
        <v>46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285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45848</v>
      </c>
      <c r="B8" s="2" t="s">
        <v>47</v>
      </c>
      <c r="E8" s="4" t="s">
        <v>46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283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45850</v>
      </c>
      <c r="B9" s="2" t="s">
        <v>52</v>
      </c>
      <c r="E9" s="4" t="s">
        <v>46</v>
      </c>
      <c r="F9" s="2" t="n">
        <v>960</v>
      </c>
      <c r="G9" s="2" t="n">
        <f aca="false">IF(G$4&gt;0,(IF(F9&lt;&gt;0,F9*G$4/100," ")),IF(F9&lt;&gt;0,F9*G$2/(100+G$2)," "))</f>
        <v>160</v>
      </c>
      <c r="H9" s="2" t="n">
        <f aca="false">IF((F9&lt;&gt;0),F9-G9," ")</f>
        <v>800</v>
      </c>
      <c r="L9" s="7" t="n">
        <f aca="false">IF(F9&lt;&gt;0,F9-K9," ")</f>
        <v>960</v>
      </c>
      <c r="M9" s="8" t="n">
        <f aca="false">IF((F9-K9)&lt;&gt;0,M$1-A9," ")</f>
        <v>281</v>
      </c>
      <c r="O9" s="2" t="n">
        <f aca="false">IF((E9="a"),H9," ")</f>
        <v>800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</row>
    <row r="10" customFormat="false" ht="12" hidden="false" customHeight="false" outlineLevel="0" collapsed="false">
      <c r="A10" s="1" t="n">
        <v>45853</v>
      </c>
      <c r="B10" s="2" t="s">
        <v>17</v>
      </c>
      <c r="E10" s="4" t="s">
        <v>46</v>
      </c>
      <c r="F10" s="2" t="n">
        <v>25000</v>
      </c>
      <c r="G10" s="2" t="n">
        <f aca="false">IF(G$4&gt;0,(IF(F10&lt;&gt;0,F10*G$4/100," ")),IF(F10&lt;&gt;0,F10*G$2/(100+G$2)," "))</f>
        <v>4166.66666666667</v>
      </c>
      <c r="H10" s="2" t="n">
        <f aca="false">IF((F10&lt;&gt;0),F10-G10," ")</f>
        <v>20833.3333333333</v>
      </c>
      <c r="L10" s="7" t="n">
        <f aca="false">IF(F10&lt;&gt;0,F10-K10," ")</f>
        <v>25000</v>
      </c>
      <c r="M10" s="8" t="n">
        <f aca="false">IF((F10-K10)&lt;&gt;0,M$1-A10," ")</f>
        <v>278</v>
      </c>
      <c r="O10" s="2" t="n">
        <f aca="false">IF((E10="a"),H10," ")</f>
        <v>20833.3333333333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45854</v>
      </c>
      <c r="B11" s="2" t="s">
        <v>53</v>
      </c>
      <c r="E11" s="4" t="s">
        <v>54</v>
      </c>
      <c r="F11" s="2" t="n">
        <v>1200</v>
      </c>
      <c r="G11" s="2" t="n">
        <f aca="false">IF(G$4&gt;0,(IF(F11&lt;&gt;0,F11*G$4/100," ")),IF(F11&lt;&gt;0,F11*G$2/(100+G$2)," "))</f>
        <v>200</v>
      </c>
      <c r="H11" s="2" t="n">
        <f aca="false">IF((F11&lt;&gt;0),F11-G11," ")</f>
        <v>1000</v>
      </c>
      <c r="L11" s="7" t="n">
        <f aca="false">IF(F11&lt;&gt;0,F11-K11," ")</f>
        <v>1200</v>
      </c>
      <c r="M11" s="8" t="n">
        <f aca="false">IF((F11-K11)&lt;&gt;0,M$1-A11," ")</f>
        <v>277</v>
      </c>
      <c r="O11" s="2" t="str">
        <f aca="false">IF((E11="a"),H11," ")</f>
        <v> </v>
      </c>
      <c r="P11" s="2" t="str">
        <f aca="false">IF((E11="b"),H11," ")</f>
        <v> </v>
      </c>
      <c r="Q11" s="2" t="n">
        <f aca="false">IF((E11="c"),H11," ")</f>
        <v>1000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45856</v>
      </c>
      <c r="B12" s="2" t="s">
        <v>48</v>
      </c>
      <c r="E12" s="4" t="s">
        <v>46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275</v>
      </c>
      <c r="O12" s="2" t="n">
        <f aca="false">IF((E12="a"),H12," ")</f>
        <v>2000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</row>
    <row r="13" customFormat="false" ht="12" hidden="false" customHeight="false" outlineLevel="0" collapsed="false">
      <c r="A13" s="1" t="n">
        <v>45863</v>
      </c>
      <c r="B13" s="2" t="s">
        <v>55</v>
      </c>
      <c r="E13" s="4" t="s">
        <v>46</v>
      </c>
      <c r="F13" s="2" t="n">
        <v>1200</v>
      </c>
      <c r="G13" s="2" t="n">
        <f aca="false">IF(G$4&gt;0,(IF(F13&lt;&gt;0,F13*G$4/100," ")),IF(F13&lt;&gt;0,F13*G$2/(100+G$2)," "))</f>
        <v>200</v>
      </c>
      <c r="H13" s="2" t="n">
        <f aca="false">IF((F13&lt;&gt;0),F13-G13," ")</f>
        <v>1000</v>
      </c>
      <c r="L13" s="7" t="n">
        <f aca="false">IF(F13&lt;&gt;0,F13-K13," ")</f>
        <v>1200</v>
      </c>
      <c r="M13" s="8" t="n">
        <f aca="false">IF((F13-K13)&lt;&gt;0,M$1-A13," ")</f>
        <v>268</v>
      </c>
      <c r="O13" s="2" t="n">
        <f aca="false">IF((E13="a"),H13," ")</f>
        <v>1000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35200</v>
      </c>
      <c r="G1" s="12" t="n">
        <f aca="false">SUM(G5:G300)</f>
        <v>5866.66666666667</v>
      </c>
      <c r="H1" s="12" t="n">
        <f aca="false">SUM(H5:H300)</f>
        <v>29333.3333333333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35200</v>
      </c>
      <c r="M1" s="17" t="n">
        <f aca="true">TODAY()</f>
        <v>46131</v>
      </c>
      <c r="N1" s="18"/>
      <c r="O1" s="12" t="n">
        <f aca="false">SUM(O5:O300)</f>
        <v>26533.3333333333</v>
      </c>
      <c r="P1" s="12" t="n">
        <f aca="false">SUM(P5:P300)</f>
        <v>800</v>
      </c>
      <c r="Q1" s="12" t="n">
        <f aca="false">SUM(Q5:Q300)</f>
        <v>2000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Jul!G2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Jul!G4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45872</v>
      </c>
      <c r="B5" s="2" t="s">
        <v>43</v>
      </c>
      <c r="E5" s="4" t="s">
        <v>42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259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45874</v>
      </c>
      <c r="B6" s="2" t="s">
        <v>44</v>
      </c>
      <c r="E6" s="4" t="s">
        <v>42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257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45877</v>
      </c>
      <c r="B7" s="2" t="s">
        <v>45</v>
      </c>
      <c r="E7" s="4" t="s">
        <v>46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254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45879</v>
      </c>
      <c r="B8" s="2" t="s">
        <v>47</v>
      </c>
      <c r="E8" s="4" t="s">
        <v>46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252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45884</v>
      </c>
      <c r="B9" s="2" t="s">
        <v>17</v>
      </c>
      <c r="E9" s="4" t="s">
        <v>46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247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</row>
    <row r="10" customFormat="false" ht="12" hidden="false" customHeight="false" outlineLevel="0" collapsed="false">
      <c r="A10" s="1" t="n">
        <v>45887</v>
      </c>
      <c r="B10" s="2" t="s">
        <v>48</v>
      </c>
      <c r="E10" s="4" t="s">
        <v>46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244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45889</v>
      </c>
      <c r="B11" s="2" t="s">
        <v>49</v>
      </c>
      <c r="E11" s="4" t="s">
        <v>46</v>
      </c>
      <c r="F11" s="2" t="n">
        <v>1800</v>
      </c>
      <c r="G11" s="2" t="n">
        <f aca="false">IF(G$4&gt;0,(IF(F11&lt;&gt;0,F11*G$4/100," ")),IF(F11&lt;&gt;0,F11*G$2/(100+G$2)," "))</f>
        <v>300</v>
      </c>
      <c r="H11" s="2" t="n">
        <f aca="false">IF((F11&lt;&gt;0),F11-G11," ")</f>
        <v>1500</v>
      </c>
      <c r="L11" s="7" t="n">
        <f aca="false">IF(F11&lt;&gt;0,F11-K11," ")</f>
        <v>1800</v>
      </c>
      <c r="M11" s="8" t="n">
        <f aca="false">IF((F11-K11)&lt;&gt;0,M$1-A11," ")</f>
        <v>242</v>
      </c>
      <c r="O11" s="2" t="n">
        <f aca="false">IF((E11="a"),H11," ")</f>
        <v>1500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45889</v>
      </c>
      <c r="B12" s="2" t="s">
        <v>21</v>
      </c>
      <c r="E12" s="4" t="s">
        <v>54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242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2000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</row>
    <row r="13" customFormat="false" ht="12" hidden="false" customHeight="false" outlineLevel="0" collapsed="false">
      <c r="A13" s="1" t="n">
        <v>45891</v>
      </c>
      <c r="B13" s="2" t="s">
        <v>56</v>
      </c>
      <c r="E13" s="4" t="s">
        <v>46</v>
      </c>
      <c r="F13" s="2" t="n">
        <v>1440</v>
      </c>
      <c r="G13" s="2" t="n">
        <f aca="false">IF(G$4&gt;0,(IF(F13&lt;&gt;0,F13*G$4/100," ")),IF(F13&lt;&gt;0,F13*G$2/(100+G$2)," "))</f>
        <v>240</v>
      </c>
      <c r="H13" s="2" t="n">
        <f aca="false">IF((F13&lt;&gt;0),F13-G13," ")</f>
        <v>1200</v>
      </c>
      <c r="L13" s="7" t="n">
        <f aca="false">IF(F13&lt;&gt;0,F13-K13," ")</f>
        <v>1440</v>
      </c>
      <c r="M13" s="8" t="n">
        <f aca="false">IF((F13-K13)&lt;&gt;0,M$1-A13," ")</f>
        <v>240</v>
      </c>
      <c r="O13" s="2" t="n">
        <f aca="false">IF((E13="a"),H13," ")</f>
        <v>1200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33760</v>
      </c>
      <c r="G1" s="12" t="n">
        <f aca="false">SUM(G5:G300)</f>
        <v>5626.66666666667</v>
      </c>
      <c r="H1" s="12" t="n">
        <f aca="false">SUM(H5:H300)</f>
        <v>28133.3333333333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33760</v>
      </c>
      <c r="M1" s="17" t="n">
        <f aca="true">TODAY()</f>
        <v>46131</v>
      </c>
      <c r="N1" s="18"/>
      <c r="O1" s="12" t="n">
        <f aca="false">SUM(O5:O300)</f>
        <v>25633.3333333333</v>
      </c>
      <c r="P1" s="12" t="n">
        <f aca="false">SUM(P5:P300)</f>
        <v>1800</v>
      </c>
      <c r="Q1" s="12" t="n">
        <f aca="false">SUM(Q5:Q300)</f>
        <v>0</v>
      </c>
      <c r="R1" s="12" t="n">
        <f aca="false">SUM(R5:R300)</f>
        <v>700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Aug!G2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Aug!G4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45901</v>
      </c>
      <c r="B5" s="2" t="s">
        <v>19</v>
      </c>
      <c r="E5" s="4" t="s">
        <v>42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230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45903</v>
      </c>
      <c r="B6" s="2" t="s">
        <v>43</v>
      </c>
      <c r="E6" s="4" t="s">
        <v>42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228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45905</v>
      </c>
      <c r="B7" s="2" t="s">
        <v>44</v>
      </c>
      <c r="E7" s="4" t="s">
        <v>42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226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45908</v>
      </c>
      <c r="B8" s="2" t="s">
        <v>45</v>
      </c>
      <c r="E8" s="4" t="s">
        <v>46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223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45910</v>
      </c>
      <c r="B9" s="2" t="s">
        <v>47</v>
      </c>
      <c r="E9" s="4" t="s">
        <v>46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221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</row>
    <row r="10" customFormat="false" ht="12" hidden="false" customHeight="false" outlineLevel="0" collapsed="false">
      <c r="A10" s="1" t="n">
        <v>45914</v>
      </c>
      <c r="B10" s="2" t="s">
        <v>57</v>
      </c>
      <c r="E10" s="4" t="s">
        <v>46</v>
      </c>
      <c r="F10" s="2" t="n">
        <v>2160</v>
      </c>
      <c r="G10" s="2" t="n">
        <f aca="false">IF(G$4&gt;0,(IF(F10&lt;&gt;0,F10*G$4/100," ")),IF(F10&lt;&gt;0,F10*G$2/(100+G$2)," "))</f>
        <v>360</v>
      </c>
      <c r="H10" s="2" t="n">
        <f aca="false">IF((F10&lt;&gt;0),F10-G10," ")</f>
        <v>1800</v>
      </c>
      <c r="L10" s="7" t="n">
        <f aca="false">IF(F10&lt;&gt;0,F10-K10," ")</f>
        <v>2160</v>
      </c>
      <c r="M10" s="8" t="n">
        <f aca="false">IF((F10-K10)&lt;&gt;0,M$1-A10," ")</f>
        <v>217</v>
      </c>
      <c r="O10" s="2" t="n">
        <f aca="false">IF((E10="a"),H10," ")</f>
        <v>1800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45915</v>
      </c>
      <c r="B11" s="2" t="s">
        <v>17</v>
      </c>
      <c r="E11" s="4" t="s">
        <v>46</v>
      </c>
      <c r="F11" s="2" t="n">
        <v>25000</v>
      </c>
      <c r="G11" s="2" t="n">
        <f aca="false">IF(G$4&gt;0,(IF(F11&lt;&gt;0,F11*G$4/100," ")),IF(F11&lt;&gt;0,F11*G$2/(100+G$2)," "))</f>
        <v>4166.66666666667</v>
      </c>
      <c r="H11" s="2" t="n">
        <f aca="false">IF((F11&lt;&gt;0),F11-G11," ")</f>
        <v>20833.3333333333</v>
      </c>
      <c r="L11" s="7" t="n">
        <f aca="false">IF(F11&lt;&gt;0,F11-K11," ")</f>
        <v>25000</v>
      </c>
      <c r="M11" s="8" t="n">
        <f aca="false">IF((F11-K11)&lt;&gt;0,M$1-A11," ")</f>
        <v>216</v>
      </c>
      <c r="O11" s="2" t="n">
        <f aca="false">IF((E11="a"),H11," ")</f>
        <v>20833.3333333333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45918</v>
      </c>
      <c r="B12" s="2" t="s">
        <v>48</v>
      </c>
      <c r="E12" s="4" t="s">
        <v>46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213</v>
      </c>
      <c r="O12" s="2" t="n">
        <f aca="false">IF((E12="a"),H12," ")</f>
        <v>2000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</row>
    <row r="13" customFormat="false" ht="12" hidden="false" customHeight="false" outlineLevel="0" collapsed="false">
      <c r="A13" s="1" t="n">
        <v>45928</v>
      </c>
      <c r="B13" s="2" t="s">
        <v>50</v>
      </c>
      <c r="E13" s="4" t="s">
        <v>51</v>
      </c>
      <c r="F13" s="2" t="n">
        <v>840</v>
      </c>
      <c r="G13" s="2" t="n">
        <f aca="false">IF(G$4&gt;0,(IF(F13&lt;&gt;0,F13*G$4/100," ")),IF(F13&lt;&gt;0,F13*G$2/(100+G$2)," "))</f>
        <v>140</v>
      </c>
      <c r="H13" s="2" t="n">
        <f aca="false">IF((F13&lt;&gt;0),F13-G13," ")</f>
        <v>700</v>
      </c>
      <c r="L13" s="7" t="n">
        <f aca="false">IF(F13&lt;&gt;0,F13-K13," ")</f>
        <v>840</v>
      </c>
      <c r="M13" s="8" t="n">
        <f aca="false">IF((F13-K13)&lt;&gt;0,M$1-A13," ")</f>
        <v>203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n">
        <f aca="false">IF((E13="d"),H13," ")</f>
        <v>700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36020</v>
      </c>
      <c r="G1" s="12" t="n">
        <f aca="false">SUM(G5:G300)</f>
        <v>6003.33333333333</v>
      </c>
      <c r="H1" s="12" t="n">
        <f aca="false">SUM(H5:H300)</f>
        <v>30016.6666666667</v>
      </c>
      <c r="I1" s="13"/>
      <c r="J1" s="14" t="s">
        <v>2</v>
      </c>
      <c r="K1" s="15" t="n">
        <f aca="false">SUM(K5:K300)</f>
        <v>0</v>
      </c>
      <c r="L1" s="16" t="n">
        <f aca="false">SUM(L5:L300)</f>
        <v>36020</v>
      </c>
      <c r="M1" s="17" t="n">
        <f aca="true">TODAY()</f>
        <v>46131</v>
      </c>
      <c r="N1" s="18"/>
      <c r="O1" s="12" t="n">
        <f aca="false">SUM(O5:O300)</f>
        <v>27133.3333333333</v>
      </c>
      <c r="P1" s="12" t="n">
        <f aca="false">SUM(P5:P300)</f>
        <v>800</v>
      </c>
      <c r="Q1" s="12" t="n">
        <f aca="false">SUM(Q5:Q300)</f>
        <v>0</v>
      </c>
      <c r="R1" s="12" t="n">
        <f aca="false">SUM(R5:R300)</f>
        <v>0</v>
      </c>
      <c r="S1" s="12" t="n">
        <f aca="false">SUM(S5:S300)</f>
        <v>2083.33333333333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Sep!G2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Sep!G4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45931</v>
      </c>
      <c r="B5" s="2" t="s">
        <v>58</v>
      </c>
      <c r="E5" s="4" t="s">
        <v>59</v>
      </c>
      <c r="F5" s="2" t="n">
        <v>2500</v>
      </c>
      <c r="G5" s="2" t="n">
        <f aca="false">IF(G$4&gt;0,(IF(F5&lt;&gt;0,F5*G$4/100," ")),IF(F5&lt;&gt;0,F5*G$2/(100+G$2)," "))</f>
        <v>416.666666666667</v>
      </c>
      <c r="H5" s="2" t="n">
        <f aca="false">IF((F5&lt;&gt;0),F5-G5," ")</f>
        <v>2083.33333333333</v>
      </c>
      <c r="L5" s="7" t="n">
        <f aca="false">IF(F5&lt;&gt;0,F5-K5," ")</f>
        <v>2500</v>
      </c>
      <c r="M5" s="8" t="n">
        <f aca="false">IF((F5-K5)&lt;&gt;0,M$1-A5," ")</f>
        <v>200</v>
      </c>
      <c r="O5" s="2" t="str">
        <f aca="false">IF((E5="a"),H5," ")</f>
        <v> </v>
      </c>
      <c r="P5" s="2" t="str">
        <f aca="false">IF((E5="b"),H5," ")</f>
        <v> </v>
      </c>
      <c r="Q5" s="2" t="str">
        <f aca="false">IF((E5="c"),H5," ")</f>
        <v> </v>
      </c>
      <c r="R5" s="2" t="str">
        <f aca="false">IF((E5="d"),H5," ")</f>
        <v> </v>
      </c>
      <c r="S5" s="2" t="n">
        <f aca="false">IF((E5="g"),H5," ")</f>
        <v>2083.33333333333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45933</v>
      </c>
      <c r="B6" s="2" t="s">
        <v>43</v>
      </c>
      <c r="E6" s="4" t="s">
        <v>42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198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45935</v>
      </c>
      <c r="B7" s="2" t="s">
        <v>44</v>
      </c>
      <c r="E7" s="4" t="s">
        <v>42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196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45938</v>
      </c>
      <c r="B8" s="2" t="s">
        <v>45</v>
      </c>
      <c r="E8" s="4" t="s">
        <v>46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193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45940</v>
      </c>
      <c r="B9" s="2" t="s">
        <v>47</v>
      </c>
      <c r="E9" s="4" t="s">
        <v>46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191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</row>
    <row r="10" customFormat="false" ht="12" hidden="false" customHeight="false" outlineLevel="0" collapsed="false">
      <c r="A10" s="1" t="n">
        <v>45942</v>
      </c>
      <c r="B10" s="2" t="s">
        <v>52</v>
      </c>
      <c r="E10" s="4" t="s">
        <v>46</v>
      </c>
      <c r="F10" s="2" t="n">
        <v>960</v>
      </c>
      <c r="G10" s="2" t="n">
        <f aca="false">IF(G$4&gt;0,(IF(F10&lt;&gt;0,F10*G$4/100," ")),IF(F10&lt;&gt;0,F10*G$2/(100+G$2)," "))</f>
        <v>160</v>
      </c>
      <c r="H10" s="2" t="n">
        <f aca="false">IF((F10&lt;&gt;0),F10-G10," ")</f>
        <v>800</v>
      </c>
      <c r="L10" s="7" t="n">
        <f aca="false">IF(F10&lt;&gt;0,F10-K10," ")</f>
        <v>960</v>
      </c>
      <c r="M10" s="8" t="n">
        <f aca="false">IF((F10-K10)&lt;&gt;0,M$1-A10," ")</f>
        <v>189</v>
      </c>
      <c r="O10" s="2" t="n">
        <f aca="false">IF((E10="a"),H10," ")</f>
        <v>800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45945</v>
      </c>
      <c r="B11" s="2" t="s">
        <v>17</v>
      </c>
      <c r="E11" s="4" t="s">
        <v>46</v>
      </c>
      <c r="F11" s="2" t="n">
        <v>25000</v>
      </c>
      <c r="G11" s="2" t="n">
        <f aca="false">IF(G$4&gt;0,(IF(F11&lt;&gt;0,F11*G$4/100," ")),IF(F11&lt;&gt;0,F11*G$2/(100+G$2)," "))</f>
        <v>4166.66666666667</v>
      </c>
      <c r="H11" s="2" t="n">
        <f aca="false">IF((F11&lt;&gt;0),F11-G11," ")</f>
        <v>20833.3333333333</v>
      </c>
      <c r="L11" s="7" t="n">
        <f aca="false">IF(F11&lt;&gt;0,F11-K11," ")</f>
        <v>25000</v>
      </c>
      <c r="M11" s="8" t="n">
        <f aca="false">IF((F11-K11)&lt;&gt;0,M$1-A11," ")</f>
        <v>186</v>
      </c>
      <c r="O11" s="2" t="n">
        <f aca="false">IF((E11="a"),H11," ")</f>
        <v>20833.3333333333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45948</v>
      </c>
      <c r="B12" s="2" t="s">
        <v>48</v>
      </c>
      <c r="E12" s="4" t="s">
        <v>46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183</v>
      </c>
      <c r="O12" s="2" t="n">
        <f aca="false">IF((E12="a"),H12," ")</f>
        <v>2000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</row>
    <row r="13" customFormat="false" ht="12" hidden="false" customHeight="false" outlineLevel="0" collapsed="false">
      <c r="A13" s="1" t="n">
        <v>45950</v>
      </c>
      <c r="B13" s="2" t="s">
        <v>49</v>
      </c>
      <c r="E13" s="4" t="s">
        <v>46</v>
      </c>
      <c r="F13" s="2" t="n">
        <v>1800</v>
      </c>
      <c r="G13" s="2" t="n">
        <f aca="false">IF(G$4&gt;0,(IF(F13&lt;&gt;0,F13*G$4/100," ")),IF(F13&lt;&gt;0,F13*G$2/(100+G$2)," "))</f>
        <v>300</v>
      </c>
      <c r="H13" s="2" t="n">
        <f aca="false">IF((F13&lt;&gt;0),F13-G13," ")</f>
        <v>1500</v>
      </c>
      <c r="L13" s="7" t="n">
        <f aca="false">IF(F13&lt;&gt;0,F13-K13," ")</f>
        <v>1800</v>
      </c>
      <c r="M13" s="8" t="n">
        <f aca="false">IF((F13-K13)&lt;&gt;0,M$1-A13," ")</f>
        <v>181</v>
      </c>
      <c r="O13" s="2" t="n">
        <f aca="false">IF((E13="a"),H13," ")</f>
        <v>1500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A14" s="1" t="n">
        <v>45955</v>
      </c>
      <c r="B14" s="2" t="s">
        <v>55</v>
      </c>
      <c r="E14" s="4" t="s">
        <v>46</v>
      </c>
      <c r="F14" s="2" t="n">
        <v>1200</v>
      </c>
      <c r="G14" s="2" t="n">
        <f aca="false">IF(G$4&gt;0,(IF(F14&lt;&gt;0,F14*G$4/100," ")),IF(F14&lt;&gt;0,F14*G$2/(100+G$2)," "))</f>
        <v>200</v>
      </c>
      <c r="H14" s="2" t="n">
        <f aca="false">IF((F14&lt;&gt;0),F14-G14," ")</f>
        <v>1000</v>
      </c>
      <c r="L14" s="7" t="n">
        <f aca="false">IF(F14&lt;&gt;0,F14-K14," ")</f>
        <v>1200</v>
      </c>
      <c r="M14" s="8" t="n">
        <f aca="false">IF((F14-K14)&lt;&gt;0,M$1-A14," ")</f>
        <v>176</v>
      </c>
      <c r="O14" s="2" t="n">
        <f aca="false">IF((E14="a"),H14," ")</f>
        <v>1000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33760</v>
      </c>
      <c r="G1" s="12" t="n">
        <f aca="false">SUM(G5:G300)</f>
        <v>5626.66666666667</v>
      </c>
      <c r="H1" s="12" t="n">
        <f aca="false">SUM(H5:H300)</f>
        <v>28133.3333333333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33760</v>
      </c>
      <c r="M1" s="17" t="n">
        <f aca="true">TODAY()</f>
        <v>46131</v>
      </c>
      <c r="N1" s="18"/>
      <c r="O1" s="12" t="n">
        <f aca="false">SUM(O5:O300)</f>
        <v>25033.3333333333</v>
      </c>
      <c r="P1" s="12" t="n">
        <f aca="false">SUM(P5:P300)</f>
        <v>800</v>
      </c>
      <c r="Q1" s="12" t="n">
        <f aca="false">SUM(Q5:Q300)</f>
        <v>1800</v>
      </c>
      <c r="R1" s="12" t="n">
        <f aca="false">SUM(R5:R300)</f>
        <v>500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Oct!G2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Oct!G4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45964</v>
      </c>
      <c r="B5" s="2" t="s">
        <v>43</v>
      </c>
      <c r="E5" s="4" t="s">
        <v>42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167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45966</v>
      </c>
      <c r="B6" s="2" t="s">
        <v>44</v>
      </c>
      <c r="E6" s="4" t="s">
        <v>42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165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45969</v>
      </c>
      <c r="B7" s="2" t="s">
        <v>45</v>
      </c>
      <c r="E7" s="4" t="s">
        <v>46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162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45971</v>
      </c>
      <c r="B8" s="2" t="s">
        <v>47</v>
      </c>
      <c r="E8" s="4" t="s">
        <v>46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160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45976</v>
      </c>
      <c r="B9" s="2" t="s">
        <v>17</v>
      </c>
      <c r="E9" s="4" t="s">
        <v>46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155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</row>
    <row r="10" customFormat="false" ht="12" hidden="false" customHeight="false" outlineLevel="0" collapsed="false">
      <c r="A10" s="1" t="n">
        <v>45977</v>
      </c>
      <c r="B10" s="2" t="s">
        <v>53</v>
      </c>
      <c r="E10" s="4" t="s">
        <v>54</v>
      </c>
      <c r="F10" s="2" t="n">
        <v>1200</v>
      </c>
      <c r="G10" s="2" t="n">
        <f aca="false">IF(G$4&gt;0,(IF(F10&lt;&gt;0,F10*G$4/100," ")),IF(F10&lt;&gt;0,F10*G$2/(100+G$2)," "))</f>
        <v>200</v>
      </c>
      <c r="H10" s="2" t="n">
        <f aca="false">IF((F10&lt;&gt;0),F10-G10," ")</f>
        <v>1000</v>
      </c>
      <c r="L10" s="7" t="n">
        <f aca="false">IF(F10&lt;&gt;0,F10-K10," ")</f>
        <v>1200</v>
      </c>
      <c r="M10" s="8" t="n">
        <f aca="false">IF((F10-K10)&lt;&gt;0,M$1-A10," ")</f>
        <v>154</v>
      </c>
      <c r="O10" s="2" t="str">
        <f aca="false">IF((E10="a"),H10," ")</f>
        <v> </v>
      </c>
      <c r="P10" s="2" t="str">
        <f aca="false">IF((E10="b"),H10," ")</f>
        <v> </v>
      </c>
      <c r="Q10" s="2" t="n">
        <f aca="false">IF((E10="c"),H10," ")</f>
        <v>1000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45979</v>
      </c>
      <c r="B11" s="2" t="s">
        <v>48</v>
      </c>
      <c r="E11" s="4" t="s">
        <v>46</v>
      </c>
      <c r="F11" s="2" t="n">
        <v>2400</v>
      </c>
      <c r="G11" s="2" t="n">
        <f aca="false">IF(G$4&gt;0,(IF(F11&lt;&gt;0,F11*G$4/100," ")),IF(F11&lt;&gt;0,F11*G$2/(100+G$2)," "))</f>
        <v>400</v>
      </c>
      <c r="H11" s="2" t="n">
        <f aca="false">IF((F11&lt;&gt;0),F11-G11," ")</f>
        <v>2000</v>
      </c>
      <c r="L11" s="7" t="n">
        <f aca="false">IF(F11&lt;&gt;0,F11-K11," ")</f>
        <v>2400</v>
      </c>
      <c r="M11" s="8" t="n">
        <f aca="false">IF((F11-K11)&lt;&gt;0,M$1-A11," ")</f>
        <v>152</v>
      </c>
      <c r="O11" s="2" t="n">
        <f aca="false">IF((E11="a"),H11," ")</f>
        <v>2000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45981</v>
      </c>
      <c r="B12" s="2" t="s">
        <v>60</v>
      </c>
      <c r="E12" s="4" t="s">
        <v>54</v>
      </c>
      <c r="F12" s="2" t="n">
        <v>960</v>
      </c>
      <c r="G12" s="2" t="n">
        <f aca="false">IF(G$4&gt;0,(IF(F12&lt;&gt;0,F12*G$4/100," ")),IF(F12&lt;&gt;0,F12*G$2/(100+G$2)," "))</f>
        <v>160</v>
      </c>
      <c r="H12" s="2" t="n">
        <f aca="false">IF((F12&lt;&gt;0),F12-G12," ")</f>
        <v>800</v>
      </c>
      <c r="L12" s="7" t="n">
        <f aca="false">IF(F12&lt;&gt;0,F12-K12," ")</f>
        <v>960</v>
      </c>
      <c r="M12" s="8" t="n">
        <f aca="false">IF((F12-K12)&lt;&gt;0,M$1-A12," ")</f>
        <v>150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800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</row>
    <row r="13" customFormat="false" ht="12" hidden="false" customHeight="false" outlineLevel="0" collapsed="false">
      <c r="A13" s="1" t="n">
        <v>45983</v>
      </c>
      <c r="B13" s="2" t="s">
        <v>56</v>
      </c>
      <c r="E13" s="4" t="s">
        <v>46</v>
      </c>
      <c r="F13" s="2" t="n">
        <v>1440</v>
      </c>
      <c r="G13" s="2" t="n">
        <f aca="false">IF(G$4&gt;0,(IF(F13&lt;&gt;0,F13*G$4/100," ")),IF(F13&lt;&gt;0,F13*G$2/(100+G$2)," "))</f>
        <v>240</v>
      </c>
      <c r="H13" s="2" t="n">
        <f aca="false">IF((F13&lt;&gt;0),F13-G13," ")</f>
        <v>1200</v>
      </c>
      <c r="L13" s="7" t="n">
        <f aca="false">IF(F13&lt;&gt;0,F13-K13," ")</f>
        <v>1440</v>
      </c>
      <c r="M13" s="8" t="n">
        <f aca="false">IF((F13-K13)&lt;&gt;0,M$1-A13," ")</f>
        <v>148</v>
      </c>
      <c r="O13" s="2" t="n">
        <f aca="false">IF((E13="a"),H13," ")</f>
        <v>1200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A14" s="1" t="n">
        <v>45986</v>
      </c>
      <c r="B14" s="2" t="s">
        <v>61</v>
      </c>
      <c r="E14" s="4" t="s">
        <v>51</v>
      </c>
      <c r="F14" s="2" t="n">
        <v>600</v>
      </c>
      <c r="G14" s="2" t="n">
        <f aca="false">IF(G$4&gt;0,(IF(F14&lt;&gt;0,F14*G$4/100," ")),IF(F14&lt;&gt;0,F14*G$2/(100+G$2)," "))</f>
        <v>100</v>
      </c>
      <c r="H14" s="2" t="n">
        <f aca="false">IF((F14&lt;&gt;0),F14-G14," ")</f>
        <v>500</v>
      </c>
      <c r="L14" s="7" t="n">
        <f aca="false">IF(F14&lt;&gt;0,F14-K14," ")</f>
        <v>600</v>
      </c>
      <c r="M14" s="8" t="n">
        <f aca="false">IF((F14-K14)&lt;&gt;0,M$1-A14," ")</f>
        <v>145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n">
        <f aca="false">IF((E14="d"),H14," ")</f>
        <v>500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50560</v>
      </c>
      <c r="G1" s="12" t="n">
        <f aca="false">SUM(G5:G300)</f>
        <v>8426.66666666667</v>
      </c>
      <c r="H1" s="12" t="n">
        <f aca="false">SUM(H5:H300)</f>
        <v>42133.3333333333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50560</v>
      </c>
      <c r="M1" s="17" t="n">
        <f aca="true">TODAY()</f>
        <v>46131</v>
      </c>
      <c r="N1" s="18"/>
      <c r="O1" s="12" t="n">
        <f aca="false">SUM(O5:O300)</f>
        <v>27133.3333333333</v>
      </c>
      <c r="P1" s="12" t="n">
        <f aca="false">SUM(P5:P300)</f>
        <v>1800</v>
      </c>
      <c r="Q1" s="12" t="n">
        <f aca="false">SUM(Q5:Q300)</f>
        <v>0</v>
      </c>
      <c r="R1" s="12" t="n">
        <f aca="false">SUM(R5:R300)</f>
        <v>700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12500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Nov!G2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Nov!G4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45992</v>
      </c>
      <c r="B5" s="2" t="s">
        <v>19</v>
      </c>
      <c r="E5" s="4" t="s">
        <v>42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139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45994</v>
      </c>
      <c r="B6" s="2" t="s">
        <v>43</v>
      </c>
      <c r="E6" s="4" t="s">
        <v>42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137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45996</v>
      </c>
      <c r="B7" s="2" t="s">
        <v>44</v>
      </c>
      <c r="E7" s="4" t="s">
        <v>42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135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45999</v>
      </c>
      <c r="B8" s="2" t="s">
        <v>45</v>
      </c>
      <c r="E8" s="4" t="s">
        <v>46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132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46001</v>
      </c>
      <c r="B9" s="2" t="s">
        <v>62</v>
      </c>
      <c r="E9" s="4" t="s">
        <v>63</v>
      </c>
      <c r="F9" s="2" t="n">
        <v>15000</v>
      </c>
      <c r="G9" s="2" t="n">
        <f aca="false">IF(G$4&gt;0,(IF(F9&lt;&gt;0,F9*G$4/100," ")),IF(F9&lt;&gt;0,F9*G$2/(100+G$2)," "))</f>
        <v>2500</v>
      </c>
      <c r="H9" s="2" t="n">
        <f aca="false">IF((F9&lt;&gt;0),F9-G9," ")</f>
        <v>12500</v>
      </c>
      <c r="L9" s="7" t="n">
        <f aca="false">IF(F9&lt;&gt;0,F9-K9," ")</f>
        <v>15000</v>
      </c>
      <c r="M9" s="8" t="n">
        <f aca="false">IF((F9-K9)&lt;&gt;0,M$1-A9," ")</f>
        <v>130</v>
      </c>
      <c r="O9" s="2" t="str">
        <f aca="false">IF((E9="a"),H9," ")</f>
        <v> 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n">
        <f aca="false">IF((E9="FS"),H9," ")</f>
        <v>12500</v>
      </c>
    </row>
    <row r="10" customFormat="false" ht="12" hidden="false" customHeight="false" outlineLevel="0" collapsed="false">
      <c r="A10" s="1" t="n">
        <v>46001</v>
      </c>
      <c r="B10" s="2" t="s">
        <v>47</v>
      </c>
      <c r="E10" s="4" t="s">
        <v>46</v>
      </c>
      <c r="F10" s="2" t="n">
        <v>720</v>
      </c>
      <c r="G10" s="2" t="n">
        <f aca="false">IF(G$4&gt;0,(IF(F10&lt;&gt;0,F10*G$4/100," ")),IF(F10&lt;&gt;0,F10*G$2/(100+G$2)," "))</f>
        <v>120</v>
      </c>
      <c r="H10" s="2" t="n">
        <f aca="false">IF((F10&lt;&gt;0),F10-G10," ")</f>
        <v>600</v>
      </c>
      <c r="L10" s="7" t="n">
        <f aca="false">IF(F10&lt;&gt;0,F10-K10," ")</f>
        <v>720</v>
      </c>
      <c r="M10" s="8" t="n">
        <f aca="false">IF((F10-K10)&lt;&gt;0,M$1-A10," ")</f>
        <v>130</v>
      </c>
      <c r="O10" s="2" t="n">
        <f aca="false">IF((E10="a"),H10," ")</f>
        <v>600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46005</v>
      </c>
      <c r="B11" s="2" t="s">
        <v>57</v>
      </c>
      <c r="E11" s="4" t="s">
        <v>46</v>
      </c>
      <c r="F11" s="2" t="n">
        <v>2160</v>
      </c>
      <c r="G11" s="2" t="n">
        <f aca="false">IF(G$4&gt;0,(IF(F11&lt;&gt;0,F11*G$4/100," ")),IF(F11&lt;&gt;0,F11*G$2/(100+G$2)," "))</f>
        <v>360</v>
      </c>
      <c r="H11" s="2" t="n">
        <f aca="false">IF((F11&lt;&gt;0),F11-G11," ")</f>
        <v>1800</v>
      </c>
      <c r="L11" s="7" t="n">
        <f aca="false">IF(F11&lt;&gt;0,F11-K11," ")</f>
        <v>2160</v>
      </c>
      <c r="M11" s="8" t="n">
        <f aca="false">IF((F11-K11)&lt;&gt;0,M$1-A11," ")</f>
        <v>126</v>
      </c>
      <c r="O11" s="2" t="n">
        <f aca="false">IF((E11="a"),H11," ")</f>
        <v>1800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46006</v>
      </c>
      <c r="B12" s="2" t="s">
        <v>17</v>
      </c>
      <c r="E12" s="4" t="s">
        <v>46</v>
      </c>
      <c r="F12" s="2" t="n">
        <v>25000</v>
      </c>
      <c r="G12" s="2" t="n">
        <f aca="false">IF(G$4&gt;0,(IF(F12&lt;&gt;0,F12*G$4/100," ")),IF(F12&lt;&gt;0,F12*G$2/(100+G$2)," "))</f>
        <v>4166.66666666667</v>
      </c>
      <c r="H12" s="2" t="n">
        <f aca="false">IF((F12&lt;&gt;0),F12-G12," ")</f>
        <v>20833.3333333333</v>
      </c>
      <c r="L12" s="7" t="n">
        <f aca="false">IF(F12&lt;&gt;0,F12-K12," ")</f>
        <v>25000</v>
      </c>
      <c r="M12" s="8" t="n">
        <f aca="false">IF((F12-K12)&lt;&gt;0,M$1-A12," ")</f>
        <v>125</v>
      </c>
      <c r="O12" s="2" t="n">
        <f aca="false">IF((E12="a"),H12," ")</f>
        <v>20833.3333333333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</row>
    <row r="13" customFormat="false" ht="12" hidden="false" customHeight="false" outlineLevel="0" collapsed="false">
      <c r="A13" s="1" t="n">
        <v>46009</v>
      </c>
      <c r="B13" s="2" t="s">
        <v>48</v>
      </c>
      <c r="E13" s="4" t="s">
        <v>46</v>
      </c>
      <c r="F13" s="2" t="n">
        <v>2400</v>
      </c>
      <c r="G13" s="2" t="n">
        <f aca="false">IF(G$4&gt;0,(IF(F13&lt;&gt;0,F13*G$4/100," ")),IF(F13&lt;&gt;0,F13*G$2/(100+G$2)," "))</f>
        <v>400</v>
      </c>
      <c r="H13" s="2" t="n">
        <f aca="false">IF((F13&lt;&gt;0),F13-G13," ")</f>
        <v>2000</v>
      </c>
      <c r="L13" s="7" t="n">
        <f aca="false">IF(F13&lt;&gt;0,F13-K13," ")</f>
        <v>2400</v>
      </c>
      <c r="M13" s="8" t="n">
        <f aca="false">IF((F13-K13)&lt;&gt;0,M$1-A13," ")</f>
        <v>122</v>
      </c>
      <c r="O13" s="2" t="n">
        <f aca="false">IF((E13="a"),H13," ")</f>
        <v>2000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A14" s="1" t="n">
        <v>46011</v>
      </c>
      <c r="B14" s="2" t="s">
        <v>49</v>
      </c>
      <c r="E14" s="4" t="s">
        <v>46</v>
      </c>
      <c r="F14" s="2" t="n">
        <v>1800</v>
      </c>
      <c r="G14" s="2" t="n">
        <f aca="false">IF(G$4&gt;0,(IF(F14&lt;&gt;0,F14*G$4/100," ")),IF(F14&lt;&gt;0,F14*G$2/(100+G$2)," "))</f>
        <v>300</v>
      </c>
      <c r="H14" s="2" t="n">
        <f aca="false">IF((F14&lt;&gt;0),F14-G14," ")</f>
        <v>1500</v>
      </c>
      <c r="L14" s="7" t="n">
        <f aca="false">IF(F14&lt;&gt;0,F14-K14," ")</f>
        <v>1800</v>
      </c>
      <c r="M14" s="8" t="n">
        <f aca="false">IF((F14-K14)&lt;&gt;0,M$1-A14," ")</f>
        <v>120</v>
      </c>
      <c r="O14" s="2" t="n">
        <f aca="false">IF((E14="a"),H14," ")</f>
        <v>1500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A15" s="1" t="n">
        <v>46019</v>
      </c>
      <c r="B15" s="2" t="s">
        <v>50</v>
      </c>
      <c r="E15" s="4" t="s">
        <v>51</v>
      </c>
      <c r="F15" s="2" t="n">
        <v>840</v>
      </c>
      <c r="G15" s="2" t="n">
        <f aca="false">IF(G$4&gt;0,(IF(F15&lt;&gt;0,F15*G$4/100," ")),IF(F15&lt;&gt;0,F15*G$2/(100+G$2)," "))</f>
        <v>140</v>
      </c>
      <c r="H15" s="2" t="n">
        <f aca="false">IF((F15&lt;&gt;0),F15-G15," ")</f>
        <v>700</v>
      </c>
      <c r="L15" s="7" t="n">
        <f aca="false">IF(F15&lt;&gt;0,F15-K15," ")</f>
        <v>840</v>
      </c>
      <c r="M15" s="8" t="n">
        <f aca="false">IF((F15-K15)&lt;&gt;0,M$1-A15," ")</f>
        <v>112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n">
        <f aca="false">IF((E15="d"),H15," ")</f>
        <v>700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35320</v>
      </c>
      <c r="G1" s="12" t="n">
        <f aca="false">SUM(G5:G300)</f>
        <v>5886.66666666667</v>
      </c>
      <c r="H1" s="12" t="n">
        <f aca="false">SUM(H5:H300)</f>
        <v>29433.3333333333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35320</v>
      </c>
      <c r="M1" s="17" t="n">
        <f aca="true">TODAY()</f>
        <v>46131</v>
      </c>
      <c r="N1" s="18"/>
      <c r="O1" s="12" t="n">
        <f aca="false">SUM(O5:O300)</f>
        <v>25633.3333333333</v>
      </c>
      <c r="P1" s="12" t="n">
        <f aca="false">SUM(P5:P300)</f>
        <v>800</v>
      </c>
      <c r="Q1" s="12" t="n">
        <f aca="false">SUM(Q5:Q300)</f>
        <v>3000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Dec!G2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Dec!G4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46025</v>
      </c>
      <c r="B5" s="2" t="s">
        <v>43</v>
      </c>
      <c r="E5" s="4" t="s">
        <v>42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106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46027</v>
      </c>
      <c r="B6" s="2" t="s">
        <v>44</v>
      </c>
      <c r="E6" s="4" t="s">
        <v>42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104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46030</v>
      </c>
      <c r="B7" s="2" t="s">
        <v>45</v>
      </c>
      <c r="E7" s="4" t="s">
        <v>46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101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46032</v>
      </c>
      <c r="B8" s="2" t="s">
        <v>47</v>
      </c>
      <c r="E8" s="4" t="s">
        <v>46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99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46034</v>
      </c>
      <c r="B9" s="2" t="s">
        <v>52</v>
      </c>
      <c r="E9" s="4" t="s">
        <v>46</v>
      </c>
      <c r="F9" s="2" t="n">
        <v>960</v>
      </c>
      <c r="G9" s="2" t="n">
        <f aca="false">IF(G$4&gt;0,(IF(F9&lt;&gt;0,F9*G$4/100," ")),IF(F9&lt;&gt;0,F9*G$2/(100+G$2)," "))</f>
        <v>160</v>
      </c>
      <c r="H9" s="2" t="n">
        <f aca="false">IF((F9&lt;&gt;0),F9-G9," ")</f>
        <v>800</v>
      </c>
      <c r="L9" s="7" t="n">
        <f aca="false">IF(F9&lt;&gt;0,F9-K9," ")</f>
        <v>960</v>
      </c>
      <c r="M9" s="8" t="n">
        <f aca="false">IF((F9-K9)&lt;&gt;0,M$1-A9," ")</f>
        <v>97</v>
      </c>
      <c r="O9" s="2" t="n">
        <f aca="false">IF((E9="a"),H9," ")</f>
        <v>800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</row>
    <row r="10" customFormat="false" ht="12" hidden="false" customHeight="false" outlineLevel="0" collapsed="false">
      <c r="A10" s="1" t="n">
        <v>46037</v>
      </c>
      <c r="B10" s="2" t="s">
        <v>17</v>
      </c>
      <c r="E10" s="4" t="s">
        <v>46</v>
      </c>
      <c r="F10" s="2" t="n">
        <v>25000</v>
      </c>
      <c r="G10" s="2" t="n">
        <f aca="false">IF(G$4&gt;0,(IF(F10&lt;&gt;0,F10*G$4/100," ")),IF(F10&lt;&gt;0,F10*G$2/(100+G$2)," "))</f>
        <v>4166.66666666667</v>
      </c>
      <c r="H10" s="2" t="n">
        <f aca="false">IF((F10&lt;&gt;0),F10-G10," ")</f>
        <v>20833.3333333333</v>
      </c>
      <c r="L10" s="7" t="n">
        <f aca="false">IF(F10&lt;&gt;0,F10-K10," ")</f>
        <v>25000</v>
      </c>
      <c r="M10" s="8" t="n">
        <f aca="false">IF((F10-K10)&lt;&gt;0,M$1-A10," ")</f>
        <v>94</v>
      </c>
      <c r="O10" s="2" t="n">
        <f aca="false">IF((E10="a"),H10," ")</f>
        <v>20833.3333333333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46040</v>
      </c>
      <c r="B11" s="2" t="s">
        <v>48</v>
      </c>
      <c r="E11" s="4" t="s">
        <v>46</v>
      </c>
      <c r="F11" s="2" t="n">
        <v>2400</v>
      </c>
      <c r="G11" s="2" t="n">
        <f aca="false">IF(G$4&gt;0,(IF(F11&lt;&gt;0,F11*G$4/100," ")),IF(F11&lt;&gt;0,F11*G$2/(100+G$2)," "))</f>
        <v>400</v>
      </c>
      <c r="H11" s="2" t="n">
        <f aca="false">IF((F11&lt;&gt;0),F11-G11," ")</f>
        <v>2000</v>
      </c>
      <c r="L11" s="7" t="n">
        <f aca="false">IF(F11&lt;&gt;0,F11-K11," ")</f>
        <v>2400</v>
      </c>
      <c r="M11" s="8" t="n">
        <f aca="false">IF((F11-K11)&lt;&gt;0,M$1-A11," ")</f>
        <v>91</v>
      </c>
      <c r="O11" s="2" t="n">
        <f aca="false">IF((E11="a"),H11," ")</f>
        <v>2000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46042</v>
      </c>
      <c r="B12" s="2" t="s">
        <v>64</v>
      </c>
      <c r="E12" s="4" t="s">
        <v>54</v>
      </c>
      <c r="F12" s="2" t="n">
        <v>3600</v>
      </c>
      <c r="G12" s="2" t="n">
        <f aca="false">IF(G$4&gt;0,(IF(F12&lt;&gt;0,F12*G$4/100," ")),IF(F12&lt;&gt;0,F12*G$2/(100+G$2)," "))</f>
        <v>600</v>
      </c>
      <c r="H12" s="2" t="n">
        <f aca="false">IF((F12&lt;&gt;0),F12-G12," ")</f>
        <v>3000</v>
      </c>
      <c r="L12" s="7" t="n">
        <f aca="false">IF(F12&lt;&gt;0,F12-K12," ")</f>
        <v>3600</v>
      </c>
      <c r="M12" s="8" t="n">
        <f aca="false">IF((F12-K12)&lt;&gt;0,M$1-A12," ")</f>
        <v>89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3000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</row>
    <row r="13" customFormat="false" ht="12" hidden="false" customHeight="false" outlineLevel="0" collapsed="false">
      <c r="A13" s="1" t="n">
        <v>46047</v>
      </c>
      <c r="B13" s="2" t="s">
        <v>55</v>
      </c>
      <c r="E13" s="4" t="s">
        <v>46</v>
      </c>
      <c r="F13" s="2" t="n">
        <v>1200</v>
      </c>
      <c r="G13" s="2" t="n">
        <f aca="false">IF(G$4&gt;0,(IF(F13&lt;&gt;0,F13*G$4/100," ")),IF(F13&lt;&gt;0,F13*G$2/(100+G$2)," "))</f>
        <v>200</v>
      </c>
      <c r="H13" s="2" t="n">
        <f aca="false">IF((F13&lt;&gt;0),F13-G13," ")</f>
        <v>1000</v>
      </c>
      <c r="L13" s="7" t="n">
        <f aca="false">IF(F13&lt;&gt;0,F13-K13," ")</f>
        <v>1200</v>
      </c>
      <c r="M13" s="8" t="n">
        <f aca="false">IF((F13-K13)&lt;&gt;0,M$1-A13," ")</f>
        <v>84</v>
      </c>
      <c r="O13" s="2" t="n">
        <f aca="false">IF((E13="a"),H13," ")</f>
        <v>1000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32800</v>
      </c>
      <c r="G1" s="12" t="n">
        <f aca="false">SUM(G5:G300)</f>
        <v>5466.66666666667</v>
      </c>
      <c r="H1" s="12" t="n">
        <f aca="false">SUM(H5:H300)</f>
        <v>27333.3333333333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32800</v>
      </c>
      <c r="M1" s="17" t="n">
        <f aca="true">TODAY()</f>
        <v>46131</v>
      </c>
      <c r="N1" s="18"/>
      <c r="O1" s="12" t="n">
        <f aca="false">SUM(O5:O300)</f>
        <v>26533.3333333333</v>
      </c>
      <c r="P1" s="12" t="n">
        <f aca="false">SUM(P5:P300)</f>
        <v>800</v>
      </c>
      <c r="Q1" s="12" t="n">
        <f aca="false">SUM(Q5:Q300)</f>
        <v>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Jan!G2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Jan!G4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46056</v>
      </c>
      <c r="B5" s="2" t="s">
        <v>43</v>
      </c>
      <c r="E5" s="4" t="s">
        <v>42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75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46058</v>
      </c>
      <c r="B6" s="2" t="s">
        <v>44</v>
      </c>
      <c r="E6" s="4" t="s">
        <v>42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73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46061</v>
      </c>
      <c r="B7" s="2" t="s">
        <v>45</v>
      </c>
      <c r="E7" s="4" t="s">
        <v>46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70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46063</v>
      </c>
      <c r="B8" s="2" t="s">
        <v>47</v>
      </c>
      <c r="E8" s="4" t="s">
        <v>46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68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46068</v>
      </c>
      <c r="B9" s="2" t="s">
        <v>17</v>
      </c>
      <c r="E9" s="4" t="s">
        <v>46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63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</row>
    <row r="10" customFormat="false" ht="12" hidden="false" customHeight="false" outlineLevel="0" collapsed="false">
      <c r="A10" s="1" t="n">
        <v>46071</v>
      </c>
      <c r="B10" s="2" t="s">
        <v>48</v>
      </c>
      <c r="E10" s="4" t="s">
        <v>46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60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46073</v>
      </c>
      <c r="B11" s="2" t="s">
        <v>49</v>
      </c>
      <c r="E11" s="4" t="s">
        <v>46</v>
      </c>
      <c r="F11" s="2" t="n">
        <v>1800</v>
      </c>
      <c r="G11" s="2" t="n">
        <f aca="false">IF(G$4&gt;0,(IF(F11&lt;&gt;0,F11*G$4/100," ")),IF(F11&lt;&gt;0,F11*G$2/(100+G$2)," "))</f>
        <v>300</v>
      </c>
      <c r="H11" s="2" t="n">
        <f aca="false">IF((F11&lt;&gt;0),F11-G11," ")</f>
        <v>1500</v>
      </c>
      <c r="L11" s="7" t="n">
        <f aca="false">IF(F11&lt;&gt;0,F11-K11," ")</f>
        <v>1800</v>
      </c>
      <c r="M11" s="8" t="n">
        <f aca="false">IF((F11-K11)&lt;&gt;0,M$1-A11," ")</f>
        <v>58</v>
      </c>
      <c r="O11" s="2" t="n">
        <f aca="false">IF((E11="a"),H11," ")</f>
        <v>1500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46075</v>
      </c>
      <c r="B12" s="2" t="s">
        <v>56</v>
      </c>
      <c r="E12" s="4" t="s">
        <v>46</v>
      </c>
      <c r="F12" s="2" t="n">
        <v>1440</v>
      </c>
      <c r="G12" s="2" t="n">
        <f aca="false">IF(G$4&gt;0,(IF(F12&lt;&gt;0,F12*G$4/100," ")),IF(F12&lt;&gt;0,F12*G$2/(100+G$2)," "))</f>
        <v>240</v>
      </c>
      <c r="H12" s="2" t="n">
        <f aca="false">IF((F12&lt;&gt;0),F12-G12," ")</f>
        <v>1200</v>
      </c>
      <c r="L12" s="7" t="n">
        <f aca="false">IF(F12&lt;&gt;0,F12-K12," ")</f>
        <v>1440</v>
      </c>
      <c r="M12" s="8" t="n">
        <f aca="false">IF((F12-K12)&lt;&gt;0,M$1-A12," ")</f>
        <v>56</v>
      </c>
      <c r="O12" s="2" t="n">
        <f aca="false">IF((E12="a"),H12," ")</f>
        <v>1200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H13" s="2" t="str">
        <f aca="false">IF((F13&lt;&gt;0),F13-G13,"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35440</v>
      </c>
      <c r="G1" s="12" t="n">
        <f aca="false">SUM(G5:G300)</f>
        <v>5906.66666666667</v>
      </c>
      <c r="H1" s="12" t="n">
        <f aca="false">SUM(H5:H300)</f>
        <v>29533.3333333333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35440</v>
      </c>
      <c r="M1" s="17" t="n">
        <f aca="true">TODAY()</f>
        <v>46131</v>
      </c>
      <c r="N1" s="18"/>
      <c r="O1" s="12" t="n">
        <f aca="false">SUM(O5:O300)</f>
        <v>25633.3333333333</v>
      </c>
      <c r="P1" s="12" t="n">
        <f aca="false">SUM(P5:P300)</f>
        <v>1800</v>
      </c>
      <c r="Q1" s="12" t="n">
        <f aca="false">SUM(Q5:Q300)</f>
        <v>1000</v>
      </c>
      <c r="R1" s="12" t="n">
        <f aca="false">SUM(R5:R300)</f>
        <v>1100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Feb!G2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Feb!G4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46082</v>
      </c>
      <c r="B5" s="2" t="s">
        <v>19</v>
      </c>
      <c r="E5" s="4" t="s">
        <v>42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49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46084</v>
      </c>
      <c r="B6" s="2" t="s">
        <v>43</v>
      </c>
      <c r="E6" s="4" t="s">
        <v>42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47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46086</v>
      </c>
      <c r="B7" s="2" t="s">
        <v>44</v>
      </c>
      <c r="E7" s="4" t="s">
        <v>42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45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46089</v>
      </c>
      <c r="B8" s="2" t="s">
        <v>45</v>
      </c>
      <c r="E8" s="4" t="s">
        <v>46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42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46091</v>
      </c>
      <c r="B9" s="2" t="s">
        <v>47</v>
      </c>
      <c r="E9" s="4" t="s">
        <v>46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40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</row>
    <row r="10" customFormat="false" ht="12" hidden="false" customHeight="false" outlineLevel="0" collapsed="false">
      <c r="A10" s="1" t="n">
        <v>46095</v>
      </c>
      <c r="B10" s="2" t="s">
        <v>57</v>
      </c>
      <c r="E10" s="4" t="s">
        <v>46</v>
      </c>
      <c r="F10" s="2" t="n">
        <v>2160</v>
      </c>
      <c r="G10" s="2" t="n">
        <f aca="false">IF(G$4&gt;0,(IF(F10&lt;&gt;0,F10*G$4/100," ")),IF(F10&lt;&gt;0,F10*G$2/(100+G$2)," "))</f>
        <v>360</v>
      </c>
      <c r="H10" s="2" t="n">
        <f aca="false">IF((F10&lt;&gt;0),F10-G10," ")</f>
        <v>1800</v>
      </c>
      <c r="L10" s="7" t="n">
        <f aca="false">IF(F10&lt;&gt;0,F10-K10," ")</f>
        <v>2160</v>
      </c>
      <c r="M10" s="8" t="n">
        <f aca="false">IF((F10-K10)&lt;&gt;0,M$1-A10," ")</f>
        <v>36</v>
      </c>
      <c r="O10" s="2" t="n">
        <f aca="false">IF((E10="a"),H10," ")</f>
        <v>1800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46096</v>
      </c>
      <c r="B11" s="2" t="s">
        <v>17</v>
      </c>
      <c r="E11" s="4" t="s">
        <v>46</v>
      </c>
      <c r="F11" s="2" t="n">
        <v>25000</v>
      </c>
      <c r="G11" s="2" t="n">
        <f aca="false">IF(G$4&gt;0,(IF(F11&lt;&gt;0,F11*G$4/100," ")),IF(F11&lt;&gt;0,F11*G$2/(100+G$2)," "))</f>
        <v>4166.66666666667</v>
      </c>
      <c r="H11" s="2" t="n">
        <f aca="false">IF((F11&lt;&gt;0),F11-G11," ")</f>
        <v>20833.3333333333</v>
      </c>
      <c r="L11" s="7" t="n">
        <f aca="false">IF(F11&lt;&gt;0,F11-K11," ")</f>
        <v>25000</v>
      </c>
      <c r="M11" s="8" t="n">
        <f aca="false">IF((F11-K11)&lt;&gt;0,M$1-A11," ")</f>
        <v>35</v>
      </c>
      <c r="O11" s="2" t="n">
        <f aca="false">IF((E11="a"),H11," ")</f>
        <v>20833.3333333333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46097</v>
      </c>
      <c r="B12" s="2" t="s">
        <v>53</v>
      </c>
      <c r="E12" s="4" t="s">
        <v>54</v>
      </c>
      <c r="F12" s="2" t="n">
        <v>1200</v>
      </c>
      <c r="G12" s="2" t="n">
        <f aca="false">IF(G$4&gt;0,(IF(F12&lt;&gt;0,F12*G$4/100," ")),IF(F12&lt;&gt;0,F12*G$2/(100+G$2)," "))</f>
        <v>200</v>
      </c>
      <c r="H12" s="2" t="n">
        <f aca="false">IF((F12&lt;&gt;0),F12-G12," ")</f>
        <v>1000</v>
      </c>
      <c r="L12" s="7" t="n">
        <f aca="false">IF(F12&lt;&gt;0,F12-K12," ")</f>
        <v>1200</v>
      </c>
      <c r="M12" s="8" t="n">
        <f aca="false">IF((F12-K12)&lt;&gt;0,M$1-A12," ")</f>
        <v>34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1000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</row>
    <row r="13" customFormat="false" ht="12" hidden="false" customHeight="false" outlineLevel="0" collapsed="false">
      <c r="A13" s="1" t="n">
        <v>46099</v>
      </c>
      <c r="B13" s="2" t="s">
        <v>48</v>
      </c>
      <c r="E13" s="4" t="s">
        <v>46</v>
      </c>
      <c r="F13" s="2" t="n">
        <v>2400</v>
      </c>
      <c r="G13" s="2" t="n">
        <f aca="false">IF(G$4&gt;0,(IF(F13&lt;&gt;0,F13*G$4/100," ")),IF(F13&lt;&gt;0,F13*G$2/(100+G$2)," "))</f>
        <v>400</v>
      </c>
      <c r="H13" s="2" t="n">
        <f aca="false">IF((F13&lt;&gt;0),F13-G13," ")</f>
        <v>2000</v>
      </c>
      <c r="L13" s="7" t="n">
        <f aca="false">IF(F13&lt;&gt;0,F13-K13," ")</f>
        <v>2400</v>
      </c>
      <c r="M13" s="8" t="n">
        <f aca="false">IF((F13-K13)&lt;&gt;0,M$1-A13," ")</f>
        <v>32</v>
      </c>
      <c r="O13" s="2" t="n">
        <f aca="false">IF((E13="a"),H13," ")</f>
        <v>2000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A14" s="1" t="n">
        <v>46106</v>
      </c>
      <c r="B14" s="2" t="s">
        <v>65</v>
      </c>
      <c r="E14" s="4" t="s">
        <v>51</v>
      </c>
      <c r="F14" s="2" t="n">
        <v>480</v>
      </c>
      <c r="G14" s="2" t="n">
        <f aca="false">IF(G$4&gt;0,(IF(F14&lt;&gt;0,F14*G$4/100," ")),IF(F14&lt;&gt;0,F14*G$2/(100+G$2)," "))</f>
        <v>80</v>
      </c>
      <c r="H14" s="2" t="n">
        <f aca="false">IF((F14&lt;&gt;0),F14-G14," ")</f>
        <v>400</v>
      </c>
      <c r="L14" s="7" t="n">
        <f aca="false">IF(F14&lt;&gt;0,F14-K14," ")</f>
        <v>480</v>
      </c>
      <c r="M14" s="8" t="n">
        <f aca="false">IF((F14-K14)&lt;&gt;0,M$1-A14," ")</f>
        <v>25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n">
        <f aca="false">IF((E14="d"),H14," ")</f>
        <v>400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A15" s="1" t="n">
        <v>46109</v>
      </c>
      <c r="B15" s="2" t="s">
        <v>50</v>
      </c>
      <c r="E15" s="4" t="s">
        <v>51</v>
      </c>
      <c r="F15" s="2" t="n">
        <v>840</v>
      </c>
      <c r="G15" s="2" t="n">
        <f aca="false">IF(G$4&gt;0,(IF(F15&lt;&gt;0,F15*G$4/100," ")),IF(F15&lt;&gt;0,F15*G$2/(100+G$2)," "))</f>
        <v>140</v>
      </c>
      <c r="H15" s="2" t="n">
        <f aca="false">IF((F15&lt;&gt;0),F15-G15," ")</f>
        <v>700</v>
      </c>
      <c r="L15" s="7" t="n">
        <f aca="false">IF(F15&lt;&gt;0,F15-K15," ")</f>
        <v>840</v>
      </c>
      <c r="M15" s="8" t="n">
        <f aca="false">IF((F15-K15)&lt;&gt;0,M$1-A15," ")</f>
        <v>22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n">
        <f aca="false">IF((E15="d"),H15," ")</f>
        <v>700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34360</v>
      </c>
      <c r="G1" s="12" t="n">
        <f aca="false">SUM(G5:G300)</f>
        <v>5726.66666666667</v>
      </c>
      <c r="H1" s="12" t="n">
        <f aca="false">SUM(H5:H300)</f>
        <v>28633.3333333333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34360</v>
      </c>
      <c r="M1" s="17" t="n">
        <f aca="true">TODAY()</f>
        <v>46131</v>
      </c>
      <c r="N1" s="18"/>
      <c r="O1" s="12" t="n">
        <f aca="false">SUM(O5:O300)</f>
        <v>26333.3333333333</v>
      </c>
      <c r="P1" s="12" t="n">
        <f aca="false">SUM(P5:P300)</f>
        <v>800</v>
      </c>
      <c r="Q1" s="12" t="n">
        <f aca="false">SUM(Q5:Q300)</f>
        <v>1500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Mar!G2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Mar!G4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46115</v>
      </c>
      <c r="B5" s="2" t="s">
        <v>43</v>
      </c>
      <c r="E5" s="4" t="s">
        <v>42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16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46117</v>
      </c>
      <c r="B6" s="2" t="s">
        <v>44</v>
      </c>
      <c r="E6" s="4" t="s">
        <v>42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14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46120</v>
      </c>
      <c r="B7" s="2" t="s">
        <v>45</v>
      </c>
      <c r="E7" s="4" t="s">
        <v>46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11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46122</v>
      </c>
      <c r="B8" s="2" t="s">
        <v>47</v>
      </c>
      <c r="E8" s="4" t="s">
        <v>46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9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46127</v>
      </c>
      <c r="B9" s="2" t="s">
        <v>17</v>
      </c>
      <c r="E9" s="4" t="s">
        <v>46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4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</row>
    <row r="10" customFormat="false" ht="12" hidden="false" customHeight="false" outlineLevel="0" collapsed="false">
      <c r="A10" s="1" t="n">
        <v>46130</v>
      </c>
      <c r="B10" s="2" t="s">
        <v>48</v>
      </c>
      <c r="E10" s="4" t="s">
        <v>46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1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46132</v>
      </c>
      <c r="B11" s="2" t="s">
        <v>49</v>
      </c>
      <c r="E11" s="4" t="s">
        <v>46</v>
      </c>
      <c r="F11" s="2" t="n">
        <v>1800</v>
      </c>
      <c r="G11" s="2" t="n">
        <f aca="false">IF(G$4&gt;0,(IF(F11&lt;&gt;0,F11*G$4/100," ")),IF(F11&lt;&gt;0,F11*G$2/(100+G$2)," "))</f>
        <v>300</v>
      </c>
      <c r="H11" s="2" t="n">
        <f aca="false">IF((F11&lt;&gt;0),F11-G11," ")</f>
        <v>1500</v>
      </c>
      <c r="L11" s="7" t="n">
        <f aca="false">IF(F11&lt;&gt;0,F11-K11," ")</f>
        <v>1800</v>
      </c>
      <c r="M11" s="8" t="n">
        <f aca="false">IF((F11-K11)&lt;&gt;0,M$1-A11," ")</f>
        <v>-1</v>
      </c>
      <c r="O11" s="2" t="n">
        <f aca="false">IF((E11="a"),H11," ")</f>
        <v>1500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46132</v>
      </c>
      <c r="B12" s="2" t="s">
        <v>66</v>
      </c>
      <c r="E12" s="4" t="s">
        <v>54</v>
      </c>
      <c r="F12" s="2" t="n">
        <v>1800</v>
      </c>
      <c r="G12" s="2" t="n">
        <f aca="false">IF(G$4&gt;0,(IF(F12&lt;&gt;0,F12*G$4/100," ")),IF(F12&lt;&gt;0,F12*G$2/(100+G$2)," "))</f>
        <v>300</v>
      </c>
      <c r="H12" s="2" t="n">
        <f aca="false">IF((F12&lt;&gt;0),F12-G12," ")</f>
        <v>1500</v>
      </c>
      <c r="L12" s="7" t="n">
        <f aca="false">IF(F12&lt;&gt;0,F12-K12," ")</f>
        <v>1800</v>
      </c>
      <c r="M12" s="8" t="n">
        <f aca="false">IF((F12-K12)&lt;&gt;0,M$1-A12," ")</f>
        <v>-1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1500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</row>
    <row r="13" customFormat="false" ht="12" hidden="false" customHeight="false" outlineLevel="0" collapsed="false">
      <c r="A13" s="1" t="n">
        <v>46137</v>
      </c>
      <c r="B13" s="2" t="s">
        <v>55</v>
      </c>
      <c r="E13" s="4" t="s">
        <v>46</v>
      </c>
      <c r="F13" s="2" t="n">
        <v>1200</v>
      </c>
      <c r="G13" s="2" t="n">
        <f aca="false">IF(G$4&gt;0,(IF(F13&lt;&gt;0,F13*G$4/100," ")),IF(F13&lt;&gt;0,F13*G$2/(100+G$2)," "))</f>
        <v>200</v>
      </c>
      <c r="H13" s="2" t="n">
        <f aca="false">IF((F13&lt;&gt;0),F13-G13," ")</f>
        <v>1000</v>
      </c>
      <c r="L13" s="7" t="n">
        <f aca="false">IF(F13&lt;&gt;0,F13-K13," ")</f>
        <v>1200</v>
      </c>
      <c r="M13" s="8" t="n">
        <f aca="false">IF((F13-K13)&lt;&gt;0,M$1-A13," ")</f>
        <v>-6</v>
      </c>
      <c r="O13" s="2" t="n">
        <f aca="false">IF((E13="a"),H13," ")</f>
        <v>1000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31360</v>
      </c>
      <c r="G1" s="12" t="n">
        <f aca="false">SUM(G5:G300)</f>
        <v>5226.66666666667</v>
      </c>
      <c r="H1" s="12" t="n">
        <f aca="false">SUM(H5:H300)</f>
        <v>26133.3333333333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31360</v>
      </c>
      <c r="M1" s="17" t="n">
        <f aca="true">TODAY()</f>
        <v>46131</v>
      </c>
      <c r="N1" s="18"/>
      <c r="O1" s="12" t="n">
        <f aca="false">SUM(O5:O300)</f>
        <v>25033.3333333333</v>
      </c>
      <c r="P1" s="12" t="n">
        <f aca="false">SUM(P5:P300)</f>
        <v>800</v>
      </c>
      <c r="Q1" s="12" t="n">
        <f aca="false">SUM(Q5:Q300)</f>
        <v>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300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Apr!G2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n">
        <f aca="false">Jun!U1+Jul!U1+Aug!U1+Sep!U1+Oct!U1+Nov!U1+Dec!U1+Jan!U1+Feb!U1+Mar!U1+Apr!U1+May!U1</f>
        <v>12500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 t="s">
        <v>31</v>
      </c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Apr!G4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46145</v>
      </c>
      <c r="B5" s="2" t="s">
        <v>43</v>
      </c>
      <c r="E5" s="4" t="s">
        <v>42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-14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</row>
    <row r="6" customFormat="false" ht="12.75" hidden="false" customHeight="true" outlineLevel="0" collapsed="false">
      <c r="A6" s="1" t="n">
        <v>46147</v>
      </c>
      <c r="B6" s="2" t="s">
        <v>44</v>
      </c>
      <c r="E6" s="4" t="s">
        <v>42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-16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</row>
    <row r="7" customFormat="false" ht="12" hidden="false" customHeight="false" outlineLevel="0" collapsed="false">
      <c r="A7" s="1" t="n">
        <v>46150</v>
      </c>
      <c r="B7" s="2" t="s">
        <v>45</v>
      </c>
      <c r="E7" s="4" t="s">
        <v>46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-19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</row>
    <row r="8" customFormat="false" ht="12" hidden="false" customHeight="false" outlineLevel="0" collapsed="false">
      <c r="A8" s="1" t="n">
        <v>46152</v>
      </c>
      <c r="B8" s="2" t="s">
        <v>47</v>
      </c>
      <c r="E8" s="4" t="s">
        <v>46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-21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</row>
    <row r="9" customFormat="false" ht="12" hidden="false" customHeight="false" outlineLevel="0" collapsed="false">
      <c r="A9" s="1" t="n">
        <v>46157</v>
      </c>
      <c r="B9" s="2" t="s">
        <v>17</v>
      </c>
      <c r="E9" s="4" t="s">
        <v>46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-26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</row>
    <row r="10" customFormat="false" ht="12" hidden="false" customHeight="false" outlineLevel="0" collapsed="false">
      <c r="A10" s="1" t="n">
        <v>46160</v>
      </c>
      <c r="B10" s="2" t="s">
        <v>48</v>
      </c>
      <c r="E10" s="4" t="s">
        <v>46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-29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</row>
    <row r="11" customFormat="false" ht="12" hidden="false" customHeight="false" outlineLevel="0" collapsed="false">
      <c r="A11" s="1" t="n">
        <v>46164</v>
      </c>
      <c r="B11" s="2" t="s">
        <v>56</v>
      </c>
      <c r="E11" s="4" t="s">
        <v>46</v>
      </c>
      <c r="F11" s="2" t="n">
        <v>1440</v>
      </c>
      <c r="G11" s="2" t="n">
        <f aca="false">IF(G$4&gt;0,(IF(F11&lt;&gt;0,F11*G$4/100," ")),IF(F11&lt;&gt;0,F11*G$2/(100+G$2)," "))</f>
        <v>240</v>
      </c>
      <c r="H11" s="2" t="n">
        <f aca="false">IF((F11&lt;&gt;0),F11-G11," ")</f>
        <v>1200</v>
      </c>
      <c r="L11" s="7" t="n">
        <f aca="false">IF(F11&lt;&gt;0,F11-K11," ")</f>
        <v>1440</v>
      </c>
      <c r="M11" s="8" t="n">
        <f aca="false">IF((F11-K11)&lt;&gt;0,M$1-A11," ")</f>
        <v>-33</v>
      </c>
      <c r="O11" s="2" t="n">
        <f aca="false">IF((E11="a"),H11," ")</f>
        <v>1200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</row>
    <row r="12" customFormat="false" ht="12" hidden="false" customHeight="false" outlineLevel="0" collapsed="false">
      <c r="A12" s="1" t="n">
        <v>46173</v>
      </c>
      <c r="B12" s="2" t="s">
        <v>67</v>
      </c>
      <c r="E12" s="4" t="s">
        <v>68</v>
      </c>
      <c r="F12" s="2" t="n">
        <v>360</v>
      </c>
      <c r="G12" s="2" t="n">
        <f aca="false">IF(G$4&gt;0,(IF(F12&lt;&gt;0,F12*G$4/100," ")),IF(F12&lt;&gt;0,F12*G$2/(100+G$2)," "))</f>
        <v>60</v>
      </c>
      <c r="H12" s="2" t="n">
        <f aca="false">IF((F12&lt;&gt;0),F12-G12," ")</f>
        <v>300</v>
      </c>
      <c r="L12" s="7" t="n">
        <f aca="false">IF(F12&lt;&gt;0,F12-K12," ")</f>
        <v>360</v>
      </c>
      <c r="M12" s="8" t="n">
        <f aca="false">IF((F12-K12)&lt;&gt;0,M$1-A12," ")</f>
        <v>-42</v>
      </c>
      <c r="O12" s="2" t="str">
        <f aca="false">IF((E12="a"),H12," ")</f>
        <v> 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n">
        <f aca="false">IF((E12="o"),H12," ")</f>
        <v>300</v>
      </c>
      <c r="U12" s="2" t="str">
        <f aca="false">IF((E12="FS"),H12," ")</f>
        <v> 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H13" s="2" t="str">
        <f aca="false">IF((F13&lt;&gt;0),F13-G13,"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2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15.32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false" hidden="false" outlineLevel="0" max="257" min="15" style="2" width="9.15"/>
  </cols>
  <sheetData>
    <row r="1" s="19" customFormat="true" ht="13.5" hidden="false" customHeight="true" outlineLevel="0" collapsed="false">
      <c r="A1" s="9" t="s">
        <v>69</v>
      </c>
      <c r="B1" s="9"/>
      <c r="C1" s="10" t="n">
        <f aca="false">IF([1]TrialBalance!$EJ$20&gt;0,[1]TrialBalance!$EJ$20,0)</f>
        <v>0</v>
      </c>
      <c r="D1" s="11" t="s">
        <v>1</v>
      </c>
      <c r="E1" s="11"/>
      <c r="F1" s="12" t="n">
        <f aca="false">SUM(F5:F300)</f>
        <v>0</v>
      </c>
      <c r="G1" s="12" t="n">
        <f aca="false">SUM(G5:G300)</f>
        <v>0</v>
      </c>
      <c r="H1" s="12" t="n">
        <f aca="false">SUM(H5:H300)</f>
        <v>10400</v>
      </c>
      <c r="I1" s="13"/>
      <c r="J1" s="14" t="s">
        <v>2</v>
      </c>
      <c r="K1" s="15" t="n">
        <f aca="false">SUM(K5:K300)</f>
        <v>0</v>
      </c>
      <c r="L1" s="16" t="n">
        <f aca="false">SUM(L5:L300)</f>
        <v>0</v>
      </c>
      <c r="M1" s="17" t="n">
        <f aca="true">TODAY()</f>
        <v>46131</v>
      </c>
      <c r="N1" s="18"/>
      <c r="O1" s="12" t="n">
        <f aca="false">SUM(O5:O300)</f>
        <v>0</v>
      </c>
      <c r="P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 t="s">
        <v>5</v>
      </c>
      <c r="D2" s="23" t="s">
        <v>6</v>
      </c>
      <c r="E2" s="24"/>
      <c r="F2" s="21" t="s">
        <v>7</v>
      </c>
      <c r="G2" s="25" t="n">
        <f aca="false">May!G2</f>
        <v>20</v>
      </c>
      <c r="H2" s="21" t="s">
        <v>8</v>
      </c>
      <c r="I2" s="13"/>
      <c r="J2" s="14"/>
      <c r="K2" s="26" t="s">
        <v>9</v>
      </c>
      <c r="L2" s="26"/>
      <c r="M2" s="26"/>
      <c r="N2" s="18"/>
      <c r="O2" s="21" t="s">
        <v>10</v>
      </c>
      <c r="P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21" t="s">
        <v>15</v>
      </c>
      <c r="P3" s="21" t="s">
        <v>16</v>
      </c>
    </row>
    <row r="4" customFormat="false" ht="12.75" hidden="false" customHeight="true" outlineLevel="0" collapsed="false">
      <c r="A4" s="20"/>
      <c r="B4" s="20"/>
      <c r="C4" s="20"/>
      <c r="D4" s="23"/>
      <c r="E4" s="23"/>
      <c r="F4" s="21"/>
      <c r="G4" s="31" t="n">
        <f aca="false">May!G4</f>
        <v>0</v>
      </c>
      <c r="H4" s="21"/>
      <c r="I4" s="13"/>
      <c r="J4" s="14"/>
      <c r="K4" s="27"/>
      <c r="L4" s="28"/>
      <c r="M4" s="28"/>
      <c r="N4" s="18"/>
      <c r="O4" s="21"/>
      <c r="P4" s="21"/>
    </row>
    <row r="5" customFormat="false" ht="12.75" hidden="false" customHeight="true" outlineLevel="0" collapsed="false">
      <c r="B5" s="2" t="s">
        <v>17</v>
      </c>
      <c r="C5" s="3" t="s">
        <v>70</v>
      </c>
      <c r="G5" s="2" t="str">
        <f aca="false">IF(G$4&gt;0,(IF(F5&lt;&gt;0,F5*G$4/100," ")),IF(F5&lt;&gt;0,F5*G$2/(100+G$2)," "))</f>
        <v> </v>
      </c>
      <c r="H5" s="2" t="n">
        <v>8000</v>
      </c>
      <c r="L5" s="7" t="str">
        <f aca="false">IF(F5&lt;&gt;0,F5-K5," ")</f>
        <v> </v>
      </c>
      <c r="M5" s="8" t="str">
        <f aca="false">IF((F5-K5)&lt;&gt;0,M$1-A5," ")</f>
        <v> </v>
      </c>
    </row>
    <row r="6" customFormat="false" ht="12.75" hidden="false" customHeight="true" outlineLevel="0" collapsed="false">
      <c r="B6" s="2" t="s">
        <v>48</v>
      </c>
      <c r="C6" s="3" t="s">
        <v>71</v>
      </c>
      <c r="G6" s="2" t="str">
        <f aca="false">IF(G$4&gt;0,(IF(F6&lt;&gt;0,F6*G$4/100," ")),IF(F6&lt;&gt;0,F6*G$2/(100+G$2)," "))</f>
        <v> </v>
      </c>
      <c r="H6" s="2" t="n">
        <v>2400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G7" s="2" t="str">
        <f aca="false">IF(G$4&gt;0,(IF(F7&lt;&gt;0,F7*G$4/100," ")),IF(F7&lt;&gt;0,F7*G$2/(100+G$2)," "))</f>
        <v> 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G8" s="2" t="str">
        <f aca="false">IF(G$4&gt;0,(IF(F8&lt;&gt;0,F8*G$4/100," ")),IF(F8&lt;&gt;0,F8*G$2/(100+G$2)," "))</f>
        <v> 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G9" s="2" t="str">
        <f aca="false">IF(G$4&gt;0,(IF(F9&lt;&gt;0,F9*G$4/100," ")),IF(F9&lt;&gt;0,F9*G$2/(100+G$2)," "))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G10" s="2" t="str">
        <f aca="false">IF(G$4&gt;0,(IF(F10&lt;&gt;0,F10*G$4/100," ")),IF(F10&lt;&gt;0,F10*G$2/(100+G$2)," "))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G11" s="2" t="str">
        <f aca="false">IF(G$4&gt;0,(IF(F11&lt;&gt;0,F11*G$4/100," ")),IF(F11&lt;&gt;0,F11*G$2/(100+G$2)," "))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G12" s="2" t="str">
        <f aca="false">IF(G$4&gt;0,(IF(F12&lt;&gt;0,F12*G$4/100," ")),IF(F12&lt;&gt;0,F12*G$2/(100+G$2)," "))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</row>
    <row r="201" customFormat="false" ht="12" hidden="false" customHeight="false" outlineLevel="0" collapsed="false"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</row>
    <row r="202" customFormat="false" ht="12" hidden="false" customHeight="false" outlineLevel="0" collapsed="false"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</row>
    <row r="203" customFormat="false" ht="12" hidden="false" customHeight="false" outlineLevel="0" collapsed="false"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</row>
    <row r="204" customFormat="false" ht="12" hidden="false" customHeight="false" outlineLevel="0" collapsed="false"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</row>
    <row r="205" customFormat="false" ht="12" hidden="false" customHeight="false" outlineLevel="0" collapsed="false"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</row>
    <row r="206" customFormat="false" ht="12" hidden="false" customHeight="false" outlineLevel="0" collapsed="false"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</row>
    <row r="207" customFormat="false" ht="12" hidden="false" customHeight="false" outlineLevel="0" collapsed="false"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</row>
    <row r="208" customFormat="false" ht="12" hidden="false" customHeight="false" outlineLevel="0" collapsed="false"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</row>
    <row r="209" customFormat="false" ht="12" hidden="false" customHeight="false" outlineLevel="0" collapsed="false"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</row>
    <row r="210" customFormat="false" ht="12" hidden="false" customHeight="false" outlineLevel="0" collapsed="false"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</row>
    <row r="211" customFormat="false" ht="12" hidden="false" customHeight="false" outlineLevel="0" collapsed="false"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</row>
    <row r="212" customFormat="false" ht="12" hidden="false" customHeight="false" outlineLevel="0" collapsed="false"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</row>
    <row r="213" customFormat="false" ht="12" hidden="false" customHeight="false" outlineLevel="0" collapsed="false"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</row>
    <row r="214" customFormat="false" ht="12" hidden="false" customHeight="false" outlineLevel="0" collapsed="false"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</row>
    <row r="215" customFormat="false" ht="12" hidden="false" customHeight="false" outlineLevel="0" collapsed="false"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</row>
    <row r="216" customFormat="false" ht="12" hidden="false" customHeight="false" outlineLevel="0" collapsed="false"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</row>
    <row r="217" customFormat="false" ht="12" hidden="false" customHeight="false" outlineLevel="0" collapsed="false"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</row>
    <row r="218" customFormat="false" ht="12" hidden="false" customHeight="false" outlineLevel="0" collapsed="false"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</row>
    <row r="219" customFormat="false" ht="12" hidden="false" customHeight="false" outlineLevel="0" collapsed="false"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</row>
    <row r="220" customFormat="false" ht="12" hidden="false" customHeight="false" outlineLevel="0" collapsed="false"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</row>
    <row r="221" customFormat="false" ht="12" hidden="false" customHeight="false" outlineLevel="0" collapsed="false"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</row>
    <row r="222" customFormat="false" ht="12" hidden="false" customHeight="false" outlineLevel="0" collapsed="false"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</row>
    <row r="223" customFormat="false" ht="12" hidden="false" customHeight="false" outlineLevel="0" collapsed="false"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</row>
    <row r="224" customFormat="false" ht="12" hidden="false" customHeight="false" outlineLevel="0" collapsed="false"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</row>
    <row r="225" customFormat="false" ht="12" hidden="false" customHeight="false" outlineLevel="0" collapsed="false"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</row>
    <row r="226" customFormat="false" ht="12" hidden="false" customHeight="false" outlineLevel="0" collapsed="false"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</row>
    <row r="227" customFormat="false" ht="12" hidden="false" customHeight="false" outlineLevel="0" collapsed="false"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</row>
    <row r="228" customFormat="false" ht="12" hidden="false" customHeight="false" outlineLevel="0" collapsed="false"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</row>
    <row r="229" customFormat="false" ht="12" hidden="false" customHeight="false" outlineLevel="0" collapsed="false"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</row>
    <row r="230" customFormat="false" ht="12" hidden="false" customHeight="false" outlineLevel="0" collapsed="false"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</row>
    <row r="231" customFormat="false" ht="12" hidden="false" customHeight="false" outlineLevel="0" collapsed="false"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</row>
    <row r="232" customFormat="false" ht="12" hidden="false" customHeight="false" outlineLevel="0" collapsed="false"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</row>
    <row r="233" customFormat="false" ht="12" hidden="false" customHeight="false" outlineLevel="0" collapsed="false"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</row>
    <row r="234" customFormat="false" ht="12" hidden="false" customHeight="false" outlineLevel="0" collapsed="false"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</row>
    <row r="235" customFormat="false" ht="12" hidden="false" customHeight="false" outlineLevel="0" collapsed="false"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</row>
    <row r="236" customFormat="false" ht="12" hidden="false" customHeight="false" outlineLevel="0" collapsed="false"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</row>
    <row r="237" customFormat="false" ht="12" hidden="false" customHeight="false" outlineLevel="0" collapsed="false"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</row>
    <row r="238" customFormat="false" ht="12" hidden="false" customHeight="false" outlineLevel="0" collapsed="false"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</row>
    <row r="239" customFormat="false" ht="12" hidden="false" customHeight="false" outlineLevel="0" collapsed="false"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</row>
    <row r="240" customFormat="false" ht="12" hidden="false" customHeight="false" outlineLevel="0" collapsed="false"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</row>
    <row r="241" customFormat="false" ht="12" hidden="false" customHeight="false" outlineLevel="0" collapsed="false"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</row>
    <row r="242" customFormat="false" ht="12" hidden="false" customHeight="false" outlineLevel="0" collapsed="false"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</row>
    <row r="243" customFormat="false" ht="12" hidden="false" customHeight="false" outlineLevel="0" collapsed="false"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</row>
    <row r="244" customFormat="false" ht="12" hidden="false" customHeight="false" outlineLevel="0" collapsed="false"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</row>
    <row r="245" customFormat="false" ht="12" hidden="false" customHeight="false" outlineLevel="0" collapsed="false"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</row>
    <row r="246" customFormat="false" ht="12" hidden="false" customHeight="false" outlineLevel="0" collapsed="false"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</row>
    <row r="247" customFormat="false" ht="12" hidden="false" customHeight="false" outlineLevel="0" collapsed="false"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</row>
    <row r="248" customFormat="false" ht="12" hidden="false" customHeight="false" outlineLevel="0" collapsed="false"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</row>
    <row r="249" customFormat="false" ht="12" hidden="false" customHeight="false" outlineLevel="0" collapsed="false"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</row>
    <row r="250" customFormat="false" ht="12" hidden="false" customHeight="false" outlineLevel="0" collapsed="false"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</row>
    <row r="251" customFormat="false" ht="12" hidden="false" customHeight="false" outlineLevel="0" collapsed="false"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</row>
    <row r="252" customFormat="false" ht="12" hidden="false" customHeight="false" outlineLevel="0" collapsed="false"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</row>
    <row r="253" customFormat="false" ht="12" hidden="false" customHeight="false" outlineLevel="0" collapsed="false"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</row>
    <row r="254" customFormat="false" ht="12" hidden="false" customHeight="false" outlineLevel="0" collapsed="false"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</row>
    <row r="255" customFormat="false" ht="12" hidden="false" customHeight="false" outlineLevel="0" collapsed="false"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</row>
    <row r="256" customFormat="false" ht="12" hidden="false" customHeight="false" outlineLevel="0" collapsed="false"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</row>
    <row r="257" customFormat="false" ht="12" hidden="false" customHeight="false" outlineLevel="0" collapsed="false"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</row>
    <row r="258" customFormat="false" ht="12" hidden="false" customHeight="false" outlineLevel="0" collapsed="false"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</row>
    <row r="259" customFormat="false" ht="12" hidden="false" customHeight="false" outlineLevel="0" collapsed="false"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</row>
    <row r="260" customFormat="false" ht="12" hidden="false" customHeight="false" outlineLevel="0" collapsed="false"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</row>
    <row r="261" customFormat="false" ht="12" hidden="false" customHeight="false" outlineLevel="0" collapsed="false"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</row>
    <row r="262" customFormat="false" ht="12" hidden="false" customHeight="false" outlineLevel="0" collapsed="false"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</row>
    <row r="263" customFormat="false" ht="12" hidden="false" customHeight="false" outlineLevel="0" collapsed="false"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</row>
    <row r="264" customFormat="false" ht="12" hidden="false" customHeight="false" outlineLevel="0" collapsed="false"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</row>
    <row r="265" customFormat="false" ht="12" hidden="false" customHeight="false" outlineLevel="0" collapsed="false"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</row>
    <row r="266" customFormat="false" ht="12" hidden="false" customHeight="false" outlineLevel="0" collapsed="false"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</row>
    <row r="267" customFormat="false" ht="12" hidden="false" customHeight="false" outlineLevel="0" collapsed="false"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</row>
    <row r="268" customFormat="false" ht="12" hidden="false" customHeight="false" outlineLevel="0" collapsed="false"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</row>
    <row r="269" customFormat="false" ht="12" hidden="false" customHeight="false" outlineLevel="0" collapsed="false"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</row>
    <row r="270" customFormat="false" ht="12" hidden="false" customHeight="false" outlineLevel="0" collapsed="false"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</row>
    <row r="271" customFormat="false" ht="12" hidden="false" customHeight="false" outlineLevel="0" collapsed="false"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</row>
    <row r="272" customFormat="false" ht="12" hidden="false" customHeight="false" outlineLevel="0" collapsed="false"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</row>
    <row r="273" customFormat="false" ht="12" hidden="false" customHeight="false" outlineLevel="0" collapsed="false"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</row>
    <row r="274" customFormat="false" ht="12" hidden="false" customHeight="false" outlineLevel="0" collapsed="false"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</row>
    <row r="275" customFormat="false" ht="12" hidden="false" customHeight="false" outlineLevel="0" collapsed="false"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</row>
    <row r="276" customFormat="false" ht="12" hidden="false" customHeight="false" outlineLevel="0" collapsed="false"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</row>
    <row r="277" customFormat="false" ht="12" hidden="false" customHeight="false" outlineLevel="0" collapsed="false"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</row>
    <row r="278" customFormat="false" ht="12" hidden="false" customHeight="false" outlineLevel="0" collapsed="false"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</row>
    <row r="279" customFormat="false" ht="12" hidden="false" customHeight="false" outlineLevel="0" collapsed="false"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</row>
    <row r="280" customFormat="false" ht="12" hidden="false" customHeight="false" outlineLevel="0" collapsed="false"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</row>
    <row r="281" customFormat="false" ht="12" hidden="false" customHeight="false" outlineLevel="0" collapsed="false"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</row>
    <row r="282" customFormat="false" ht="12" hidden="false" customHeight="false" outlineLevel="0" collapsed="false"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</row>
    <row r="283" customFormat="false" ht="12" hidden="false" customHeight="false" outlineLevel="0" collapsed="false"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</row>
    <row r="284" customFormat="false" ht="12" hidden="false" customHeight="false" outlineLevel="0" collapsed="false"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</row>
    <row r="285" customFormat="false" ht="12" hidden="false" customHeight="false" outlineLevel="0" collapsed="false"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</row>
    <row r="286" customFormat="false" ht="12" hidden="false" customHeight="false" outlineLevel="0" collapsed="false"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</row>
    <row r="287" customFormat="false" ht="12" hidden="false" customHeight="false" outlineLevel="0" collapsed="false"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</row>
    <row r="288" customFormat="false" ht="12" hidden="false" customHeight="false" outlineLevel="0" collapsed="false"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</row>
    <row r="289" customFormat="false" ht="12" hidden="false" customHeight="false" outlineLevel="0" collapsed="false"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</row>
    <row r="290" customFormat="false" ht="12" hidden="false" customHeight="false" outlineLevel="0" collapsed="false"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</row>
    <row r="291" customFormat="false" ht="12" hidden="false" customHeight="false" outlineLevel="0" collapsed="false"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</row>
    <row r="292" customFormat="false" ht="12" hidden="false" customHeight="false" outlineLevel="0" collapsed="false"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</row>
    <row r="293" customFormat="false" ht="12" hidden="false" customHeight="false" outlineLevel="0" collapsed="false"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</row>
    <row r="294" customFormat="false" ht="12" hidden="false" customHeight="false" outlineLevel="0" collapsed="false"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</row>
    <row r="295" customFormat="false" ht="12" hidden="false" customHeight="false" outlineLevel="0" collapsed="false"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</row>
    <row r="296" customFormat="false" ht="12" hidden="false" customHeight="false" outlineLevel="0" collapsed="false"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</row>
    <row r="297" customFormat="false" ht="12" hidden="false" customHeight="false" outlineLevel="0" collapsed="false"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</row>
    <row r="298" customFormat="false" ht="12" hidden="false" customHeight="false" outlineLevel="0" collapsed="false"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</row>
    <row r="299" customFormat="false" ht="12" hidden="false" customHeight="false" outlineLevel="0" collapsed="false"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</row>
    <row r="300" customFormat="false" ht="12" hidden="false" customHeight="false" outlineLevel="0" collapsed="false">
      <c r="A300" s="32"/>
      <c r="B300" s="33"/>
      <c r="C300" s="34"/>
      <c r="D300" s="35"/>
      <c r="E300" s="35"/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/>
      <c r="P300" s="33"/>
    </row>
  </sheetData>
  <mergeCells count="19">
    <mergeCell ref="A1:B1"/>
    <mergeCell ref="D1:E1"/>
    <mergeCell ref="I1:I4"/>
    <mergeCell ref="J1:J4"/>
    <mergeCell ref="N1:N4"/>
    <mergeCell ref="A2:A4"/>
    <mergeCell ref="B2:B4"/>
    <mergeCell ref="C2:C4"/>
    <mergeCell ref="D2:D4"/>
    <mergeCell ref="E2:E4"/>
    <mergeCell ref="F2:F4"/>
    <mergeCell ref="H2:H4"/>
    <mergeCell ref="K2:M2"/>
    <mergeCell ref="O2:P2"/>
    <mergeCell ref="K3:K4"/>
    <mergeCell ref="L3:L4"/>
    <mergeCell ref="M3:M4"/>
    <mergeCell ref="O3:O4"/>
    <mergeCell ref="P3:P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</dataValidations>
  <printOptions headings="false" gridLines="false" gridLinesSet="true" horizontalCentered="true" verticalCentered="true"/>
  <pageMargins left="0.354166666666667" right="0.354166666666667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Terry Cartwright</dc:creator>
  <dc:description/>
  <dc:language>en-US</dc:language>
  <cp:lastModifiedBy>Cartwright, Antony</cp:lastModifiedBy>
  <cp:lastPrinted>2007-03-02T22:25:05Z</cp:lastPrinted>
  <dcterms:modified xsi:type="dcterms:W3CDTF">2025-04-03T23:05:33Z</dcterms:modified>
  <cp:revision>0</cp:revision>
  <dc:subject/>
  <dc:title>0607 Sales Vat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