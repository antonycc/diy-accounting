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Jul" sheetId="2" state="visible" r:id="rId4"/>
    <sheet name="Aug" sheetId="3" state="visible" r:id="rId5"/>
    <sheet name="Sep" sheetId="4" state="visible" r:id="rId6"/>
    <sheet name="Oct" sheetId="5" state="visible" r:id="rId7"/>
    <sheet name="Nov" sheetId="6" state="visible" r:id="rId8"/>
    <sheet name="Dec" sheetId="7" state="visible" r:id="rId9"/>
    <sheet name="Jan" sheetId="8" state="visible" r:id="rId10"/>
    <sheet name="Feb" sheetId="9" state="visible" r:id="rId11"/>
    <sheet name="Mar" sheetId="10" state="visible" r:id="rId12"/>
    <sheet name="Apr" sheetId="11" state="visible" r:id="rId13"/>
    <sheet name="May" sheetId="12" state="visible" r:id="rId14"/>
    <sheet name="Jun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<sst xmlns="http://schemas.openxmlformats.org/spreadsheetml/2006/main" count="664" uniqueCount="72">
  <si>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</si>
  <si>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</si>
  <si>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</si>
  <si>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</si>
  <si>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</si>
  <si>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</si>
  <si>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</si>
  <si>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</si>
  <si>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</si>
  <si>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</si>
  <si>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</si>
  <si>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</si>
  <si>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</si>
  <si>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</si>
  <si>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</si>
  <si>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</si>
  <si>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</si>
  <si>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</si>
  <si>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</si>
  <si>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</si>
  <si>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</si>
  <si>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</si>
  <si>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</si>
  <si>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</si>
  <si>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</si>
  <si>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</si>
  <si>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</si>
  <si>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</si>
  <si>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</si>
  <si>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</si>
  <si>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</si>
  <si>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</si>
  <si>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</si>
  <si>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</si>
  <si>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</si>
  <si>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</si>
  <si>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</si>
  <si>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</si>
  <si>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</si>
  <si>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</si>
  <si>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</si>
  <si>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</si>
  <si>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</si>
  <si>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</si>
  <si>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</si>
  <si>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</si>
  <si>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</si>
  <si>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</si>
  <si>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</si>
  <si>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</si>
  <si>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</si>
  <si>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</si>
  <si>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Zeta Corp</t>
  </si>
  <si>
    <t xml:space="preserve">o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</si>
  <si>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</si>
  <si>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</si>
  <si>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</si>
  <si>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</si>
  <si>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</si>
  <si>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</si>
  <si>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</si>
  <si>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</si>
  <si>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</si>
  <si>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</si>
  <si>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</si>
  <si>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</si>
  <si>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</si>
  <si>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</si>
  <si>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</si>
  <si>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Closing Debtors Balance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</si>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</sst>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46145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Jul!G2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46145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45839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306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45841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304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45843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302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45846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299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45848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297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45853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292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45856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289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45858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287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45866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279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46204</v>
      </c>
      <c r="B14" s="2" t="s">
        <v>52</v>
      </c>
      <c r="E14" s="4" t="s">
        <v>53</v>
      </c>
      <c r="F14" s="2" t="n">
        <v>360</v>
      </c>
      <c r="G14" s="2" t="n">
        <f aca="false">IF(G$4&gt;0,(IF(F14&lt;&gt;0,F14*G$4/100," ")),IF(F14&lt;&gt;0,F14*G$2/(100+G$2)," "))</f>
        <v>60</v>
      </c>
      <c r="H14" s="2" t="n">
        <f aca="false">IF((F14&lt;&gt;0),F14-G14," ")</f>
        <v>300</v>
      </c>
      <c r="L14" s="7" t="n">
        <f aca="false">IF(F14&lt;&gt;0,F14-K14," ")</f>
        <v>360</v>
      </c>
      <c r="M14" s="8" t="n">
        <f aca="false">IF((F14-K14)&lt;&gt;0,M$1-A14," ")</f>
        <v>-59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n">
        <f aca="false">IF((E14="o"),H14," ")</f>
        <v>300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46145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45872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273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45874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271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45877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268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45879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266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45881</v>
      </c>
      <c r="B9" s="2" t="s">
        <v>54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264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45884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261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45885</v>
      </c>
      <c r="B11" s="2" t="s">
        <v>55</v>
      </c>
      <c r="E11" s="4" t="s">
        <v>56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260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45887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258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45894</v>
      </c>
      <c r="B13" s="2" t="s">
        <v>57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251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46145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45903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242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45905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240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45908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237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45910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235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45915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230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45918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227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45920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225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45920</v>
      </c>
      <c r="B12" s="2" t="s">
        <v>21</v>
      </c>
      <c r="E12" s="4" t="s">
        <v>56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225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45922</v>
      </c>
      <c r="B13" s="2" t="s">
        <v>58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223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46145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Sep!G2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214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212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210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207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205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45944</v>
      </c>
      <c r="B10" s="2" t="s">
        <v>59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201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200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45948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197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187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46145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45962</v>
      </c>
      <c r="B5" s="2" t="s">
        <v>60</v>
      </c>
      <c r="E5" s="4" t="s">
        <v>61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183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181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179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45969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176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45971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174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45973</v>
      </c>
      <c r="B10" s="2" t="s">
        <v>54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172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45976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169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45979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166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45981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164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45986</v>
      </c>
      <c r="B14" s="2" t="s">
        <v>57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159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46145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151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149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146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46001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144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139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46007</v>
      </c>
      <c r="B10" s="2" t="s">
        <v>55</v>
      </c>
      <c r="E10" s="4" t="s">
        <v>56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138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46009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136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46011</v>
      </c>
      <c r="B12" s="2" t="s">
        <v>62</v>
      </c>
      <c r="E12" s="4" t="s">
        <v>56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134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46013</v>
      </c>
      <c r="B13" s="2" t="s">
        <v>58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132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46016</v>
      </c>
      <c r="B14" s="2" t="s">
        <v>63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129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46145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46023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122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46025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120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46027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118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46030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115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46032</v>
      </c>
      <c r="B9" s="2" t="s">
        <v>64</v>
      </c>
      <c r="E9" s="4" t="s">
        <v>65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113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46032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113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46036</v>
      </c>
      <c r="B11" s="2" t="s">
        <v>59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109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46037</v>
      </c>
      <c r="B12" s="2" t="s">
        <v>17</v>
      </c>
      <c r="E12" s="4" t="s">
        <v>46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108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46040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105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46042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103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46050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95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46145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89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87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46061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84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82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46065</v>
      </c>
      <c r="B9" s="2" t="s">
        <v>54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80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46068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77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46071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74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46073</v>
      </c>
      <c r="B12" s="2" t="s">
        <v>66</v>
      </c>
      <c r="E12" s="4" t="s">
        <v>56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72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46078</v>
      </c>
      <c r="B13" s="2" t="s">
        <v>57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67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46145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61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59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56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46091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54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49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46099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46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46101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44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46103</v>
      </c>
      <c r="B12" s="2" t="s">
        <v>58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42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46145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46113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32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46115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30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46117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28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46120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25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46122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23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46126</v>
      </c>
      <c r="B10" s="2" t="s">
        <v>59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19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46127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18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46128</v>
      </c>
      <c r="B12" s="2" t="s">
        <v>55</v>
      </c>
      <c r="E12" s="4" t="s">
        <v>56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17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46130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15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46137</v>
      </c>
      <c r="B14" s="2" t="s">
        <v>67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8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46140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5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46145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0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-2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-5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-7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-12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46160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-15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46162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-17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46162</v>
      </c>
      <c r="B12" s="2" t="s">
        <v>68</v>
      </c>
      <c r="E12" s="4" t="s">
        <v>56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-17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46167</v>
      </c>
      <c r="B13" s="2" t="s">
        <v>57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-22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31000</v>
      </c>
      <c r="G1" s="12" t="n">
        <f aca="false">SUM(G5:G300)</f>
        <v>5166.66666666667</v>
      </c>
      <c r="H1" s="12" t="n">
        <f aca="false">SUM(H5:H300)</f>
        <v>25833.3333333333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31000</v>
      </c>
      <c r="M1" s="17" t="n">
        <f aca="true">TODAY()</f>
        <v>46145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May!G2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Jul!U1+Aug!U1+Sep!U1+Oct!U1+Nov!U1+Dec!U1+Jan!U1+Feb!U1+Mar!U1+Apr!U1+May!U1+Jun!U1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46176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-31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46178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-33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46181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-36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46183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-38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46188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-43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46191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-46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46195</v>
      </c>
      <c r="B11" s="2" t="s">
        <v>58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-50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10400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46145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Jun!G2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8000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48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2400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