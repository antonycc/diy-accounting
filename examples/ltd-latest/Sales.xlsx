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<sst xmlns="http://schemas.openxmlformats.org/spreadsheetml/2006/main" count="664" uniqueCount="72">
  <si>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</si>
  <si>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</si>
  <si>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</si>
  <si>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</si>
  <si>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</si>
  <si>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</si>
  <si>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</si>
  <si>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</si>
  <si>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</si>
  <si>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</si>
  <si>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</si>
  <si>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</si>
  <si>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</si>
  <si>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</si>
  <si>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</si>
  <si>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</si>
  <si>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</si>
  <si>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</si>
  <si>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</si>
  <si>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</si>
  <si>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</si>
  <si>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</si>
  <si>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</si>
  <si>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</si>
  <si>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</si>
  <si>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</si>
  <si>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</si>
  <si>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</si>
  <si>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</si>
  <si>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</si>
  <si>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</si>
  <si>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</si>
  <si>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</si>
  <si>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</si>
  <si>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</si>
  <si>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</si>
  <si>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</si>
  <si>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</si>
  <si>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</si>
  <si>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</si>
  <si>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</si>
  <si>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</si>
  <si>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</si>
  <si>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</si>
  <si>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</si>
  <si>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</si>
  <si>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</si>
  <si>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</si>
  <si>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</si>
  <si>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</si>
  <si>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</si>
  <si>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</si>
  <si>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</si>
  <si>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</si>
  <si>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</si>
  <si>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</si>
  <si>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</si>
  <si>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</si>
  <si>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</si>
  <si>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</si>
  <si>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</si>
  <si>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</si>
  <si>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</si>
  <si>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</si>
  <si>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</si>
  <si>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</si>
  <si>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</si>
  <si>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</si>
  <si>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</si>
  <si>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Closing Debtors Balance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</si>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</sst>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46123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Jun!G2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33400</v>
      </c>
      <c r="G1" s="12" t="n">
        <f aca="false">SUM(G5:G300)</f>
        <v>5566.66666666667</v>
      </c>
      <c r="H1" s="12" t="n">
        <f aca="false">SUM(H5:H300)</f>
        <v>27833.3333333333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33400</v>
      </c>
      <c r="M1" s="17" t="n">
        <f aca="true">TODAY()</f>
        <v>46123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45809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314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45811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312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45813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310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45816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307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45818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305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45823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300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45826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297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45828</v>
      </c>
      <c r="B12" s="2" t="s">
        <v>49</v>
      </c>
      <c r="E12" s="4" t="s">
        <v>46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295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45836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287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46123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45841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282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45843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280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45846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277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45848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275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45850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273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45853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270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45854</v>
      </c>
      <c r="B11" s="2" t="s">
        <v>53</v>
      </c>
      <c r="E11" s="4" t="s">
        <v>54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269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45856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267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45863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260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46123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45872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251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45874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249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45877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246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45879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244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45884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239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45887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236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45889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234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45889</v>
      </c>
      <c r="B12" s="2" t="s">
        <v>21</v>
      </c>
      <c r="E12" s="4" t="s">
        <v>54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234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45891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232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46123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45901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222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45903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220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45905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218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45908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215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45910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213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45914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209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45915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208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45918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205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45928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195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46123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Sep!G2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45931</v>
      </c>
      <c r="B5" s="2" t="s">
        <v>58</v>
      </c>
      <c r="E5" s="4" t="s">
        <v>59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192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45933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190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45935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188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45938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185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45940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183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45942</v>
      </c>
      <c r="B10" s="2" t="s">
        <v>52</v>
      </c>
      <c r="E10" s="4" t="s">
        <v>46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181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45945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178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45948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175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45950</v>
      </c>
      <c r="B13" s="2" t="s">
        <v>49</v>
      </c>
      <c r="E13" s="4" t="s">
        <v>46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173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45955</v>
      </c>
      <c r="B14" s="2" t="s">
        <v>55</v>
      </c>
      <c r="E14" s="4" t="s">
        <v>46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168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46123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Oct!G2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159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45966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157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45969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154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45971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152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45976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147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45977</v>
      </c>
      <c r="B10" s="2" t="s">
        <v>53</v>
      </c>
      <c r="E10" s="4" t="s">
        <v>54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146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45979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144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45981</v>
      </c>
      <c r="B12" s="2" t="s">
        <v>60</v>
      </c>
      <c r="E12" s="4" t="s">
        <v>54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142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45983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140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45986</v>
      </c>
      <c r="B14" s="2" t="s">
        <v>61</v>
      </c>
      <c r="E14" s="4" t="s">
        <v>51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137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46123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131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129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45996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127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45999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124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46001</v>
      </c>
      <c r="B9" s="2" t="s">
        <v>62</v>
      </c>
      <c r="E9" s="4" t="s">
        <v>63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122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</row>
    <row r="10" customFormat="false" ht="12" hidden="false" customHeight="false" outlineLevel="0" collapsed="false">
      <c r="A10" s="1" t="n">
        <v>46001</v>
      </c>
      <c r="B10" s="2" t="s">
        <v>47</v>
      </c>
      <c r="E10" s="4" t="s">
        <v>46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122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46005</v>
      </c>
      <c r="B11" s="2" t="s">
        <v>57</v>
      </c>
      <c r="E11" s="4" t="s">
        <v>46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118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46006</v>
      </c>
      <c r="B12" s="2" t="s">
        <v>17</v>
      </c>
      <c r="E12" s="4" t="s">
        <v>46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117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46009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114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46011</v>
      </c>
      <c r="B14" s="2" t="s">
        <v>49</v>
      </c>
      <c r="E14" s="4" t="s">
        <v>46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112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46019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104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46123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98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46027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96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46030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93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46032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91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46034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89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46037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86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46040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83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46042</v>
      </c>
      <c r="B12" s="2" t="s">
        <v>64</v>
      </c>
      <c r="E12" s="4" t="s">
        <v>54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81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46047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76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46123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67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46058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65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46061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62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46063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60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46068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55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46071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52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46073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50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46075</v>
      </c>
      <c r="B12" s="2" t="s">
        <v>56</v>
      </c>
      <c r="E12" s="4" t="s">
        <v>46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48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46123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41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46084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39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46086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37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46089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34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46091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32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46095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28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46096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27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46097</v>
      </c>
      <c r="B12" s="2" t="s">
        <v>53</v>
      </c>
      <c r="E12" s="4" t="s">
        <v>54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26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46099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24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46106</v>
      </c>
      <c r="B14" s="2" t="s">
        <v>65</v>
      </c>
      <c r="E14" s="4" t="s">
        <v>51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17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46109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14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46123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8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46117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6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46120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3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46122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46127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-4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46130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-7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46132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-9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46132</v>
      </c>
      <c r="B12" s="2" t="s">
        <v>66</v>
      </c>
      <c r="E12" s="4" t="s">
        <v>54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-9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46137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-14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31360</v>
      </c>
      <c r="G1" s="12" t="n">
        <f aca="false">SUM(G5:G300)</f>
        <v>5226.66666666667</v>
      </c>
      <c r="H1" s="12" t="n">
        <f aca="false">SUM(H5:H300)</f>
        <v>26133.3333333333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31360</v>
      </c>
      <c r="M1" s="17" t="n">
        <f aca="true">TODAY()</f>
        <v>46123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Jun!U1+Jul!U1+Aug!U1+Sep!U1+Oct!U1+Nov!U1+Dec!U1+Jan!U1+Feb!U1+Mar!U1+Apr!U1+May!U1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-22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46147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-24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46150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-27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46152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-29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46157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-34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46160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-37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46164</v>
      </c>
      <c r="B11" s="2" t="s">
        <v>56</v>
      </c>
      <c r="E11" s="4" t="s">
        <v>46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-41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46173</v>
      </c>
      <c r="B12" s="2" t="s">
        <v>67</v>
      </c>
      <c r="E12" s="4" t="s">
        <v>68</v>
      </c>
      <c r="F12" s="2" t="n">
        <v>360</v>
      </c>
      <c r="G12" s="2" t="n">
        <f aca="false">IF(G$4&gt;0,(IF(F12&lt;&gt;0,F12*G$4/100," ")),IF(F12&lt;&gt;0,F12*G$2/(100+G$2)," "))</f>
        <v>60</v>
      </c>
      <c r="H12" s="2" t="n">
        <f aca="false">IF((F12&lt;&gt;0),F12-G12," ")</f>
        <v>300</v>
      </c>
      <c r="L12" s="7" t="n">
        <f aca="false">IF(F12&lt;&gt;0,F12-K12," ")</f>
        <v>360</v>
      </c>
      <c r="M12" s="8" t="n">
        <f aca="false">IF((F12-K12)&lt;&gt;0,M$1-A12," ")</f>
        <v>-50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n">
        <f aca="false">IF((E12="o"),H12," ")</f>
        <v>300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69</v>
      </c>
      <c r="B1" s="9"/>
      <c r="C1" s="10" t="n">
        <f aca="false">IF([1]TrialBalance!$EJ$20&gt;0,[1]TrialBalance!$EJ$20,0)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10400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46123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May!G2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70</v>
      </c>
      <c r="G5" s="2" t="str">
        <f aca="false">IF(G$4&gt;0,(IF(F5&lt;&gt;0,F5*G$4/100," ")),IF(F5&lt;&gt;0,F5*G$2/(100+G$2)," "))</f>
        <v> </v>
      </c>
      <c r="H5" s="2" t="n">
        <v>8000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48</v>
      </c>
      <c r="C6" s="3" t="s">
        <v>71</v>
      </c>
      <c r="G6" s="2" t="str">
        <f aca="false">IF(G$4&gt;0,(IF(F6&lt;&gt;0,F6*G$4/100," ")),IF(F6&lt;&gt;0,F6*G$2/(100+G$2)," "))</f>
        <v> </v>
      </c>
      <c r="H6" s="2" t="n">
        <v>2400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