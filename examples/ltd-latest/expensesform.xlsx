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 01" sheetId="1" state="visible" r:id="rId3"/>
    <sheet name="Month 02" sheetId="2" state="visible" r:id="rId4"/>
    <sheet name="Month 03" sheetId="3" state="visible" r:id="rId5"/>
    <sheet name="Month 04" sheetId="4" state="visible" r:id="rId6"/>
    <sheet name="Month 05" sheetId="5" state="visible" r:id="rId7"/>
    <sheet name="Month 06" sheetId="6" state="visible" r:id="rId8"/>
    <sheet name="Month 07" sheetId="7" state="visible" r:id="rId9"/>
    <sheet name="Month 08" sheetId="8" state="visible" r:id="rId10"/>
    <sheet name="Month 09" sheetId="9" state="visible" r:id="rId11"/>
    <sheet name="Month 10" sheetId="10" state="visible" r:id="rId12"/>
    <sheet name="Month 11" sheetId="11" state="visible" r:id="rId13"/>
    <sheet name="Month 12" sheetId="12" state="visible" r:id="rId14"/>
  </sheets>
  <definedNames>
    <definedName function="false" hidden="false" localSheetId="0" name="_xlnm.Print_Area" vbProcedure="false">'Month 01'!$A$1:$H$52</definedName>
    <definedName function="false" hidden="false" localSheetId="0" name="_xlnm_Print_Area" vbProcedure="false">'Month 01'!$A$1:$H$52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<sst xmlns="http://schemas.openxmlformats.org/spreadsheetml/2006/main" count="612" uniqueCount="43">
  <si>
    <t xml:space="preserve">EXPENSES CLAIM FORM</t>
  </si>
  <si>
    <t xml:space="preserve">Attach all receipts to support the claim for re-imbursement of business expenses incurred</t>
  </si>
  <si>
    <t xml:space="preserve">Enter X if vat registered leave blank if not registered or flat rate scheme</t>
  </si>
  <si>
    <t xml:space="preserve">x</t>
  </si>
  <si>
    <t xml:space="preserve">Name</t>
  </si>
  <si>
    <t xml:space="preserve">Vat rate applied</t>
  </si>
  <si>
    <t xml:space="preserve">Address</t>
  </si>
  <si>
    <t xml:space="preserve">Date From:</t>
  </si>
  <si>
    <t xml:space="preserve">Post Code</t>
  </si>
  <si>
    <t xml:space="preserve">Date To:</t>
  </si>
  <si>
    <t xml:space="preserve">Date</t>
  </si>
  <si>
    <t xml:space="preserve">Description of Expense</t>
  </si>
  <si>
    <t xml:space="preserve">Destination and Purpose</t>
  </si>
  <si>
    <t xml:space="preserve">Mileage</t>
  </si>
  <si>
    <t xml:space="preserve">Expense Type</t>
  </si>
  <si>
    <t xml:space="preserve">Total Claimed</t>
  </si>
  <si>
    <t xml:space="preserve">Vat</t>
  </si>
  <si>
    <t xml:space="preserve">Net Expense</t>
  </si>
  <si>
    <t xml:space="preserve">General Admin</t>
  </si>
  <si>
    <t xml:space="preserve">Hotel &amp; Travel</t>
  </si>
  <si>
    <t xml:space="preserve">Vehicle or Mileage</t>
  </si>
  <si>
    <t xml:space="preserve">Other Expenses</t>
  </si>
  <si>
    <t xml:space="preserve">TOTAL AMOUNT PAYABLE</t>
  </si>
  <si>
    <t xml:space="preserve">£ </t>
  </si>
  <si>
    <t xml:space="preserve">I confirm the amount claimed has been incurred solely on business and does not include travel expenses from </t>
  </si>
  <si>
    <t xml:space="preserve">home to normal place of work, personal or third party expenses</t>
  </si>
  <si>
    <t xml:space="preserve">Signed</t>
  </si>
  <si>
    <t xml:space="preserve">…………………………………………………………….</t>
  </si>
  <si>
    <t xml:space="preserve">…………………………….</t>
  </si>
  <si>
    <t xml:space="preserve">Payment Authorised By</t>
  </si>
  <si>
    <t xml:space="preserve">…………………………</t>
  </si>
  <si>
    <t xml:space="preserve">OFFICE USE: Accounting Summary</t>
  </si>
  <si>
    <t xml:space="preserve">Reference</t>
  </si>
  <si>
    <t xml:space="preserve">Exp01</t>
  </si>
  <si>
    <t xml:space="preserve">Entry Code Letter</t>
  </si>
  <si>
    <t xml:space="preserve">Total Purchases</t>
  </si>
  <si>
    <t xml:space="preserve">Vat Input</t>
  </si>
  <si>
    <t xml:space="preserve">Expense analysis</t>
  </si>
  <si>
    <t xml:space="preserve">G</t>
  </si>
  <si>
    <t xml:space="preserve">H</t>
  </si>
  <si>
    <t xml:space="preserve">V</t>
  </si>
  <si>
    <t xml:space="preserve">Manual analysis required of Other Expenses for accounts</t>
  </si>
  <si>
    <t xml:space="preserve">To be allocated manually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</si>
</sst>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"/>
    <numFmt numFmtId="166" formatCode="d\-mmm\-yy"/>
    <numFmt numFmtId="167" formatCode="0"/>
    <numFmt numFmtId="168" formatCode="#,##0.00"/>
    <numFmt numFmtId="169" formatCode="0.00_ ;[RED]\-0.00\ "/>
    <numFmt numFmtId="170" formatCode="General"/>
    <numFmt numFmtId="171" formatCode="0.00"/>
    <numFmt numFmtId="172" formatCode="m/d/yyyy"/>
    <numFmt numFmtId="173" formatCode="d\-mmm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b val="true"/>
      <sz val="9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9"/>
      <name val="Arial"/>
      <family val="2"/>
      <charset val="1"/>
    </font>
    <font>
      <i val="true"/>
      <sz val="9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2" shrinkToFit="false"/>
      <protection locked="true" hidden="false"/>
    </xf>
    <xf numFmtId="164" fontId="10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right" vertical="center" textRotation="0" wrapText="true" indent="4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true" indent="4" shrinkToFit="false"/>
      <protection locked="true" hidden="false"/>
    </xf>
    <xf numFmtId="166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/>
      <c r="C5" s="7"/>
      <c r="D5" s="7"/>
      <c r="F5" s="3" t="s">
        <v>5</v>
      </c>
      <c r="G5" s="3"/>
      <c r="H5" s="8" t="n">
        <v>20</v>
      </c>
    </row>
    <row r="6" customFormat="false" ht="15" hidden="false" customHeight="true" outlineLevel="0" collapsed="false">
      <c r="A6" s="1" t="s">
        <v>6</v>
      </c>
      <c r="B6" s="7"/>
      <c r="C6" s="7"/>
      <c r="D6" s="7"/>
      <c r="F6" s="1" t="s">
        <v>7</v>
      </c>
      <c r="G6" s="9" t="n">
        <v>45383</v>
      </c>
      <c r="H6" s="9"/>
    </row>
    <row r="7" customFormat="false" ht="15" hidden="false" customHeight="true" outlineLevel="0" collapsed="false">
      <c r="B7" s="10"/>
      <c r="C7" s="11" t="s">
        <v>8</v>
      </c>
      <c r="D7" s="7"/>
      <c r="F7" s="1" t="s">
        <v>9</v>
      </c>
      <c r="G7" s="9" t="n">
        <v>45412</v>
      </c>
      <c r="H7" s="9"/>
    </row>
    <row r="8" customFormat="false" ht="9.75" hidden="false" customHeight="true" outlineLevel="0" collapsed="false">
      <c r="G8" s="12"/>
    </row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25"/>
      <c r="H33" s="25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45412</v>
      </c>
      <c r="B44" s="6" t="str">
        <f aca="false">IF(B5&gt;0,B5," ")</f>
        <v> </v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true" verticalCentered="false"/>
  <pageMargins left="0" right="0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16" min="14" style="1" width="9.15"/>
    <col collapsed="false" customWidth="true" hidden="false" outlineLevel="0" max="17" min="17" style="1" width="9.82"/>
    <col collapsed="false" customWidth="false" hidden="false" outlineLevel="0" max="257" min="18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01'!B5:D5&gt;0,'Month 01'!B5:D5,"")</f>
        <v/>
      </c>
      <c r="C5" s="7"/>
      <c r="D5" s="7"/>
      <c r="F5" s="3" t="s">
        <v>5</v>
      </c>
      <c r="G5" s="3"/>
      <c r="H5" s="8" t="n">
        <f aca="false">'Month 01'!H5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01'!B6:D6&gt;0,'Month 01'!B6:D6,"")</f>
        <v/>
      </c>
      <c r="C6" s="7"/>
      <c r="D6" s="7"/>
      <c r="F6" s="1" t="s">
        <v>7</v>
      </c>
      <c r="G6" s="9" t="n">
        <f aca="false">DATE(YEAR('Month 01'!G6),MONTH('Month 01'!G6)+1,1)</f>
        <v>45413</v>
      </c>
      <c r="H6" s="9"/>
    </row>
    <row r="7" customFormat="false" ht="15" hidden="false" customHeight="true" outlineLevel="0" collapsed="false">
      <c r="B7" s="10" t="str">
        <f aca="false">IF('Month 01'!B7&gt;0,'Month 01'!B7,"")</f>
        <v/>
      </c>
      <c r="C7" s="11" t="s">
        <v>8</v>
      </c>
      <c r="D7" s="7" t="str">
        <f aca="false">IF('Month 01'!D7&gt;0,'Month 01'!D7,"")</f>
        <v/>
      </c>
      <c r="F7" s="1" t="s">
        <v>9</v>
      </c>
      <c r="G7" s="9" t="n">
        <f aca="false">DATE(YEAR(G6),MONTH(G6),DAY(DATE(YEAR(G6),MONTH(G6)+1,1)-1))</f>
        <v>45443</v>
      </c>
      <c r="H7" s="9"/>
      <c r="Q7" s="4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01'!C30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25"/>
      <c r="H33" s="25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45443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02'!B5:D5&gt;0,'Month 02'!B5:D5,"")</f>
        <v/>
      </c>
      <c r="C5" s="7"/>
      <c r="D5" s="7"/>
      <c r="F5" s="3" t="s">
        <v>5</v>
      </c>
      <c r="G5" s="3"/>
      <c r="H5" s="8" t="n">
        <f aca="false">'Month 02'!H5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02'!B6:D6&gt;0,'Month 02'!B6:D6,"")</f>
        <v/>
      </c>
      <c r="C6" s="7"/>
      <c r="D6" s="7"/>
      <c r="F6" s="1" t="s">
        <v>7</v>
      </c>
      <c r="G6" s="9" t="n">
        <f aca="false">DATE(YEAR('Month 02'!G6),MONTH('Month 02'!G6)+1,DAY('Month 02'!G6))</f>
        <v>45444</v>
      </c>
      <c r="H6" s="9"/>
    </row>
    <row r="7" customFormat="false" ht="15" hidden="false" customHeight="true" outlineLevel="0" collapsed="false">
      <c r="B7" s="10" t="str">
        <f aca="false">IF('Month 02'!B7&gt;0,'Month 02'!B7,"")</f>
        <v/>
      </c>
      <c r="C7" s="11" t="s">
        <v>8</v>
      </c>
      <c r="D7" s="7" t="str">
        <f aca="false">IF('Month 02'!D7&gt;0,'Month 02'!D7,"")</f>
        <v/>
      </c>
      <c r="F7" s="1" t="s">
        <v>9</v>
      </c>
      <c r="G7" s="9" t="n">
        <f aca="false">DATE(YEAR(G6),MONTH(G6),DAY(DATE(YEAR(G6),MONTH(G6)+1,1)-1))</f>
        <v>45473</v>
      </c>
      <c r="H7" s="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02'!C30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25"/>
      <c r="H33" s="25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45473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03'!B5:D5&gt;0,'Month 03'!B5:D5,"")</f>
        <v/>
      </c>
      <c r="C5" s="7"/>
      <c r="D5" s="7"/>
      <c r="F5" s="3" t="s">
        <v>5</v>
      </c>
      <c r="G5" s="3"/>
      <c r="H5" s="8" t="n">
        <f aca="false">'Month 03'!H5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03'!B6:D6&gt;0,'Month 03'!B6:D6,"")</f>
        <v/>
      </c>
      <c r="C6" s="7"/>
      <c r="D6" s="7"/>
      <c r="F6" s="1" t="s">
        <v>7</v>
      </c>
      <c r="G6" s="9" t="n">
        <f aca="false">DATE(YEAR('Month 03'!G6),MONTH('Month 03'!G6)+1,1)</f>
        <v>45474</v>
      </c>
      <c r="H6" s="9"/>
    </row>
    <row r="7" customFormat="false" ht="15" hidden="false" customHeight="true" outlineLevel="0" collapsed="false">
      <c r="B7" s="10" t="str">
        <f aca="false">IF('Month 03'!B7&gt;0,'Month 03'!B7,"")</f>
        <v/>
      </c>
      <c r="C7" s="11" t="s">
        <v>8</v>
      </c>
      <c r="D7" s="7" t="str">
        <f aca="false">IF('Month 03'!D7&gt;0,'Month 03'!D7,"")</f>
        <v/>
      </c>
      <c r="F7" s="1" t="s">
        <v>9</v>
      </c>
      <c r="G7" s="9" t="n">
        <f aca="false">DATE(YEAR(G6),MONTH(G6),DAY(DATE(YEAR(G6),MONTH(G6)+1,1)-1))</f>
        <v>45504</v>
      </c>
      <c r="H7" s="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03'!C30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25"/>
      <c r="H33" s="25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45504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04'!B5:D5&gt;0,'Month 04'!B5:D5,"")</f>
        <v/>
      </c>
      <c r="C5" s="7"/>
      <c r="D5" s="7"/>
      <c r="F5" s="3" t="s">
        <v>5</v>
      </c>
      <c r="G5" s="3"/>
      <c r="H5" s="8" t="n">
        <f aca="false">'Month 04'!H5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04'!B6:D6&gt;0,'Month 04'!B6:D6,"")</f>
        <v/>
      </c>
      <c r="C6" s="7"/>
      <c r="D6" s="7"/>
      <c r="F6" s="1" t="s">
        <v>7</v>
      </c>
      <c r="G6" s="9" t="n">
        <f aca="false">DATE(YEAR('Month 04'!G6),MONTH('Month 04'!G6)+1,1)</f>
        <v>45505</v>
      </c>
      <c r="H6" s="9"/>
    </row>
    <row r="7" customFormat="false" ht="15" hidden="false" customHeight="true" outlineLevel="0" collapsed="false">
      <c r="B7" s="10" t="str">
        <f aca="false">IF('Month 04'!B7&gt;0,'Month 04'!B7,"")</f>
        <v/>
      </c>
      <c r="C7" s="11" t="s">
        <v>8</v>
      </c>
      <c r="D7" s="7" t="str">
        <f aca="false">IF('Month 04'!D7&gt;0,'Month 04'!D7,"")</f>
        <v/>
      </c>
      <c r="F7" s="1" t="s">
        <v>9</v>
      </c>
      <c r="G7" s="9" t="n">
        <f aca="false">DATE(YEAR(G6),MONTH(G6),DAY(DATE(YEAR(G6),MONTH(G6)+1,1)-1))</f>
        <v>45535</v>
      </c>
      <c r="H7" s="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04'!C30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45535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05'!B5:D5&gt;0,'Month 05'!B5:D5,"")</f>
        <v/>
      </c>
      <c r="C5" s="7"/>
      <c r="D5" s="7"/>
      <c r="F5" s="3" t="s">
        <v>5</v>
      </c>
      <c r="G5" s="3"/>
      <c r="H5" s="8" t="n">
        <f aca="false">'Month 05'!H5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05'!B6:D6&gt;0,'Month 05'!B6:D6,"")</f>
        <v/>
      </c>
      <c r="C6" s="7"/>
      <c r="D6" s="7"/>
      <c r="F6" s="1" t="s">
        <v>7</v>
      </c>
      <c r="G6" s="9" t="n">
        <f aca="false">DATE(YEAR('Month 05'!G6),MONTH('Month 05'!G6)+1,1)</f>
        <v>45536</v>
      </c>
      <c r="H6" s="9"/>
    </row>
    <row r="7" customFormat="false" ht="15" hidden="false" customHeight="true" outlineLevel="0" collapsed="false">
      <c r="B7" s="10" t="str">
        <f aca="false">IF('Month 05'!B7&gt;0,'Month 05'!B7,"")</f>
        <v/>
      </c>
      <c r="C7" s="11" t="s">
        <v>8</v>
      </c>
      <c r="D7" s="7" t="str">
        <f aca="false">IF('Month 05'!D7&gt;0,'Month 05'!D7,"")</f>
        <v/>
      </c>
      <c r="F7" s="1" t="s">
        <v>9</v>
      </c>
      <c r="G7" s="9" t="n">
        <f aca="false">DATE(YEAR(G6),MONTH(G6),DAY(DATE(YEAR(G6),MONTH(G6)+1,1)-1))</f>
        <v>45565</v>
      </c>
      <c r="H7" s="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05'!C30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50"/>
      <c r="H33" s="50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45565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06'!B5:D5&gt;0,'Month 06'!B5:D5,"")</f>
        <v/>
      </c>
      <c r="C5" s="7"/>
      <c r="D5" s="7"/>
      <c r="F5" s="3" t="s">
        <v>5</v>
      </c>
      <c r="G5" s="3"/>
      <c r="H5" s="8" t="n">
        <f aca="false">'Month 06'!H5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06'!B6:D6&gt;0,'Month 06'!B6:D6,"")</f>
        <v/>
      </c>
      <c r="C6" s="7"/>
      <c r="D6" s="7"/>
      <c r="F6" s="1" t="s">
        <v>7</v>
      </c>
      <c r="G6" s="9" t="n">
        <f aca="false">DATE(YEAR('Month 06'!G6),MONTH('Month 06'!G6)+1,1)</f>
        <v>45566</v>
      </c>
      <c r="H6" s="9"/>
    </row>
    <row r="7" customFormat="false" ht="15" hidden="false" customHeight="true" outlineLevel="0" collapsed="false">
      <c r="B7" s="10" t="str">
        <f aca="false">IF('Month 06'!B7&gt;0,'Month 06'!B7,"")</f>
        <v/>
      </c>
      <c r="C7" s="11" t="s">
        <v>8</v>
      </c>
      <c r="D7" s="7" t="str">
        <f aca="false">IF('Month 06'!D7&gt;0,'Month 06'!D7,"")</f>
        <v/>
      </c>
      <c r="F7" s="1" t="s">
        <v>9</v>
      </c>
      <c r="G7" s="9" t="n">
        <f aca="false">DATE(YEAR(G6),MONTH(G6),DAY(DATE(YEAR(G6),MONTH(G6)+1,1)-1))</f>
        <v>45596</v>
      </c>
      <c r="H7" s="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06'!C30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45596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07'!B5:D5&gt;0,'Month 07'!B5:D5,"")</f>
        <v/>
      </c>
      <c r="C5" s="7"/>
      <c r="D5" s="7"/>
      <c r="F5" s="3" t="s">
        <v>5</v>
      </c>
      <c r="G5" s="3"/>
      <c r="H5" s="8" t="n">
        <f aca="false">'Month 07'!H5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07'!B6:D6&gt;0,'Month 07'!B6:D6,"")</f>
        <v/>
      </c>
      <c r="C6" s="7"/>
      <c r="D6" s="7"/>
      <c r="F6" s="1" t="s">
        <v>7</v>
      </c>
      <c r="G6" s="9" t="n">
        <f aca="false">DATE(YEAR('Month 07'!G6),MONTH('Month 07'!G6)+1,1)</f>
        <v>45597</v>
      </c>
      <c r="H6" s="9"/>
    </row>
    <row r="7" customFormat="false" ht="15" hidden="false" customHeight="true" outlineLevel="0" collapsed="false">
      <c r="B7" s="10" t="str">
        <f aca="false">IF('Month 07'!B7&gt;0,'Month 07'!B7,"")</f>
        <v/>
      </c>
      <c r="C7" s="11" t="s">
        <v>8</v>
      </c>
      <c r="D7" s="7" t="str">
        <f aca="false">IF('Month 07'!D7&gt;0,'Month 07'!D7,"")</f>
        <v/>
      </c>
      <c r="F7" s="1" t="s">
        <v>9</v>
      </c>
      <c r="G7" s="9" t="n">
        <f aca="false">DATE(YEAR(G6),MONTH(G6),DAY(DATE(YEAR(G6),MONTH(G6)+1,1)-1))</f>
        <v>45626</v>
      </c>
      <c r="H7" s="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07'!C30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45626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08'!B5:D5&gt;0,'Month 08'!B5:D5,"")</f>
        <v/>
      </c>
      <c r="C5" s="7"/>
      <c r="D5" s="7"/>
      <c r="F5" s="3" t="s">
        <v>5</v>
      </c>
      <c r="G5" s="3"/>
      <c r="H5" s="8" t="n">
        <f aca="false">'Month 08'!H5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08'!B6:D6&gt;0,'Month 08'!B6:D6,"")</f>
        <v/>
      </c>
      <c r="C6" s="7"/>
      <c r="D6" s="7"/>
      <c r="F6" s="1" t="s">
        <v>7</v>
      </c>
      <c r="G6" s="9" t="n">
        <f aca="false">DATE(YEAR('Month 08'!G6),MONTH('Month 08'!G6)+1,1)</f>
        <v>45627</v>
      </c>
      <c r="H6" s="9"/>
    </row>
    <row r="7" customFormat="false" ht="15" hidden="false" customHeight="true" outlineLevel="0" collapsed="false">
      <c r="B7" s="10" t="str">
        <f aca="false">IF('Month 08'!B7&gt;0,'Month 08'!B7,"")</f>
        <v/>
      </c>
      <c r="C7" s="11" t="s">
        <v>8</v>
      </c>
      <c r="D7" s="7" t="str">
        <f aca="false">IF('Month 08'!D7&gt;0,'Month 08'!D7,"")</f>
        <v/>
      </c>
      <c r="F7" s="1" t="s">
        <v>9</v>
      </c>
      <c r="G7" s="9" t="n">
        <f aca="false">DATE(YEAR(G6),MONTH(G6),DAY(DATE(YEAR(G6),MONTH(G6)+1,1)-1))</f>
        <v>45657</v>
      </c>
      <c r="H7" s="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08'!C30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45657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09'!B5:D5&gt;0,'Month 09'!B5:D5,"")</f>
        <v/>
      </c>
      <c r="C5" s="7"/>
      <c r="D5" s="7"/>
      <c r="F5" s="3" t="s">
        <v>5</v>
      </c>
      <c r="G5" s="3"/>
      <c r="H5" s="8" t="n">
        <f aca="false">'Month 09'!H5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09'!B6:D6&gt;0,'Month 09'!B6:D6,"")</f>
        <v/>
      </c>
      <c r="C6" s="7"/>
      <c r="D6" s="7"/>
      <c r="F6" s="1" t="s">
        <v>7</v>
      </c>
      <c r="G6" s="9" t="n">
        <f aca="false">DATE(YEAR('Month 09'!G6),MONTH('Month 09'!G6)+1,1)</f>
        <v>45658</v>
      </c>
      <c r="H6" s="9"/>
    </row>
    <row r="7" customFormat="false" ht="15" hidden="false" customHeight="true" outlineLevel="0" collapsed="false">
      <c r="B7" s="10" t="str">
        <f aca="false">IF('Month 09'!B7&gt;0,'Month 09'!B7,"")</f>
        <v/>
      </c>
      <c r="C7" s="11" t="s">
        <v>8</v>
      </c>
      <c r="D7" s="7" t="str">
        <f aca="false">IF('Month 09'!D7&gt;0,'Month 09'!D7,"")</f>
        <v/>
      </c>
      <c r="F7" s="1" t="s">
        <v>9</v>
      </c>
      <c r="G7" s="9" t="n">
        <f aca="false">DATE(YEAR(G6),MONTH(G6),DAY(DATE(YEAR(G6),MONTH(G6)+1,1)-1))</f>
        <v>45688</v>
      </c>
      <c r="H7" s="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09'!C30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45688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10'!B5:D5&gt;0,'Month 10'!B5:D5,"")</f>
        <v/>
      </c>
      <c r="C5" s="7"/>
      <c r="D5" s="7"/>
      <c r="F5" s="3" t="s">
        <v>5</v>
      </c>
      <c r="G5" s="3"/>
      <c r="H5" s="8" t="n">
        <f aca="false">'Month 10'!H5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10'!B6:D6&gt;0,'Month 10'!B6:D6,"")</f>
        <v/>
      </c>
      <c r="C6" s="7"/>
      <c r="D6" s="7"/>
      <c r="F6" s="1" t="s">
        <v>7</v>
      </c>
      <c r="G6" s="9" t="n">
        <f aca="false">DATE(YEAR('Month 10'!G6),MONTH('Month 10'!G6)+1,1)</f>
        <v>45689</v>
      </c>
      <c r="H6" s="9"/>
    </row>
    <row r="7" customFormat="false" ht="15" hidden="false" customHeight="true" outlineLevel="0" collapsed="false">
      <c r="B7" s="10" t="str">
        <f aca="false">IF('Month 10'!B7&gt;0,'Month 10'!B7,"")</f>
        <v/>
      </c>
      <c r="C7" s="11" t="s">
        <v>8</v>
      </c>
      <c r="D7" s="7" t="str">
        <f aca="false">IF('Month 10'!D7&gt;0,'Month 10'!D7,"")</f>
        <v/>
      </c>
      <c r="F7" s="1" t="s">
        <v>9</v>
      </c>
      <c r="G7" s="9" t="n">
        <f aca="false">DATE(YEAR(G6),MONTH(G6),DAY(DATE(YEAR(G6),MONTH(G6)+1,1)-1))</f>
        <v>45716</v>
      </c>
      <c r="H7" s="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10'!C30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45716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23.49"/>
    <col collapsed="false" customWidth="true" hidden="false" outlineLevel="0" max="3" min="3" style="1" width="16.82"/>
    <col collapsed="false" customWidth="true" hidden="false" outlineLevel="0" max="4" min="4" style="1" width="8.66"/>
    <col collapsed="false" customWidth="true" hidden="false" outlineLevel="0" max="5" min="5" style="1" width="13.66"/>
    <col collapsed="false" customWidth="true" hidden="false" outlineLevel="0" max="6" min="6" style="1" width="11.5"/>
    <col collapsed="false" customWidth="true" hidden="false" outlineLevel="0" max="7" min="7" style="1" width="8.99"/>
    <col collapsed="false" customWidth="true" hidden="false" outlineLevel="0" max="8" min="8" style="1" width="8.66"/>
    <col collapsed="false" customWidth="true" hidden="false" outlineLevel="0" max="9" min="9" style="1" width="0.82"/>
    <col collapsed="false" customWidth="true" hidden="true" outlineLevel="0" max="13" min="10" style="1" width="11.52"/>
    <col collapsed="false" customWidth="false" hidden="false" outlineLevel="0" max="257" min="14" style="1" width="9.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5" t="s">
        <v>3</v>
      </c>
    </row>
    <row r="4" customFormat="false" ht="3.7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1" t="s">
        <v>4</v>
      </c>
      <c r="B5" s="7" t="str">
        <f aca="false">IF('Month 11'!B5:D5&gt;0,'Month 11'!B5:D5,"")</f>
        <v/>
      </c>
      <c r="C5" s="7"/>
      <c r="D5" s="7"/>
      <c r="F5" s="3" t="s">
        <v>5</v>
      </c>
      <c r="G5" s="3"/>
      <c r="H5" s="8" t="n">
        <f aca="false">'Month 11'!H5</f>
        <v>20</v>
      </c>
    </row>
    <row r="6" customFormat="false" ht="15" hidden="false" customHeight="true" outlineLevel="0" collapsed="false">
      <c r="A6" s="1" t="s">
        <v>6</v>
      </c>
      <c r="B6" s="7" t="str">
        <f aca="false">IF('Month 11'!B6:D6&gt;0,'Month 11'!B6:D6,"")</f>
        <v/>
      </c>
      <c r="C6" s="7"/>
      <c r="D6" s="7"/>
      <c r="F6" s="1" t="s">
        <v>7</v>
      </c>
      <c r="G6" s="9" t="n">
        <f aca="false">DATE(YEAR('Month 11'!G6),MONTH('Month 11'!G6)+1,1)</f>
        <v>45717</v>
      </c>
      <c r="H6" s="9"/>
    </row>
    <row r="7" customFormat="false" ht="15" hidden="false" customHeight="true" outlineLevel="0" collapsed="false">
      <c r="B7" s="10" t="str">
        <f aca="false">IF('Month 11'!B7&gt;0,'Month 11'!B7,"")</f>
        <v/>
      </c>
      <c r="C7" s="11" t="s">
        <v>8</v>
      </c>
      <c r="D7" s="7" t="str">
        <f aca="false">IF('Month 11'!D7&gt;0,'Month 11'!D7,"")</f>
        <v/>
      </c>
      <c r="F7" s="1" t="s">
        <v>9</v>
      </c>
      <c r="G7" s="9" t="n">
        <f aca="false">DATE(YEAR(G6),MONTH(G6),DAY(DATE(YEAR(G6),MONTH(G6)+1,1)-1))</f>
        <v>45747</v>
      </c>
      <c r="H7" s="9"/>
    </row>
    <row r="8" customFormat="false" ht="9.75" hidden="false" customHeight="true" outlineLevel="0" collapsed="false"/>
    <row r="9" s="14" customFormat="true" ht="30" hidden="false" customHeight="true" outlineLevel="0" collapsed="false">
      <c r="A9" s="13" t="s">
        <v>10</v>
      </c>
      <c r="B9" s="13" t="s">
        <v>11</v>
      </c>
      <c r="C9" s="13" t="s">
        <v>12</v>
      </c>
      <c r="D9" s="13" t="s">
        <v>13</v>
      </c>
      <c r="E9" s="13" t="s">
        <v>14</v>
      </c>
      <c r="F9" s="13" t="s">
        <v>15</v>
      </c>
      <c r="G9" s="13" t="s">
        <v>16</v>
      </c>
      <c r="H9" s="13" t="s">
        <v>17</v>
      </c>
      <c r="J9" s="14" t="s">
        <v>18</v>
      </c>
      <c r="K9" s="14" t="s">
        <v>19</v>
      </c>
      <c r="L9" s="14" t="s">
        <v>20</v>
      </c>
      <c r="M9" s="14" t="s">
        <v>21</v>
      </c>
    </row>
    <row r="10" customFormat="false" ht="15" hidden="false" customHeight="true" outlineLevel="0" collapsed="false">
      <c r="A10" s="9"/>
      <c r="B10" s="7"/>
      <c r="C10" s="7"/>
      <c r="D10" s="15"/>
      <c r="E10" s="16"/>
      <c r="F10" s="17"/>
      <c r="G10" s="17" t="str">
        <f aca="false">IF(F10&gt;0,IF(G$3="X",F10*H$5/100/(1+H$5/100)," ")," ")</f>
        <v> </v>
      </c>
      <c r="H10" s="17" t="str">
        <f aca="false">IF(F10&gt;0,IF(G10=" ",F10,F10-G10)," ")</f>
        <v> </v>
      </c>
      <c r="J10" s="18" t="str">
        <f aca="false">IF(E10="General Admin",H10," ")</f>
        <v> </v>
      </c>
      <c r="K10" s="18" t="str">
        <f aca="false">IF(E10="Hotel &amp; Travel",H10," ")</f>
        <v> </v>
      </c>
      <c r="L10" s="18" t="str">
        <f aca="false">IF(E10="Vehicle or Mileage",H10," ")</f>
        <v> </v>
      </c>
      <c r="M10" s="18" t="str">
        <f aca="false">IF(E10="Other Expenses",H10," ")</f>
        <v> </v>
      </c>
    </row>
    <row r="11" customFormat="false" ht="15" hidden="false" customHeight="true" outlineLevel="0" collapsed="false">
      <c r="A11" s="9"/>
      <c r="B11" s="7"/>
      <c r="C11" s="7"/>
      <c r="D11" s="15"/>
      <c r="E11" s="16"/>
      <c r="F11" s="17"/>
      <c r="G11" s="17" t="str">
        <f aca="false">IF(F11&gt;0,IF(G$3="X",F11*H$5/100/(1+H$5/100)," ")," ")</f>
        <v> </v>
      </c>
      <c r="H11" s="17" t="str">
        <f aca="false">IF(F11&gt;0,IF(G11=" ",F11,F11-G11)," ")</f>
        <v> </v>
      </c>
      <c r="J11" s="18" t="str">
        <f aca="false">IF(E11="General Admin",H11," ")</f>
        <v> </v>
      </c>
      <c r="K11" s="18" t="str">
        <f aca="false">IF(E11="Hotel &amp; Travel",H11," ")</f>
        <v> </v>
      </c>
      <c r="L11" s="18" t="str">
        <f aca="false">IF(E11="Vehicle or Mileage",H11," ")</f>
        <v> </v>
      </c>
      <c r="M11" s="18" t="str">
        <f aca="false">IF(E11="Other Expenses",H11," ")</f>
        <v> </v>
      </c>
    </row>
    <row r="12" customFormat="false" ht="15" hidden="false" customHeight="true" outlineLevel="0" collapsed="false">
      <c r="A12" s="9"/>
      <c r="B12" s="7"/>
      <c r="C12" s="7"/>
      <c r="D12" s="15"/>
      <c r="E12" s="16"/>
      <c r="F12" s="17"/>
      <c r="G12" s="17" t="str">
        <f aca="false">IF(F12&gt;0,IF(G$3="X",F12*H$5/100/(1+H$5/100)," ")," ")</f>
        <v> </v>
      </c>
      <c r="H12" s="17" t="str">
        <f aca="false">IF(F12&gt;0,IF(G12=" ",F12,F12-G12)," ")</f>
        <v> </v>
      </c>
      <c r="J12" s="18" t="str">
        <f aca="false">IF(E12="General Admin",H12," ")</f>
        <v> </v>
      </c>
      <c r="K12" s="18" t="str">
        <f aca="false">IF(E12="Hotel &amp; Travel",H12," ")</f>
        <v> </v>
      </c>
      <c r="L12" s="18" t="str">
        <f aca="false">IF(E12="Vehicle or Mileage",H12," ")</f>
        <v> </v>
      </c>
      <c r="M12" s="18" t="str">
        <f aca="false">IF(E12="Other Expenses",H12," ")</f>
        <v> </v>
      </c>
    </row>
    <row r="13" customFormat="false" ht="15" hidden="false" customHeight="true" outlineLevel="0" collapsed="false">
      <c r="A13" s="9"/>
      <c r="B13" s="7"/>
      <c r="C13" s="7"/>
      <c r="D13" s="15"/>
      <c r="E13" s="16"/>
      <c r="F13" s="17"/>
      <c r="G13" s="17" t="str">
        <f aca="false">IF(F13&gt;0,IF(G$3="X",F13*H$5/100/(1+H$5/100)," ")," ")</f>
        <v> </v>
      </c>
      <c r="H13" s="17" t="str">
        <f aca="false">IF(F13&gt;0,IF(G13=" ",F13,F13-G13)," ")</f>
        <v> </v>
      </c>
      <c r="J13" s="18" t="str">
        <f aca="false">IF(E13="General Admin",H13," ")</f>
        <v> </v>
      </c>
      <c r="K13" s="18" t="str">
        <f aca="false">IF(E13="Hotel &amp; Travel",H13," ")</f>
        <v> </v>
      </c>
      <c r="L13" s="18" t="str">
        <f aca="false">IF(E13="Vehicle or Mileage",H13," ")</f>
        <v> </v>
      </c>
      <c r="M13" s="18" t="str">
        <f aca="false">IF(E13="Other Expenses",H13," ")</f>
        <v> </v>
      </c>
    </row>
    <row r="14" customFormat="false" ht="15" hidden="false" customHeight="true" outlineLevel="0" collapsed="false">
      <c r="A14" s="9"/>
      <c r="B14" s="7"/>
      <c r="C14" s="7"/>
      <c r="D14" s="15"/>
      <c r="E14" s="16"/>
      <c r="F14" s="17"/>
      <c r="G14" s="17" t="str">
        <f aca="false">IF(F14&gt;0,IF(G$3="X",F14*H$5/100/(1+H$5/100)," ")," ")</f>
        <v> </v>
      </c>
      <c r="H14" s="17" t="str">
        <f aca="false">IF(F14&gt;0,IF(G14=" ",F14,F14-G14)," ")</f>
        <v> </v>
      </c>
      <c r="J14" s="18" t="str">
        <f aca="false">IF(E14="General Admin",H14," ")</f>
        <v> </v>
      </c>
      <c r="K14" s="18" t="str">
        <f aca="false">IF(E14="Hotel &amp; Travel",H14," ")</f>
        <v> </v>
      </c>
      <c r="L14" s="18" t="str">
        <f aca="false">IF(E14="Vehicle or Mileage",H14," ")</f>
        <v> </v>
      </c>
      <c r="M14" s="18" t="str">
        <f aca="false">IF(E14="Other Expenses",H14," ")</f>
        <v> </v>
      </c>
    </row>
    <row r="15" customFormat="false" ht="15" hidden="false" customHeight="true" outlineLevel="0" collapsed="false">
      <c r="A15" s="9"/>
      <c r="B15" s="7"/>
      <c r="C15" s="7"/>
      <c r="D15" s="15"/>
      <c r="E15" s="16"/>
      <c r="F15" s="17"/>
      <c r="G15" s="17" t="str">
        <f aca="false">IF(F15&gt;0,IF(G$3="X",F15*H$5/100/(1+H$5/100)," ")," ")</f>
        <v> </v>
      </c>
      <c r="H15" s="17" t="str">
        <f aca="false">IF(F15&gt;0,IF(G15=" ",F15,F15-G15)," ")</f>
        <v> </v>
      </c>
      <c r="J15" s="18" t="str">
        <f aca="false">IF(E15="General Admin",H15," ")</f>
        <v> </v>
      </c>
      <c r="K15" s="18" t="str">
        <f aca="false">IF(E15="Hotel &amp; Travel",H15," ")</f>
        <v> </v>
      </c>
      <c r="L15" s="18" t="str">
        <f aca="false">IF(E15="Vehicle or Mileage",H15," ")</f>
        <v> </v>
      </c>
      <c r="M15" s="18" t="str">
        <f aca="false">IF(E15="Other Expenses",H15," ")</f>
        <v> </v>
      </c>
    </row>
    <row r="16" customFormat="false" ht="15" hidden="false" customHeight="true" outlineLevel="0" collapsed="false">
      <c r="A16" s="9"/>
      <c r="B16" s="7"/>
      <c r="C16" s="7"/>
      <c r="D16" s="15"/>
      <c r="E16" s="16"/>
      <c r="F16" s="17"/>
      <c r="G16" s="17" t="str">
        <f aca="false">IF(F16&gt;0,IF(G$3="X",F16*H$5/100/(1+H$5/100)," ")," ")</f>
        <v> </v>
      </c>
      <c r="H16" s="17" t="str">
        <f aca="false">IF(F16&gt;0,IF(G16=" ",F16,F16-G16)," ")</f>
        <v> </v>
      </c>
      <c r="J16" s="18" t="str">
        <f aca="false">IF(E16="General Admin",H16," ")</f>
        <v> </v>
      </c>
      <c r="K16" s="18" t="str">
        <f aca="false">IF(E16="Hotel &amp; Travel",H16," ")</f>
        <v> </v>
      </c>
      <c r="L16" s="18" t="str">
        <f aca="false">IF(E16="Vehicle or Mileage",H16," ")</f>
        <v> </v>
      </c>
      <c r="M16" s="18" t="str">
        <f aca="false">IF(E16="Other Expenses",H16," ")</f>
        <v> </v>
      </c>
    </row>
    <row r="17" customFormat="false" ht="15" hidden="false" customHeight="true" outlineLevel="0" collapsed="false">
      <c r="A17" s="9"/>
      <c r="B17" s="7"/>
      <c r="C17" s="7"/>
      <c r="D17" s="15"/>
      <c r="E17" s="16"/>
      <c r="F17" s="17"/>
      <c r="G17" s="17" t="str">
        <f aca="false">IF(F17&gt;0,IF(G$3="X",F17*H$5/100/(1+H$5/100)," ")," ")</f>
        <v> </v>
      </c>
      <c r="H17" s="17" t="str">
        <f aca="false">IF(F17&gt;0,IF(G17=" ",F17,F17-G17)," ")</f>
        <v> </v>
      </c>
      <c r="J17" s="18" t="str">
        <f aca="false">IF(E17="General Admin",H17," ")</f>
        <v> </v>
      </c>
      <c r="K17" s="18" t="str">
        <f aca="false">IF(E17="Hotel &amp; Travel",H17," ")</f>
        <v> </v>
      </c>
      <c r="L17" s="18" t="str">
        <f aca="false">IF(E17="Vehicle or Mileage",H17," ")</f>
        <v> </v>
      </c>
      <c r="M17" s="18" t="str">
        <f aca="false">IF(E17="Other Expenses",H17," ")</f>
        <v> </v>
      </c>
    </row>
    <row r="18" customFormat="false" ht="15" hidden="false" customHeight="true" outlineLevel="0" collapsed="false">
      <c r="A18" s="9"/>
      <c r="B18" s="7"/>
      <c r="C18" s="7"/>
      <c r="D18" s="15"/>
      <c r="E18" s="16"/>
      <c r="F18" s="17"/>
      <c r="G18" s="17" t="str">
        <f aca="false">IF(F18&gt;0,IF(G$3="X",F18*H$5/100/(1+H$5/100)," ")," ")</f>
        <v> </v>
      </c>
      <c r="H18" s="17" t="str">
        <f aca="false">IF(F18&gt;0,IF(G18=" ",F18,F18-G18)," ")</f>
        <v> </v>
      </c>
      <c r="J18" s="18" t="str">
        <f aca="false">IF(E18="General Admin",H18," ")</f>
        <v> </v>
      </c>
      <c r="K18" s="18" t="str">
        <f aca="false">IF(E18="Hotel &amp; Travel",H18," ")</f>
        <v> </v>
      </c>
      <c r="L18" s="18" t="str">
        <f aca="false">IF(E18="Vehicle or Mileage",H18," ")</f>
        <v> </v>
      </c>
      <c r="M18" s="18" t="str">
        <f aca="false">IF(E18="Other Expenses",H18," ")</f>
        <v> </v>
      </c>
    </row>
    <row r="19" customFormat="false" ht="15" hidden="false" customHeight="true" outlineLevel="0" collapsed="false">
      <c r="A19" s="9"/>
      <c r="B19" s="7"/>
      <c r="C19" s="7"/>
      <c r="D19" s="15"/>
      <c r="E19" s="16"/>
      <c r="F19" s="17"/>
      <c r="G19" s="17" t="str">
        <f aca="false">IF(F19&gt;0,IF(G$3="X",F19*H$5/100/(1+H$5/100)," ")," ")</f>
        <v> </v>
      </c>
      <c r="H19" s="17" t="str">
        <f aca="false">IF(F19&gt;0,IF(G19=" ",F19,F19-G19)," ")</f>
        <v> </v>
      </c>
      <c r="J19" s="18" t="str">
        <f aca="false">IF(E19="General Admin",H19," ")</f>
        <v> </v>
      </c>
      <c r="K19" s="18" t="str">
        <f aca="false">IF(E19="Hotel &amp; Travel",H19," ")</f>
        <v> </v>
      </c>
      <c r="L19" s="18" t="str">
        <f aca="false">IF(E19="Vehicle or Mileage",H19," ")</f>
        <v> </v>
      </c>
      <c r="M19" s="18" t="str">
        <f aca="false">IF(E19="Other Expenses",H19," ")</f>
        <v> </v>
      </c>
    </row>
    <row r="20" customFormat="false" ht="15" hidden="false" customHeight="true" outlineLevel="0" collapsed="false">
      <c r="A20" s="9"/>
      <c r="B20" s="7"/>
      <c r="C20" s="7"/>
      <c r="D20" s="15"/>
      <c r="E20" s="16"/>
      <c r="F20" s="17"/>
      <c r="G20" s="17" t="str">
        <f aca="false">IF(F20&gt;0,IF(G$3="X",F20*H$5/100/(1+H$5/100)," ")," ")</f>
        <v> </v>
      </c>
      <c r="H20" s="17" t="str">
        <f aca="false">IF(F20&gt;0,IF(G20=" ",F20,F20-G20)," ")</f>
        <v> </v>
      </c>
      <c r="J20" s="18" t="str">
        <f aca="false">IF(E20="General Admin",H20," ")</f>
        <v> </v>
      </c>
      <c r="K20" s="18" t="str">
        <f aca="false">IF(E20="Hotel &amp; Travel",H20," ")</f>
        <v> </v>
      </c>
      <c r="L20" s="18" t="str">
        <f aca="false">IF(E20="Vehicle or Mileage",H20," ")</f>
        <v> </v>
      </c>
      <c r="M20" s="18" t="str">
        <f aca="false">IF(E20="Other Expenses",H20," ")</f>
        <v> </v>
      </c>
    </row>
    <row r="21" customFormat="false" ht="15" hidden="false" customHeight="true" outlineLevel="0" collapsed="false">
      <c r="A21" s="9"/>
      <c r="B21" s="7"/>
      <c r="C21" s="7"/>
      <c r="D21" s="15"/>
      <c r="E21" s="16"/>
      <c r="F21" s="17"/>
      <c r="G21" s="17" t="str">
        <f aca="false">IF(F21&gt;0,IF(G$3="X",F21*H$5/100/(1+H$5/100)," ")," ")</f>
        <v> </v>
      </c>
      <c r="H21" s="17" t="str">
        <f aca="false">IF(F21&gt;0,IF(G21=" ",F21,F21-G21)," ")</f>
        <v> </v>
      </c>
      <c r="J21" s="18" t="str">
        <f aca="false">IF(E21="General Admin",H21," ")</f>
        <v> </v>
      </c>
      <c r="K21" s="18" t="str">
        <f aca="false">IF(E21="Hotel &amp; Travel",H21," ")</f>
        <v> </v>
      </c>
      <c r="L21" s="18" t="str">
        <f aca="false">IF(E21="Vehicle or Mileage",H21," ")</f>
        <v> </v>
      </c>
      <c r="M21" s="18" t="str">
        <f aca="false">IF(E21="Other Expenses",H21," ")</f>
        <v> </v>
      </c>
    </row>
    <row r="22" customFormat="false" ht="15" hidden="false" customHeight="true" outlineLevel="0" collapsed="false">
      <c r="A22" s="9"/>
      <c r="B22" s="7"/>
      <c r="C22" s="7"/>
      <c r="D22" s="15"/>
      <c r="E22" s="16"/>
      <c r="F22" s="17"/>
      <c r="G22" s="17" t="str">
        <f aca="false">IF(F22&gt;0,IF(G$3="X",F22*H$5/100/(1+H$5/100)," ")," ")</f>
        <v> </v>
      </c>
      <c r="H22" s="17" t="str">
        <f aca="false">IF(F22&gt;0,IF(G22=" ",F22,F22-G22)," ")</f>
        <v> </v>
      </c>
      <c r="J22" s="18" t="str">
        <f aca="false">IF(E22="General Admin",H22," ")</f>
        <v> </v>
      </c>
      <c r="K22" s="18" t="str">
        <f aca="false">IF(E22="Hotel &amp; Travel",H22," ")</f>
        <v> </v>
      </c>
      <c r="L22" s="18" t="str">
        <f aca="false">IF(E22="Vehicle or Mileage",H22," ")</f>
        <v> </v>
      </c>
      <c r="M22" s="18" t="str">
        <f aca="false">IF(E22="Other Expenses",H22," ")</f>
        <v> </v>
      </c>
    </row>
    <row r="23" customFormat="false" ht="15" hidden="false" customHeight="true" outlineLevel="0" collapsed="false">
      <c r="A23" s="9"/>
      <c r="B23" s="7"/>
      <c r="C23" s="7"/>
      <c r="D23" s="15"/>
      <c r="E23" s="16"/>
      <c r="F23" s="17"/>
      <c r="G23" s="17" t="str">
        <f aca="false">IF(F23&gt;0,IF(G$3="X",F23*H$5/100/(1+H$5/100)," ")," ")</f>
        <v> </v>
      </c>
      <c r="H23" s="17" t="str">
        <f aca="false">IF(F23&gt;0,IF(G23=" ",F23,F23-G23)," ")</f>
        <v> </v>
      </c>
      <c r="J23" s="18" t="str">
        <f aca="false">IF(E23="General Admin",H23," ")</f>
        <v> </v>
      </c>
      <c r="K23" s="18" t="str">
        <f aca="false">IF(E23="Hotel &amp; Travel",H23," ")</f>
        <v> </v>
      </c>
      <c r="L23" s="18" t="str">
        <f aca="false">IF(E23="Vehicle or Mileage",H23," ")</f>
        <v> </v>
      </c>
      <c r="M23" s="18" t="str">
        <f aca="false">IF(E23="Other Expenses",H23," ")</f>
        <v> </v>
      </c>
    </row>
    <row r="24" customFormat="false" ht="15" hidden="false" customHeight="true" outlineLevel="0" collapsed="false">
      <c r="A24" s="9"/>
      <c r="B24" s="7"/>
      <c r="C24" s="7"/>
      <c r="D24" s="15"/>
      <c r="E24" s="16"/>
      <c r="F24" s="17"/>
      <c r="G24" s="17" t="str">
        <f aca="false">IF(F24&gt;0,IF(G$3="X",F24*H$5/100/(1+H$5/100)," ")," ")</f>
        <v> </v>
      </c>
      <c r="H24" s="17" t="str">
        <f aca="false">IF(F24&gt;0,IF(G24=" ",F24,F24-G24)," ")</f>
        <v> </v>
      </c>
      <c r="J24" s="18" t="str">
        <f aca="false">IF(E24="General Admin",H24," ")</f>
        <v> </v>
      </c>
      <c r="K24" s="18" t="str">
        <f aca="false">IF(E24="Hotel &amp; Travel",H24," ")</f>
        <v> </v>
      </c>
      <c r="L24" s="18" t="str">
        <f aca="false">IF(E24="Vehicle or Mileage",H24," ")</f>
        <v> </v>
      </c>
      <c r="M24" s="18" t="str">
        <f aca="false">IF(E24="Other Expenses",H24," ")</f>
        <v> </v>
      </c>
    </row>
    <row r="25" customFormat="false" ht="15" hidden="false" customHeight="true" outlineLevel="0" collapsed="false">
      <c r="A25" s="9"/>
      <c r="B25" s="7"/>
      <c r="C25" s="7"/>
      <c r="D25" s="15"/>
      <c r="E25" s="16"/>
      <c r="F25" s="17"/>
      <c r="G25" s="17" t="str">
        <f aca="false">IF(F25&gt;0,IF(G$3="X",F25*H$5/100/(1+H$5/100)," ")," ")</f>
        <v> </v>
      </c>
      <c r="H25" s="17" t="str">
        <f aca="false">IF(F25&gt;0,IF(G25=" ",F25,F25-G25)," ")</f>
        <v> </v>
      </c>
      <c r="J25" s="18" t="str">
        <f aca="false">IF(E25="General Admin",H25," ")</f>
        <v> </v>
      </c>
      <c r="K25" s="18" t="str">
        <f aca="false">IF(E25="Hotel &amp; Travel",H25," ")</f>
        <v> </v>
      </c>
      <c r="L25" s="18" t="str">
        <f aca="false">IF(E25="Vehicle or Mileage",H25," ")</f>
        <v> </v>
      </c>
      <c r="M25" s="18" t="str">
        <f aca="false">IF(E25="Other Expenses",H25," ")</f>
        <v> </v>
      </c>
    </row>
    <row r="26" customFormat="false" ht="15" hidden="false" customHeight="true" outlineLevel="0" collapsed="false">
      <c r="A26" s="9"/>
      <c r="B26" s="7"/>
      <c r="C26" s="7"/>
      <c r="D26" s="15"/>
      <c r="E26" s="16"/>
      <c r="F26" s="17"/>
      <c r="G26" s="17" t="str">
        <f aca="false">IF(F26&gt;0,IF(G$3="X",F26*H$5/100/(1+H$5/100)," ")," ")</f>
        <v> </v>
      </c>
      <c r="H26" s="17" t="str">
        <f aca="false">IF(F26&gt;0,IF(G26=" ",F26,F26-G26)," ")</f>
        <v> </v>
      </c>
      <c r="J26" s="18" t="str">
        <f aca="false">IF(E26="General Admin",H26," ")</f>
        <v> </v>
      </c>
      <c r="K26" s="18" t="str">
        <f aca="false">IF(E26="Hotel &amp; Travel",H26," ")</f>
        <v> </v>
      </c>
      <c r="L26" s="18" t="str">
        <f aca="false">IF(E26="Vehicle or Mileage",H26," ")</f>
        <v> </v>
      </c>
      <c r="M26" s="18" t="str">
        <f aca="false">IF(E26="Other Expenses",H26," ")</f>
        <v> </v>
      </c>
    </row>
    <row r="27" customFormat="false" ht="15" hidden="false" customHeight="true" outlineLevel="0" collapsed="false">
      <c r="A27" s="9"/>
      <c r="B27" s="7"/>
      <c r="C27" s="7"/>
      <c r="D27" s="15"/>
      <c r="E27" s="16"/>
      <c r="F27" s="17"/>
      <c r="G27" s="17" t="str">
        <f aca="false">IF(F27&gt;0,IF(G$3="X",F27*H$5/100/(1+H$5/100)," ")," ")</f>
        <v> </v>
      </c>
      <c r="H27" s="17" t="str">
        <f aca="false">IF(F27&gt;0,IF(G27=" ",F27,F27-G27)," ")</f>
        <v> </v>
      </c>
      <c r="J27" s="18" t="str">
        <f aca="false">IF(E27="General Admin",H27," ")</f>
        <v> </v>
      </c>
      <c r="K27" s="18" t="str">
        <f aca="false">IF(E27="Hotel &amp; Travel",H27," ")</f>
        <v> </v>
      </c>
      <c r="L27" s="18" t="str">
        <f aca="false">IF(E27="Vehicle or Mileage",H27," ")</f>
        <v> </v>
      </c>
      <c r="M27" s="18" t="str">
        <f aca="false">IF(E27="Other Expenses",H27," ")</f>
        <v> </v>
      </c>
    </row>
    <row r="28" customFormat="false" ht="15" hidden="false" customHeight="true" outlineLevel="0" collapsed="false">
      <c r="A28" s="9"/>
      <c r="B28" s="7"/>
      <c r="C28" s="7"/>
      <c r="D28" s="15"/>
      <c r="E28" s="16"/>
      <c r="F28" s="17"/>
      <c r="G28" s="17" t="str">
        <f aca="false">IF(F28&gt;0,IF(G$3="X",F28*H$5/100/(1+H$5/100)," ")," ")</f>
        <v> </v>
      </c>
      <c r="H28" s="17" t="str">
        <f aca="false">IF(F28&gt;0,IF(G28=" ",F28,F28-G28)," ")</f>
        <v> </v>
      </c>
      <c r="J28" s="18" t="str">
        <f aca="false">IF(E28="General Admin",H28," ")</f>
        <v> </v>
      </c>
      <c r="K28" s="18" t="str">
        <f aca="false">IF(E28="Hotel &amp; Travel",H28," ")</f>
        <v> </v>
      </c>
      <c r="L28" s="18" t="str">
        <f aca="false">IF(E28="Vehicle or Mileage",H28," ")</f>
        <v> </v>
      </c>
      <c r="M28" s="18" t="str">
        <f aca="false">IF(E28="Other Expenses",H28," ")</f>
        <v> </v>
      </c>
    </row>
    <row r="29" customFormat="false" ht="15" hidden="false" customHeight="true" outlineLevel="0" collapsed="false">
      <c r="A29" s="9"/>
      <c r="B29" s="7"/>
      <c r="C29" s="7"/>
      <c r="D29" s="15"/>
      <c r="E29" s="16"/>
      <c r="F29" s="17"/>
      <c r="G29" s="17" t="str">
        <f aca="false">IF(F29&gt;0,IF(G$3="X",F29*H$5/100/(1+H$5/100)," ")," ")</f>
        <v> </v>
      </c>
      <c r="H29" s="17" t="str">
        <f aca="false">IF(F29&gt;0,IF(G29=" ",F29,F29-G29)," ")</f>
        <v> </v>
      </c>
      <c r="J29" s="18" t="str">
        <f aca="false">IF(E29="General Admin",H29," ")</f>
        <v> </v>
      </c>
      <c r="K29" s="18" t="str">
        <f aca="false">IF(E29="Hotel &amp; Travel",H29," ")</f>
        <v> </v>
      </c>
      <c r="L29" s="18" t="str">
        <f aca="false">IF(E29="Vehicle or Mileage",H29," ")</f>
        <v> </v>
      </c>
      <c r="M29" s="18" t="str">
        <f aca="false">IF(E29="Other Expenses",H29," ")</f>
        <v> </v>
      </c>
    </row>
    <row r="30" customFormat="false" ht="15" hidden="false" customHeight="true" outlineLevel="0" collapsed="false">
      <c r="B30" s="19" t="str">
        <f aca="false">"Mileage Claim @ "&amp;TEXT(C30*100,0)&amp;"p"</f>
        <v>Mileage Claim @ 45p</v>
      </c>
      <c r="C30" s="20" t="n">
        <f aca="false">'Month 11'!C30</f>
        <v>0.45</v>
      </c>
      <c r="D30" s="15" t="n">
        <f aca="false">SUM(D10:D29)</f>
        <v>0</v>
      </c>
      <c r="E30" s="16" t="s">
        <v>20</v>
      </c>
      <c r="F30" s="17" t="str">
        <f aca="false">IF(D30&gt;0,D30*C30," ")</f>
        <v> </v>
      </c>
      <c r="G30" s="17"/>
      <c r="H30" s="17" t="str">
        <f aca="false">IF(D30&gt;0,F30-G30," ")</f>
        <v> </v>
      </c>
      <c r="J30" s="18" t="str">
        <f aca="false">IF(E30="General Admin",H30," ")</f>
        <v> </v>
      </c>
      <c r="K30" s="18" t="str">
        <f aca="false">IF(E30="Hotel &amp; Travel",H30," ")</f>
        <v> </v>
      </c>
      <c r="L30" s="18" t="str">
        <f aca="false">IF(E30="Vehicle or Mileage",H30," ")</f>
        <v> </v>
      </c>
      <c r="M30" s="18" t="str">
        <f aca="false">IF(E30="Other Expenses",H30," ")</f>
        <v> </v>
      </c>
    </row>
    <row r="31" customFormat="false" ht="15" hidden="false" customHeight="true" outlineLevel="0" collapsed="false">
      <c r="F31" s="17" t="n">
        <f aca="false">SUM(F10:F30)</f>
        <v>0</v>
      </c>
      <c r="G31" s="17" t="n">
        <f aca="false">SUM(G10:G30)</f>
        <v>0</v>
      </c>
      <c r="H31" s="17" t="n">
        <f aca="false">SUM(H10:H30)</f>
        <v>0</v>
      </c>
      <c r="J31" s="17" t="n">
        <f aca="false">SUM(J10:J30)</f>
        <v>0</v>
      </c>
      <c r="K31" s="17" t="n">
        <f aca="false">SUM(K10:K30)</f>
        <v>0</v>
      </c>
      <c r="L31" s="17" t="n">
        <f aca="false">SUM(L10:L30)</f>
        <v>0</v>
      </c>
      <c r="M31" s="17" t="n">
        <f aca="false">SUM(M10:M30)</f>
        <v>0</v>
      </c>
    </row>
    <row r="32" customFormat="false" ht="9.75" hidden="false" customHeight="true" outlineLevel="0" collapsed="false">
      <c r="A32" s="6"/>
      <c r="B32" s="6"/>
      <c r="C32" s="6"/>
      <c r="D32" s="6"/>
      <c r="E32" s="6"/>
      <c r="F32" s="6"/>
      <c r="G32" s="6"/>
      <c r="H32" s="6"/>
    </row>
    <row r="33" customFormat="false" ht="19.5" hidden="false" customHeight="true" outlineLevel="0" collapsed="false">
      <c r="B33" s="21"/>
      <c r="C33" s="22" t="s">
        <v>22</v>
      </c>
      <c r="D33" s="22"/>
      <c r="E33" s="23" t="s">
        <v>23</v>
      </c>
      <c r="F33" s="24" t="n">
        <f aca="false">F31</f>
        <v>0</v>
      </c>
      <c r="G33" s="41"/>
      <c r="H33" s="41"/>
    </row>
    <row r="34" customFormat="false" ht="9.75" hidden="false" customHeight="true" outlineLevel="0" collapsed="false">
      <c r="A34" s="6"/>
      <c r="B34" s="6"/>
      <c r="C34" s="6"/>
      <c r="D34" s="6"/>
      <c r="E34" s="6"/>
      <c r="F34" s="6"/>
      <c r="G34" s="6"/>
      <c r="H34" s="6"/>
    </row>
    <row r="35" customFormat="false" ht="15" hidden="false" customHeight="true" outlineLevel="0" collapsed="false">
      <c r="A35" s="26" t="s">
        <v>24</v>
      </c>
      <c r="B35" s="26"/>
      <c r="C35" s="26"/>
      <c r="D35" s="26"/>
      <c r="E35" s="26"/>
      <c r="F35" s="26"/>
      <c r="G35" s="26"/>
    </row>
    <row r="36" customFormat="false" ht="15" hidden="false" customHeight="true" outlineLevel="0" collapsed="false">
      <c r="A36" s="26" t="s">
        <v>25</v>
      </c>
      <c r="B36" s="26"/>
      <c r="C36" s="26"/>
      <c r="D36" s="26"/>
      <c r="E36" s="26"/>
      <c r="F36" s="26"/>
      <c r="G36" s="26"/>
    </row>
    <row r="37" customFormat="false" ht="9.75" hidden="false" customHeight="true" outlineLevel="0" collapsed="false"/>
    <row r="38" customFormat="false" ht="15" hidden="false" customHeight="true" outlineLevel="0" collapsed="false">
      <c r="A38" s="1" t="s">
        <v>26</v>
      </c>
      <c r="B38" s="6" t="s">
        <v>27</v>
      </c>
      <c r="C38" s="6"/>
      <c r="D38" s="12" t="s">
        <v>10</v>
      </c>
      <c r="E38" s="6" t="s">
        <v>28</v>
      </c>
      <c r="F38" s="6"/>
    </row>
    <row r="39" customFormat="false" ht="15" hidden="false" customHeight="true" outlineLevel="0" collapsed="false">
      <c r="D39" s="12"/>
    </row>
    <row r="40" customFormat="false" ht="15" hidden="false" customHeight="true" outlineLevel="0" collapsed="false">
      <c r="A40" s="27" t="s">
        <v>29</v>
      </c>
      <c r="B40" s="27"/>
      <c r="C40" s="1" t="s">
        <v>30</v>
      </c>
      <c r="D40" s="12" t="s">
        <v>10</v>
      </c>
      <c r="E40" s="6" t="s">
        <v>28</v>
      </c>
      <c r="F40" s="6"/>
    </row>
    <row r="41" customFormat="false" ht="9.75" hidden="false" customHeight="true" outlineLevel="0" collapsed="false"/>
    <row r="42" customFormat="false" ht="15" hidden="false" customHeight="true" outlineLevel="0" collapsed="false">
      <c r="A42" s="28" t="s">
        <v>31</v>
      </c>
      <c r="B42" s="29"/>
      <c r="C42" s="30" t="s">
        <v>32</v>
      </c>
      <c r="D42" s="31" t="s">
        <v>33</v>
      </c>
      <c r="E42" s="32"/>
      <c r="F42" s="32"/>
      <c r="G42" s="33" t="s">
        <v>34</v>
      </c>
      <c r="H42" s="34"/>
    </row>
    <row r="43" customFormat="false" ht="15" hidden="false" customHeight="true" outlineLevel="0" collapsed="false">
      <c r="A43" s="35"/>
      <c r="B43" s="36"/>
      <c r="G43" s="33"/>
      <c r="H43" s="37"/>
    </row>
    <row r="44" customFormat="false" ht="15" hidden="false" customHeight="true" outlineLevel="0" collapsed="false">
      <c r="A44" s="38" t="n">
        <f aca="false">IF(G7&gt;0,G7," ")</f>
        <v>45747</v>
      </c>
      <c r="B44" s="6" t="str">
        <f aca="false">IF(B5&gt;0,B5," ")</f>
        <v/>
      </c>
      <c r="C44" s="6"/>
      <c r="D44" s="1" t="s">
        <v>35</v>
      </c>
      <c r="F44" s="39" t="str">
        <f aca="false">IF(F31&gt;0,F31," ")</f>
        <v> </v>
      </c>
      <c r="H44" s="40"/>
    </row>
    <row r="45" customFormat="false" ht="15" hidden="false" customHeight="true" outlineLevel="0" collapsed="false">
      <c r="A45" s="41"/>
      <c r="D45" s="1" t="s">
        <v>36</v>
      </c>
      <c r="F45" s="39" t="str">
        <f aca="false">IF(G31&gt;0,G31," ")</f>
        <v> </v>
      </c>
      <c r="H45" s="40"/>
    </row>
    <row r="46" customFormat="false" ht="15" hidden="false" customHeight="true" outlineLevel="0" collapsed="false">
      <c r="A46" s="41"/>
      <c r="D46" s="1" t="s">
        <v>37</v>
      </c>
      <c r="H46" s="40"/>
    </row>
    <row r="47" customFormat="false" ht="15" hidden="false" customHeight="true" outlineLevel="0" collapsed="false">
      <c r="A47" s="41"/>
      <c r="D47" s="6" t="s">
        <v>18</v>
      </c>
      <c r="E47" s="6"/>
      <c r="F47" s="39" t="str">
        <f aca="false">IF(J31&gt;0,J31," ")</f>
        <v> </v>
      </c>
      <c r="G47" s="12" t="s">
        <v>38</v>
      </c>
      <c r="H47" s="40"/>
    </row>
    <row r="48" customFormat="false" ht="15" hidden="false" customHeight="true" outlineLevel="0" collapsed="false">
      <c r="A48" s="41"/>
      <c r="D48" s="6" t="s">
        <v>19</v>
      </c>
      <c r="E48" s="6"/>
      <c r="F48" s="39" t="str">
        <f aca="false">IF(K31&gt;0,K31," ")</f>
        <v> </v>
      </c>
      <c r="G48" s="12" t="s">
        <v>39</v>
      </c>
      <c r="H48" s="40"/>
    </row>
    <row r="49" customFormat="false" ht="15" hidden="false" customHeight="true" outlineLevel="0" collapsed="false">
      <c r="A49" s="41"/>
      <c r="C49" s="42"/>
      <c r="D49" s="6" t="s">
        <v>20</v>
      </c>
      <c r="E49" s="6"/>
      <c r="F49" s="39" t="str">
        <f aca="false">IF(L31&gt;0,L31," ")</f>
        <v> </v>
      </c>
      <c r="G49" s="12" t="s">
        <v>40</v>
      </c>
      <c r="H49" s="40"/>
    </row>
    <row r="50" customFormat="false" ht="15" hidden="false" customHeight="true" outlineLevel="0" collapsed="false">
      <c r="A50" s="41"/>
      <c r="B50" s="43" t="s">
        <v>41</v>
      </c>
      <c r="C50" s="42"/>
      <c r="D50" s="6" t="s">
        <v>21</v>
      </c>
      <c r="E50" s="6"/>
      <c r="F50" s="39" t="str">
        <f aca="false">IF(M31&gt;0,M31," ")</f>
        <v> </v>
      </c>
      <c r="G50" s="44" t="s">
        <v>42</v>
      </c>
      <c r="H50" s="44"/>
    </row>
    <row r="51" customFormat="false" ht="15" hidden="false" customHeight="true" outlineLevel="0" collapsed="false">
      <c r="A51" s="41"/>
      <c r="B51" s="43"/>
      <c r="C51" s="42"/>
      <c r="F51" s="39"/>
      <c r="H51" s="40"/>
    </row>
    <row r="52" customFormat="false" ht="15" hidden="false" customHeight="true" outlineLevel="0" collapsed="false">
      <c r="A52" s="45"/>
      <c r="B52" s="46"/>
      <c r="C52" s="46"/>
      <c r="D52" s="47"/>
      <c r="E52" s="47"/>
      <c r="F52" s="47"/>
      <c r="G52" s="47"/>
      <c r="H52" s="48"/>
    </row>
  </sheetData>
  <mergeCells count="27">
    <mergeCell ref="A1:H1"/>
    <mergeCell ref="A2:H2"/>
    <mergeCell ref="A3:F3"/>
    <mergeCell ref="A4:H4"/>
    <mergeCell ref="B5:D5"/>
    <mergeCell ref="F5:G5"/>
    <mergeCell ref="B6:D6"/>
    <mergeCell ref="G6:H6"/>
    <mergeCell ref="G7:H7"/>
    <mergeCell ref="A32:H32"/>
    <mergeCell ref="C33:D33"/>
    <mergeCell ref="G33:H33"/>
    <mergeCell ref="A34:H34"/>
    <mergeCell ref="A35:G35"/>
    <mergeCell ref="A36:G36"/>
    <mergeCell ref="B38:C38"/>
    <mergeCell ref="E38:F38"/>
    <mergeCell ref="A40:B40"/>
    <mergeCell ref="E40:F40"/>
    <mergeCell ref="G42:G43"/>
    <mergeCell ref="B44:C44"/>
    <mergeCell ref="D47:E47"/>
    <mergeCell ref="D48:E48"/>
    <mergeCell ref="D49:E49"/>
    <mergeCell ref="B50:B51"/>
    <mergeCell ref="D50:E50"/>
    <mergeCell ref="G50:H50"/>
  </mergeCells>
  <dataValidations count="1">
    <dataValidation allowBlank="true" errorStyle="stop" operator="between" showDropDown="false" showErrorMessage="true" showInputMessage="false" sqref="E10:E30" type="list">
      <formula1>$D$47:$D$50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2008-11-16T13:05:06Z</dcterms:created>
  <dc:creator>Terry</dc:creator>
  <dc:description/>
  <dc:language>en-US</dc:language>
  <cp:lastModifiedBy>DIY Accounting Customer Service</cp:lastModifiedBy>
  <cp:lastPrinted>2008-12-17T15:51:17Z</cp:lastPrinted>
  <dcterms:modified xsi:type="dcterms:W3CDTF">2024-04-02T19:08:36Z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