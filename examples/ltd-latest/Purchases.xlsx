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Jun" sheetId="2" state="visible" r:id="rId4"/>
    <sheet name="Jul" sheetId="3" state="visible" r:id="rId5"/>
    <sheet name="Aug" sheetId="4" state="visible" r:id="rId6"/>
    <sheet name="Sep" sheetId="5" state="visible" r:id="rId7"/>
    <sheet name="Oct" sheetId="6" state="visible" r:id="rId8"/>
    <sheet name="Nov" sheetId="7" state="visible" r:id="rId9"/>
    <sheet name="Dec" sheetId="8" state="visible" r:id="rId10"/>
    <sheet name="Jan" sheetId="9" state="visible" r:id="rId11"/>
    <sheet name="Feb" sheetId="10" state="visible" r:id="rId12"/>
    <sheet name="Mar" sheetId="11" state="visible" r:id="rId13"/>
    <sheet name="Apr" sheetId="12" state="visible" r:id="rId14"/>
    <sheet name="May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3" name="_xlnm.Print_Area" vbProcedure="false">ClosingCreditors!$A$1:$M$75</definedName>
    <definedName function="false" hidden="false" localSheetId="13" name="_xlnm.Print_Titles" vbProcedure="false">ClosingCreditors!$1:$4</definedName>
    <definedName function="false" hidden="false" localSheetId="0" name="_xlnm.Print_Area" vbProcedure="false">OpeningCreditors!$A$1:$M$75</definedName>
    <definedName function="false" hidden="false" localSheetId="0" name="_xlnm.Print_Titles" vbProcedure="false">OpeningCreditors!$1:$4</definedName>
    <definedName function="false" hidden="false" localSheetId="0" name="_xlnm_Print_Area" vbProcedure="false">OpeningCreditors!$A$1:$M$75</definedName>
    <definedName function="false" hidden="false" localSheetId="0" name="_xlnm_Print_Titles" vbProcedure="false">OpeningCreditors!$1:$4</definedName>
    <definedName function="false" hidden="false" localSheetId="1" name="_xlnm_Print_Area" vbProcedure="false">Apr!$A$1:$AL$75</definedName>
    <definedName function="false" hidden="false" localSheetId="1" name="_xlnm_Print_Titles" vbProcedure="false">(Apr!$A:$C,Apr!$1:$4)</definedName>
    <definedName function="false" hidden="false" localSheetId="2" name="_xlnm_Print_Area" vbProcedure="false">May!$A$1:$AL$75</definedName>
    <definedName function="false" hidden="false" localSheetId="2" name="_xlnm_Print_Titles" vbProcedure="false">(May!$A:$C,May!$1:$4)</definedName>
    <definedName function="false" hidden="false" localSheetId="3" name="_xlnm_Print_Area" vbProcedure="false">Jun!$A$1:$AL$75</definedName>
    <definedName function="false" hidden="false" localSheetId="3" name="_xlnm_Print_Titles" vbProcedure="false">(Jun!$A:$C,Jun!$1:$4)</definedName>
    <definedName function="false" hidden="false" localSheetId="4" name="_xlnm_Print_Area" vbProcedure="false">Jul!$A$1:$AL$75</definedName>
    <definedName function="false" hidden="false" localSheetId="4" name="_xlnm_Print_Titles" vbProcedure="false">(Jul!$A:$C,Jul!$1:$4)</definedName>
    <definedName function="false" hidden="false" localSheetId="5" name="_xlnm_Print_Area" vbProcedure="false">Aug!$A$1:$AL$75</definedName>
    <definedName function="false" hidden="false" localSheetId="5" name="_xlnm_Print_Titles" vbProcedure="false">(Aug!$A:$C,Aug!$1:$4)</definedName>
    <definedName function="false" hidden="false" localSheetId="6" name="_xlnm_Print_Area" vbProcedure="false">Sep!$A$1:$AL$75</definedName>
    <definedName function="false" hidden="false" localSheetId="6" name="_xlnm_Print_Titles" vbProcedure="false">(Sep!$A:$C,Sep!$1:$4)</definedName>
    <definedName function="false" hidden="false" localSheetId="7" name="_xlnm_Print_Area" vbProcedure="false">Oct!$A$1:$AL$75</definedName>
    <definedName function="false" hidden="false" localSheetId="7" name="_xlnm_Print_Titles" vbProcedure="false">(Oct!$A:$C,Oct!$1:$4)</definedName>
    <definedName function="false" hidden="false" localSheetId="8" name="_xlnm_Print_Area" vbProcedure="false">Nov!$A$1:$AL$75</definedName>
    <definedName function="false" hidden="false" localSheetId="8" name="_xlnm_Print_Titles" vbProcedure="false">(Nov!$A:$C,Nov!$1:$4)</definedName>
    <definedName function="false" hidden="false" localSheetId="9" name="_xlnm_Print_Area" vbProcedure="false">Dec!$A$1:$AL$75</definedName>
    <definedName function="false" hidden="false" localSheetId="9" name="_xlnm_Print_Titles" vbProcedure="false">(Dec!$A:$C,Dec!$1:$4)</definedName>
    <definedName function="false" hidden="false" localSheetId="10" name="_xlnm_Print_Area" vbProcedure="false">Jan!$A$1:$AL$75</definedName>
    <definedName function="false" hidden="false" localSheetId="10" name="_xlnm_Print_Titles" vbProcedure="false">(Jan!$A:$C,Jan!$1:$4)</definedName>
    <definedName function="false" hidden="false" localSheetId="11" name="_xlnm_Print_Area" vbProcedure="false">Feb!$A$1:$AL$75</definedName>
    <definedName function="false" hidden="false" localSheetId="11" name="_xlnm_Print_Titles" vbProcedure="false">(Feb!$A:$C,Feb!$1:$4)</definedName>
    <definedName function="false" hidden="false" localSheetId="12" name="_xlnm_Print_Area" vbProcedure="false">Mar!$A$1:$AL$75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ClosingCreditors!$A$1:$M$75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<sst xmlns="http://schemas.openxmlformats.org/spreadsheetml/2006/main" count="1586" uniqueCount="154">
  <si>
    <t xml:space="preserve">Opening Creditors Balance</t>
  </si>
  <si>
    <t xml:space="preserve">Total in C1 should equal F1</t>
  </si>
  <si>
    <t xml:space="preserve">For your information only. Enter How Paid e.g. Cash, Cheque etc.,</t>
  </si>
  <si>
    <t xml:space="preserve">Purchase Date</t>
  </si>
  <si>
    <t xml:space="preserve">Supplier Name</t>
  </si>
  <si>
    <t xml:space="preserve">Purchase Invoice Number or Reference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</si>
  <si>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</si>
  <si>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</si>
  <si>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</si>
  <si>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</si>
  <si>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</si>
  <si>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</si>
  <si>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</si>
  <si>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</si>
  <si>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</si>
  <si>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</si>
  <si>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</si>
  <si>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</si>
  <si>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</si>
  <si>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</si>
  <si>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</si>
  <si>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</si>
  <si>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</si>
  <si>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Total for Month</t>
  </si>
  <si>
    <t xml:space="preserve">  Enter Expense Code Letter</t>
  </si>
  <si>
    <t xml:space="preserve">Purchases Cost of Sales</t>
  </si>
  <si>
    <t xml:space="preserve"> Directors Wages         Non Paye</t>
  </si>
  <si>
    <t xml:space="preserve">Employee Wages        Non Paye</t>
  </si>
  <si>
    <t xml:space="preserve">Premises 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</si>
  <si>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</si>
  <si>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</si>
  <si>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</si>
  <si>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</si>
  <si>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</si>
  <si>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</si>
  <si>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</si>
  <si>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</si>
  <si>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</si>
  <si>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</si>
  <si>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</t>
  </si>
  <si>
    <t xml:space="preserve">Charitable Donations</t>
  </si>
  <si>
    <t xml:space="preserve">Goodwill</t>
  </si>
  <si>
    <t xml:space="preserve">Fixed Asset Purchases</t>
  </si>
  <si>
    <t xml:space="preserve">Contractors </t>
  </si>
  <si>
    <t xml:space="preserve">Direct Materials</t>
  </si>
  <si>
    <t xml:space="preserve">Sub Contractors</t>
  </si>
  <si>
    <t xml:space="preserve">Other Direct Costs</t>
  </si>
  <si>
    <t xml:space="preserve">Rent &amp; Rates</t>
  </si>
  <si>
    <t xml:space="preserve">Light &amp; Heating</t>
  </si>
  <si>
    <t xml:space="preserve">CIS Certificates</t>
  </si>
  <si>
    <t xml:space="preserve">S</t>
  </si>
  <si>
    <t xml:space="preserve">C</t>
  </si>
  <si>
    <t xml:space="preserve">O</t>
  </si>
  <si>
    <t xml:space="preserve">D</t>
  </si>
  <si>
    <t xml:space="preserve">W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</si>
  <si>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</si>
  <si>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</si>
  <si>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</si>
  <si>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</si>
  <si>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</si>
  <si>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</si>
  <si>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A</t>
  </si>
  <si>
    <t xml:space="preserve">G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</si>
  <si>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</si>
  <si>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</si>
  <si>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</si>
  <si>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</si>
  <si>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</si>
  <si>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Y</t>
  </si>
  <si>
    <t xml:space="preserve">Z</t>
  </si>
  <si>
    <t xml:space="preserve">FA</t>
  </si>
  <si>
    <t xml:space="preserve">Tax Paid</t>
  </si>
  <si>
    <t xml:space="preserve">Certificate No</t>
  </si>
  <si>
    <t xml:space="preserve">r</t>
  </si>
  <si>
    <t xml:space="preserve">Microsoft</t>
  </si>
  <si>
    <t xml:space="preserve">g</t>
  </si>
  <si>
    <t xml:space="preserve">Slack</t>
  </si>
  <si>
    <t xml:space="preserve">GitHub</t>
  </si>
  <si>
    <t xml:space="preserve">o</t>
  </si>
  <si>
    <t xml:space="preserve">Hiscox</t>
  </si>
  <si>
    <t xml:space="preserve">n</t>
  </si>
  <si>
    <t xml:space="preserve">Cloudflare</t>
  </si>
  <si>
    <t xml:space="preserve">Zoom</t>
  </si>
  <si>
    <t xml:space="preserve">AWS</t>
  </si>
  <si>
    <t xml:space="preserve">Argos</t>
  </si>
  <si>
    <t xml:space="preserve">u</t>
  </si>
  <si>
    <t xml:space="preserve">Ryman</t>
  </si>
  <si>
    <t xml:space="preserve">BP</t>
  </si>
  <si>
    <t xml:space="preserve">v</t>
  </si>
  <si>
    <t xml:space="preserve">DigitalOcean</t>
  </si>
  <si>
    <t xml:space="preserve">National Rail</t>
  </si>
  <si>
    <t xml:space="preserve">h</t>
  </si>
  <si>
    <t xml:space="preserve">Amazon</t>
  </si>
  <si>
    <t xml:space="preserve">Xerox</t>
  </si>
  <si>
    <t xml:space="preserve">f</t>
  </si>
  <si>
    <t xml:space="preserve">TechParts</t>
  </si>
  <si>
    <t xml:space="preserve">s</t>
  </si>
  <si>
    <t xml:space="preserve">NCP</t>
  </si>
  <si>
    <t xml:space="preserve">Toolstation</t>
  </si>
  <si>
    <t xml:space="preserve">Uber</t>
  </si>
  <si>
    <t xml:space="preserve">Costa Coffee</t>
  </si>
  <si>
    <t xml:space="preserve">Royal Mail</t>
  </si>
  <si>
    <t xml:space="preserve">Jet</t>
  </si>
  <si>
    <t xml:space="preserve">BT Business</t>
  </si>
  <si>
    <t xml:space="preserve">Office Maintenance Ltd</t>
  </si>
  <si>
    <t xml:space="preserve">m</t>
  </si>
  <si>
    <t xml:space="preserve">Greggs</t>
  </si>
  <si>
    <t xml:space="preserve">Screwfix</t>
  </si>
  <si>
    <t xml:space="preserve">Wilko</t>
  </si>
  <si>
    <t xml:space="preserve">Mileage claim</t>
  </si>
  <si>
    <t xml:space="preserve">l</t>
  </si>
  <si>
    <t xml:space="preserve">Trainline</t>
  </si>
  <si>
    <t xml:space="preserve">Hilti</t>
  </si>
  <si>
    <t xml:space="preserve">q</t>
  </si>
  <si>
    <t xml:space="preserve">Google Ads</t>
  </si>
  <si>
    <t xml:space="preserve">a</t>
  </si>
  <si>
    <t xml:space="preserve">ComponentsDirect</t>
  </si>
  <si>
    <t xml:space="preserve">Dell</t>
  </si>
  <si>
    <t xml:space="preserve">fa</t>
  </si>
  <si>
    <t xml:space="preserve">WHSmith</t>
  </si>
  <si>
    <t xml:space="preserve">ParcelForce</t>
  </si>
  <si>
    <t xml:space="preserve">t</t>
  </si>
  <si>
    <t xml:space="preserve">CableCo</t>
  </si>
  <si>
    <t xml:space="preserve">Halfords</t>
  </si>
  <si>
    <t xml:space="preserve">Vistaprint</t>
  </si>
  <si>
    <t xml:space="preserve">BuildTech Solutions</t>
  </si>
  <si>
    <t xml:space="preserve">c</t>
  </si>
  <si>
    <t xml:space="preserve">Premier Inn</t>
  </si>
  <si>
    <t xml:space="preserve">ElectroParts</t>
  </si>
  <si>
    <t xml:space="preserve">EnergySupply</t>
  </si>
  <si>
    <t xml:space="preserve">p</t>
  </si>
  <si>
    <t xml:space="preserve">Directors loan</t>
  </si>
  <si>
    <t xml:space="preserve">J. Smith Consulting</t>
  </si>
  <si>
    <t xml:space="preserve">z</t>
  </si>
  <si>
    <t xml:space="preserve">LinkedIn</t>
  </si>
  <si>
    <t xml:space="preserve">ToolHire</t>
  </si>
  <si>
    <t xml:space="preserve">IKEA</t>
  </si>
  <si>
    <t xml:space="preserve">DHL</t>
  </si>
  <si>
    <t xml:space="preserve">PC Repair Shop</t>
  </si>
  <si>
    <t xml:space="preserve">Casual worker</t>
  </si>
  <si>
    <t xml:space="preserve">w</t>
  </si>
  <si>
    <t xml:space="preserve">Jones Solicitors</t>
  </si>
  <si>
    <t xml:space="preserve">Simply Business</t>
  </si>
  <si>
    <t xml:space="preserve">TechExpo</t>
  </si>
  <si>
    <t xml:space="preserve">Ford</t>
  </si>
  <si>
    <t xml:space="preserve">Code Club UK</t>
  </si>
  <si>
    <t xml:space="preserve">y</t>
  </si>
  <si>
    <t xml:space="preserve">Director</t>
  </si>
  <si>
    <t xml:space="preserve">d</t>
  </si>
  <si>
    <t xml:space="preserve">Closing Creditors Balance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</si>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</sst>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#,##0"/>
    <numFmt numFmtId="167" formatCode="#,##0.00_ ;[RED]\-#,##0.00\ "/>
    <numFmt numFmtId="168" formatCode="0_ ;[RED]\-0\ "/>
    <numFmt numFmtId="169" formatCode="0"/>
    <numFmt numFmtId="170" formatCode="#,##0.00"/>
    <numFmt numFmtId="171" formatCode="#,##0.0_ ;[RED]\-#,##0.0\ "/>
    <numFmt numFmtId="172" formatCode="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8">
          <cell r="D28">
            <v>0</v>
          </cell>
        </row>
        <row r="28">
          <cell r="EJ28">
            <v>0</v>
          </cell>
        </row>
        <row r="29">
          <cell r="D29">
            <v>0</v>
          </cell>
        </row>
        <row r="29">
          <cell r="EJ29">
            <v>0</v>
          </cell>
        </row>
        <row r="30">
          <cell r="D30">
            <v>0</v>
          </cell>
        </row>
        <row r="30">
          <cell r="EJ30">
            <v>0</v>
          </cell>
        </row>
        <row r="31">
          <cell r="D31">
            <v>0</v>
          </cell>
        </row>
        <row r="31">
          <cell r="EJ31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2">
          <cell r="G2">
            <v>20</v>
          </cell>
        </row>
      </sheetData>
      <sheetData sheetId="2">
        <row r="2">
          <cell r="G2">
            <v>20</v>
          </cell>
        </row>
        <row r="4">
          <cell r="G4">
            <v>0</v>
          </cell>
        </row>
      </sheetData>
      <sheetData sheetId="3">
        <row r="2">
          <cell r="G2">
            <v>20</v>
          </cell>
        </row>
        <row r="4">
          <cell r="G4">
            <v>0</v>
          </cell>
        </row>
      </sheetData>
      <sheetData sheetId="4">
        <row r="2">
          <cell r="G2">
            <v>20</v>
          </cell>
        </row>
        <row r="4">
          <cell r="G4">
            <v>0</v>
          </cell>
        </row>
      </sheetData>
      <sheetData sheetId="5">
        <row r="2">
          <cell r="G2">
            <v>20</v>
          </cell>
        </row>
        <row r="4">
          <cell r="G4">
            <v>0</v>
          </cell>
        </row>
      </sheetData>
      <sheetData sheetId="6">
        <row r="2">
          <cell r="G2">
            <v>20</v>
          </cell>
        </row>
        <row r="4">
          <cell r="G4">
            <v>0</v>
          </cell>
        </row>
      </sheetData>
      <sheetData sheetId="7">
        <row r="2">
          <cell r="G2">
            <v>20</v>
          </cell>
        </row>
        <row r="4">
          <cell r="G4">
            <v>0</v>
          </cell>
        </row>
      </sheetData>
      <sheetData sheetId="8">
        <row r="2">
          <cell r="G2">
            <v>20</v>
          </cell>
        </row>
        <row r="4">
          <cell r="G4">
            <v>0</v>
          </cell>
        </row>
      </sheetData>
      <sheetData sheetId="9">
        <row r="2">
          <cell r="G2">
            <v>20</v>
          </cell>
        </row>
        <row r="4">
          <cell r="G4">
            <v>0</v>
          </cell>
        </row>
      </sheetData>
      <sheetData sheetId="10">
        <row r="2">
          <cell r="G2">
            <v>20</v>
          </cell>
        </row>
        <row r="4">
          <cell r="G4">
            <v>0</v>
          </cell>
        </row>
      </sheetData>
      <sheetData sheetId="11">
        <row r="2">
          <cell r="G2">
            <v>20</v>
          </cell>
        </row>
        <row r="4">
          <cell r="G4">
            <v>0</v>
          </cell>
        </row>
      </sheetData>
      <sheetData sheetId="12">
        <row r="2">
          <cell r="G2">
            <v>20</v>
          </cell>
        </row>
        <row r="4">
          <cell r="G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0</v>
      </c>
      <c r="B1" s="9"/>
      <c r="C1" s="10" t="n">
        <f aca="false">-SUM([1]TrialBalance!$D$28:$D$31)</f>
        <v>-0</v>
      </c>
      <c r="D1" s="11" t="s">
        <v>1</v>
      </c>
      <c r="E1" s="11"/>
      <c r="F1" s="12" t="n">
        <f aca="false">SUM(F2:F200)</f>
        <v>0</v>
      </c>
      <c r="G1" s="12" t="e">
        <f aca="false">SUM(G5:G300)</f>
        <v>#N/A</v>
      </c>
      <c r="H1" s="12" t="n">
        <f aca="false">SUM(H2:H200)</f>
        <v>2220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46135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IF([2]Jun!$G$4&gt;0,0,[2]Jun!$G$2)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15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17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18</v>
      </c>
      <c r="C7" s="3" t="s">
        <v>19</v>
      </c>
      <c r="E7" s="2"/>
      <c r="G7" s="6" t="str">
        <f aca="false">IF(F7&lt;&gt;0,F7*G$2/(100+G$2)," ")</f>
        <v> </v>
      </c>
      <c r="H7" s="6" t="n">
        <v>600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21</v>
      </c>
      <c r="E8" s="2"/>
      <c r="G8" s="6" t="str">
        <f aca="false">IF(F8&lt;&gt;0,F8*G$2/(100+G$2)," ")</f>
        <v> </v>
      </c>
      <c r="H8" s="6" t="n">
        <v>120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0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1"/>
      <c r="B200" s="32"/>
      <c r="C200" s="33"/>
      <c r="D200" s="34"/>
      <c r="E200" s="32"/>
      <c r="F200" s="35"/>
      <c r="G200" s="35" t="str">
        <f aca="false">IF(F200&lt;&gt;0,F200*G$2/(100+G$2)," ")</f>
        <v> </v>
      </c>
      <c r="H200" s="35" t="str">
        <f aca="false">IF((F200&lt;&gt;0),F200-G200," ")</f>
        <v> </v>
      </c>
      <c r="J200" s="35"/>
      <c r="K200" s="35"/>
      <c r="L200" s="36" t="str">
        <f aca="false">IF(F200&lt;&gt;0,F200-K200," ")</f>
        <v> </v>
      </c>
      <c r="M200" s="37" t="str">
        <f aca="false">IF((F200-K200)&lt;&gt;0,M$1-A200," ")</f>
        <v> </v>
      </c>
    </row>
    <row r="201" customFormat="false" ht="12" hidden="false" customHeight="false" outlineLevel="0" collapsed="false">
      <c r="G201" s="6" t="e">
        <f aca="false">NA()</f>
        <v>#N/A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5111.25</v>
      </c>
      <c r="G1" s="12" t="n">
        <f aca="false">SUM(G5:G300)</f>
        <v>0</v>
      </c>
      <c r="H1" s="12" t="n">
        <f aca="false">SUM(H5:H300)</f>
        <v>5111.25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5111.25</v>
      </c>
      <c r="M1" s="16" t="n">
        <f aca="true">TODAY()</f>
        <v>46135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120</v>
      </c>
      <c r="Y1" s="12" t="n">
        <f aca="false">SUM(Y5:Y300)</f>
        <v>157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92</v>
      </c>
      <c r="AC1" s="12" t="n">
        <f aca="false">SUM(AC5:AC300)</f>
        <v>602.25</v>
      </c>
      <c r="AD1" s="12" t="n">
        <f aca="false">SUM(AD5:AD300)</f>
        <v>1440</v>
      </c>
      <c r="AE1" s="12" t="n">
        <f aca="false">SUM(AE5:AE300)</f>
        <v>180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IF([2]Jun!$G$4&gt;0,0,[2]Jun!$G$2)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45809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326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45809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326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45809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326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45809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326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45809</v>
      </c>
      <c r="B9" s="2" t="s">
        <v>79</v>
      </c>
      <c r="E9" s="5" t="s">
        <v>80</v>
      </c>
      <c r="F9" s="46" t="n">
        <v>1440</v>
      </c>
      <c r="H9" s="6" t="n">
        <f aca="false">IF((F9&lt;&gt;0),F9-G9," ")</f>
        <v>1440</v>
      </c>
      <c r="I9" s="5"/>
      <c r="L9" s="7" t="n">
        <f aca="false">IF(F9&lt;&gt;0,F9-K9," ")</f>
        <v>1440</v>
      </c>
      <c r="M9" s="8" t="n">
        <f aca="false">IF((F9-K9)&lt;&gt;0,M$1-A9," ")</f>
        <v>326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n">
        <f aca="false">IF((E9="n"),H9," ")</f>
        <v>1440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45809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326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45809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326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45811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324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45811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324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45813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322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45813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322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45813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322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45816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319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45818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317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45818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317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45818</v>
      </c>
      <c r="B20" s="2" t="s">
        <v>95</v>
      </c>
      <c r="E20" s="5" t="s">
        <v>96</v>
      </c>
      <c r="F20" s="46" t="n">
        <v>600</v>
      </c>
      <c r="H20" s="6" t="n">
        <f aca="false">IF((F20&lt;&gt;0),F20-G20," ")</f>
        <v>600</v>
      </c>
      <c r="I20" s="5"/>
      <c r="L20" s="7" t="n">
        <f aca="false">IF(F20&lt;&gt;0,F20-K20," ")</f>
        <v>600</v>
      </c>
      <c r="M20" s="8" t="n">
        <f aca="false">IF((F20-K20)&lt;&gt;0,M$1-A20," ")</f>
        <v>317</v>
      </c>
      <c r="N20" s="5"/>
      <c r="O20" s="17" t="n">
        <f aca="false">IF((E20="s"),H20," ")</f>
        <v>600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45820</v>
      </c>
      <c r="B21" s="2" t="s">
        <v>97</v>
      </c>
      <c r="E21" s="5" t="s">
        <v>88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315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18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45822</v>
      </c>
      <c r="B22" s="2" t="s">
        <v>98</v>
      </c>
      <c r="E22" s="5" t="s">
        <v>85</v>
      </c>
      <c r="F22" s="46" t="n">
        <v>42</v>
      </c>
      <c r="H22" s="6" t="n">
        <f aca="false">IF((F22&lt;&gt;0),F22-G22," ")</f>
        <v>42</v>
      </c>
      <c r="I22" s="5"/>
      <c r="L22" s="7" t="n">
        <f aca="false">IF(F22&lt;&gt;0,F22-K22," ")</f>
        <v>42</v>
      </c>
      <c r="M22" s="8" t="n">
        <f aca="false">IF((F22-K22)&lt;&gt;0,M$1-A22," ")</f>
        <v>313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n">
        <f aca="false">IF((E22="u"),H22," ")</f>
        <v>42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45822</v>
      </c>
      <c r="B23" s="2" t="s">
        <v>99</v>
      </c>
      <c r="E23" s="5" t="s">
        <v>91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313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24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45822</v>
      </c>
      <c r="B24" s="2" t="s">
        <v>100</v>
      </c>
      <c r="E24" s="5" t="s">
        <v>91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313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12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45823</v>
      </c>
      <c r="B25" s="2" t="s">
        <v>20</v>
      </c>
      <c r="E25" s="5" t="s">
        <v>88</v>
      </c>
      <c r="F25" s="46" t="n">
        <v>150</v>
      </c>
      <c r="H25" s="6" t="n">
        <f aca="false">IF((F25&lt;&gt;0),F25-G25," ")</f>
        <v>150</v>
      </c>
      <c r="I25" s="5"/>
      <c r="L25" s="7" t="n">
        <f aca="false">IF(F25&lt;&gt;0,F25-K25," ")</f>
        <v>150</v>
      </c>
      <c r="M25" s="8" t="n">
        <f aca="false">IF((F25-K25)&lt;&gt;0,M$1-A25," ")</f>
        <v>312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150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45823</v>
      </c>
      <c r="B26" s="2" t="s">
        <v>101</v>
      </c>
      <c r="E26" s="5" t="s">
        <v>75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312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12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45826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309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45828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307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45828</v>
      </c>
      <c r="B29" s="2" t="s">
        <v>104</v>
      </c>
      <c r="E29" s="5" t="s">
        <v>105</v>
      </c>
      <c r="F29" s="46" t="n">
        <v>120</v>
      </c>
      <c r="H29" s="6" t="n">
        <f aca="false">IF((F29&lt;&gt;0),F29-G29," ")</f>
        <v>120</v>
      </c>
      <c r="I29" s="5"/>
      <c r="L29" s="7" t="n">
        <f aca="false">IF(F29&lt;&gt;0,F29-K29," ")</f>
        <v>120</v>
      </c>
      <c r="M29" s="8" t="n">
        <f aca="false">IF((F29-K29)&lt;&gt;0,M$1-A29," ")</f>
        <v>307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n">
        <f aca="false">IF((E29="m"),H29," ")</f>
        <v>120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45829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306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45830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305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45833</v>
      </c>
      <c r="B32" s="2" t="s">
        <v>108</v>
      </c>
      <c r="E32" s="5" t="s">
        <v>85</v>
      </c>
      <c r="F32" s="46" t="n">
        <v>15</v>
      </c>
      <c r="H32" s="6" t="n">
        <f aca="false">IF((F32&lt;&gt;0),F32-G32," ")</f>
        <v>15</v>
      </c>
      <c r="I32" s="5"/>
      <c r="L32" s="7" t="n">
        <f aca="false">IF(F32&lt;&gt;0,F32-K32," ")</f>
        <v>15</v>
      </c>
      <c r="M32" s="8" t="n">
        <f aca="false">IF((F32-K32)&lt;&gt;0,M$1-A32," ")</f>
        <v>302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45833</v>
      </c>
      <c r="B33" s="2" t="s">
        <v>109</v>
      </c>
      <c r="E33" s="5" t="s">
        <v>88</v>
      </c>
      <c r="F33" s="46" t="n">
        <v>38.25</v>
      </c>
      <c r="H33" s="6" t="n">
        <f aca="false">IF((F33&lt;&gt;0),F33-G33," ")</f>
        <v>38.25</v>
      </c>
      <c r="I33" s="5"/>
      <c r="L33" s="7" t="n">
        <f aca="false">IF(F33&lt;&gt;0,F33-K33," ")</f>
        <v>38.25</v>
      </c>
      <c r="M33" s="8" t="n">
        <f aca="false">IF((F33-K33)&lt;&gt;0,M$1-A33," ")</f>
        <v>302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38.25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45836</v>
      </c>
      <c r="B34" s="2" t="s">
        <v>20</v>
      </c>
      <c r="E34" s="5" t="s">
        <v>88</v>
      </c>
      <c r="F34" s="46" t="n">
        <v>120</v>
      </c>
      <c r="H34" s="6" t="n">
        <f aca="false">IF((F34&lt;&gt;0),F34-G34," ")</f>
        <v>120</v>
      </c>
      <c r="I34" s="5"/>
      <c r="L34" s="7" t="n">
        <f aca="false">IF(F34&lt;&gt;0,F34-K34," ")</f>
        <v>120</v>
      </c>
      <c r="M34" s="8" t="n">
        <f aca="false">IF((F34-K34)&lt;&gt;0,M$1-A34," ")</f>
        <v>299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120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45838</v>
      </c>
      <c r="B35" s="2" t="s">
        <v>16</v>
      </c>
      <c r="E35" s="5" t="s">
        <v>110</v>
      </c>
      <c r="F35" s="46" t="n">
        <v>300</v>
      </c>
      <c r="H35" s="6" t="n">
        <f aca="false">IF((F35&lt;&gt;0),F35-G35," ")</f>
        <v>300</v>
      </c>
      <c r="I35" s="5"/>
      <c r="L35" s="7" t="n">
        <f aca="false">IF(F35&lt;&gt;0,F35-K35," ")</f>
        <v>300</v>
      </c>
      <c r="M35" s="8" t="n">
        <f aca="false">IF((F35-K35)&lt;&gt;0,M$1-A35," ")</f>
        <v>297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300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6375</v>
      </c>
      <c r="G1" s="12" t="n">
        <f aca="false">SUM(G5:G300)</f>
        <v>0</v>
      </c>
      <c r="H1" s="12" t="n">
        <f aca="false">SUM(H5:H300)</f>
        <v>6375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6375</v>
      </c>
      <c r="M1" s="16" t="n">
        <f aca="true">TODAY()</f>
        <v>46135</v>
      </c>
      <c r="N1" s="13"/>
      <c r="O1" s="12" t="n">
        <f aca="false">SUM(O5:O300)</f>
        <v>720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180</v>
      </c>
      <c r="W1" s="12" t="n">
        <f aca="false">SUM(W5:W300)</f>
        <v>240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600</v>
      </c>
      <c r="AA1" s="12" t="n">
        <f aca="false">SUM(AA5:AA300)</f>
        <v>153</v>
      </c>
      <c r="AB1" s="12" t="n">
        <f aca="false">SUM(AB5:AB300)</f>
        <v>152</v>
      </c>
      <c r="AC1" s="12" t="n">
        <f aca="false">SUM(AC5:AC300)</f>
        <v>666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1800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IF([2]Jul!$G$4&gt;0,0,[2]Jul!$G$2)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45839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296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45839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296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45839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296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45839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296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45839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296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45839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296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45841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294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45841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294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45843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292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45843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292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45844</v>
      </c>
      <c r="B15" s="2" t="s">
        <v>111</v>
      </c>
      <c r="E15" s="5" t="s">
        <v>91</v>
      </c>
      <c r="F15" s="46" t="n">
        <v>60</v>
      </c>
      <c r="H15" s="6" t="n">
        <f aca="false">IF((F15&lt;&gt;0),F15-G15," ")</f>
        <v>60</v>
      </c>
      <c r="I15" s="5"/>
      <c r="L15" s="7" t="n">
        <f aca="false">IF(F15&lt;&gt;0,F15-K15," ")</f>
        <v>60</v>
      </c>
      <c r="M15" s="8" t="n">
        <f aca="false">IF((F15-K15)&lt;&gt;0,M$1-A15," ")</f>
        <v>291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60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45846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289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45846</v>
      </c>
      <c r="B17" s="2" t="s">
        <v>112</v>
      </c>
      <c r="E17" s="5" t="s">
        <v>113</v>
      </c>
      <c r="F17" s="46" t="n">
        <v>240</v>
      </c>
      <c r="H17" s="6" t="n">
        <f aca="false">IF((F17&lt;&gt;0),F17-G17," ")</f>
        <v>240</v>
      </c>
      <c r="I17" s="5"/>
      <c r="L17" s="7" t="n">
        <f aca="false">IF(F17&lt;&gt;0,F17-K17," ")</f>
        <v>240</v>
      </c>
      <c r="M17" s="8" t="n">
        <f aca="false">IF((F17-K17)&lt;&gt;0,M$1-A17," ")</f>
        <v>289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n">
        <f aca="false">IF((E17="q"),H17," ")</f>
        <v>240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45848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287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45848</v>
      </c>
      <c r="B19" s="2" t="s">
        <v>114</v>
      </c>
      <c r="E19" s="5" t="s">
        <v>115</v>
      </c>
      <c r="F19" s="46" t="n">
        <v>600</v>
      </c>
      <c r="H19" s="6" t="n">
        <f aca="false">IF((F19&lt;&gt;0),F19-G19," ")</f>
        <v>600</v>
      </c>
      <c r="I19" s="5"/>
      <c r="L19" s="7" t="n">
        <f aca="false">IF(F19&lt;&gt;0,F19-K19," ")</f>
        <v>600</v>
      </c>
      <c r="M19" s="8" t="n">
        <f aca="false">IF((F19-K19)&lt;&gt;0,M$1-A19," ")</f>
        <v>287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n">
        <f aca="false">IF((E19="a"),H19," ")</f>
        <v>600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45850</v>
      </c>
      <c r="B20" s="2" t="s">
        <v>97</v>
      </c>
      <c r="E20" s="5" t="s">
        <v>88</v>
      </c>
      <c r="F20" s="46" t="n">
        <v>18</v>
      </c>
      <c r="H20" s="6" t="n">
        <f aca="false">IF((F20&lt;&gt;0),F20-G20," ")</f>
        <v>18</v>
      </c>
      <c r="I20" s="5"/>
      <c r="L20" s="7" t="n">
        <f aca="false">IF(F20&lt;&gt;0,F20-K20," ")</f>
        <v>18</v>
      </c>
      <c r="M20" s="8" t="n">
        <f aca="false">IF((F20-K20)&lt;&gt;0,M$1-A20," ")</f>
        <v>285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n">
        <f aca="false">IF((E20="v"),H20," ")</f>
        <v>18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45852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283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45852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283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45853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282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45853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282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45853</v>
      </c>
      <c r="B25" s="2" t="s">
        <v>116</v>
      </c>
      <c r="E25" s="5" t="s">
        <v>96</v>
      </c>
      <c r="F25" s="46" t="n">
        <v>480</v>
      </c>
      <c r="H25" s="6" t="n">
        <f aca="false">IF((F25&lt;&gt;0),F25-G25," ")</f>
        <v>480</v>
      </c>
      <c r="I25" s="5"/>
      <c r="L25" s="7" t="n">
        <f aca="false">IF(F25&lt;&gt;0,F25-K25," ")</f>
        <v>480</v>
      </c>
      <c r="M25" s="8" t="n">
        <f aca="false">IF((F25-K25)&lt;&gt;0,M$1-A25," ")</f>
        <v>282</v>
      </c>
      <c r="N25" s="5"/>
      <c r="O25" s="17" t="n">
        <f aca="false">IF((E25="s"),H25," ")</f>
        <v>480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45853</v>
      </c>
      <c r="B26" s="2" t="s">
        <v>117</v>
      </c>
      <c r="E26" s="5" t="s">
        <v>118</v>
      </c>
      <c r="F26" s="46" t="n">
        <v>1800</v>
      </c>
      <c r="H26" s="6" t="n">
        <f aca="false">IF((F26&lt;&gt;0),F26-G26," ")</f>
        <v>1800</v>
      </c>
      <c r="I26" s="5"/>
      <c r="L26" s="7" t="n">
        <f aca="false">IF(F26&lt;&gt;0,F26-K26," ")</f>
        <v>1800</v>
      </c>
      <c r="M26" s="8" t="n">
        <f aca="false">IF((F26-K26)&lt;&gt;0,M$1-A26," ")</f>
        <v>282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n">
        <f aca="false">IF((E26="fa"),H26," ")</f>
        <v>1800</v>
      </c>
    </row>
    <row r="27" customFormat="false" ht="12" hidden="false" customHeight="false" outlineLevel="0" collapsed="false">
      <c r="A27" s="28" t="n">
        <v>45854</v>
      </c>
      <c r="B27" s="2" t="s">
        <v>119</v>
      </c>
      <c r="E27" s="5" t="s">
        <v>75</v>
      </c>
      <c r="F27" s="46" t="n">
        <v>18</v>
      </c>
      <c r="H27" s="6" t="n">
        <f aca="false">IF((F27&lt;&gt;0),F27-G27," ")</f>
        <v>18</v>
      </c>
      <c r="I27" s="5"/>
      <c r="L27" s="7" t="n">
        <f aca="false">IF(F27&lt;&gt;0,F27-K27," ")</f>
        <v>18</v>
      </c>
      <c r="M27" s="8" t="n">
        <f aca="false">IF((F27-K27)&lt;&gt;0,M$1-A27," ")</f>
        <v>281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18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45856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279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45858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277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45858</v>
      </c>
      <c r="B30" s="2" t="s">
        <v>120</v>
      </c>
      <c r="E30" s="5" t="s">
        <v>121</v>
      </c>
      <c r="F30" s="46" t="n">
        <v>180</v>
      </c>
      <c r="H30" s="6" t="n">
        <f aca="false">IF((F30&lt;&gt;0),F30-G30," ")</f>
        <v>180</v>
      </c>
      <c r="I30" s="5"/>
      <c r="L30" s="7" t="n">
        <f aca="false">IF(F30&lt;&gt;0,F30-K30," ")</f>
        <v>180</v>
      </c>
      <c r="M30" s="8" t="n">
        <f aca="false">IF((F30-K30)&lt;&gt;0,M$1-A30," ")</f>
        <v>277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n">
        <f aca="false">IF((E30="t"),H30," ")</f>
        <v>180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45858</v>
      </c>
      <c r="B31" s="2" t="s">
        <v>122</v>
      </c>
      <c r="E31" s="5" t="s">
        <v>96</v>
      </c>
      <c r="F31" s="46" t="n">
        <v>240</v>
      </c>
      <c r="H31" s="6" t="n">
        <f aca="false">IF((F31&lt;&gt;0),F31-G31," ")</f>
        <v>240</v>
      </c>
      <c r="I31" s="5"/>
      <c r="L31" s="7" t="n">
        <f aca="false">IF(F31&lt;&gt;0,F31-K31," ")</f>
        <v>240</v>
      </c>
      <c r="M31" s="8" t="n">
        <f aca="false">IF((F31-K31)&lt;&gt;0,M$1-A31," ")</f>
        <v>277</v>
      </c>
      <c r="N31" s="5"/>
      <c r="O31" s="17" t="n">
        <f aca="false">IF((E31="s"),H31," ")</f>
        <v>240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45859</v>
      </c>
      <c r="B32" s="2" t="s">
        <v>106</v>
      </c>
      <c r="E32" s="5" t="s">
        <v>91</v>
      </c>
      <c r="F32" s="46" t="n">
        <v>8</v>
      </c>
      <c r="H32" s="6" t="n">
        <f aca="false">IF((F32&lt;&gt;0),F32-G32," ")</f>
        <v>8</v>
      </c>
      <c r="I32" s="5"/>
      <c r="L32" s="7" t="n">
        <f aca="false">IF(F32&lt;&gt;0,F32-K32," ")</f>
        <v>8</v>
      </c>
      <c r="M32" s="8" t="n">
        <f aca="false">IF((F32-K32)&lt;&gt;0,M$1-A32," ")</f>
        <v>276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8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45860</v>
      </c>
      <c r="B33" s="2" t="s">
        <v>107</v>
      </c>
      <c r="E33" s="5" t="s">
        <v>85</v>
      </c>
      <c r="F33" s="46" t="n">
        <v>18</v>
      </c>
      <c r="H33" s="6" t="n">
        <f aca="false">IF((F33&lt;&gt;0),F33-G33," ")</f>
        <v>18</v>
      </c>
      <c r="I33" s="5"/>
      <c r="L33" s="7" t="n">
        <f aca="false">IF(F33&lt;&gt;0,F33-K33," ")</f>
        <v>18</v>
      </c>
      <c r="M33" s="8" t="n">
        <f aca="false">IF((F33-K33)&lt;&gt;0,M$1-A33," ")</f>
        <v>275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18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45860</v>
      </c>
      <c r="B34" s="2" t="s">
        <v>123</v>
      </c>
      <c r="E34" s="5" t="s">
        <v>88</v>
      </c>
      <c r="F34" s="46" t="n">
        <v>48</v>
      </c>
      <c r="H34" s="6" t="n">
        <f aca="false">IF((F34&lt;&gt;0),F34-G34," ")</f>
        <v>48</v>
      </c>
      <c r="I34" s="5"/>
      <c r="L34" s="7" t="n">
        <f aca="false">IF(F34&lt;&gt;0,F34-K34," ")</f>
        <v>48</v>
      </c>
      <c r="M34" s="8" t="n">
        <f aca="false">IF((F34-K34)&lt;&gt;0,M$1-A34," ")</f>
        <v>275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48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45863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272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45863</v>
      </c>
      <c r="B36" s="2" t="s">
        <v>109</v>
      </c>
      <c r="E36" s="5" t="s">
        <v>88</v>
      </c>
      <c r="F36" s="46" t="n">
        <v>54</v>
      </c>
      <c r="H36" s="6" t="n">
        <f aca="false">IF((F36&lt;&gt;0),F36-G36," ")</f>
        <v>54</v>
      </c>
      <c r="I36" s="5"/>
      <c r="L36" s="7" t="n">
        <f aca="false">IF(F36&lt;&gt;0,F36-K36," ")</f>
        <v>54</v>
      </c>
      <c r="M36" s="8" t="n">
        <f aca="false">IF((F36-K36)&lt;&gt;0,M$1-A36," ")</f>
        <v>272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54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45866</v>
      </c>
      <c r="B37" s="2" t="s">
        <v>20</v>
      </c>
      <c r="E37" s="5" t="s">
        <v>88</v>
      </c>
      <c r="F37" s="46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269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n">
        <f aca="false">IF((E37="v"),H37," ")</f>
        <v>120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45869</v>
      </c>
      <c r="B38" s="2" t="s">
        <v>16</v>
      </c>
      <c r="E38" s="5" t="s">
        <v>110</v>
      </c>
      <c r="F38" s="46" t="n">
        <v>300</v>
      </c>
      <c r="H38" s="6" t="n">
        <f aca="false">IF((F38&lt;&gt;0),F38-G38," ")</f>
        <v>300</v>
      </c>
      <c r="I38" s="5"/>
      <c r="L38" s="7" t="n">
        <f aca="false">IF(F38&lt;&gt;0,F38-K38," ")</f>
        <v>300</v>
      </c>
      <c r="M38" s="8" t="n">
        <f aca="false">IF((F38-K38)&lt;&gt;0,M$1-A38," ")</f>
        <v>266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300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9057</v>
      </c>
      <c r="G1" s="12" t="n">
        <f aca="false">SUM(G5:G300)</f>
        <v>0</v>
      </c>
      <c r="H1" s="12" t="n">
        <f aca="false">SUM(H5:H300)</f>
        <v>9057</v>
      </c>
      <c r="I1" s="13"/>
      <c r="J1" s="14" t="s">
        <v>2</v>
      </c>
      <c r="K1" s="15" t="n">
        <f aca="false">SUM(K5:K300)</f>
        <v>0</v>
      </c>
      <c r="L1" s="15" t="n">
        <f aca="false">SUM(L5:L300)</f>
        <v>9057</v>
      </c>
      <c r="M1" s="16" t="n">
        <f aca="true">TODAY()</f>
        <v>46135</v>
      </c>
      <c r="N1" s="13"/>
      <c r="O1" s="12" t="n">
        <f aca="false">SUM(O5:O300)</f>
        <v>360</v>
      </c>
      <c r="P1" s="12" t="n">
        <f aca="false">SUM(P5:P300)</f>
        <v>5000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360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145</v>
      </c>
      <c r="Z1" s="12" t="n">
        <f aca="false">SUM(Z5:Z300)</f>
        <v>0</v>
      </c>
      <c r="AA1" s="12" t="n">
        <f aca="false">SUM(AA5:AA300)</f>
        <v>231</v>
      </c>
      <c r="AB1" s="12" t="n">
        <f aca="false">SUM(AB5:AB300)</f>
        <v>272</v>
      </c>
      <c r="AC1" s="12" t="n">
        <f aca="false">SUM(AC5:AC300)</f>
        <v>654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550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IF([2]Aug!$G$4&gt;0,0,[2]Aug!$G$2)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45870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265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45870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265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45870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265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45870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265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45870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265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45870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265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45872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263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45872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263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45874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261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45874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261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45874</v>
      </c>
      <c r="B15" s="2" t="s">
        <v>89</v>
      </c>
      <c r="E15" s="5" t="s">
        <v>78</v>
      </c>
      <c r="F15" s="46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261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45877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258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45879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256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45879</v>
      </c>
      <c r="B18" s="2" t="s">
        <v>124</v>
      </c>
      <c r="E18" s="5" t="s">
        <v>75</v>
      </c>
      <c r="F18" s="46" t="n">
        <v>96</v>
      </c>
      <c r="H18" s="6" t="n">
        <f aca="false">IF((F18&lt;&gt;0),F18-G18," ")</f>
        <v>96</v>
      </c>
      <c r="I18" s="5"/>
      <c r="L18" s="7" t="n">
        <f aca="false">IF(F18&lt;&gt;0,F18-K18," ")</f>
        <v>96</v>
      </c>
      <c r="M18" s="8" t="n">
        <f aca="false">IF((F18-K18)&lt;&gt;0,M$1-A18," ")</f>
        <v>256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96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45881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254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45883</v>
      </c>
      <c r="B20" s="2" t="s">
        <v>98</v>
      </c>
      <c r="E20" s="5" t="s">
        <v>85</v>
      </c>
      <c r="F20" s="46" t="n">
        <v>30</v>
      </c>
      <c r="H20" s="6" t="n">
        <f aca="false">IF((F20&lt;&gt;0),F20-G20," ")</f>
        <v>30</v>
      </c>
      <c r="I20" s="5"/>
      <c r="L20" s="7" t="n">
        <f aca="false">IF(F20&lt;&gt;0,F20-K20," ")</f>
        <v>30</v>
      </c>
      <c r="M20" s="8" t="n">
        <f aca="false">IF((F20-K20)&lt;&gt;0,M$1-A20," ")</f>
        <v>252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30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45883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252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45883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252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45884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251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45884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251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45884</v>
      </c>
      <c r="B25" s="2" t="s">
        <v>125</v>
      </c>
      <c r="E25" s="5" t="s">
        <v>126</v>
      </c>
      <c r="F25" s="46" t="n">
        <v>5000</v>
      </c>
      <c r="H25" s="6" t="n">
        <f aca="false">IF((F25&lt;&gt;0),F25-G25," ")</f>
        <v>5000</v>
      </c>
      <c r="I25" s="5"/>
      <c r="L25" s="7" t="n">
        <f aca="false">IF(F25&lt;&gt;0,F25-K25," ")</f>
        <v>5000</v>
      </c>
      <c r="M25" s="8" t="n">
        <f aca="false">IF((F25-K25)&lt;&gt;0,M$1-A25," ")</f>
        <v>251</v>
      </c>
      <c r="N25" s="5"/>
      <c r="O25" s="17" t="str">
        <f aca="false">IF((E25="s"),H25," ")</f>
        <v> </v>
      </c>
      <c r="P25" s="17" t="n">
        <f aca="false">IF((E25="c"),H25," ")</f>
        <v>5000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45887</v>
      </c>
      <c r="B26" s="2" t="s">
        <v>127</v>
      </c>
      <c r="E26" s="5" t="s">
        <v>91</v>
      </c>
      <c r="F26" s="46" t="n">
        <v>180</v>
      </c>
      <c r="H26" s="6" t="n">
        <f aca="false">IF((F26&lt;&gt;0),F26-G26," ")</f>
        <v>180</v>
      </c>
      <c r="I26" s="5"/>
      <c r="L26" s="7" t="n">
        <f aca="false">IF(F26&lt;&gt;0,F26-K26," ")</f>
        <v>180</v>
      </c>
      <c r="M26" s="8" t="n">
        <f aca="false">IF((F26-K26)&lt;&gt;0,M$1-A26," ")</f>
        <v>248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n">
        <f aca="false">IF((E26="h"),H26," ")</f>
        <v>180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45887</v>
      </c>
      <c r="B27" s="2" t="s">
        <v>128</v>
      </c>
      <c r="E27" s="5" t="s">
        <v>96</v>
      </c>
      <c r="F27" s="46" t="n">
        <v>360</v>
      </c>
      <c r="H27" s="6" t="n">
        <f aca="false">IF((F27&lt;&gt;0),F27-G27," ")</f>
        <v>360</v>
      </c>
      <c r="I27" s="5"/>
      <c r="L27" s="7" t="n">
        <f aca="false">IF(F27&lt;&gt;0,F27-K27," ")</f>
        <v>360</v>
      </c>
      <c r="M27" s="8" t="n">
        <f aca="false">IF((F27-K27)&lt;&gt;0,M$1-A27," ")</f>
        <v>248</v>
      </c>
      <c r="N27" s="5"/>
      <c r="O27" s="17" t="n">
        <f aca="false">IF((E27="s"),H27," ")</f>
        <v>360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45887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248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45889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246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45890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245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45891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244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45894</v>
      </c>
      <c r="B32" s="2" t="s">
        <v>129</v>
      </c>
      <c r="E32" s="5" t="s">
        <v>130</v>
      </c>
      <c r="F32" s="46" t="n">
        <v>360</v>
      </c>
      <c r="H32" s="6" t="n">
        <f aca="false">IF((F32&lt;&gt;0),F32-G32," ")</f>
        <v>360</v>
      </c>
      <c r="I32" s="5"/>
      <c r="L32" s="7" t="n">
        <f aca="false">IF(F32&lt;&gt;0,F32-K32," ")</f>
        <v>360</v>
      </c>
      <c r="M32" s="8" t="n">
        <f aca="false">IF((F32-K32)&lt;&gt;0,M$1-A32," ")</f>
        <v>241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360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45894</v>
      </c>
      <c r="B33" s="2" t="s">
        <v>108</v>
      </c>
      <c r="E33" s="5" t="s">
        <v>85</v>
      </c>
      <c r="F33" s="46" t="n">
        <v>15</v>
      </c>
      <c r="H33" s="6" t="n">
        <f aca="false">IF((F33&lt;&gt;0),F33-G33," ")</f>
        <v>15</v>
      </c>
      <c r="I33" s="5"/>
      <c r="L33" s="7" t="n">
        <f aca="false">IF(F33&lt;&gt;0,F33-K33," ")</f>
        <v>15</v>
      </c>
      <c r="M33" s="8" t="n">
        <f aca="false">IF((F33-K33)&lt;&gt;0,M$1-A33," ")</f>
        <v>241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45894</v>
      </c>
      <c r="B34" s="2" t="s">
        <v>109</v>
      </c>
      <c r="E34" s="5" t="s">
        <v>88</v>
      </c>
      <c r="F34" s="46" t="n">
        <v>90</v>
      </c>
      <c r="H34" s="6" t="n">
        <f aca="false">IF((F34&lt;&gt;0),F34-G34," ")</f>
        <v>90</v>
      </c>
      <c r="I34" s="5"/>
      <c r="L34" s="7" t="n">
        <f aca="false">IF(F34&lt;&gt;0,F34-K34," ")</f>
        <v>90</v>
      </c>
      <c r="M34" s="8" t="n">
        <f aca="false">IF((F34-K34)&lt;&gt;0,M$1-A34," ")</f>
        <v>241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90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45897</v>
      </c>
      <c r="B35" s="2" t="s">
        <v>20</v>
      </c>
      <c r="E35" s="5" t="s">
        <v>88</v>
      </c>
      <c r="F35" s="46" t="n">
        <v>120</v>
      </c>
      <c r="H35" s="6" t="n">
        <f aca="false">IF((F35&lt;&gt;0),F35-G35," ")</f>
        <v>120</v>
      </c>
      <c r="I35" s="5"/>
      <c r="L35" s="7" t="n">
        <f aca="false">IF(F35&lt;&gt;0,F35-K35," ")</f>
        <v>120</v>
      </c>
      <c r="M35" s="8" t="n">
        <f aca="false">IF((F35-K35)&lt;&gt;0,M$1-A35," ")</f>
        <v>238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120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45899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236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45899</v>
      </c>
      <c r="B37" s="2" t="s">
        <v>131</v>
      </c>
      <c r="E37" s="5" t="s">
        <v>110</v>
      </c>
      <c r="F37" s="46" t="n">
        <v>250</v>
      </c>
      <c r="H37" s="6" t="n">
        <f aca="false">IF((F37&lt;&gt;0),F37-G37," ")</f>
        <v>250</v>
      </c>
      <c r="I37" s="5"/>
      <c r="L37" s="7" t="n">
        <f aca="false">IF(F37&lt;&gt;0,F37-K37," ")</f>
        <v>250</v>
      </c>
      <c r="M37" s="8" t="n">
        <f aca="false">IF((F37-K37)&lt;&gt;0,M$1-A37," ")</f>
        <v>236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250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8759.25</v>
      </c>
      <c r="G1" s="12" t="n">
        <f aca="false">SUM(G5:G300)</f>
        <v>0</v>
      </c>
      <c r="H1" s="12" t="n">
        <f aca="false">SUM(H5:H300)</f>
        <v>8759.25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8759.25</v>
      </c>
      <c r="M1" s="16" t="n">
        <f aca="true">TODAY()</f>
        <v>46135</v>
      </c>
      <c r="N1" s="13"/>
      <c r="O1" s="12" t="n">
        <f aca="false">SUM(O5:O300)</f>
        <v>720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120</v>
      </c>
      <c r="W1" s="12" t="n">
        <f aca="false">SUM(W5:W300)</f>
        <v>480</v>
      </c>
      <c r="X1" s="12" t="n">
        <f aca="false">SUM(X5:X300)</f>
        <v>180</v>
      </c>
      <c r="Y1" s="12" t="n">
        <f aca="false">SUM(Y5:Y300)</f>
        <v>115</v>
      </c>
      <c r="Z1" s="12" t="n">
        <f aca="false">SUM(Z5:Z300)</f>
        <v>480</v>
      </c>
      <c r="AA1" s="12" t="n">
        <f aca="false">SUM(AA5:AA300)</f>
        <v>159</v>
      </c>
      <c r="AB1" s="12" t="n">
        <f aca="false">SUM(AB5:AB300)</f>
        <v>92</v>
      </c>
      <c r="AC1" s="12" t="n">
        <f aca="false">SUM(AC5:AC300)</f>
        <v>584.25</v>
      </c>
      <c r="AD1" s="12" t="n">
        <f aca="false">SUM(AD5:AD300)</f>
        <v>0</v>
      </c>
      <c r="AE1" s="12" t="n">
        <f aca="false">SUM(AE5:AE300)</f>
        <v>180</v>
      </c>
      <c r="AF1" s="12" t="n">
        <f aca="false">SUM(AF5:AF300)</f>
        <v>0</v>
      </c>
      <c r="AG1" s="12" t="n">
        <f aca="false">SUM(AG5:AG300)</f>
        <v>0</v>
      </c>
      <c r="AH1" s="12" t="n">
        <f aca="false">SUM(AH5:AH300)</f>
        <v>3000</v>
      </c>
      <c r="AI1" s="12" t="n">
        <f aca="false">SUM(AI5:AI300)</f>
        <v>1200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IF([2]Sep!$G$4&gt;0,0,[2]Sep!$G$2)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45901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234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45901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234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45901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234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45901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234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45901</v>
      </c>
      <c r="B9" s="2" t="s">
        <v>132</v>
      </c>
      <c r="E9" s="5" t="s">
        <v>133</v>
      </c>
      <c r="F9" s="46" t="n">
        <v>3000</v>
      </c>
      <c r="H9" s="6" t="n">
        <f aca="false">IF((F9&lt;&gt;0),F9-G9," ")</f>
        <v>3000</v>
      </c>
      <c r="I9" s="5"/>
      <c r="L9" s="7" t="n">
        <f aca="false">IF(F9&lt;&gt;0,F9-K9," ")</f>
        <v>3000</v>
      </c>
      <c r="M9" s="8" t="n">
        <f aca="false">IF((F9-K9)&lt;&gt;0,M$1-A9," ")</f>
        <v>234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n">
        <f aca="false">IF((E9="z"),H9," ")</f>
        <v>3000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45901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234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45901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234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45903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232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45903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232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45905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230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45905</v>
      </c>
      <c r="B15" s="2" t="s">
        <v>134</v>
      </c>
      <c r="E15" s="5" t="s">
        <v>115</v>
      </c>
      <c r="F15" s="46" t="n">
        <v>480</v>
      </c>
      <c r="H15" s="6" t="n">
        <f aca="false">IF((F15&lt;&gt;0),F15-G15," ")</f>
        <v>480</v>
      </c>
      <c r="I15" s="5"/>
      <c r="L15" s="7" t="n">
        <f aca="false">IF(F15&lt;&gt;0,F15-K15," ")</f>
        <v>480</v>
      </c>
      <c r="M15" s="8" t="n">
        <f aca="false">IF((F15-K15)&lt;&gt;0,M$1-A15," ")</f>
        <v>230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n">
        <f aca="false">IF((E15="a"),H15," ")</f>
        <v>480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45905</v>
      </c>
      <c r="B16" s="2" t="s">
        <v>87</v>
      </c>
      <c r="E16" s="5" t="s">
        <v>88</v>
      </c>
      <c r="F16" s="46" t="n">
        <v>180</v>
      </c>
      <c r="H16" s="6" t="n">
        <f aca="false">IF((F16&lt;&gt;0),F16-G16," ")</f>
        <v>180</v>
      </c>
      <c r="I16" s="5"/>
      <c r="L16" s="7" t="n">
        <f aca="false">IF(F16&lt;&gt;0,F16-K16," ")</f>
        <v>180</v>
      </c>
      <c r="M16" s="8" t="n">
        <f aca="false">IF((F16-K16)&lt;&gt;0,M$1-A16," ")</f>
        <v>230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n">
        <f aca="false">IF((E16="v"),H16," ")</f>
        <v>180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45908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227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45910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225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45910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225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45910</v>
      </c>
      <c r="B20" s="2" t="s">
        <v>95</v>
      </c>
      <c r="E20" s="5" t="s">
        <v>96</v>
      </c>
      <c r="F20" s="46" t="n">
        <v>720</v>
      </c>
      <c r="H20" s="6" t="n">
        <f aca="false">IF((F20&lt;&gt;0),F20-G20," ")</f>
        <v>720</v>
      </c>
      <c r="I20" s="5"/>
      <c r="L20" s="7" t="n">
        <f aca="false">IF(F20&lt;&gt;0,F20-K20," ")</f>
        <v>720</v>
      </c>
      <c r="M20" s="8" t="n">
        <f aca="false">IF((F20-K20)&lt;&gt;0,M$1-A20," ")</f>
        <v>225</v>
      </c>
      <c r="N20" s="5"/>
      <c r="O20" s="17" t="n">
        <f aca="false">IF((E20="s"),H20," ")</f>
        <v>720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45912</v>
      </c>
      <c r="B21" s="2" t="s">
        <v>97</v>
      </c>
      <c r="E21" s="5" t="s">
        <v>88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223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18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45912</v>
      </c>
      <c r="B22" s="2" t="s">
        <v>135</v>
      </c>
      <c r="E22" s="5" t="s">
        <v>113</v>
      </c>
      <c r="F22" s="46" t="n">
        <v>480</v>
      </c>
      <c r="H22" s="6" t="n">
        <f aca="false">IF((F22&lt;&gt;0),F22-G22," ")</f>
        <v>480</v>
      </c>
      <c r="I22" s="5"/>
      <c r="L22" s="7" t="n">
        <f aca="false">IF(F22&lt;&gt;0,F22-K22," ")</f>
        <v>480</v>
      </c>
      <c r="M22" s="8" t="n">
        <f aca="false">IF((F22-K22)&lt;&gt;0,M$1-A22," ")</f>
        <v>223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n">
        <f aca="false">IF((E22="q"),H22," ")</f>
        <v>480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45914</v>
      </c>
      <c r="B23" s="2" t="s">
        <v>99</v>
      </c>
      <c r="E23" s="5" t="s">
        <v>91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221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24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45914</v>
      </c>
      <c r="B24" s="2" t="s">
        <v>100</v>
      </c>
      <c r="E24" s="5" t="s">
        <v>91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221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12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45915</v>
      </c>
      <c r="B25" s="2" t="s">
        <v>20</v>
      </c>
      <c r="E25" s="5" t="s">
        <v>88</v>
      </c>
      <c r="F25" s="46" t="n">
        <v>150</v>
      </c>
      <c r="H25" s="6" t="n">
        <f aca="false">IF((F25&lt;&gt;0),F25-G25," ")</f>
        <v>150</v>
      </c>
      <c r="I25" s="5"/>
      <c r="L25" s="7" t="n">
        <f aca="false">IF(F25&lt;&gt;0,F25-K25," ")</f>
        <v>150</v>
      </c>
      <c r="M25" s="8" t="n">
        <f aca="false">IF((F25-K25)&lt;&gt;0,M$1-A25," ")</f>
        <v>220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150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45915</v>
      </c>
      <c r="B26" s="2" t="s">
        <v>101</v>
      </c>
      <c r="E26" s="5" t="s">
        <v>75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220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12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45915</v>
      </c>
      <c r="B27" s="2" t="s">
        <v>136</v>
      </c>
      <c r="E27" s="5" t="s">
        <v>118</v>
      </c>
      <c r="F27" s="46" t="n">
        <v>1200</v>
      </c>
      <c r="H27" s="6" t="n">
        <f aca="false">IF((F27&lt;&gt;0),F27-G27," ")</f>
        <v>1200</v>
      </c>
      <c r="I27" s="5"/>
      <c r="L27" s="7" t="n">
        <f aca="false">IF(F27&lt;&gt;0,F27-K27," ")</f>
        <v>1200</v>
      </c>
      <c r="M27" s="8" t="n">
        <f aca="false">IF((F27-K27)&lt;&gt;0,M$1-A27," ")</f>
        <v>220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n">
        <f aca="false">IF((E27="fa"),H27," ")</f>
        <v>1200</v>
      </c>
    </row>
    <row r="28" customFormat="false" ht="12" hidden="false" customHeight="false" outlineLevel="0" collapsed="false">
      <c r="A28" s="28" t="n">
        <v>45916</v>
      </c>
      <c r="B28" s="2" t="s">
        <v>119</v>
      </c>
      <c r="E28" s="5" t="s">
        <v>75</v>
      </c>
      <c r="F28" s="46" t="n">
        <v>24</v>
      </c>
      <c r="H28" s="6" t="n">
        <f aca="false">IF((F28&lt;&gt;0),F28-G28," ")</f>
        <v>24</v>
      </c>
      <c r="I28" s="5"/>
      <c r="L28" s="7" t="n">
        <f aca="false">IF(F28&lt;&gt;0,F28-K28," ")</f>
        <v>24</v>
      </c>
      <c r="M28" s="8" t="n">
        <f aca="false">IF((F28-K28)&lt;&gt;0,M$1-A28," ")</f>
        <v>219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24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45918</v>
      </c>
      <c r="B29" s="2" t="s">
        <v>102</v>
      </c>
      <c r="E29" s="5" t="s">
        <v>88</v>
      </c>
      <c r="F29" s="46" t="n">
        <v>96</v>
      </c>
      <c r="H29" s="6" t="n">
        <f aca="false">IF((F29&lt;&gt;0),F29-G29," ")</f>
        <v>96</v>
      </c>
      <c r="I29" s="5"/>
      <c r="L29" s="7" t="n">
        <f aca="false">IF(F29&lt;&gt;0,F29-K29," ")</f>
        <v>96</v>
      </c>
      <c r="M29" s="8" t="n">
        <f aca="false">IF((F29-K29)&lt;&gt;0,M$1-A29," ")</f>
        <v>217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96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45920</v>
      </c>
      <c r="B30" s="2" t="s">
        <v>103</v>
      </c>
      <c r="E30" s="5" t="s">
        <v>75</v>
      </c>
      <c r="F30" s="46" t="n">
        <v>60</v>
      </c>
      <c r="H30" s="6" t="n">
        <f aca="false">IF((F30&lt;&gt;0),F30-G30," ")</f>
        <v>60</v>
      </c>
      <c r="I30" s="5"/>
      <c r="L30" s="7" t="n">
        <f aca="false">IF(F30&lt;&gt;0,F30-K30," ")</f>
        <v>60</v>
      </c>
      <c r="M30" s="8" t="n">
        <f aca="false">IF((F30-K30)&lt;&gt;0,M$1-A30," ")</f>
        <v>215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60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45920</v>
      </c>
      <c r="B31" s="2" t="s">
        <v>137</v>
      </c>
      <c r="E31" s="5" t="s">
        <v>121</v>
      </c>
      <c r="F31" s="46" t="n">
        <v>120</v>
      </c>
      <c r="H31" s="6" t="n">
        <f aca="false">IF((F31&lt;&gt;0),F31-G31," ")</f>
        <v>120</v>
      </c>
      <c r="I31" s="5"/>
      <c r="L31" s="7" t="n">
        <f aca="false">IF(F31&lt;&gt;0,F31-K31," ")</f>
        <v>120</v>
      </c>
      <c r="M31" s="8" t="n">
        <f aca="false">IF((F31-K31)&lt;&gt;0,M$1-A31," ")</f>
        <v>215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n">
        <f aca="false">IF((E31="t"),H31," ")</f>
        <v>120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45920</v>
      </c>
      <c r="B32" s="2" t="s">
        <v>104</v>
      </c>
      <c r="E32" s="5" t="s">
        <v>105</v>
      </c>
      <c r="F32" s="46" t="n">
        <v>180</v>
      </c>
      <c r="H32" s="6" t="n">
        <f aca="false">IF((F32&lt;&gt;0),F32-G32," ")</f>
        <v>180</v>
      </c>
      <c r="I32" s="5"/>
      <c r="L32" s="7" t="n">
        <f aca="false">IF(F32&lt;&gt;0,F32-K32," ")</f>
        <v>180</v>
      </c>
      <c r="M32" s="8" t="n">
        <f aca="false">IF((F32-K32)&lt;&gt;0,M$1-A32," ")</f>
        <v>215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180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45921</v>
      </c>
      <c r="B33" s="2" t="s">
        <v>106</v>
      </c>
      <c r="E33" s="5" t="s">
        <v>91</v>
      </c>
      <c r="F33" s="46" t="n">
        <v>8</v>
      </c>
      <c r="H33" s="6" t="n">
        <f aca="false">IF((F33&lt;&gt;0),F33-G33," ")</f>
        <v>8</v>
      </c>
      <c r="I33" s="5"/>
      <c r="L33" s="7" t="n">
        <f aca="false">IF(F33&lt;&gt;0,F33-K33," ")</f>
        <v>8</v>
      </c>
      <c r="M33" s="8" t="n">
        <f aca="false">IF((F33-K33)&lt;&gt;0,M$1-A33," ")</f>
        <v>214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8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45922</v>
      </c>
      <c r="B34" s="2" t="s">
        <v>107</v>
      </c>
      <c r="E34" s="5" t="s">
        <v>85</v>
      </c>
      <c r="F34" s="46" t="n">
        <v>18</v>
      </c>
      <c r="H34" s="6" t="n">
        <f aca="false">IF((F34&lt;&gt;0),F34-G34," ")</f>
        <v>18</v>
      </c>
      <c r="I34" s="5"/>
      <c r="L34" s="7" t="n">
        <f aca="false">IF(F34&lt;&gt;0,F34-K34," ")</f>
        <v>18</v>
      </c>
      <c r="M34" s="8" t="n">
        <f aca="false">IF((F34-K34)&lt;&gt;0,M$1-A34," ")</f>
        <v>213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18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45925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210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45925</v>
      </c>
      <c r="B36" s="2" t="s">
        <v>109</v>
      </c>
      <c r="E36" s="5" t="s">
        <v>88</v>
      </c>
      <c r="F36" s="46" t="n">
        <v>20.25</v>
      </c>
      <c r="H36" s="6" t="n">
        <f aca="false">IF((F36&lt;&gt;0),F36-G36," ")</f>
        <v>20.25</v>
      </c>
      <c r="I36" s="5"/>
      <c r="L36" s="7" t="n">
        <f aca="false">IF(F36&lt;&gt;0,F36-K36," ")</f>
        <v>20.25</v>
      </c>
      <c r="M36" s="8" t="n">
        <f aca="false">IF((F36-K36)&lt;&gt;0,M$1-A36," ")</f>
        <v>210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20.25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45928</v>
      </c>
      <c r="B37" s="2" t="s">
        <v>20</v>
      </c>
      <c r="E37" s="5" t="s">
        <v>88</v>
      </c>
      <c r="F37" s="46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207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n">
        <f aca="false">IF((E37="v"),H37," ")</f>
        <v>120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4705.25</v>
      </c>
      <c r="G1" s="12" t="n">
        <f aca="false">SUM(G5:G300)</f>
        <v>0</v>
      </c>
      <c r="H1" s="12" t="n">
        <f aca="false">SUM(H5:H300)</f>
        <v>4705.25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4705.25</v>
      </c>
      <c r="M1" s="16" t="n">
        <f aca="true">TODAY()</f>
        <v>46135</v>
      </c>
      <c r="N1" s="13"/>
      <c r="O1" s="12" t="n">
        <f aca="false">SUM(O5:O300)</f>
        <v>540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800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240</v>
      </c>
      <c r="Y1" s="12" t="n">
        <f aca="false">SUM(Y5:Y300)</f>
        <v>163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140</v>
      </c>
      <c r="AC1" s="12" t="n">
        <f aca="false">SUM(AC5:AC300)</f>
        <v>602.25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600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IF([2]Oct!$G$4&gt;0,0,[2]Oct!$G$2)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45931</v>
      </c>
      <c r="B5" s="5" t="s">
        <v>16</v>
      </c>
      <c r="E5" s="5" t="s">
        <v>110</v>
      </c>
      <c r="F5" s="46" t="n">
        <v>300</v>
      </c>
      <c r="H5" s="6" t="n">
        <f aca="false">IF((F5&lt;&gt;0),F5-G5," ")</f>
        <v>300</v>
      </c>
      <c r="J5" s="6"/>
      <c r="K5" s="6"/>
      <c r="L5" s="7" t="n">
        <f aca="false">IF(F5&lt;&gt;0,F5-K5," ")</f>
        <v>300</v>
      </c>
      <c r="M5" s="8" t="n">
        <f aca="false">IF((F5-K5)&lt;&gt;0,M$1-A5," ")</f>
        <v>204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n">
        <f aca="false">IF((E5="l"),H5," ")</f>
        <v>300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45931</v>
      </c>
      <c r="B6" s="2" t="s">
        <v>14</v>
      </c>
      <c r="E6" s="5" t="s">
        <v>73</v>
      </c>
      <c r="F6" s="46" t="n">
        <v>1200</v>
      </c>
      <c r="H6" s="6" t="n">
        <f aca="false">IF((F6&lt;&gt;0),F6-G6," ")</f>
        <v>1200</v>
      </c>
      <c r="I6" s="5"/>
      <c r="L6" s="7" t="n">
        <f aca="false">IF(F6&lt;&gt;0,F6-K6," ")</f>
        <v>1200</v>
      </c>
      <c r="M6" s="8" t="n">
        <f aca="false">IF((F6-K6)&lt;&gt;0,M$1-A6," ")</f>
        <v>204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n">
        <f aca="false">IF((E6="r"),H6," ")</f>
        <v>1200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45931</v>
      </c>
      <c r="B7" s="2" t="s">
        <v>74</v>
      </c>
      <c r="E7" s="5" t="s">
        <v>75</v>
      </c>
      <c r="F7" s="46" t="n">
        <v>30</v>
      </c>
      <c r="H7" s="6" t="n">
        <f aca="false">IF((F7&lt;&gt;0),F7-G7," ")</f>
        <v>30</v>
      </c>
      <c r="I7" s="5"/>
      <c r="L7" s="7" t="n">
        <f aca="false">IF(F7&lt;&gt;0,F7-K7," ")</f>
        <v>30</v>
      </c>
      <c r="M7" s="8" t="n">
        <f aca="false">IF((F7-K7)&lt;&gt;0,M$1-A7," ")</f>
        <v>204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30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45931</v>
      </c>
      <c r="B8" s="2" t="s">
        <v>76</v>
      </c>
      <c r="E8" s="5" t="s">
        <v>75</v>
      </c>
      <c r="F8" s="46" t="n">
        <v>15</v>
      </c>
      <c r="H8" s="6" t="n">
        <f aca="false">IF((F8&lt;&gt;0),F8-G8," ")</f>
        <v>15</v>
      </c>
      <c r="I8" s="5"/>
      <c r="L8" s="7" t="n">
        <f aca="false">IF(F8&lt;&gt;0,F8-K8," ")</f>
        <v>15</v>
      </c>
      <c r="M8" s="8" t="n">
        <f aca="false">IF((F8-K8)&lt;&gt;0,M$1-A8," ")</f>
        <v>204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n">
        <f aca="false">IF((E8="g"),H8," ")</f>
        <v>15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45931</v>
      </c>
      <c r="B9" s="2" t="s">
        <v>77</v>
      </c>
      <c r="E9" s="5" t="s">
        <v>78</v>
      </c>
      <c r="F9" s="46" t="n">
        <v>45</v>
      </c>
      <c r="H9" s="6" t="n">
        <f aca="false">IF((F9&lt;&gt;0),F9-G9," ")</f>
        <v>45</v>
      </c>
      <c r="I9" s="5"/>
      <c r="L9" s="7" t="n">
        <f aca="false">IF(F9&lt;&gt;0,F9-K9," ")</f>
        <v>45</v>
      </c>
      <c r="M9" s="8" t="n">
        <f aca="false">IF((F9-K9)&lt;&gt;0,M$1-A9," ")</f>
        <v>204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45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45931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204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45931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204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45933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202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45933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202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45935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200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45935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200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45935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200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45936</v>
      </c>
      <c r="B17" s="2" t="s">
        <v>111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199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45938</v>
      </c>
      <c r="B18" s="2" t="s">
        <v>90</v>
      </c>
      <c r="E18" s="5" t="s">
        <v>91</v>
      </c>
      <c r="F18" s="46" t="n">
        <v>48</v>
      </c>
      <c r="H18" s="6" t="n">
        <f aca="false">IF((F18&lt;&gt;0),F18-G18," ")</f>
        <v>48</v>
      </c>
      <c r="I18" s="5"/>
      <c r="L18" s="7" t="n">
        <f aca="false">IF(F18&lt;&gt;0,F18-K18," ")</f>
        <v>48</v>
      </c>
      <c r="M18" s="8" t="n">
        <f aca="false">IF((F18-K18)&lt;&gt;0,M$1-A18," ")</f>
        <v>197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n">
        <f aca="false">IF((E18="h"),H18," ")</f>
        <v>48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45940</v>
      </c>
      <c r="B19" s="2" t="s">
        <v>92</v>
      </c>
      <c r="E19" s="5" t="s">
        <v>85</v>
      </c>
      <c r="F19" s="46" t="n">
        <v>36</v>
      </c>
      <c r="H19" s="6" t="n">
        <f aca="false">IF((F19&lt;&gt;0),F19-G19," ")</f>
        <v>36</v>
      </c>
      <c r="I19" s="5"/>
      <c r="L19" s="7" t="n">
        <f aca="false">IF(F19&lt;&gt;0,F19-K19," ")</f>
        <v>36</v>
      </c>
      <c r="M19" s="8" t="n">
        <f aca="false">IF((F19-K19)&lt;&gt;0,M$1-A19," ")</f>
        <v>195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n">
        <f aca="false">IF((E19="u"),H19," ")</f>
        <v>36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45942</v>
      </c>
      <c r="B20" s="2" t="s">
        <v>97</v>
      </c>
      <c r="E20" s="5" t="s">
        <v>88</v>
      </c>
      <c r="F20" s="46" t="n">
        <v>18</v>
      </c>
      <c r="H20" s="6" t="n">
        <f aca="false">IF((F20&lt;&gt;0),F20-G20," ")</f>
        <v>18</v>
      </c>
      <c r="I20" s="5"/>
      <c r="L20" s="7" t="n">
        <f aca="false">IF(F20&lt;&gt;0,F20-K20," ")</f>
        <v>18</v>
      </c>
      <c r="M20" s="8" t="n">
        <f aca="false">IF((F20-K20)&lt;&gt;0,M$1-A20," ")</f>
        <v>193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n">
        <f aca="false">IF((E20="v"),H20," ")</f>
        <v>18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45944</v>
      </c>
      <c r="B21" s="2" t="s">
        <v>98</v>
      </c>
      <c r="E21" s="5" t="s">
        <v>85</v>
      </c>
      <c r="F21" s="46" t="n">
        <v>48</v>
      </c>
      <c r="H21" s="6" t="n">
        <f aca="false">IF((F21&lt;&gt;0),F21-G21," ")</f>
        <v>48</v>
      </c>
      <c r="I21" s="5"/>
      <c r="L21" s="7" t="n">
        <f aca="false">IF(F21&lt;&gt;0,F21-K21," ")</f>
        <v>48</v>
      </c>
      <c r="M21" s="8" t="n">
        <f aca="false">IF((F21-K21)&lt;&gt;0,M$1-A21," ")</f>
        <v>191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48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45944</v>
      </c>
      <c r="B22" s="2" t="s">
        <v>99</v>
      </c>
      <c r="E22" s="5" t="s">
        <v>91</v>
      </c>
      <c r="F22" s="46" t="n">
        <v>24</v>
      </c>
      <c r="H22" s="6" t="n">
        <f aca="false">IF((F22&lt;&gt;0),F22-G22," ")</f>
        <v>24</v>
      </c>
      <c r="I22" s="5"/>
      <c r="L22" s="7" t="n">
        <f aca="false">IF(F22&lt;&gt;0,F22-K22," ")</f>
        <v>24</v>
      </c>
      <c r="M22" s="8" t="n">
        <f aca="false">IF((F22-K22)&lt;&gt;0,M$1-A22," ")</f>
        <v>191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24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45944</v>
      </c>
      <c r="B23" s="2" t="s">
        <v>100</v>
      </c>
      <c r="E23" s="5" t="s">
        <v>91</v>
      </c>
      <c r="F23" s="46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191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12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45945</v>
      </c>
      <c r="B24" s="2" t="s">
        <v>20</v>
      </c>
      <c r="E24" s="5" t="s">
        <v>88</v>
      </c>
      <c r="F24" s="46" t="n">
        <v>150</v>
      </c>
      <c r="H24" s="6" t="n">
        <f aca="false">IF((F24&lt;&gt;0),F24-G24," ")</f>
        <v>150</v>
      </c>
      <c r="I24" s="5"/>
      <c r="L24" s="7" t="n">
        <f aca="false">IF(F24&lt;&gt;0,F24-K24," ")</f>
        <v>150</v>
      </c>
      <c r="M24" s="8" t="n">
        <f aca="false">IF((F24-K24)&lt;&gt;0,M$1-A24," ")</f>
        <v>190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n">
        <f aca="false">IF((E24="v"),H24," ")</f>
        <v>150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45945</v>
      </c>
      <c r="B25" s="2" t="s">
        <v>101</v>
      </c>
      <c r="E25" s="5" t="s">
        <v>75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190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12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45945</v>
      </c>
      <c r="B26" s="2" t="s">
        <v>116</v>
      </c>
      <c r="E26" s="5" t="s">
        <v>96</v>
      </c>
      <c r="F26" s="46" t="n">
        <v>360</v>
      </c>
      <c r="H26" s="6" t="n">
        <f aca="false">IF((F26&lt;&gt;0),F26-G26," ")</f>
        <v>360</v>
      </c>
      <c r="I26" s="5"/>
      <c r="L26" s="7" t="n">
        <f aca="false">IF(F26&lt;&gt;0,F26-K26," ")</f>
        <v>360</v>
      </c>
      <c r="M26" s="8" t="n">
        <f aca="false">IF((F26-K26)&lt;&gt;0,M$1-A26," ")</f>
        <v>190</v>
      </c>
      <c r="N26" s="5"/>
      <c r="O26" s="17" t="n">
        <f aca="false">IF((E26="s"),H26," ")</f>
        <v>360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45948</v>
      </c>
      <c r="B27" s="2" t="s">
        <v>138</v>
      </c>
      <c r="E27" s="5" t="s">
        <v>105</v>
      </c>
      <c r="F27" s="46" t="n">
        <v>240</v>
      </c>
      <c r="H27" s="6" t="n">
        <f aca="false">IF((F27&lt;&gt;0),F27-G27," ")</f>
        <v>240</v>
      </c>
      <c r="I27" s="5"/>
      <c r="L27" s="7" t="n">
        <f aca="false">IF(F27&lt;&gt;0,F27-K27," ")</f>
        <v>240</v>
      </c>
      <c r="M27" s="8" t="n">
        <f aca="false">IF((F27-K27)&lt;&gt;0,M$1-A27," ")</f>
        <v>187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n">
        <f aca="false">IF((E27="m"),H27," ")</f>
        <v>240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45948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187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45950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185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45950</v>
      </c>
      <c r="B30" s="2" t="s">
        <v>139</v>
      </c>
      <c r="E30" s="5" t="s">
        <v>140</v>
      </c>
      <c r="F30" s="46" t="n">
        <v>800</v>
      </c>
      <c r="H30" s="6" t="n">
        <f aca="false">IF((F30&lt;&gt;0),F30-G30," ")</f>
        <v>800</v>
      </c>
      <c r="I30" s="5"/>
      <c r="L30" s="7" t="n">
        <f aca="false">IF(F30&lt;&gt;0,F30-K30," ")</f>
        <v>800</v>
      </c>
      <c r="M30" s="8" t="n">
        <f aca="false">IF((F30-K30)&lt;&gt;0,M$1-A30," ")</f>
        <v>185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n">
        <f aca="false">IF((E30="w"),H30," ")</f>
        <v>800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45950</v>
      </c>
      <c r="B31" s="2" t="s">
        <v>122</v>
      </c>
      <c r="E31" s="5" t="s">
        <v>96</v>
      </c>
      <c r="F31" s="46" t="n">
        <v>180</v>
      </c>
      <c r="H31" s="6" t="n">
        <f aca="false">IF((F31&lt;&gt;0),F31-G31," ")</f>
        <v>180</v>
      </c>
      <c r="I31" s="5"/>
      <c r="L31" s="7" t="n">
        <f aca="false">IF(F31&lt;&gt;0,F31-K31," ")</f>
        <v>180</v>
      </c>
      <c r="M31" s="8" t="n">
        <f aca="false">IF((F31-K31)&lt;&gt;0,M$1-A31," ")</f>
        <v>185</v>
      </c>
      <c r="N31" s="5"/>
      <c r="O31" s="17" t="n">
        <f aca="false">IF((E31="s"),H31," ")</f>
        <v>180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45951</v>
      </c>
      <c r="B32" s="2" t="s">
        <v>106</v>
      </c>
      <c r="E32" s="5" t="s">
        <v>91</v>
      </c>
      <c r="F32" s="46" t="n">
        <v>8</v>
      </c>
      <c r="H32" s="6" t="n">
        <f aca="false">IF((F32&lt;&gt;0),F32-G32," ")</f>
        <v>8</v>
      </c>
      <c r="I32" s="5"/>
      <c r="L32" s="7" t="n">
        <f aca="false">IF(F32&lt;&gt;0,F32-K32," ")</f>
        <v>8</v>
      </c>
      <c r="M32" s="8" t="n">
        <f aca="false">IF((F32-K32)&lt;&gt;0,M$1-A32," ")</f>
        <v>184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8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45952</v>
      </c>
      <c r="B33" s="2" t="s">
        <v>107</v>
      </c>
      <c r="E33" s="5" t="s">
        <v>85</v>
      </c>
      <c r="F33" s="46" t="n">
        <v>18</v>
      </c>
      <c r="H33" s="6" t="n">
        <f aca="false">IF((F33&lt;&gt;0),F33-G33," ")</f>
        <v>18</v>
      </c>
      <c r="I33" s="5"/>
      <c r="L33" s="7" t="n">
        <f aca="false">IF(F33&lt;&gt;0,F33-K33," ")</f>
        <v>18</v>
      </c>
      <c r="M33" s="8" t="n">
        <f aca="false">IF((F33-K33)&lt;&gt;0,M$1-A33," ")</f>
        <v>183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18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45955</v>
      </c>
      <c r="B34" s="2" t="s">
        <v>108</v>
      </c>
      <c r="E34" s="5" t="s">
        <v>85</v>
      </c>
      <c r="F34" s="46" t="n">
        <v>15</v>
      </c>
      <c r="H34" s="6" t="n">
        <f aca="false">IF((F34&lt;&gt;0),F34-G34," ")</f>
        <v>15</v>
      </c>
      <c r="I34" s="5"/>
      <c r="L34" s="7" t="n">
        <f aca="false">IF(F34&lt;&gt;0,F34-K34," ")</f>
        <v>15</v>
      </c>
      <c r="M34" s="8" t="n">
        <f aca="false">IF((F34-K34)&lt;&gt;0,M$1-A34," ")</f>
        <v>180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45955</v>
      </c>
      <c r="B35" s="2" t="s">
        <v>109</v>
      </c>
      <c r="E35" s="5" t="s">
        <v>88</v>
      </c>
      <c r="F35" s="46" t="n">
        <v>38.25</v>
      </c>
      <c r="H35" s="6" t="n">
        <f aca="false">IF((F35&lt;&gt;0),F35-G35," ")</f>
        <v>38.25</v>
      </c>
      <c r="I35" s="5"/>
      <c r="L35" s="7" t="n">
        <f aca="false">IF(F35&lt;&gt;0,F35-K35," ")</f>
        <v>38.25</v>
      </c>
      <c r="M35" s="8" t="n">
        <f aca="false">IF((F35-K35)&lt;&gt;0,M$1-A35," ")</f>
        <v>180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38.25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45958</v>
      </c>
      <c r="B36" s="2" t="s">
        <v>20</v>
      </c>
      <c r="E36" s="5" t="s">
        <v>88</v>
      </c>
      <c r="F36" s="46" t="n">
        <v>120</v>
      </c>
      <c r="H36" s="6" t="n">
        <f aca="false">IF((F36&lt;&gt;0),F36-G36," ")</f>
        <v>120</v>
      </c>
      <c r="I36" s="5"/>
      <c r="L36" s="7" t="n">
        <f aca="false">IF(F36&lt;&gt;0,F36-K36," ")</f>
        <v>120</v>
      </c>
      <c r="M36" s="8" t="n">
        <f aca="false">IF((F36-K36)&lt;&gt;0,M$1-A36," ")</f>
        <v>177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120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45961</v>
      </c>
      <c r="B37" s="2" t="s">
        <v>16</v>
      </c>
      <c r="E37" s="5" t="s">
        <v>110</v>
      </c>
      <c r="F37" s="46" t="n">
        <v>300</v>
      </c>
      <c r="H37" s="6" t="n">
        <f aca="false">IF((F37&lt;&gt;0),F37-G37," ")</f>
        <v>300</v>
      </c>
      <c r="I37" s="5"/>
      <c r="L37" s="7" t="n">
        <f aca="false">IF(F37&lt;&gt;0,F37-K37," ")</f>
        <v>300</v>
      </c>
      <c r="M37" s="8" t="n">
        <f aca="false">IF((F37-K37)&lt;&gt;0,M$1-A37," ")</f>
        <v>174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300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4975</v>
      </c>
      <c r="G1" s="12" t="n">
        <f aca="false">SUM(G5:G300)</f>
        <v>0</v>
      </c>
      <c r="H1" s="12" t="n">
        <f aca="false">SUM(H5:H300)</f>
        <v>4975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4975</v>
      </c>
      <c r="M1" s="16" t="n">
        <f aca="true">TODAY()</f>
        <v>46135</v>
      </c>
      <c r="N1" s="13"/>
      <c r="O1" s="12" t="n">
        <f aca="false">SUM(O5:O300)</f>
        <v>240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300</v>
      </c>
      <c r="V1" s="12" t="n">
        <f aca="false">SUM(V5:V300)</f>
        <v>96</v>
      </c>
      <c r="W1" s="12" t="n">
        <f aca="false">SUM(W5:W300)</f>
        <v>360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147</v>
      </c>
      <c r="AB1" s="12" t="n">
        <f aca="false">SUM(AB5:AB300)</f>
        <v>92</v>
      </c>
      <c r="AC1" s="12" t="n">
        <f aca="false">SUM(AC5:AC300)</f>
        <v>708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1468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IF([2]Nov!$G$4&gt;0,0,[2]Nov!$G$2)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45962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173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45962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173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45962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173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45962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173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45962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173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45962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173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45964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171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45964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171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45966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169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45966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169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45969</v>
      </c>
      <c r="B15" s="2" t="s">
        <v>90</v>
      </c>
      <c r="E15" s="5" t="s">
        <v>91</v>
      </c>
      <c r="F15" s="46" t="n">
        <v>48</v>
      </c>
      <c r="H15" s="6" t="n">
        <f aca="false">IF((F15&lt;&gt;0),F15-G15," ")</f>
        <v>48</v>
      </c>
      <c r="I15" s="5"/>
      <c r="L15" s="7" t="n">
        <f aca="false">IF(F15&lt;&gt;0,F15-K15," ")</f>
        <v>48</v>
      </c>
      <c r="M15" s="8" t="n">
        <f aca="false">IF((F15-K15)&lt;&gt;0,M$1-A15," ")</f>
        <v>166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48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45969</v>
      </c>
      <c r="B16" s="2" t="s">
        <v>112</v>
      </c>
      <c r="E16" s="5" t="s">
        <v>113</v>
      </c>
      <c r="F16" s="46" t="n">
        <v>360</v>
      </c>
      <c r="H16" s="6" t="n">
        <f aca="false">IF((F16&lt;&gt;0),F16-G16," ")</f>
        <v>360</v>
      </c>
      <c r="I16" s="5"/>
      <c r="L16" s="7" t="n">
        <f aca="false">IF(F16&lt;&gt;0,F16-K16," ")</f>
        <v>360</v>
      </c>
      <c r="M16" s="8" t="n">
        <f aca="false">IF((F16-K16)&lt;&gt;0,M$1-A16," ")</f>
        <v>166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n">
        <f aca="false">IF((E16="q"),H16," ")</f>
        <v>360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45971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164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45971</v>
      </c>
      <c r="B18" s="2" t="s">
        <v>101</v>
      </c>
      <c r="E18" s="5" t="s">
        <v>121</v>
      </c>
      <c r="F18" s="46" t="n">
        <v>96</v>
      </c>
      <c r="H18" s="6" t="n">
        <f aca="false">IF((F18&lt;&gt;0),F18-G18," ")</f>
        <v>96</v>
      </c>
      <c r="I18" s="5"/>
      <c r="L18" s="7" t="n">
        <f aca="false">IF(F18&lt;&gt;0,F18-K18," ")</f>
        <v>96</v>
      </c>
      <c r="M18" s="8" t="n">
        <f aca="false">IF((F18-K18)&lt;&gt;0,M$1-A18," ")</f>
        <v>164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n">
        <f aca="false">IF((E18="t"),H18," ")</f>
        <v>96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45973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162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45975</v>
      </c>
      <c r="B20" s="2" t="s">
        <v>99</v>
      </c>
      <c r="E20" s="5" t="s">
        <v>91</v>
      </c>
      <c r="F20" s="46" t="n">
        <v>24</v>
      </c>
      <c r="H20" s="6" t="n">
        <f aca="false">IF((F20&lt;&gt;0),F20-G20," ")</f>
        <v>24</v>
      </c>
      <c r="I20" s="5"/>
      <c r="L20" s="7" t="n">
        <f aca="false">IF(F20&lt;&gt;0,F20-K20," ")</f>
        <v>24</v>
      </c>
      <c r="M20" s="8" t="n">
        <f aca="false">IF((F20-K20)&lt;&gt;0,M$1-A20," ")</f>
        <v>160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24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45975</v>
      </c>
      <c r="B21" s="2" t="s">
        <v>100</v>
      </c>
      <c r="E21" s="5" t="s">
        <v>91</v>
      </c>
      <c r="F21" s="46" t="n">
        <v>12</v>
      </c>
      <c r="H21" s="6" t="n">
        <f aca="false">IF((F21&lt;&gt;0),F21-G21," ")</f>
        <v>12</v>
      </c>
      <c r="I21" s="5"/>
      <c r="L21" s="7" t="n">
        <f aca="false">IF(F21&lt;&gt;0,F21-K21," ")</f>
        <v>12</v>
      </c>
      <c r="M21" s="8" t="n">
        <f aca="false">IF((F21-K21)&lt;&gt;0,M$1-A21," ")</f>
        <v>160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12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45976</v>
      </c>
      <c r="B22" s="2" t="s">
        <v>20</v>
      </c>
      <c r="E22" s="5" t="s">
        <v>88</v>
      </c>
      <c r="F22" s="46" t="n">
        <v>150</v>
      </c>
      <c r="H22" s="6" t="n">
        <f aca="false">IF((F22&lt;&gt;0),F22-G22," ")</f>
        <v>150</v>
      </c>
      <c r="I22" s="5"/>
      <c r="L22" s="7" t="n">
        <f aca="false">IF(F22&lt;&gt;0,F22-K22," ")</f>
        <v>150</v>
      </c>
      <c r="M22" s="8" t="n">
        <f aca="false">IF((F22-K22)&lt;&gt;0,M$1-A22," ")</f>
        <v>159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n">
        <f aca="false">IF((E22="v"),H22," ")</f>
        <v>150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45976</v>
      </c>
      <c r="B23" s="2" t="s">
        <v>101</v>
      </c>
      <c r="E23" s="5" t="s">
        <v>75</v>
      </c>
      <c r="F23" s="46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159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12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45976</v>
      </c>
      <c r="B24" s="2" t="s">
        <v>141</v>
      </c>
      <c r="E24" s="5" t="s">
        <v>110</v>
      </c>
      <c r="F24" s="46" t="n">
        <v>960</v>
      </c>
      <c r="H24" s="6" t="n">
        <f aca="false">IF((F24&lt;&gt;0),F24-G24," ")</f>
        <v>960</v>
      </c>
      <c r="I24" s="5"/>
      <c r="L24" s="7" t="n">
        <f aca="false">IF(F24&lt;&gt;0,F24-K24," ")</f>
        <v>960</v>
      </c>
      <c r="M24" s="8" t="n">
        <f aca="false">IF((F24-K24)&lt;&gt;0,M$1-A24," ")</f>
        <v>159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n">
        <f aca="false">IF((E24="l"),H24," ")</f>
        <v>960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45977</v>
      </c>
      <c r="B25" s="2" t="s">
        <v>119</v>
      </c>
      <c r="E25" s="5" t="s">
        <v>75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158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12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45979</v>
      </c>
      <c r="B26" s="2" t="s">
        <v>128</v>
      </c>
      <c r="E26" s="5" t="s">
        <v>96</v>
      </c>
      <c r="F26" s="46" t="n">
        <v>240</v>
      </c>
      <c r="H26" s="6" t="n">
        <f aca="false">IF((F26&lt;&gt;0),F26-G26," ")</f>
        <v>240</v>
      </c>
      <c r="I26" s="5"/>
      <c r="L26" s="7" t="n">
        <f aca="false">IF(F26&lt;&gt;0,F26-K26," ")</f>
        <v>240</v>
      </c>
      <c r="M26" s="8" t="n">
        <f aca="false">IF((F26-K26)&lt;&gt;0,M$1-A26," ")</f>
        <v>156</v>
      </c>
      <c r="N26" s="5"/>
      <c r="O26" s="17" t="n">
        <f aca="false">IF((E26="s"),H26," ")</f>
        <v>240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45979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156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45981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154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45982</v>
      </c>
      <c r="B29" s="2" t="s">
        <v>106</v>
      </c>
      <c r="E29" s="5" t="s">
        <v>91</v>
      </c>
      <c r="F29" s="46" t="n">
        <v>8</v>
      </c>
      <c r="H29" s="6" t="n">
        <f aca="false">IF((F29&lt;&gt;0),F29-G29," ")</f>
        <v>8</v>
      </c>
      <c r="I29" s="5"/>
      <c r="L29" s="7" t="n">
        <f aca="false">IF(F29&lt;&gt;0,F29-K29," ")</f>
        <v>8</v>
      </c>
      <c r="M29" s="8" t="n">
        <f aca="false">IF((F29-K29)&lt;&gt;0,M$1-A29," ")</f>
        <v>153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8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45983</v>
      </c>
      <c r="B30" s="2" t="s">
        <v>107</v>
      </c>
      <c r="E30" s="5" t="s">
        <v>85</v>
      </c>
      <c r="F30" s="46" t="n">
        <v>18</v>
      </c>
      <c r="H30" s="6" t="n">
        <f aca="false">IF((F30&lt;&gt;0),F30-G30," ")</f>
        <v>18</v>
      </c>
      <c r="I30" s="5"/>
      <c r="L30" s="7" t="n">
        <f aca="false">IF(F30&lt;&gt;0,F30-K30," ")</f>
        <v>18</v>
      </c>
      <c r="M30" s="8" t="n">
        <f aca="false">IF((F30-K30)&lt;&gt;0,M$1-A30," ")</f>
        <v>152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n">
        <f aca="false">IF((E30="u"),H30," ")</f>
        <v>18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45983</v>
      </c>
      <c r="B31" s="2" t="s">
        <v>123</v>
      </c>
      <c r="E31" s="5" t="s">
        <v>88</v>
      </c>
      <c r="F31" s="46" t="n">
        <v>72</v>
      </c>
      <c r="H31" s="6" t="n">
        <f aca="false">IF((F31&lt;&gt;0),F31-G31," ")</f>
        <v>72</v>
      </c>
      <c r="I31" s="5"/>
      <c r="L31" s="7" t="n">
        <f aca="false">IF(F31&lt;&gt;0,F31-K31," ")</f>
        <v>72</v>
      </c>
      <c r="M31" s="8" t="n">
        <f aca="false">IF((F31-K31)&lt;&gt;0,M$1-A31," ")</f>
        <v>152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n">
        <f aca="false">IF((E31="v"),H31," ")</f>
        <v>72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45986</v>
      </c>
      <c r="B32" s="2" t="s">
        <v>129</v>
      </c>
      <c r="E32" s="5" t="s">
        <v>130</v>
      </c>
      <c r="F32" s="46" t="n">
        <v>300</v>
      </c>
      <c r="H32" s="6" t="n">
        <f aca="false">IF((F32&lt;&gt;0),F32-G32," ")</f>
        <v>300</v>
      </c>
      <c r="I32" s="5"/>
      <c r="L32" s="7" t="n">
        <f aca="false">IF(F32&lt;&gt;0,F32-K32," ")</f>
        <v>300</v>
      </c>
      <c r="M32" s="8" t="n">
        <f aca="false">IF((F32-K32)&lt;&gt;0,M$1-A32," ")</f>
        <v>149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300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45986</v>
      </c>
      <c r="B33" s="2" t="s">
        <v>108</v>
      </c>
      <c r="E33" s="5" t="s">
        <v>85</v>
      </c>
      <c r="F33" s="46" t="n">
        <v>15</v>
      </c>
      <c r="H33" s="6" t="n">
        <f aca="false">IF((F33&lt;&gt;0),F33-G33," ")</f>
        <v>15</v>
      </c>
      <c r="I33" s="5"/>
      <c r="L33" s="7" t="n">
        <f aca="false">IF(F33&lt;&gt;0,F33-K33," ")</f>
        <v>15</v>
      </c>
      <c r="M33" s="8" t="n">
        <f aca="false">IF((F33-K33)&lt;&gt;0,M$1-A33," ")</f>
        <v>149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45986</v>
      </c>
      <c r="B34" s="2" t="s">
        <v>109</v>
      </c>
      <c r="E34" s="5" t="s">
        <v>88</v>
      </c>
      <c r="F34" s="46" t="n">
        <v>72</v>
      </c>
      <c r="H34" s="6" t="n">
        <f aca="false">IF((F34&lt;&gt;0),F34-G34," ")</f>
        <v>72</v>
      </c>
      <c r="I34" s="5"/>
      <c r="L34" s="7" t="n">
        <f aca="false">IF(F34&lt;&gt;0,F34-K34," ")</f>
        <v>72</v>
      </c>
      <c r="M34" s="8" t="n">
        <f aca="false">IF((F34-K34)&lt;&gt;0,M$1-A34," ")</f>
        <v>149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72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45989</v>
      </c>
      <c r="B35" s="2" t="s">
        <v>20</v>
      </c>
      <c r="E35" s="5" t="s">
        <v>88</v>
      </c>
      <c r="F35" s="46" t="n">
        <v>120</v>
      </c>
      <c r="H35" s="6" t="n">
        <f aca="false">IF((F35&lt;&gt;0),F35-G35," ")</f>
        <v>120</v>
      </c>
      <c r="I35" s="5"/>
      <c r="L35" s="7" t="n">
        <f aca="false">IF(F35&lt;&gt;0,F35-K35," ")</f>
        <v>120</v>
      </c>
      <c r="M35" s="8" t="n">
        <f aca="false">IF((F35-K35)&lt;&gt;0,M$1-A35," ")</f>
        <v>146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120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45991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144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45991</v>
      </c>
      <c r="B37" s="2" t="s">
        <v>131</v>
      </c>
      <c r="E37" s="5" t="s">
        <v>110</v>
      </c>
      <c r="F37" s="46" t="n">
        <v>208</v>
      </c>
      <c r="H37" s="6" t="n">
        <f aca="false">IF((F37&lt;&gt;0),F37-G37," ")</f>
        <v>208</v>
      </c>
      <c r="I37" s="5"/>
      <c r="L37" s="7" t="n">
        <f aca="false">IF(F37&lt;&gt;0,F37-K37," ")</f>
        <v>208</v>
      </c>
      <c r="M37" s="8" t="n">
        <f aca="false">IF((F37-K37)&lt;&gt;0,M$1-A37," ")</f>
        <v>144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208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82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43005.75</v>
      </c>
      <c r="G1" s="12" t="n">
        <f aca="false">SUM(G5:G300)</f>
        <v>0</v>
      </c>
      <c r="H1" s="12" t="n">
        <f aca="false">SUM(H5:H300)</f>
        <v>43005.75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43005.75</v>
      </c>
      <c r="M1" s="16" t="n">
        <f aca="true">TODAY()</f>
        <v>46135</v>
      </c>
      <c r="N1" s="13"/>
      <c r="O1" s="12" t="n">
        <f aca="false">SUM(O5:O300)</f>
        <v>480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96</v>
      </c>
      <c r="Y1" s="12" t="n">
        <f aca="false">SUM(Y5:Y300)</f>
        <v>151</v>
      </c>
      <c r="Z1" s="12" t="n">
        <f aca="false">SUM(Z5:Z300)</f>
        <v>3000</v>
      </c>
      <c r="AA1" s="12" t="n">
        <f aca="false">SUM(AA5:AA300)</f>
        <v>135</v>
      </c>
      <c r="AB1" s="12" t="n">
        <f aca="false">SUM(AB5:AB300)</f>
        <v>212</v>
      </c>
      <c r="AC1" s="12" t="n">
        <f aca="false">SUM(AC5:AC300)</f>
        <v>606.75</v>
      </c>
      <c r="AD1" s="12" t="n">
        <f aca="false">SUM(AD5:AD300)</f>
        <v>360</v>
      </c>
      <c r="AE1" s="12" t="n">
        <f aca="false">SUM(AE5:AE300)</f>
        <v>180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36000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IF([2]Dec!$G$4&gt;0,0,[2]Dec!$G$2)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45992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143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45992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143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45992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143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45992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143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45992</v>
      </c>
      <c r="B9" s="2" t="s">
        <v>142</v>
      </c>
      <c r="E9" s="5" t="s">
        <v>80</v>
      </c>
      <c r="F9" s="46" t="n">
        <v>360</v>
      </c>
      <c r="H9" s="6" t="n">
        <f aca="false">IF((F9&lt;&gt;0),F9-G9," ")</f>
        <v>360</v>
      </c>
      <c r="I9" s="5"/>
      <c r="L9" s="7" t="n">
        <f aca="false">IF(F9&lt;&gt;0,F9-K9," ")</f>
        <v>360</v>
      </c>
      <c r="M9" s="8" t="n">
        <f aca="false">IF((F9-K9)&lt;&gt;0,M$1-A9," ")</f>
        <v>143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n">
        <f aca="false">IF((E9="n"),H9," ")</f>
        <v>360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45992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143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45992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143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45994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141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45994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141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45996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139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45996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139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45996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139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45999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136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46001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134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46001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134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46001</v>
      </c>
      <c r="B20" s="2" t="s">
        <v>95</v>
      </c>
      <c r="E20" s="5" t="s">
        <v>96</v>
      </c>
      <c r="F20" s="46" t="n">
        <v>480</v>
      </c>
      <c r="H20" s="6" t="n">
        <f aca="false">IF((F20&lt;&gt;0),F20-G20," ")</f>
        <v>480</v>
      </c>
      <c r="I20" s="5"/>
      <c r="L20" s="7" t="n">
        <f aca="false">IF(F20&lt;&gt;0,F20-K20," ")</f>
        <v>480</v>
      </c>
      <c r="M20" s="8" t="n">
        <f aca="false">IF((F20-K20)&lt;&gt;0,M$1-A20," ")</f>
        <v>134</v>
      </c>
      <c r="N20" s="5"/>
      <c r="O20" s="17" t="n">
        <f aca="false">IF((E20="s"),H20," ")</f>
        <v>480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46001</v>
      </c>
      <c r="B21" s="2" t="s">
        <v>114</v>
      </c>
      <c r="E21" s="5" t="s">
        <v>115</v>
      </c>
      <c r="F21" s="46" t="n">
        <v>1800</v>
      </c>
      <c r="H21" s="6" t="n">
        <f aca="false">IF((F21&lt;&gt;0),F21-G21," ")</f>
        <v>1800</v>
      </c>
      <c r="I21" s="5"/>
      <c r="L21" s="7" t="n">
        <f aca="false">IF(F21&lt;&gt;0,F21-K21," ")</f>
        <v>1800</v>
      </c>
      <c r="M21" s="8" t="n">
        <f aca="false">IF((F21-K21)&lt;&gt;0,M$1-A21," ")</f>
        <v>134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n">
        <f aca="false">IF((E21="a"),H21," ")</f>
        <v>1800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46003</v>
      </c>
      <c r="B22" s="2" t="s">
        <v>97</v>
      </c>
      <c r="E22" s="5" t="s">
        <v>88</v>
      </c>
      <c r="F22" s="46" t="n">
        <v>18</v>
      </c>
      <c r="H22" s="6" t="n">
        <f aca="false">IF((F22&lt;&gt;0),F22-G22," ")</f>
        <v>18</v>
      </c>
      <c r="I22" s="5"/>
      <c r="L22" s="7" t="n">
        <f aca="false">IF(F22&lt;&gt;0,F22-K22," ")</f>
        <v>18</v>
      </c>
      <c r="M22" s="8" t="n">
        <f aca="false">IF((F22-K22)&lt;&gt;0,M$1-A22," ")</f>
        <v>132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n">
        <f aca="false">IF((E22="v"),H22," ")</f>
        <v>18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46005</v>
      </c>
      <c r="B23" s="2" t="s">
        <v>98</v>
      </c>
      <c r="E23" s="5" t="s">
        <v>85</v>
      </c>
      <c r="F23" s="46" t="n">
        <v>36</v>
      </c>
      <c r="H23" s="6" t="n">
        <f aca="false">IF((F23&lt;&gt;0),F23-G23," ")</f>
        <v>36</v>
      </c>
      <c r="I23" s="5"/>
      <c r="L23" s="7" t="n">
        <f aca="false">IF(F23&lt;&gt;0,F23-K23," ")</f>
        <v>36</v>
      </c>
      <c r="M23" s="8" t="n">
        <f aca="false">IF((F23-K23)&lt;&gt;0,M$1-A23," ")</f>
        <v>130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n">
        <f aca="false">IF((E23="u"),H23," ")</f>
        <v>36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46005</v>
      </c>
      <c r="B24" s="2" t="s">
        <v>99</v>
      </c>
      <c r="E24" s="5" t="s">
        <v>91</v>
      </c>
      <c r="F24" s="46" t="n">
        <v>24</v>
      </c>
      <c r="H24" s="6" t="n">
        <f aca="false">IF((F24&lt;&gt;0),F24-G24," ")</f>
        <v>24</v>
      </c>
      <c r="I24" s="5"/>
      <c r="L24" s="7" t="n">
        <f aca="false">IF(F24&lt;&gt;0,F24-K24," ")</f>
        <v>24</v>
      </c>
      <c r="M24" s="8" t="n">
        <f aca="false">IF((F24-K24)&lt;&gt;0,M$1-A24," ")</f>
        <v>130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24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46005</v>
      </c>
      <c r="B25" s="2" t="s">
        <v>100</v>
      </c>
      <c r="E25" s="5" t="s">
        <v>91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130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n">
        <f aca="false">IF((E25="h"),H25," ")</f>
        <v>12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46006</v>
      </c>
      <c r="B26" s="2" t="s">
        <v>20</v>
      </c>
      <c r="E26" s="5" t="s">
        <v>88</v>
      </c>
      <c r="F26" s="46" t="n">
        <v>150</v>
      </c>
      <c r="H26" s="6" t="n">
        <f aca="false">IF((F26&lt;&gt;0),F26-G26," ")</f>
        <v>150</v>
      </c>
      <c r="I26" s="5"/>
      <c r="L26" s="7" t="n">
        <f aca="false">IF(F26&lt;&gt;0,F26-K26," ")</f>
        <v>150</v>
      </c>
      <c r="M26" s="8" t="n">
        <f aca="false">IF((F26-K26)&lt;&gt;0,M$1-A26," ")</f>
        <v>129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n">
        <f aca="false">IF((E26="v"),H26," ")</f>
        <v>150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46006</v>
      </c>
      <c r="B27" s="2" t="s">
        <v>101</v>
      </c>
      <c r="E27" s="5" t="s">
        <v>75</v>
      </c>
      <c r="F27" s="46" t="n">
        <v>12</v>
      </c>
      <c r="H27" s="6" t="n">
        <f aca="false">IF((F27&lt;&gt;0),F27-G27," ")</f>
        <v>12</v>
      </c>
      <c r="I27" s="5"/>
      <c r="L27" s="7" t="n">
        <f aca="false">IF(F27&lt;&gt;0,F27-K27," ")</f>
        <v>12</v>
      </c>
      <c r="M27" s="8" t="n">
        <f aca="false">IF((F27-K27)&lt;&gt;0,M$1-A27," ")</f>
        <v>129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12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46006</v>
      </c>
      <c r="B28" s="2" t="s">
        <v>143</v>
      </c>
      <c r="E28" s="5" t="s">
        <v>115</v>
      </c>
      <c r="F28" s="46" t="n">
        <v>1200</v>
      </c>
      <c r="H28" s="6" t="n">
        <f aca="false">IF((F28&lt;&gt;0),F28-G28," ")</f>
        <v>1200</v>
      </c>
      <c r="I28" s="5"/>
      <c r="L28" s="7" t="n">
        <f aca="false">IF(F28&lt;&gt;0,F28-K28," ")</f>
        <v>1200</v>
      </c>
      <c r="M28" s="8" t="n">
        <f aca="false">IF((F28-K28)&lt;&gt;0,M$1-A28," ")</f>
        <v>129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n">
        <f aca="false">IF((E28="a"),H28," ")</f>
        <v>1200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46009</v>
      </c>
      <c r="B29" s="2" t="s">
        <v>127</v>
      </c>
      <c r="E29" s="5" t="s">
        <v>91</v>
      </c>
      <c r="F29" s="46" t="n">
        <v>120</v>
      </c>
      <c r="H29" s="6" t="n">
        <f aca="false">IF((F29&lt;&gt;0),F29-G29," ")</f>
        <v>120</v>
      </c>
      <c r="I29" s="5"/>
      <c r="L29" s="7" t="n">
        <f aca="false">IF(F29&lt;&gt;0,F29-K29," ")</f>
        <v>120</v>
      </c>
      <c r="M29" s="8" t="n">
        <f aca="false">IF((F29-K29)&lt;&gt;0,M$1-A29," ")</f>
        <v>126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120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46009</v>
      </c>
      <c r="B30" s="2" t="s">
        <v>102</v>
      </c>
      <c r="E30" s="5" t="s">
        <v>88</v>
      </c>
      <c r="F30" s="46" t="n">
        <v>96</v>
      </c>
      <c r="H30" s="6" t="n">
        <f aca="false">IF((F30&lt;&gt;0),F30-G30," ")</f>
        <v>96</v>
      </c>
      <c r="I30" s="5"/>
      <c r="L30" s="7" t="n">
        <f aca="false">IF(F30&lt;&gt;0,F30-K30," ")</f>
        <v>96</v>
      </c>
      <c r="M30" s="8" t="n">
        <f aca="false">IF((F30-K30)&lt;&gt;0,M$1-A30," ")</f>
        <v>126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n">
        <f aca="false">IF((E30="v"),H30," ")</f>
        <v>96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46011</v>
      </c>
      <c r="B31" s="2" t="s">
        <v>103</v>
      </c>
      <c r="E31" s="5" t="s">
        <v>75</v>
      </c>
      <c r="F31" s="46" t="n">
        <v>60</v>
      </c>
      <c r="H31" s="6" t="n">
        <f aca="false">IF((F31&lt;&gt;0),F31-G31," ")</f>
        <v>60</v>
      </c>
      <c r="I31" s="5"/>
      <c r="L31" s="7" t="n">
        <f aca="false">IF(F31&lt;&gt;0,F31-K31," ")</f>
        <v>60</v>
      </c>
      <c r="M31" s="8" t="n">
        <f aca="false">IF((F31-K31)&lt;&gt;0,M$1-A31," ")</f>
        <v>124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n">
        <f aca="false">IF((E31="g"),H31," ")</f>
        <v>60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46011</v>
      </c>
      <c r="B32" s="2" t="s">
        <v>104</v>
      </c>
      <c r="E32" s="5" t="s">
        <v>105</v>
      </c>
      <c r="F32" s="46" t="n">
        <v>96</v>
      </c>
      <c r="H32" s="6" t="n">
        <f aca="false">IF((F32&lt;&gt;0),F32-G32," ")</f>
        <v>96</v>
      </c>
      <c r="I32" s="5"/>
      <c r="L32" s="7" t="n">
        <f aca="false">IF(F32&lt;&gt;0,F32-K32," ")</f>
        <v>96</v>
      </c>
      <c r="M32" s="8" t="n">
        <f aca="false">IF((F32-K32)&lt;&gt;0,M$1-A32," ")</f>
        <v>124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96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46012</v>
      </c>
      <c r="B33" s="2" t="s">
        <v>106</v>
      </c>
      <c r="E33" s="5" t="s">
        <v>91</v>
      </c>
      <c r="F33" s="46" t="n">
        <v>8</v>
      </c>
      <c r="H33" s="6" t="n">
        <f aca="false">IF((F33&lt;&gt;0),F33-G33," ")</f>
        <v>8</v>
      </c>
      <c r="I33" s="5"/>
      <c r="L33" s="7" t="n">
        <f aca="false">IF(F33&lt;&gt;0,F33-K33," ")</f>
        <v>8</v>
      </c>
      <c r="M33" s="8" t="n">
        <f aca="false">IF((F33-K33)&lt;&gt;0,M$1-A33," ")</f>
        <v>123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8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46013</v>
      </c>
      <c r="B34" s="2" t="s">
        <v>107</v>
      </c>
      <c r="E34" s="5" t="s">
        <v>85</v>
      </c>
      <c r="F34" s="46" t="n">
        <v>18</v>
      </c>
      <c r="H34" s="6" t="n">
        <f aca="false">IF((F34&lt;&gt;0),F34-G34," ")</f>
        <v>18</v>
      </c>
      <c r="I34" s="5"/>
      <c r="L34" s="7" t="n">
        <f aca="false">IF(F34&lt;&gt;0,F34-K34," ")</f>
        <v>18</v>
      </c>
      <c r="M34" s="8" t="n">
        <f aca="false">IF((F34-K34)&lt;&gt;0,M$1-A34," ")</f>
        <v>122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18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46016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119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46016</v>
      </c>
      <c r="B36" s="2" t="s">
        <v>109</v>
      </c>
      <c r="E36" s="5" t="s">
        <v>88</v>
      </c>
      <c r="F36" s="46" t="n">
        <v>42.75</v>
      </c>
      <c r="H36" s="6" t="n">
        <f aca="false">IF((F36&lt;&gt;0),F36-G36," ")</f>
        <v>42.75</v>
      </c>
      <c r="I36" s="5"/>
      <c r="L36" s="7" t="n">
        <f aca="false">IF(F36&lt;&gt;0,F36-K36," ")</f>
        <v>42.75</v>
      </c>
      <c r="M36" s="8" t="n">
        <f aca="false">IF((F36-K36)&lt;&gt;0,M$1-A36," ")</f>
        <v>119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42.75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46016</v>
      </c>
      <c r="B37" s="2" t="s">
        <v>144</v>
      </c>
      <c r="E37" s="5" t="s">
        <v>118</v>
      </c>
      <c r="F37" s="46" t="n">
        <v>36000</v>
      </c>
      <c r="H37" s="6" t="n">
        <f aca="false">IF((F37&lt;&gt;0),F37-G37," ")</f>
        <v>36000</v>
      </c>
      <c r="I37" s="5"/>
      <c r="L37" s="7" t="n">
        <f aca="false">IF(F37&lt;&gt;0,F37-K37," ")</f>
        <v>36000</v>
      </c>
      <c r="M37" s="8" t="n">
        <f aca="false">IF((F37-K37)&lt;&gt;0,M$1-A37," ")</f>
        <v>119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n">
        <f aca="false">IF((E37="fa"),H37," ")</f>
        <v>36000</v>
      </c>
    </row>
    <row r="38" customFormat="false" ht="12" hidden="false" customHeight="false" outlineLevel="0" collapsed="false">
      <c r="A38" s="28" t="n">
        <v>46019</v>
      </c>
      <c r="B38" s="2" t="s">
        <v>20</v>
      </c>
      <c r="E38" s="5" t="s">
        <v>88</v>
      </c>
      <c r="F38" s="46" t="n">
        <v>120</v>
      </c>
      <c r="H38" s="6" t="n">
        <f aca="false">IF((F38&lt;&gt;0),F38-G38," ")</f>
        <v>120</v>
      </c>
      <c r="I38" s="5"/>
      <c r="L38" s="7" t="n">
        <f aca="false">IF(F38&lt;&gt;0,F38-K38," ")</f>
        <v>120</v>
      </c>
      <c r="M38" s="8" t="n">
        <f aca="false">IF((F38-K38)&lt;&gt;0,M$1-A38," ")</f>
        <v>116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n">
        <f aca="false">IF((E38="v"),H38," ")</f>
        <v>120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 t="n">
        <v>46022</v>
      </c>
      <c r="B39" s="2" t="s">
        <v>16</v>
      </c>
      <c r="E39" s="5" t="s">
        <v>110</v>
      </c>
      <c r="F39" s="46" t="n">
        <v>300</v>
      </c>
      <c r="H39" s="6" t="n">
        <f aca="false">IF((F39&lt;&gt;0),F39-G39," ")</f>
        <v>300</v>
      </c>
      <c r="I39" s="5"/>
      <c r="L39" s="7" t="n">
        <f aca="false">IF(F39&lt;&gt;0,F39-K39," ")</f>
        <v>300</v>
      </c>
      <c r="M39" s="8" t="n">
        <f aca="false">IF((F39-K39)&lt;&gt;0,M$1-A39," ")</f>
        <v>113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n">
        <f aca="false">IF((E39="l"),H39," ")</f>
        <v>300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6918</v>
      </c>
      <c r="G1" s="12" t="n">
        <f aca="false">SUM(G5:G300)</f>
        <v>0</v>
      </c>
      <c r="H1" s="12" t="n">
        <f aca="false">SUM(H5:H300)</f>
        <v>6918</v>
      </c>
      <c r="I1" s="13"/>
      <c r="J1" s="14" t="s">
        <v>2</v>
      </c>
      <c r="K1" s="15" t="n">
        <f aca="false">SUM(K5:K300)</f>
        <v>0</v>
      </c>
      <c r="L1" s="15" t="n">
        <f aca="false">SUM(L5:L300)</f>
        <v>6918</v>
      </c>
      <c r="M1" s="16" t="n">
        <f aca="true">TODAY()</f>
        <v>46135</v>
      </c>
      <c r="N1" s="13"/>
      <c r="O1" s="12" t="n">
        <f aca="false">SUM(O5:O300)</f>
        <v>840</v>
      </c>
      <c r="P1" s="12" t="n">
        <f aca="false">SUM(P5:P300)</f>
        <v>3000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240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165</v>
      </c>
      <c r="AB1" s="12" t="n">
        <f aca="false">SUM(AB5:AB300)</f>
        <v>164</v>
      </c>
      <c r="AC1" s="12" t="n">
        <f aca="false">SUM(AC5:AC300)</f>
        <v>645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IF([2]Jan!$G$4&gt;0,0,[2]Jan!$G$2)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46023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112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46023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112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46023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112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46023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112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46023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112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46023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112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46025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110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46025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110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46027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108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46027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108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46028</v>
      </c>
      <c r="B15" s="2" t="s">
        <v>111</v>
      </c>
      <c r="E15" s="5" t="s">
        <v>91</v>
      </c>
      <c r="F15" s="46" t="n">
        <v>72</v>
      </c>
      <c r="H15" s="6" t="n">
        <f aca="false">IF((F15&lt;&gt;0),F15-G15," ")</f>
        <v>72</v>
      </c>
      <c r="I15" s="5"/>
      <c r="L15" s="7" t="n">
        <f aca="false">IF(F15&lt;&gt;0,F15-K15," ")</f>
        <v>72</v>
      </c>
      <c r="M15" s="8" t="n">
        <f aca="false">IF((F15-K15)&lt;&gt;0,M$1-A15," ")</f>
        <v>107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72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46030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105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46032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103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46034</v>
      </c>
      <c r="B18" s="2" t="s">
        <v>97</v>
      </c>
      <c r="E18" s="5" t="s">
        <v>88</v>
      </c>
      <c r="F18" s="46" t="n">
        <v>18</v>
      </c>
      <c r="H18" s="6" t="n">
        <f aca="false">IF((F18&lt;&gt;0),F18-G18," ")</f>
        <v>18</v>
      </c>
      <c r="I18" s="5"/>
      <c r="L18" s="7" t="n">
        <f aca="false">IF(F18&lt;&gt;0,F18-K18," ")</f>
        <v>18</v>
      </c>
      <c r="M18" s="8" t="n">
        <f aca="false">IF((F18-K18)&lt;&gt;0,M$1-A18," ")</f>
        <v>101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n">
        <f aca="false">IF((E18="v"),H18," ")</f>
        <v>18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46036</v>
      </c>
      <c r="B19" s="2" t="s">
        <v>99</v>
      </c>
      <c r="E19" s="5" t="s">
        <v>91</v>
      </c>
      <c r="F19" s="46" t="n">
        <v>24</v>
      </c>
      <c r="H19" s="6" t="n">
        <f aca="false">IF((F19&lt;&gt;0),F19-G19," ")</f>
        <v>24</v>
      </c>
      <c r="I19" s="5"/>
      <c r="L19" s="7" t="n">
        <f aca="false">IF(F19&lt;&gt;0,F19-K19," ")</f>
        <v>24</v>
      </c>
      <c r="M19" s="8" t="n">
        <f aca="false">IF((F19-K19)&lt;&gt;0,M$1-A19," ")</f>
        <v>99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24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46036</v>
      </c>
      <c r="B20" s="2" t="s">
        <v>100</v>
      </c>
      <c r="E20" s="5" t="s">
        <v>91</v>
      </c>
      <c r="F20" s="46" t="n">
        <v>12</v>
      </c>
      <c r="H20" s="6" t="n">
        <f aca="false">IF((F20&lt;&gt;0),F20-G20," ")</f>
        <v>12</v>
      </c>
      <c r="I20" s="5"/>
      <c r="L20" s="7" t="n">
        <f aca="false">IF(F20&lt;&gt;0,F20-K20," ")</f>
        <v>12</v>
      </c>
      <c r="M20" s="8" t="n">
        <f aca="false">IF((F20-K20)&lt;&gt;0,M$1-A20," ")</f>
        <v>99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12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46037</v>
      </c>
      <c r="B21" s="2" t="s">
        <v>20</v>
      </c>
      <c r="E21" s="5" t="s">
        <v>88</v>
      </c>
      <c r="F21" s="46" t="n">
        <v>150</v>
      </c>
      <c r="H21" s="6" t="n">
        <f aca="false">IF((F21&lt;&gt;0),F21-G21," ")</f>
        <v>150</v>
      </c>
      <c r="I21" s="5"/>
      <c r="L21" s="7" t="n">
        <f aca="false">IF(F21&lt;&gt;0,F21-K21," ")</f>
        <v>150</v>
      </c>
      <c r="M21" s="8" t="n">
        <f aca="false">IF((F21-K21)&lt;&gt;0,M$1-A21," ")</f>
        <v>98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150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46037</v>
      </c>
      <c r="B22" s="2" t="s">
        <v>101</v>
      </c>
      <c r="E22" s="5" t="s">
        <v>75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98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12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46037</v>
      </c>
      <c r="B23" s="2" t="s">
        <v>116</v>
      </c>
      <c r="E23" s="5" t="s">
        <v>96</v>
      </c>
      <c r="F23" s="46" t="n">
        <v>540</v>
      </c>
      <c r="H23" s="6" t="n">
        <f aca="false">IF((F23&lt;&gt;0),F23-G23," ")</f>
        <v>540</v>
      </c>
      <c r="I23" s="5"/>
      <c r="L23" s="7" t="n">
        <f aca="false">IF(F23&lt;&gt;0,F23-K23," ")</f>
        <v>540</v>
      </c>
      <c r="M23" s="8" t="n">
        <f aca="false">IF((F23-K23)&lt;&gt;0,M$1-A23," ")</f>
        <v>98</v>
      </c>
      <c r="N23" s="5"/>
      <c r="O23" s="17" t="n">
        <f aca="false">IF((E23="s"),H23," ")</f>
        <v>540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46037</v>
      </c>
      <c r="B24" s="2" t="s">
        <v>125</v>
      </c>
      <c r="E24" s="5" t="s">
        <v>126</v>
      </c>
      <c r="F24" s="46" t="n">
        <v>3000</v>
      </c>
      <c r="H24" s="6" t="n">
        <f aca="false">IF((F24&lt;&gt;0),F24-G24," ")</f>
        <v>3000</v>
      </c>
      <c r="I24" s="5"/>
      <c r="L24" s="7" t="n">
        <f aca="false">IF(F24&lt;&gt;0,F24-K24," ")</f>
        <v>3000</v>
      </c>
      <c r="M24" s="8" t="n">
        <f aca="false">IF((F24-K24)&lt;&gt;0,M$1-A24," ")</f>
        <v>98</v>
      </c>
      <c r="N24" s="5"/>
      <c r="O24" s="17" t="str">
        <f aca="false">IF((E24="s"),H24," ")</f>
        <v> </v>
      </c>
      <c r="P24" s="17" t="n">
        <f aca="false">IF((E24="c"),H24," ")</f>
        <v>3000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46038</v>
      </c>
      <c r="B25" s="2" t="s">
        <v>119</v>
      </c>
      <c r="E25" s="5" t="s">
        <v>75</v>
      </c>
      <c r="F25" s="46" t="n">
        <v>30</v>
      </c>
      <c r="H25" s="6" t="n">
        <f aca="false">IF((F25&lt;&gt;0),F25-G25," ")</f>
        <v>30</v>
      </c>
      <c r="I25" s="5"/>
      <c r="L25" s="7" t="n">
        <f aca="false">IF(F25&lt;&gt;0,F25-K25," ")</f>
        <v>30</v>
      </c>
      <c r="M25" s="8" t="n">
        <f aca="false">IF((F25-K25)&lt;&gt;0,M$1-A25," ")</f>
        <v>97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30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46040</v>
      </c>
      <c r="B26" s="2" t="s">
        <v>102</v>
      </c>
      <c r="E26" s="5" t="s">
        <v>88</v>
      </c>
      <c r="F26" s="46" t="n">
        <v>96</v>
      </c>
      <c r="H26" s="6" t="n">
        <f aca="false">IF((F26&lt;&gt;0),F26-G26," ")</f>
        <v>96</v>
      </c>
      <c r="I26" s="5"/>
      <c r="L26" s="7" t="n">
        <f aca="false">IF(F26&lt;&gt;0,F26-K26," ")</f>
        <v>96</v>
      </c>
      <c r="M26" s="8" t="n">
        <f aca="false">IF((F26-K26)&lt;&gt;0,M$1-A26," ")</f>
        <v>95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n">
        <f aca="false">IF((E26="v"),H26," ")</f>
        <v>96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46042</v>
      </c>
      <c r="B27" s="2" t="s">
        <v>103</v>
      </c>
      <c r="E27" s="5" t="s">
        <v>75</v>
      </c>
      <c r="F27" s="46" t="n">
        <v>60</v>
      </c>
      <c r="H27" s="6" t="n">
        <f aca="false">IF((F27&lt;&gt;0),F27-G27," ")</f>
        <v>60</v>
      </c>
      <c r="I27" s="5"/>
      <c r="L27" s="7" t="n">
        <f aca="false">IF(F27&lt;&gt;0,F27-K27," ")</f>
        <v>60</v>
      </c>
      <c r="M27" s="8" t="n">
        <f aca="false">IF((F27-K27)&lt;&gt;0,M$1-A27," ")</f>
        <v>93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60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46042</v>
      </c>
      <c r="B28" s="2" t="s">
        <v>120</v>
      </c>
      <c r="E28" s="5" t="s">
        <v>121</v>
      </c>
      <c r="F28" s="46" t="n">
        <v>240</v>
      </c>
      <c r="H28" s="6" t="n">
        <f aca="false">IF((F28&lt;&gt;0),F28-G28," ")</f>
        <v>240</v>
      </c>
      <c r="I28" s="5"/>
      <c r="L28" s="7" t="n">
        <f aca="false">IF(F28&lt;&gt;0,F28-K28," ")</f>
        <v>240</v>
      </c>
      <c r="M28" s="8" t="n">
        <f aca="false">IF((F28-K28)&lt;&gt;0,M$1-A28," ")</f>
        <v>93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n">
        <f aca="false">IF((E28="t"),H28," ")</f>
        <v>240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46042</v>
      </c>
      <c r="B29" s="2" t="s">
        <v>122</v>
      </c>
      <c r="E29" s="5" t="s">
        <v>96</v>
      </c>
      <c r="F29" s="46" t="n">
        <v>300</v>
      </c>
      <c r="H29" s="6" t="n">
        <f aca="false">IF((F29&lt;&gt;0),F29-G29," ")</f>
        <v>300</v>
      </c>
      <c r="I29" s="5"/>
      <c r="L29" s="7" t="n">
        <f aca="false">IF(F29&lt;&gt;0,F29-K29," ")</f>
        <v>300</v>
      </c>
      <c r="M29" s="8" t="n">
        <f aca="false">IF((F29-K29)&lt;&gt;0,M$1-A29," ")</f>
        <v>93</v>
      </c>
      <c r="N29" s="5"/>
      <c r="O29" s="17" t="n">
        <f aca="false">IF((E29="s"),H29," ")</f>
        <v>300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46043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92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46044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91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46047</v>
      </c>
      <c r="B32" s="2" t="s">
        <v>108</v>
      </c>
      <c r="E32" s="5" t="s">
        <v>85</v>
      </c>
      <c r="F32" s="46" t="n">
        <v>15</v>
      </c>
      <c r="H32" s="6" t="n">
        <f aca="false">IF((F32&lt;&gt;0),F32-G32," ")</f>
        <v>15</v>
      </c>
      <c r="I32" s="5"/>
      <c r="L32" s="7" t="n">
        <f aca="false">IF(F32&lt;&gt;0,F32-K32," ")</f>
        <v>15</v>
      </c>
      <c r="M32" s="8" t="n">
        <f aca="false">IF((F32-K32)&lt;&gt;0,M$1-A32," ")</f>
        <v>88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46047</v>
      </c>
      <c r="B33" s="2" t="s">
        <v>109</v>
      </c>
      <c r="E33" s="5" t="s">
        <v>88</v>
      </c>
      <c r="F33" s="46" t="n">
        <v>81</v>
      </c>
      <c r="H33" s="6" t="n">
        <f aca="false">IF((F33&lt;&gt;0),F33-G33," ")</f>
        <v>81</v>
      </c>
      <c r="I33" s="5"/>
      <c r="L33" s="7" t="n">
        <f aca="false">IF(F33&lt;&gt;0,F33-K33," ")</f>
        <v>81</v>
      </c>
      <c r="M33" s="8" t="n">
        <f aca="false">IF((F33-K33)&lt;&gt;0,M$1-A33," ")</f>
        <v>88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81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46050</v>
      </c>
      <c r="B34" s="2" t="s">
        <v>20</v>
      </c>
      <c r="E34" s="5" t="s">
        <v>88</v>
      </c>
      <c r="F34" s="46" t="n">
        <v>120</v>
      </c>
      <c r="H34" s="6" t="n">
        <f aca="false">IF((F34&lt;&gt;0),F34-G34," ")</f>
        <v>120</v>
      </c>
      <c r="I34" s="5"/>
      <c r="L34" s="7" t="n">
        <f aca="false">IF(F34&lt;&gt;0,F34-K34," ")</f>
        <v>120</v>
      </c>
      <c r="M34" s="8" t="n">
        <f aca="false">IF((F34-K34)&lt;&gt;0,M$1-A34," ")</f>
        <v>85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120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46052</v>
      </c>
      <c r="B35" s="2" t="s">
        <v>16</v>
      </c>
      <c r="E35" s="5" t="s">
        <v>110</v>
      </c>
      <c r="F35" s="46" t="n">
        <v>300</v>
      </c>
      <c r="H35" s="6" t="n">
        <f aca="false">IF((F35&lt;&gt;0),F35-G35," ")</f>
        <v>300</v>
      </c>
      <c r="I35" s="5"/>
      <c r="L35" s="7" t="n">
        <f aca="false">IF(F35&lt;&gt;0,F35-K35," ")</f>
        <v>300</v>
      </c>
      <c r="M35" s="8" t="n">
        <f aca="false">IF((F35-K35)&lt;&gt;0,M$1-A35," ")</f>
        <v>83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300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3984.5</v>
      </c>
      <c r="G1" s="12" t="n">
        <f aca="false">SUM(G5:G300)</f>
        <v>0</v>
      </c>
      <c r="H1" s="12" t="n">
        <f aca="false">SUM(H5:H300)</f>
        <v>3984.5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3984.5</v>
      </c>
      <c r="M1" s="16" t="n">
        <f aca="true">TODAY()</f>
        <v>46135</v>
      </c>
      <c r="N1" s="13"/>
      <c r="O1" s="12" t="n">
        <f aca="false">SUM(O5:O300)</f>
        <v>480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420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139</v>
      </c>
      <c r="Z1" s="12" t="n">
        <f aca="false">SUM(Z5:Z300)</f>
        <v>0</v>
      </c>
      <c r="AA1" s="12" t="n">
        <f aca="false">SUM(AA5:AA300)</f>
        <v>255</v>
      </c>
      <c r="AB1" s="12" t="n">
        <f aca="false">SUM(AB5:AB300)</f>
        <v>92</v>
      </c>
      <c r="AC1" s="12" t="n">
        <f aca="false">SUM(AC5:AC300)</f>
        <v>613.5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0</v>
      </c>
      <c r="AG1" s="12" t="n">
        <f aca="false">SUM(AG5:AG300)</f>
        <v>500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IF([2]Feb!$G$4&gt;0,0,[2]Feb!$G$2)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46054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81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46054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81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46054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81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46054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81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46054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81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46054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81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46056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79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46056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79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46058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77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46058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77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46058</v>
      </c>
      <c r="B15" s="2" t="s">
        <v>89</v>
      </c>
      <c r="E15" s="5" t="s">
        <v>78</v>
      </c>
      <c r="F15" s="46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77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46061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74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46063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72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46063</v>
      </c>
      <c r="B18" s="2" t="s">
        <v>124</v>
      </c>
      <c r="E18" s="5" t="s">
        <v>75</v>
      </c>
      <c r="F18" s="46" t="n">
        <v>120</v>
      </c>
      <c r="H18" s="6" t="n">
        <f aca="false">IF((F18&lt;&gt;0),F18-G18," ")</f>
        <v>120</v>
      </c>
      <c r="I18" s="5"/>
      <c r="L18" s="7" t="n">
        <f aca="false">IF(F18&lt;&gt;0,F18-K18," ")</f>
        <v>120</v>
      </c>
      <c r="M18" s="8" t="n">
        <f aca="false">IF((F18-K18)&lt;&gt;0,M$1-A18," ")</f>
        <v>72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120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46065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70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46067</v>
      </c>
      <c r="B20" s="2" t="s">
        <v>98</v>
      </c>
      <c r="E20" s="5" t="s">
        <v>85</v>
      </c>
      <c r="F20" s="46" t="n">
        <v>24</v>
      </c>
      <c r="H20" s="6" t="n">
        <f aca="false">IF((F20&lt;&gt;0),F20-G20," ")</f>
        <v>24</v>
      </c>
      <c r="I20" s="5"/>
      <c r="L20" s="7" t="n">
        <f aca="false">IF(F20&lt;&gt;0,F20-K20," ")</f>
        <v>24</v>
      </c>
      <c r="M20" s="8" t="n">
        <f aca="false">IF((F20-K20)&lt;&gt;0,M$1-A20," ")</f>
        <v>68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24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46067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68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46067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68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46068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67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46068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67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46068</v>
      </c>
      <c r="B25" s="2" t="s">
        <v>145</v>
      </c>
      <c r="E25" s="5" t="s">
        <v>146</v>
      </c>
      <c r="F25" s="46" t="n">
        <v>500</v>
      </c>
      <c r="H25" s="6" t="n">
        <f aca="false">IF((F25&lt;&gt;0),F25-G25," ")</f>
        <v>500</v>
      </c>
      <c r="I25" s="5"/>
      <c r="L25" s="7" t="n">
        <f aca="false">IF(F25&lt;&gt;0,F25-K25," ")</f>
        <v>500</v>
      </c>
      <c r="M25" s="8" t="n">
        <f aca="false">IF((F25-K25)&lt;&gt;0,M$1-A25," ")</f>
        <v>67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n">
        <f aca="false">IF((E25="y"),H25," ")</f>
        <v>500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46071</v>
      </c>
      <c r="B26" s="2" t="s">
        <v>128</v>
      </c>
      <c r="E26" s="5" t="s">
        <v>96</v>
      </c>
      <c r="F26" s="46" t="n">
        <v>480</v>
      </c>
      <c r="H26" s="6" t="n">
        <f aca="false">IF((F26&lt;&gt;0),F26-G26," ")</f>
        <v>480</v>
      </c>
      <c r="I26" s="5"/>
      <c r="L26" s="7" t="n">
        <f aca="false">IF(F26&lt;&gt;0,F26-K26," ")</f>
        <v>480</v>
      </c>
      <c r="M26" s="8" t="n">
        <f aca="false">IF((F26-K26)&lt;&gt;0,M$1-A26," ")</f>
        <v>64</v>
      </c>
      <c r="N26" s="5"/>
      <c r="O26" s="17" t="n">
        <f aca="false">IF((E26="s"),H26," ")</f>
        <v>480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46071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64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46073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62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46074</v>
      </c>
      <c r="B29" s="2" t="s">
        <v>106</v>
      </c>
      <c r="E29" s="5" t="s">
        <v>91</v>
      </c>
      <c r="F29" s="46" t="n">
        <v>8</v>
      </c>
      <c r="H29" s="6" t="n">
        <f aca="false">IF((F29&lt;&gt;0),F29-G29," ")</f>
        <v>8</v>
      </c>
      <c r="I29" s="5"/>
      <c r="L29" s="7" t="n">
        <f aca="false">IF(F29&lt;&gt;0,F29-K29," ")</f>
        <v>8</v>
      </c>
      <c r="M29" s="8" t="n">
        <f aca="false">IF((F29-K29)&lt;&gt;0,M$1-A29," ")</f>
        <v>61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8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46075</v>
      </c>
      <c r="B30" s="2" t="s">
        <v>107</v>
      </c>
      <c r="E30" s="5" t="s">
        <v>85</v>
      </c>
      <c r="F30" s="46" t="n">
        <v>18</v>
      </c>
      <c r="H30" s="6" t="n">
        <f aca="false">IF((F30&lt;&gt;0),F30-G30," ")</f>
        <v>18</v>
      </c>
      <c r="I30" s="5"/>
      <c r="L30" s="7" t="n">
        <f aca="false">IF(F30&lt;&gt;0,F30-K30," ")</f>
        <v>18</v>
      </c>
      <c r="M30" s="8" t="n">
        <f aca="false">IF((F30-K30)&lt;&gt;0,M$1-A30," ")</f>
        <v>60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n">
        <f aca="false">IF((E30="u"),H30," ")</f>
        <v>18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46078</v>
      </c>
      <c r="B31" s="2" t="s">
        <v>129</v>
      </c>
      <c r="E31" s="5" t="s">
        <v>130</v>
      </c>
      <c r="F31" s="46" t="n">
        <v>420</v>
      </c>
      <c r="H31" s="6" t="n">
        <f aca="false">IF((F31&lt;&gt;0),F31-G31," ")</f>
        <v>420</v>
      </c>
      <c r="I31" s="5"/>
      <c r="L31" s="7" t="n">
        <f aca="false">IF(F31&lt;&gt;0,F31-K31," ")</f>
        <v>420</v>
      </c>
      <c r="M31" s="8" t="n">
        <f aca="false">IF((F31-K31)&lt;&gt;0,M$1-A31," ")</f>
        <v>57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n">
        <f aca="false">IF((E31="p"),H31," ")</f>
        <v>420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46078</v>
      </c>
      <c r="B32" s="2" t="s">
        <v>108</v>
      </c>
      <c r="E32" s="5" t="s">
        <v>85</v>
      </c>
      <c r="F32" s="46" t="n">
        <v>15</v>
      </c>
      <c r="H32" s="6" t="n">
        <f aca="false">IF((F32&lt;&gt;0),F32-G32," ")</f>
        <v>15</v>
      </c>
      <c r="I32" s="5"/>
      <c r="L32" s="7" t="n">
        <f aca="false">IF(F32&lt;&gt;0,F32-K32," ")</f>
        <v>15</v>
      </c>
      <c r="M32" s="8" t="n">
        <f aca="false">IF((F32-K32)&lt;&gt;0,M$1-A32," ")</f>
        <v>57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46078</v>
      </c>
      <c r="B33" s="2" t="s">
        <v>109</v>
      </c>
      <c r="E33" s="5" t="s">
        <v>88</v>
      </c>
      <c r="F33" s="46" t="n">
        <v>49.5</v>
      </c>
      <c r="H33" s="6" t="n">
        <f aca="false">IF((F33&lt;&gt;0),F33-G33," ")</f>
        <v>49.5</v>
      </c>
      <c r="I33" s="5"/>
      <c r="L33" s="7" t="n">
        <f aca="false">IF(F33&lt;&gt;0,F33-K33," ")</f>
        <v>49.5</v>
      </c>
      <c r="M33" s="8" t="n">
        <f aca="false">IF((F33-K33)&lt;&gt;0,M$1-A33," ")</f>
        <v>57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49.5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46081</v>
      </c>
      <c r="B34" s="2" t="s">
        <v>20</v>
      </c>
      <c r="E34" s="5" t="s">
        <v>88</v>
      </c>
      <c r="F34" s="46" t="n">
        <v>120</v>
      </c>
      <c r="H34" s="6" t="n">
        <f aca="false">IF((F34&lt;&gt;0),F34-G34," ")</f>
        <v>120</v>
      </c>
      <c r="I34" s="5"/>
      <c r="L34" s="7" t="n">
        <f aca="false">IF(F34&lt;&gt;0,F34-K34," ")</f>
        <v>120</v>
      </c>
      <c r="M34" s="8" t="n">
        <f aca="false">IF((F34-K34)&lt;&gt;0,M$1-A34," ")</f>
        <v>54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120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/>
      <c r="E35" s="2"/>
      <c r="F35" s="46"/>
      <c r="H35" s="6" t="str">
        <f aca="false">IF((F35&lt;&gt;0),F35-G35," ")</f>
        <v> </v>
      </c>
      <c r="I35" s="5"/>
      <c r="L35" s="7" t="str">
        <f aca="false">IF(F35&lt;&gt;0,F35-K35," ")</f>
        <v> </v>
      </c>
      <c r="M35" s="8" t="str">
        <f aca="false">IF((F35-K35)&lt;&gt;0,M$1-A35," ")</f>
        <v> 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99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9978.25</v>
      </c>
      <c r="G1" s="12" t="n">
        <f aca="false">SUM(G5:G300)</f>
        <v>0</v>
      </c>
      <c r="H1" s="12" t="n">
        <f aca="false">SUM(H5:H300)</f>
        <v>9978.25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9978.25</v>
      </c>
      <c r="M1" s="16" t="n">
        <f aca="true">TODAY()</f>
        <v>46135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5000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180</v>
      </c>
      <c r="W1" s="12" t="n">
        <f aca="false">SUM(W5:W300)</f>
        <v>180</v>
      </c>
      <c r="X1" s="12" t="n">
        <f aca="false">SUM(X5:X300)</f>
        <v>144</v>
      </c>
      <c r="Y1" s="12" t="n">
        <f aca="false">SUM(Y5:Y300)</f>
        <v>115</v>
      </c>
      <c r="Z1" s="12" t="n">
        <f aca="false">SUM(Z5:Z300)</f>
        <v>480</v>
      </c>
      <c r="AA1" s="12" t="n">
        <f aca="false">SUM(AA5:AA300)</f>
        <v>153</v>
      </c>
      <c r="AB1" s="12" t="n">
        <f aca="false">SUM(AB5:AB300)</f>
        <v>92</v>
      </c>
      <c r="AC1" s="12" t="n">
        <f aca="false">SUM(AC5:AC300)</f>
        <v>638.25</v>
      </c>
      <c r="AD1" s="12" t="n">
        <f aca="false">SUM(AD5:AD300)</f>
        <v>0</v>
      </c>
      <c r="AE1" s="12" t="n">
        <f aca="false">SUM(AE5:AE300)</f>
        <v>180</v>
      </c>
      <c r="AF1" s="12" t="n">
        <f aca="false">SUM(AF5:AF300)</f>
        <v>767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IF([2]Mar!$G$4&gt;0,0,[2]Mar!$G$2)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46084</v>
      </c>
      <c r="B5" s="5" t="s">
        <v>16</v>
      </c>
      <c r="E5" s="5" t="s">
        <v>110</v>
      </c>
      <c r="F5" s="46" t="n">
        <v>300</v>
      </c>
      <c r="H5" s="6" t="n">
        <f aca="false">IF((F5&lt;&gt;0),F5-G5," ")</f>
        <v>300</v>
      </c>
      <c r="J5" s="6"/>
      <c r="K5" s="6"/>
      <c r="L5" s="7" t="n">
        <f aca="false">IF(F5&lt;&gt;0,F5-K5," ")</f>
        <v>300</v>
      </c>
      <c r="M5" s="8" t="n">
        <f aca="false">IF((F5-K5)&lt;&gt;0,M$1-A5," ")</f>
        <v>51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n">
        <f aca="false">IF((E5="l"),H5," ")</f>
        <v>300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46084</v>
      </c>
      <c r="B6" s="2" t="s">
        <v>147</v>
      </c>
      <c r="E6" s="5" t="s">
        <v>148</v>
      </c>
      <c r="F6" s="46" t="n">
        <v>5000</v>
      </c>
      <c r="H6" s="6" t="n">
        <f aca="false">IF((F6&lt;&gt;0),F6-G6," ")</f>
        <v>5000</v>
      </c>
      <c r="I6" s="5"/>
      <c r="L6" s="7" t="n">
        <f aca="false">IF(F6&lt;&gt;0,F6-K6," ")</f>
        <v>5000</v>
      </c>
      <c r="M6" s="8" t="n">
        <f aca="false">IF((F6-K6)&lt;&gt;0,M$1-A6," ")</f>
        <v>51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n">
        <f aca="false">IF((E6="d"),H6," ")</f>
        <v>5000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46084</v>
      </c>
      <c r="B7" s="2" t="s">
        <v>131</v>
      </c>
      <c r="E7" s="5" t="s">
        <v>110</v>
      </c>
      <c r="F7" s="46" t="n">
        <v>167</v>
      </c>
      <c r="H7" s="6" t="n">
        <f aca="false">IF((F7&lt;&gt;0),F7-G7," ")</f>
        <v>167</v>
      </c>
      <c r="I7" s="5"/>
      <c r="L7" s="7" t="n">
        <f aca="false">IF(F7&lt;&gt;0,F7-K7," ")</f>
        <v>167</v>
      </c>
      <c r="M7" s="8" t="n">
        <f aca="false">IF((F7-K7)&lt;&gt;0,M$1-A7," ")</f>
        <v>51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str">
        <f aca="false">IF((E7="g"),H7," ")</f>
        <v> 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n">
        <f aca="false">IF((E7="l"),H7," ")</f>
        <v>167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46082</v>
      </c>
      <c r="B8" s="2" t="s">
        <v>14</v>
      </c>
      <c r="E8" s="5" t="s">
        <v>73</v>
      </c>
      <c r="F8" s="46" t="n">
        <v>1200</v>
      </c>
      <c r="H8" s="6" t="n">
        <f aca="false">IF((F8&lt;&gt;0),F8-G8," ")</f>
        <v>1200</v>
      </c>
      <c r="I8" s="5"/>
      <c r="L8" s="7" t="n">
        <f aca="false">IF(F8&lt;&gt;0,F8-K8," ")</f>
        <v>1200</v>
      </c>
      <c r="M8" s="8" t="n">
        <f aca="false">IF((F8-K8)&lt;&gt;0,M$1-A8," ")</f>
        <v>53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n">
        <f aca="false">IF((E8="r"),H8," ")</f>
        <v>1200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46082</v>
      </c>
      <c r="B9" s="2" t="s">
        <v>74</v>
      </c>
      <c r="E9" s="5" t="s">
        <v>75</v>
      </c>
      <c r="F9" s="46" t="n">
        <v>30</v>
      </c>
      <c r="H9" s="6" t="n">
        <f aca="false">IF((F9&lt;&gt;0),F9-G9," ")</f>
        <v>30</v>
      </c>
      <c r="I9" s="5"/>
      <c r="L9" s="7" t="n">
        <f aca="false">IF(F9&lt;&gt;0,F9-K9," ")</f>
        <v>30</v>
      </c>
      <c r="M9" s="8" t="n">
        <f aca="false">IF((F9-K9)&lt;&gt;0,M$1-A9," ")</f>
        <v>53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n">
        <f aca="false">IF((E9="g"),H9," ")</f>
        <v>30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46082</v>
      </c>
      <c r="B10" s="2" t="s">
        <v>76</v>
      </c>
      <c r="E10" s="5" t="s">
        <v>75</v>
      </c>
      <c r="F10" s="46" t="n">
        <v>15</v>
      </c>
      <c r="H10" s="6" t="n">
        <f aca="false">IF((F10&lt;&gt;0),F10-G10," ")</f>
        <v>15</v>
      </c>
      <c r="I10" s="5"/>
      <c r="L10" s="7" t="n">
        <f aca="false">IF(F10&lt;&gt;0,F10-K10," ")</f>
        <v>15</v>
      </c>
      <c r="M10" s="8" t="n">
        <f aca="false">IF((F10-K10)&lt;&gt;0,M$1-A10," ")</f>
        <v>53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46082</v>
      </c>
      <c r="B11" s="2" t="s">
        <v>77</v>
      </c>
      <c r="E11" s="5" t="s">
        <v>78</v>
      </c>
      <c r="F11" s="46" t="n">
        <v>45</v>
      </c>
      <c r="H11" s="6" t="n">
        <f aca="false">IF((F11&lt;&gt;0),F11-G11," ")</f>
        <v>45</v>
      </c>
      <c r="I11" s="5"/>
      <c r="L11" s="7" t="n">
        <f aca="false">IF(F11&lt;&gt;0,F11-K11," ")</f>
        <v>45</v>
      </c>
      <c r="M11" s="8" t="n">
        <f aca="false">IF((F11-K11)&lt;&gt;0,M$1-A11," ")</f>
        <v>53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45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46082</v>
      </c>
      <c r="B12" s="2" t="s">
        <v>81</v>
      </c>
      <c r="E12" s="5" t="s">
        <v>78</v>
      </c>
      <c r="F12" s="46" t="n">
        <v>24</v>
      </c>
      <c r="H12" s="6" t="n">
        <f aca="false">IF((F12&lt;&gt;0),F12-G12," ")</f>
        <v>24</v>
      </c>
      <c r="I12" s="5"/>
      <c r="L12" s="7" t="n">
        <f aca="false">IF(F12&lt;&gt;0,F12-K12," ")</f>
        <v>24</v>
      </c>
      <c r="M12" s="8" t="n">
        <f aca="false">IF((F12-K12)&lt;&gt;0,M$1-A12," ")</f>
        <v>53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24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46082</v>
      </c>
      <c r="B13" s="2" t="s">
        <v>82</v>
      </c>
      <c r="E13" s="5" t="s">
        <v>75</v>
      </c>
      <c r="F13" s="46" t="n">
        <v>18</v>
      </c>
      <c r="H13" s="6" t="n">
        <f aca="false">IF((F13&lt;&gt;0),F13-G13," ")</f>
        <v>18</v>
      </c>
      <c r="I13" s="5"/>
      <c r="L13" s="7" t="n">
        <f aca="false">IF(F13&lt;&gt;0,F13-K13," ")</f>
        <v>18</v>
      </c>
      <c r="M13" s="8" t="n">
        <f aca="false">IF((F13-K13)&lt;&gt;0,M$1-A13," ")</f>
        <v>53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str">
        <f aca="false">IF((E13="u"),H13," ")</f>
        <v> </v>
      </c>
      <c r="Z13" s="17" t="str">
        <f aca="false">IF((E13="a"),H13," ")</f>
        <v> </v>
      </c>
      <c r="AA13" s="17" t="n">
        <f aca="false">IF((E13="g"),H13," ")</f>
        <v>18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46084</v>
      </c>
      <c r="B14" s="2" t="s">
        <v>83</v>
      </c>
      <c r="E14" s="5" t="s">
        <v>78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51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n">
        <f aca="false">IF((E14="o"),H14," ")</f>
        <v>180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46084</v>
      </c>
      <c r="B15" s="2" t="s">
        <v>84</v>
      </c>
      <c r="E15" s="5" t="s">
        <v>85</v>
      </c>
      <c r="F15" s="46" t="n">
        <v>22</v>
      </c>
      <c r="H15" s="6" t="n">
        <f aca="false">IF((F15&lt;&gt;0),F15-G15," ")</f>
        <v>22</v>
      </c>
      <c r="I15" s="5"/>
      <c r="L15" s="7" t="n">
        <f aca="false">IF(F15&lt;&gt;0,F15-K15," ")</f>
        <v>22</v>
      </c>
      <c r="M15" s="8" t="n">
        <f aca="false">IF((F15-K15)&lt;&gt;0,M$1-A15," ")</f>
        <v>51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n">
        <f aca="false">IF((E15="u"),H15," ")</f>
        <v>22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46086</v>
      </c>
      <c r="B16" s="2" t="s">
        <v>86</v>
      </c>
      <c r="E16" s="5" t="s">
        <v>85</v>
      </c>
      <c r="F16" s="46" t="n">
        <v>24</v>
      </c>
      <c r="H16" s="6" t="n">
        <f aca="false">IF((F16&lt;&gt;0),F16-G16," ")</f>
        <v>24</v>
      </c>
      <c r="I16" s="5"/>
      <c r="L16" s="7" t="n">
        <f aca="false">IF(F16&lt;&gt;0,F16-K16," ")</f>
        <v>24</v>
      </c>
      <c r="M16" s="8" t="n">
        <f aca="false">IF((F16-K16)&lt;&gt;0,M$1-A16," ")</f>
        <v>49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n">
        <f aca="false">IF((E16="u"),H16," ")</f>
        <v>24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46086</v>
      </c>
      <c r="B17" s="2" t="s">
        <v>134</v>
      </c>
      <c r="E17" s="5" t="s">
        <v>115</v>
      </c>
      <c r="F17" s="46" t="n">
        <v>480</v>
      </c>
      <c r="H17" s="6" t="n">
        <f aca="false">IF((F17&lt;&gt;0),F17-G17," ")</f>
        <v>480</v>
      </c>
      <c r="I17" s="5"/>
      <c r="L17" s="7" t="n">
        <f aca="false">IF(F17&lt;&gt;0,F17-K17," ")</f>
        <v>480</v>
      </c>
      <c r="M17" s="8" t="n">
        <f aca="false">IF((F17-K17)&lt;&gt;0,M$1-A17," ")</f>
        <v>49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n">
        <f aca="false">IF((E17="a"),H17," ")</f>
        <v>480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46086</v>
      </c>
      <c r="B18" s="2" t="s">
        <v>87</v>
      </c>
      <c r="E18" s="5" t="s">
        <v>88</v>
      </c>
      <c r="F18" s="46" t="n">
        <v>180</v>
      </c>
      <c r="H18" s="6" t="n">
        <f aca="false">IF((F18&lt;&gt;0),F18-G18," ")</f>
        <v>180</v>
      </c>
      <c r="I18" s="5"/>
      <c r="L18" s="7" t="n">
        <f aca="false">IF(F18&lt;&gt;0,F18-K18," ")</f>
        <v>180</v>
      </c>
      <c r="M18" s="8" t="n">
        <f aca="false">IF((F18-K18)&lt;&gt;0,M$1-A18," ")</f>
        <v>49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n">
        <f aca="false">IF((E18="v"),H18," ")</f>
        <v>180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46089</v>
      </c>
      <c r="B19" s="2" t="s">
        <v>90</v>
      </c>
      <c r="E19" s="5" t="s">
        <v>91</v>
      </c>
      <c r="F19" s="46" t="n">
        <v>48</v>
      </c>
      <c r="H19" s="6" t="n">
        <f aca="false">IF((F19&lt;&gt;0),F19-G19," ")</f>
        <v>48</v>
      </c>
      <c r="I19" s="5"/>
      <c r="L19" s="7" t="n">
        <f aca="false">IF(F19&lt;&gt;0,F19-K19," ")</f>
        <v>48</v>
      </c>
      <c r="M19" s="8" t="n">
        <f aca="false">IF((F19-K19)&lt;&gt;0,M$1-A19," ")</f>
        <v>46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48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46089</v>
      </c>
      <c r="B20" s="2" t="s">
        <v>112</v>
      </c>
      <c r="E20" s="5" t="s">
        <v>113</v>
      </c>
      <c r="F20" s="46" t="n">
        <v>180</v>
      </c>
      <c r="H20" s="6" t="n">
        <f aca="false">IF((F20&lt;&gt;0),F20-G20," ")</f>
        <v>180</v>
      </c>
      <c r="I20" s="5"/>
      <c r="L20" s="7" t="n">
        <f aca="false">IF(F20&lt;&gt;0,F20-K20," ")</f>
        <v>180</v>
      </c>
      <c r="M20" s="8" t="n">
        <f aca="false">IF((F20-K20)&lt;&gt;0,M$1-A20," ")</f>
        <v>46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n">
        <f aca="false">IF((E20="q"),H20," ")</f>
        <v>180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46091</v>
      </c>
      <c r="B21" s="2" t="s">
        <v>92</v>
      </c>
      <c r="E21" s="5" t="s">
        <v>85</v>
      </c>
      <c r="F21" s="46" t="n">
        <v>36</v>
      </c>
      <c r="H21" s="6" t="n">
        <f aca="false">IF((F21&lt;&gt;0),F21-G21," ")</f>
        <v>36</v>
      </c>
      <c r="I21" s="5"/>
      <c r="L21" s="7" t="n">
        <f aca="false">IF(F21&lt;&gt;0,F21-K21," ")</f>
        <v>36</v>
      </c>
      <c r="M21" s="8" t="n">
        <f aca="false">IF((F21-K21)&lt;&gt;0,M$1-A21," ")</f>
        <v>44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36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46091</v>
      </c>
      <c r="B22" s="2" t="s">
        <v>93</v>
      </c>
      <c r="E22" s="5" t="s">
        <v>94</v>
      </c>
      <c r="F22" s="46" t="n">
        <v>180</v>
      </c>
      <c r="H22" s="6" t="n">
        <f aca="false">IF((F22&lt;&gt;0),F22-G22," ")</f>
        <v>180</v>
      </c>
      <c r="I22" s="5"/>
      <c r="L22" s="7" t="n">
        <f aca="false">IF(F22&lt;&gt;0,F22-K22," ")</f>
        <v>180</v>
      </c>
      <c r="M22" s="8" t="n">
        <f aca="false">IF((F22-K22)&lt;&gt;0,M$1-A22," ")</f>
        <v>44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n">
        <f aca="false">IF((E22="f"),H22," ")</f>
        <v>180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46091</v>
      </c>
      <c r="B23" s="2" t="s">
        <v>95</v>
      </c>
      <c r="E23" s="5" t="s">
        <v>96</v>
      </c>
      <c r="F23" s="46" t="n">
        <v>600</v>
      </c>
      <c r="H23" s="6" t="n">
        <f aca="false">IF((F23&lt;&gt;0),F23-G23," ")</f>
        <v>600</v>
      </c>
      <c r="I23" s="5"/>
      <c r="L23" s="7" t="n">
        <f aca="false">IF(F23&lt;&gt;0,F23-K23," ")</f>
        <v>600</v>
      </c>
      <c r="M23" s="8" t="n">
        <f aca="false">IF((F23-K23)&lt;&gt;0,M$1-A23," ")</f>
        <v>44</v>
      </c>
      <c r="N23" s="5"/>
      <c r="O23" s="17" t="n">
        <f aca="false">IF((E23="s"),H23," ")</f>
        <v>600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46093</v>
      </c>
      <c r="B24" s="2" t="s">
        <v>97</v>
      </c>
      <c r="E24" s="5" t="s">
        <v>88</v>
      </c>
      <c r="F24" s="46" t="n">
        <v>18</v>
      </c>
      <c r="H24" s="6" t="n">
        <f aca="false">IF((F24&lt;&gt;0),F24-G24," ")</f>
        <v>18</v>
      </c>
      <c r="I24" s="5"/>
      <c r="L24" s="7" t="n">
        <f aca="false">IF(F24&lt;&gt;0,F24-K24," ")</f>
        <v>18</v>
      </c>
      <c r="M24" s="8" t="n">
        <f aca="false">IF((F24-K24)&lt;&gt;0,M$1-A24," ")</f>
        <v>42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n">
        <f aca="false">IF((E24="v"),H24," ")</f>
        <v>18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46095</v>
      </c>
      <c r="B25" s="2" t="s">
        <v>99</v>
      </c>
      <c r="E25" s="5" t="s">
        <v>91</v>
      </c>
      <c r="F25" s="46" t="n">
        <v>24</v>
      </c>
      <c r="H25" s="6" t="n">
        <f aca="false">IF((F25&lt;&gt;0),F25-G25," ")</f>
        <v>24</v>
      </c>
      <c r="I25" s="5"/>
      <c r="L25" s="7" t="n">
        <f aca="false">IF(F25&lt;&gt;0,F25-K25," ")</f>
        <v>24</v>
      </c>
      <c r="M25" s="8" t="n">
        <f aca="false">IF((F25-K25)&lt;&gt;0,M$1-A25," ")</f>
        <v>40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n">
        <f aca="false">IF((E25="h"),H25," ")</f>
        <v>24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46095</v>
      </c>
      <c r="B26" s="2" t="s">
        <v>100</v>
      </c>
      <c r="E26" s="5" t="s">
        <v>91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40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n">
        <f aca="false">IF((E26="h"),H26," ")</f>
        <v>12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46096</v>
      </c>
      <c r="B27" s="2" t="s">
        <v>20</v>
      </c>
      <c r="E27" s="5" t="s">
        <v>88</v>
      </c>
      <c r="F27" s="46" t="n">
        <v>150</v>
      </c>
      <c r="H27" s="6" t="n">
        <f aca="false">IF((F27&lt;&gt;0),F27-G27," ")</f>
        <v>150</v>
      </c>
      <c r="I27" s="5"/>
      <c r="L27" s="7" t="n">
        <f aca="false">IF(F27&lt;&gt;0,F27-K27," ")</f>
        <v>150</v>
      </c>
      <c r="M27" s="8" t="n">
        <f aca="false">IF((F27-K27)&lt;&gt;0,M$1-A27," ")</f>
        <v>39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150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46096</v>
      </c>
      <c r="B28" s="2" t="s">
        <v>101</v>
      </c>
      <c r="E28" s="5" t="s">
        <v>75</v>
      </c>
      <c r="F28" s="46" t="n">
        <v>12</v>
      </c>
      <c r="H28" s="6" t="n">
        <f aca="false">IF((F28&lt;&gt;0),F28-G28," ")</f>
        <v>12</v>
      </c>
      <c r="I28" s="5"/>
      <c r="L28" s="7" t="n">
        <f aca="false">IF(F28&lt;&gt;0,F28-K28," ")</f>
        <v>12</v>
      </c>
      <c r="M28" s="8" t="n">
        <f aca="false">IF((F28-K28)&lt;&gt;0,M$1-A28," ")</f>
        <v>39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12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46097</v>
      </c>
      <c r="B29" s="2" t="s">
        <v>119</v>
      </c>
      <c r="E29" s="5" t="s">
        <v>75</v>
      </c>
      <c r="F29" s="46" t="n">
        <v>18</v>
      </c>
      <c r="H29" s="6" t="n">
        <f aca="false">IF((F29&lt;&gt;0),F29-G29," ")</f>
        <v>18</v>
      </c>
      <c r="I29" s="5"/>
      <c r="L29" s="7" t="n">
        <f aca="false">IF(F29&lt;&gt;0,F29-K29," ")</f>
        <v>18</v>
      </c>
      <c r="M29" s="8" t="n">
        <f aca="false">IF((F29-K29)&lt;&gt;0,M$1-A29," ")</f>
        <v>38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18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46099</v>
      </c>
      <c r="B30" s="2" t="s">
        <v>102</v>
      </c>
      <c r="E30" s="5" t="s">
        <v>88</v>
      </c>
      <c r="F30" s="46" t="n">
        <v>96</v>
      </c>
      <c r="H30" s="6" t="n">
        <f aca="false">IF((F30&lt;&gt;0),F30-G30," ")</f>
        <v>96</v>
      </c>
      <c r="I30" s="5"/>
      <c r="L30" s="7" t="n">
        <f aca="false">IF(F30&lt;&gt;0,F30-K30," ")</f>
        <v>96</v>
      </c>
      <c r="M30" s="8" t="n">
        <f aca="false">IF((F30-K30)&lt;&gt;0,M$1-A30," ")</f>
        <v>36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n">
        <f aca="false">IF((E30="v"),H30," ")</f>
        <v>96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46101</v>
      </c>
      <c r="B31" s="2" t="s">
        <v>103</v>
      </c>
      <c r="E31" s="5" t="s">
        <v>75</v>
      </c>
      <c r="F31" s="46" t="n">
        <v>60</v>
      </c>
      <c r="H31" s="6" t="n">
        <f aca="false">IF((F31&lt;&gt;0),F31-G31," ")</f>
        <v>60</v>
      </c>
      <c r="I31" s="5"/>
      <c r="L31" s="7" t="n">
        <f aca="false">IF(F31&lt;&gt;0,F31-K31," ")</f>
        <v>60</v>
      </c>
      <c r="M31" s="8" t="n">
        <f aca="false">IF((F31-K31)&lt;&gt;0,M$1-A31," ")</f>
        <v>34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n">
        <f aca="false">IF((E31="g"),H31," ")</f>
        <v>60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46101</v>
      </c>
      <c r="B32" s="2" t="s">
        <v>137</v>
      </c>
      <c r="E32" s="5" t="s">
        <v>121</v>
      </c>
      <c r="F32" s="46" t="n">
        <v>180</v>
      </c>
      <c r="H32" s="6" t="n">
        <f aca="false">IF((F32&lt;&gt;0),F32-G32," ")</f>
        <v>180</v>
      </c>
      <c r="I32" s="5"/>
      <c r="L32" s="7" t="n">
        <f aca="false">IF(F32&lt;&gt;0,F32-K32," ")</f>
        <v>180</v>
      </c>
      <c r="M32" s="8" t="n">
        <f aca="false">IF((F32-K32)&lt;&gt;0,M$1-A32," ")</f>
        <v>34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n">
        <f aca="false">IF((E32="t"),H32," ")</f>
        <v>180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46101</v>
      </c>
      <c r="B33" s="2" t="s">
        <v>104</v>
      </c>
      <c r="E33" s="5" t="s">
        <v>105</v>
      </c>
      <c r="F33" s="46" t="n">
        <v>144</v>
      </c>
      <c r="H33" s="6" t="n">
        <f aca="false">IF((F33&lt;&gt;0),F33-G33," ")</f>
        <v>144</v>
      </c>
      <c r="I33" s="5"/>
      <c r="L33" s="7" t="n">
        <f aca="false">IF(F33&lt;&gt;0,F33-K33," ")</f>
        <v>144</v>
      </c>
      <c r="M33" s="8" t="n">
        <f aca="false">IF((F33-K33)&lt;&gt;0,M$1-A33," ")</f>
        <v>34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n">
        <f aca="false">IF((E33="m"),H33," ")</f>
        <v>144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46102</v>
      </c>
      <c r="B34" s="2" t="s">
        <v>106</v>
      </c>
      <c r="E34" s="5" t="s">
        <v>91</v>
      </c>
      <c r="F34" s="46" t="n">
        <v>8</v>
      </c>
      <c r="H34" s="6" t="n">
        <f aca="false">IF((F34&lt;&gt;0),F34-G34," ")</f>
        <v>8</v>
      </c>
      <c r="I34" s="5"/>
      <c r="L34" s="7" t="n">
        <f aca="false">IF(F34&lt;&gt;0,F34-K34," ")</f>
        <v>8</v>
      </c>
      <c r="M34" s="8" t="n">
        <f aca="false">IF((F34-K34)&lt;&gt;0,M$1-A34," ")</f>
        <v>33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n">
        <f aca="false">IF((E34="h"),H34," ")</f>
        <v>8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46103</v>
      </c>
      <c r="B35" s="2" t="s">
        <v>107</v>
      </c>
      <c r="E35" s="5" t="s">
        <v>85</v>
      </c>
      <c r="F35" s="46" t="n">
        <v>18</v>
      </c>
      <c r="H35" s="6" t="n">
        <f aca="false">IF((F35&lt;&gt;0),F35-G35," ")</f>
        <v>18</v>
      </c>
      <c r="I35" s="5"/>
      <c r="L35" s="7" t="n">
        <f aca="false">IF(F35&lt;&gt;0,F35-K35," ")</f>
        <v>18</v>
      </c>
      <c r="M35" s="8" t="n">
        <f aca="false">IF((F35-K35)&lt;&gt;0,M$1-A35," ")</f>
        <v>32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18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46103</v>
      </c>
      <c r="B36" s="2" t="s">
        <v>123</v>
      </c>
      <c r="E36" s="5" t="s">
        <v>88</v>
      </c>
      <c r="F36" s="46" t="n">
        <v>36</v>
      </c>
      <c r="H36" s="6" t="n">
        <f aca="false">IF((F36&lt;&gt;0),F36-G36," ")</f>
        <v>36</v>
      </c>
      <c r="I36" s="5"/>
      <c r="L36" s="7" t="n">
        <f aca="false">IF(F36&lt;&gt;0,F36-K36," ")</f>
        <v>36</v>
      </c>
      <c r="M36" s="8" t="n">
        <f aca="false">IF((F36-K36)&lt;&gt;0,M$1-A36," ")</f>
        <v>32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36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46106</v>
      </c>
      <c r="B37" s="2" t="s">
        <v>108</v>
      </c>
      <c r="E37" s="5" t="s">
        <v>85</v>
      </c>
      <c r="F37" s="46" t="n">
        <v>15</v>
      </c>
      <c r="H37" s="6" t="n">
        <f aca="false">IF((F37&lt;&gt;0),F37-G37," ")</f>
        <v>15</v>
      </c>
      <c r="I37" s="5"/>
      <c r="L37" s="7" t="n">
        <f aca="false">IF(F37&lt;&gt;0,F37-K37," ")</f>
        <v>15</v>
      </c>
      <c r="M37" s="8" t="n">
        <f aca="false">IF((F37-K37)&lt;&gt;0,M$1-A37," ")</f>
        <v>29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n">
        <f aca="false">IF((E37="u"),H37," ")</f>
        <v>15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46106</v>
      </c>
      <c r="B38" s="2" t="s">
        <v>109</v>
      </c>
      <c r="E38" s="5" t="s">
        <v>88</v>
      </c>
      <c r="F38" s="46" t="n">
        <v>38.25</v>
      </c>
      <c r="H38" s="6" t="n">
        <f aca="false">IF((F38&lt;&gt;0),F38-G38," ")</f>
        <v>38.25</v>
      </c>
      <c r="I38" s="5"/>
      <c r="L38" s="7" t="n">
        <f aca="false">IF(F38&lt;&gt;0,F38-K38," ")</f>
        <v>38.25</v>
      </c>
      <c r="M38" s="8" t="n">
        <f aca="false">IF((F38-K38)&lt;&gt;0,M$1-A38," ")</f>
        <v>29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n">
        <f aca="false">IF((E38="v"),H38," ")</f>
        <v>38.25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 t="n">
        <v>46109</v>
      </c>
      <c r="B39" s="2" t="s">
        <v>20</v>
      </c>
      <c r="E39" s="5" t="s">
        <v>88</v>
      </c>
      <c r="F39" s="46" t="n">
        <v>120</v>
      </c>
      <c r="H39" s="6" t="n">
        <f aca="false">IF((F39&lt;&gt;0),F39-G39," ")</f>
        <v>120</v>
      </c>
      <c r="I39" s="5"/>
      <c r="L39" s="7" t="n">
        <f aca="false">IF(F39&lt;&gt;0,F39-K39," ")</f>
        <v>120</v>
      </c>
      <c r="M39" s="8" t="n">
        <f aca="false">IF((F39-K39)&lt;&gt;0,M$1-A39," ")</f>
        <v>26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n">
        <f aca="false">IF((E39="v"),H39," ")</f>
        <v>120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 t="n">
        <v>46112</v>
      </c>
      <c r="B40" s="2" t="s">
        <v>16</v>
      </c>
      <c r="E40" s="5" t="s">
        <v>110</v>
      </c>
      <c r="F40" s="46" t="n">
        <v>300</v>
      </c>
      <c r="H40" s="6" t="n">
        <f aca="false">IF((F40&lt;&gt;0),F40-G40," ")</f>
        <v>300</v>
      </c>
      <c r="I40" s="5"/>
      <c r="L40" s="7" t="n">
        <f aca="false">IF(F40&lt;&gt;0,F40-K40," ")</f>
        <v>300</v>
      </c>
      <c r="M40" s="8" t="n">
        <f aca="false">IF((F40-K40)&lt;&gt;0,M$1-A40," ")</f>
        <v>23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n">
        <f aca="false">IF((E40="l"),H40," ")</f>
        <v>300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4396.5</v>
      </c>
      <c r="G1" s="12" t="n">
        <f aca="false">SUM(G5:G300)</f>
        <v>0</v>
      </c>
      <c r="H1" s="12" t="n">
        <f aca="false">SUM(H5:H300)</f>
        <v>4396.5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4396.5</v>
      </c>
      <c r="M1" s="16" t="n">
        <f aca="true">TODAY()</f>
        <v>46135</v>
      </c>
      <c r="N1" s="13"/>
      <c r="O1" s="12" t="n">
        <f aca="false">SUM(O5:O300)</f>
        <v>660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360</v>
      </c>
      <c r="X1" s="12" t="n">
        <f aca="false">SUM(X5:X300)</f>
        <v>360</v>
      </c>
      <c r="Y1" s="12" t="n">
        <f aca="false">SUM(Y5:Y300)</f>
        <v>133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368</v>
      </c>
      <c r="AC1" s="12" t="n">
        <f aca="false">SUM(AC5:AC300)</f>
        <v>595.5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IF([2]Apr!$G$4&gt;0,0,[2]Apr!$G$2)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46113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22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46113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22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46113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22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46113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22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46113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22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46113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22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46115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20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46115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20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46117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18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46117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18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46117</v>
      </c>
      <c r="B15" s="2" t="s">
        <v>89</v>
      </c>
      <c r="E15" s="5" t="s">
        <v>78</v>
      </c>
      <c r="F15" s="46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18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46118</v>
      </c>
      <c r="B16" s="2" t="s">
        <v>111</v>
      </c>
      <c r="E16" s="5" t="s">
        <v>91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17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36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46120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15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46122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13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46124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11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46124</v>
      </c>
      <c r="B20" s="2" t="s">
        <v>135</v>
      </c>
      <c r="E20" s="5" t="s">
        <v>113</v>
      </c>
      <c r="F20" s="46" t="n">
        <v>360</v>
      </c>
      <c r="H20" s="6" t="n">
        <f aca="false">IF((F20&lt;&gt;0),F20-G20," ")</f>
        <v>360</v>
      </c>
      <c r="I20" s="5"/>
      <c r="L20" s="7" t="n">
        <f aca="false">IF(F20&lt;&gt;0,F20-K20," ")</f>
        <v>360</v>
      </c>
      <c r="M20" s="8" t="n">
        <f aca="false">IF((F20-K20)&lt;&gt;0,M$1-A20," ")</f>
        <v>11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n">
        <f aca="false">IF((E20="q"),H20," ")</f>
        <v>360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46126</v>
      </c>
      <c r="B21" s="2" t="s">
        <v>98</v>
      </c>
      <c r="E21" s="5" t="s">
        <v>85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9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18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46126</v>
      </c>
      <c r="B22" s="2" t="s">
        <v>99</v>
      </c>
      <c r="E22" s="5" t="s">
        <v>91</v>
      </c>
      <c r="F22" s="46" t="n">
        <v>24</v>
      </c>
      <c r="H22" s="6" t="n">
        <f aca="false">IF((F22&lt;&gt;0),F22-G22," ")</f>
        <v>24</v>
      </c>
      <c r="I22" s="5"/>
      <c r="L22" s="7" t="n">
        <f aca="false">IF(F22&lt;&gt;0,F22-K22," ")</f>
        <v>24</v>
      </c>
      <c r="M22" s="8" t="n">
        <f aca="false">IF((F22-K22)&lt;&gt;0,M$1-A22," ")</f>
        <v>9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24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46126</v>
      </c>
      <c r="B23" s="2" t="s">
        <v>100</v>
      </c>
      <c r="E23" s="5" t="s">
        <v>91</v>
      </c>
      <c r="F23" s="46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9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12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46127</v>
      </c>
      <c r="B24" s="2" t="s">
        <v>20</v>
      </c>
      <c r="E24" s="5" t="s">
        <v>88</v>
      </c>
      <c r="F24" s="46" t="n">
        <v>150</v>
      </c>
      <c r="H24" s="6" t="n">
        <f aca="false">IF((F24&lt;&gt;0),F24-G24," ")</f>
        <v>150</v>
      </c>
      <c r="I24" s="5"/>
      <c r="L24" s="7" t="n">
        <f aca="false">IF(F24&lt;&gt;0,F24-K24," ")</f>
        <v>150</v>
      </c>
      <c r="M24" s="8" t="n">
        <f aca="false">IF((F24-K24)&lt;&gt;0,M$1-A24," ")</f>
        <v>8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n">
        <f aca="false">IF((E24="v"),H24," ")</f>
        <v>150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46127</v>
      </c>
      <c r="B25" s="2" t="s">
        <v>101</v>
      </c>
      <c r="E25" s="5" t="s">
        <v>75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8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12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46127</v>
      </c>
      <c r="B26" s="2" t="s">
        <v>116</v>
      </c>
      <c r="E26" s="5" t="s">
        <v>96</v>
      </c>
      <c r="F26" s="46" t="n">
        <v>420</v>
      </c>
      <c r="H26" s="6" t="n">
        <f aca="false">IF((F26&lt;&gt;0),F26-G26," ")</f>
        <v>420</v>
      </c>
      <c r="I26" s="5"/>
      <c r="L26" s="7" t="n">
        <f aca="false">IF(F26&lt;&gt;0,F26-K26," ")</f>
        <v>420</v>
      </c>
      <c r="M26" s="8" t="n">
        <f aca="false">IF((F26-K26)&lt;&gt;0,M$1-A26," ")</f>
        <v>8</v>
      </c>
      <c r="N26" s="5"/>
      <c r="O26" s="17" t="n">
        <f aca="false">IF((E26="s"),H26," ")</f>
        <v>420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46130</v>
      </c>
      <c r="B27" s="2" t="s">
        <v>138</v>
      </c>
      <c r="E27" s="5" t="s">
        <v>105</v>
      </c>
      <c r="F27" s="46" t="n">
        <v>360</v>
      </c>
      <c r="H27" s="6" t="n">
        <f aca="false">IF((F27&lt;&gt;0),F27-G27," ")</f>
        <v>360</v>
      </c>
      <c r="I27" s="5"/>
      <c r="L27" s="7" t="n">
        <f aca="false">IF(F27&lt;&gt;0,F27-K27," ")</f>
        <v>360</v>
      </c>
      <c r="M27" s="8" t="n">
        <f aca="false">IF((F27-K27)&lt;&gt;0,M$1-A27," ")</f>
        <v>5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n">
        <f aca="false">IF((E27="m"),H27," ")</f>
        <v>360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46130</v>
      </c>
      <c r="B28" s="2" t="s">
        <v>127</v>
      </c>
      <c r="E28" s="5" t="s">
        <v>91</v>
      </c>
      <c r="F28" s="46" t="n">
        <v>240</v>
      </c>
      <c r="H28" s="6" t="n">
        <f aca="false">IF((F28&lt;&gt;0),F28-G28," ")</f>
        <v>240</v>
      </c>
      <c r="I28" s="5"/>
      <c r="L28" s="7" t="n">
        <f aca="false">IF(F28&lt;&gt;0,F28-K28," ")</f>
        <v>240</v>
      </c>
      <c r="M28" s="8" t="n">
        <f aca="false">IF((F28-K28)&lt;&gt;0,M$1-A28," ")</f>
        <v>5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n">
        <f aca="false">IF((E28="h"),H28," ")</f>
        <v>240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46130</v>
      </c>
      <c r="B29" s="2" t="s">
        <v>102</v>
      </c>
      <c r="E29" s="5" t="s">
        <v>88</v>
      </c>
      <c r="F29" s="46" t="n">
        <v>96</v>
      </c>
      <c r="H29" s="6" t="n">
        <f aca="false">IF((F29&lt;&gt;0),F29-G29," ")</f>
        <v>96</v>
      </c>
      <c r="I29" s="5"/>
      <c r="L29" s="7" t="n">
        <f aca="false">IF(F29&lt;&gt;0,F29-K29," ")</f>
        <v>96</v>
      </c>
      <c r="M29" s="8" t="n">
        <f aca="false">IF((F29-K29)&lt;&gt;0,M$1-A29," ")</f>
        <v>5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96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46132</v>
      </c>
      <c r="B30" s="2" t="s">
        <v>103</v>
      </c>
      <c r="E30" s="5" t="s">
        <v>75</v>
      </c>
      <c r="F30" s="46" t="n">
        <v>60</v>
      </c>
      <c r="H30" s="6" t="n">
        <f aca="false">IF((F30&lt;&gt;0),F30-G30," ")</f>
        <v>60</v>
      </c>
      <c r="I30" s="5"/>
      <c r="L30" s="7" t="n">
        <f aca="false">IF(F30&lt;&gt;0,F30-K30," ")</f>
        <v>60</v>
      </c>
      <c r="M30" s="8" t="n">
        <f aca="false">IF((F30-K30)&lt;&gt;0,M$1-A30," ")</f>
        <v>3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60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46132</v>
      </c>
      <c r="B31" s="2" t="s">
        <v>122</v>
      </c>
      <c r="E31" s="5" t="s">
        <v>96</v>
      </c>
      <c r="F31" s="46" t="n">
        <v>240</v>
      </c>
      <c r="H31" s="6" t="n">
        <f aca="false">IF((F31&lt;&gt;0),F31-G31," ")</f>
        <v>240</v>
      </c>
      <c r="I31" s="5"/>
      <c r="L31" s="7" t="n">
        <f aca="false">IF(F31&lt;&gt;0,F31-K31," ")</f>
        <v>240</v>
      </c>
      <c r="M31" s="8" t="n">
        <f aca="false">IF((F31-K31)&lt;&gt;0,M$1-A31," ")</f>
        <v>3</v>
      </c>
      <c r="N31" s="5"/>
      <c r="O31" s="17" t="n">
        <f aca="false">IF((E31="s"),H31," ")</f>
        <v>240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46133</v>
      </c>
      <c r="B32" s="2" t="s">
        <v>106</v>
      </c>
      <c r="E32" s="5" t="s">
        <v>91</v>
      </c>
      <c r="F32" s="46" t="n">
        <v>8</v>
      </c>
      <c r="H32" s="6" t="n">
        <f aca="false">IF((F32&lt;&gt;0),F32-G32," ")</f>
        <v>8</v>
      </c>
      <c r="I32" s="5"/>
      <c r="L32" s="7" t="n">
        <f aca="false">IF(F32&lt;&gt;0,F32-K32," ")</f>
        <v>8</v>
      </c>
      <c r="M32" s="8" t="n">
        <f aca="false">IF((F32-K32)&lt;&gt;0,M$1-A32," ")</f>
        <v>2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8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46134</v>
      </c>
      <c r="B33" s="2" t="s">
        <v>107</v>
      </c>
      <c r="E33" s="5" t="s">
        <v>85</v>
      </c>
      <c r="F33" s="46" t="n">
        <v>18</v>
      </c>
      <c r="H33" s="6" t="n">
        <f aca="false">IF((F33&lt;&gt;0),F33-G33," ")</f>
        <v>18</v>
      </c>
      <c r="I33" s="5"/>
      <c r="L33" s="7" t="n">
        <f aca="false">IF(F33&lt;&gt;0,F33-K33," ")</f>
        <v>18</v>
      </c>
      <c r="M33" s="8" t="n">
        <f aca="false">IF((F33-K33)&lt;&gt;0,M$1-A33," ")</f>
        <v>1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18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46137</v>
      </c>
      <c r="B34" s="2" t="s">
        <v>108</v>
      </c>
      <c r="E34" s="5" t="s">
        <v>85</v>
      </c>
      <c r="F34" s="46" t="n">
        <v>15</v>
      </c>
      <c r="H34" s="6" t="n">
        <f aca="false">IF((F34&lt;&gt;0),F34-G34," ")</f>
        <v>15</v>
      </c>
      <c r="I34" s="5"/>
      <c r="L34" s="7" t="n">
        <f aca="false">IF(F34&lt;&gt;0,F34-K34," ")</f>
        <v>15</v>
      </c>
      <c r="M34" s="8" t="n">
        <f aca="false">IF((F34-K34)&lt;&gt;0,M$1-A34," ")</f>
        <v>-2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46137</v>
      </c>
      <c r="B35" s="2" t="s">
        <v>109</v>
      </c>
      <c r="E35" s="5" t="s">
        <v>88</v>
      </c>
      <c r="F35" s="46" t="n">
        <v>31.5</v>
      </c>
      <c r="H35" s="6" t="n">
        <f aca="false">IF((F35&lt;&gt;0),F35-G35," ")</f>
        <v>31.5</v>
      </c>
      <c r="I35" s="5"/>
      <c r="L35" s="7" t="n">
        <f aca="false">IF(F35&lt;&gt;0,F35-K35," ")</f>
        <v>31.5</v>
      </c>
      <c r="M35" s="8" t="n">
        <f aca="false">IF((F35-K35)&lt;&gt;0,M$1-A35," ")</f>
        <v>-2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31.5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46140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-5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46140</v>
      </c>
      <c r="B37" s="2" t="s">
        <v>20</v>
      </c>
      <c r="E37" s="5" t="s">
        <v>88</v>
      </c>
      <c r="F37" s="46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-5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n">
        <f aca="false">IF((E37="v"),H37," ")</f>
        <v>120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3726.5</v>
      </c>
      <c r="G1" s="12" t="n">
        <f aca="false">SUM(G5:G300)</f>
        <v>0</v>
      </c>
      <c r="H1" s="12" t="n">
        <f aca="false">SUM(H5:H300)</f>
        <v>3726.5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3726.5</v>
      </c>
      <c r="M1" s="16" t="n">
        <f aca="true">TODAY()</f>
        <v>46135</v>
      </c>
      <c r="N1" s="13"/>
      <c r="O1" s="12" t="n">
        <f aca="false">SUM(O5:O300)</f>
        <v>300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360</v>
      </c>
      <c r="V1" s="12" t="n">
        <f aca="false">SUM(V5:V300)</f>
        <v>144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159</v>
      </c>
      <c r="AB1" s="12" t="n">
        <f aca="false">SUM(AB5:AB300)</f>
        <v>92</v>
      </c>
      <c r="AC1" s="12" t="n">
        <f aca="false">SUM(AC5:AC300)</f>
        <v>682.5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425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IF([2]May!$G$4&gt;0,0,[2]May!$G$2)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51" t="n">
        <f aca="false">Jun!AI1+Jul!AI1+Aug!AI1+Sep!AI1+Oct!AI1+Nov!AI1+Dec!AI1+Jan!AI1+Feb!AI1+Mar!AI1+Apr!AI1+May!AI1</f>
        <v>39000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51" t="s">
        <v>42</v>
      </c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46143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-8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46143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-8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46143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-8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46143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-8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46143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-8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46143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-8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46145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-10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46145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-10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46147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-12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46147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-12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46150</v>
      </c>
      <c r="B15" s="2" t="s">
        <v>90</v>
      </c>
      <c r="E15" s="5" t="s">
        <v>91</v>
      </c>
      <c r="F15" s="46" t="n">
        <v>48</v>
      </c>
      <c r="H15" s="6" t="n">
        <f aca="false">IF((F15&lt;&gt;0),F15-G15," ")</f>
        <v>48</v>
      </c>
      <c r="I15" s="5"/>
      <c r="L15" s="7" t="n">
        <f aca="false">IF(F15&lt;&gt;0,F15-K15," ")</f>
        <v>48</v>
      </c>
      <c r="M15" s="8" t="n">
        <f aca="false">IF((F15-K15)&lt;&gt;0,M$1-A15," ")</f>
        <v>-15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48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46152</v>
      </c>
      <c r="B16" s="2" t="s">
        <v>92</v>
      </c>
      <c r="E16" s="5" t="s">
        <v>85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-17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n">
        <f aca="false">IF((E16="u"),H16," ")</f>
        <v>36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46152</v>
      </c>
      <c r="B17" s="2" t="s">
        <v>101</v>
      </c>
      <c r="E17" s="5" t="s">
        <v>121</v>
      </c>
      <c r="F17" s="46" t="n">
        <v>144</v>
      </c>
      <c r="H17" s="6" t="n">
        <f aca="false">IF((F17&lt;&gt;0),F17-G17," ")</f>
        <v>144</v>
      </c>
      <c r="I17" s="5"/>
      <c r="L17" s="7" t="n">
        <f aca="false">IF(F17&lt;&gt;0,F17-K17," ")</f>
        <v>144</v>
      </c>
      <c r="M17" s="8" t="n">
        <f aca="false">IF((F17-K17)&lt;&gt;0,M$1-A17," ")</f>
        <v>-17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n">
        <f aca="false">IF((E17="t"),H17," ")</f>
        <v>144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46154</v>
      </c>
      <c r="B18" s="2" t="s">
        <v>97</v>
      </c>
      <c r="E18" s="5" t="s">
        <v>88</v>
      </c>
      <c r="F18" s="46" t="n">
        <v>18</v>
      </c>
      <c r="H18" s="6" t="n">
        <f aca="false">IF((F18&lt;&gt;0),F18-G18," ")</f>
        <v>18</v>
      </c>
      <c r="I18" s="5"/>
      <c r="L18" s="7" t="n">
        <f aca="false">IF(F18&lt;&gt;0,F18-K18," ")</f>
        <v>18</v>
      </c>
      <c r="M18" s="8" t="n">
        <f aca="false">IF((F18-K18)&lt;&gt;0,M$1-A18," ")</f>
        <v>-19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n">
        <f aca="false">IF((E18="v"),H18," ")</f>
        <v>18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46156</v>
      </c>
      <c r="B19" s="2" t="s">
        <v>99</v>
      </c>
      <c r="E19" s="5" t="s">
        <v>91</v>
      </c>
      <c r="F19" s="46" t="n">
        <v>24</v>
      </c>
      <c r="H19" s="6" t="n">
        <f aca="false">IF((F19&lt;&gt;0),F19-G19," ")</f>
        <v>24</v>
      </c>
      <c r="I19" s="5"/>
      <c r="L19" s="7" t="n">
        <f aca="false">IF(F19&lt;&gt;0,F19-K19," ")</f>
        <v>24</v>
      </c>
      <c r="M19" s="8" t="n">
        <f aca="false">IF((F19-K19)&lt;&gt;0,M$1-A19," ")</f>
        <v>-21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24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46156</v>
      </c>
      <c r="B20" s="2" t="s">
        <v>100</v>
      </c>
      <c r="E20" s="5" t="s">
        <v>91</v>
      </c>
      <c r="F20" s="46" t="n">
        <v>12</v>
      </c>
      <c r="H20" s="6" t="n">
        <f aca="false">IF((F20&lt;&gt;0),F20-G20," ")</f>
        <v>12</v>
      </c>
      <c r="I20" s="5"/>
      <c r="L20" s="7" t="n">
        <f aca="false">IF(F20&lt;&gt;0,F20-K20," ")</f>
        <v>12</v>
      </c>
      <c r="M20" s="8" t="n">
        <f aca="false">IF((F20-K20)&lt;&gt;0,M$1-A20," ")</f>
        <v>-21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12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46157</v>
      </c>
      <c r="B21" s="2" t="s">
        <v>20</v>
      </c>
      <c r="E21" s="5" t="s">
        <v>88</v>
      </c>
      <c r="F21" s="46" t="n">
        <v>150</v>
      </c>
      <c r="H21" s="6" t="n">
        <f aca="false">IF((F21&lt;&gt;0),F21-G21," ")</f>
        <v>150</v>
      </c>
      <c r="I21" s="5"/>
      <c r="L21" s="7" t="n">
        <f aca="false">IF(F21&lt;&gt;0,F21-K21," ")</f>
        <v>150</v>
      </c>
      <c r="M21" s="8" t="n">
        <f aca="false">IF((F21-K21)&lt;&gt;0,M$1-A21," ")</f>
        <v>-22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150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46157</v>
      </c>
      <c r="B22" s="2" t="s">
        <v>101</v>
      </c>
      <c r="E22" s="5" t="s">
        <v>75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-22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12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46158</v>
      </c>
      <c r="B23" s="2" t="s">
        <v>119</v>
      </c>
      <c r="E23" s="5" t="s">
        <v>75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-23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24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46160</v>
      </c>
      <c r="B24" s="2" t="s">
        <v>128</v>
      </c>
      <c r="E24" s="5" t="s">
        <v>96</v>
      </c>
      <c r="F24" s="46" t="n">
        <v>300</v>
      </c>
      <c r="H24" s="6" t="n">
        <f aca="false">IF((F24&lt;&gt;0),F24-G24," ")</f>
        <v>300</v>
      </c>
      <c r="I24" s="5"/>
      <c r="L24" s="7" t="n">
        <f aca="false">IF(F24&lt;&gt;0,F24-K24," ")</f>
        <v>300</v>
      </c>
      <c r="M24" s="8" t="n">
        <f aca="false">IF((F24-K24)&lt;&gt;0,M$1-A24," ")</f>
        <v>-25</v>
      </c>
      <c r="N24" s="5"/>
      <c r="O24" s="17" t="n">
        <f aca="false">IF((E24="s"),H24," ")</f>
        <v>300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46160</v>
      </c>
      <c r="B25" s="2" t="s">
        <v>102</v>
      </c>
      <c r="E25" s="5" t="s">
        <v>88</v>
      </c>
      <c r="F25" s="46" t="n">
        <v>96</v>
      </c>
      <c r="H25" s="6" t="n">
        <f aca="false">IF((F25&lt;&gt;0),F25-G25," ")</f>
        <v>96</v>
      </c>
      <c r="I25" s="5"/>
      <c r="L25" s="7" t="n">
        <f aca="false">IF(F25&lt;&gt;0,F25-K25," ")</f>
        <v>96</v>
      </c>
      <c r="M25" s="8" t="n">
        <f aca="false">IF((F25-K25)&lt;&gt;0,M$1-A25," ")</f>
        <v>-25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96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46162</v>
      </c>
      <c r="B26" s="2" t="s">
        <v>103</v>
      </c>
      <c r="E26" s="5" t="s">
        <v>75</v>
      </c>
      <c r="F26" s="46" t="n">
        <v>60</v>
      </c>
      <c r="H26" s="6" t="n">
        <f aca="false">IF((F26&lt;&gt;0),F26-G26," ")</f>
        <v>60</v>
      </c>
      <c r="I26" s="5"/>
      <c r="L26" s="7" t="n">
        <f aca="false">IF(F26&lt;&gt;0,F26-K26," ")</f>
        <v>60</v>
      </c>
      <c r="M26" s="8" t="n">
        <f aca="false">IF((F26-K26)&lt;&gt;0,M$1-A26," ")</f>
        <v>-27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60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46163</v>
      </c>
      <c r="B27" s="2" t="s">
        <v>106</v>
      </c>
      <c r="E27" s="5" t="s">
        <v>91</v>
      </c>
      <c r="F27" s="46" t="n">
        <v>8</v>
      </c>
      <c r="H27" s="6" t="n">
        <f aca="false">IF((F27&lt;&gt;0),F27-G27," ")</f>
        <v>8</v>
      </c>
      <c r="I27" s="5"/>
      <c r="L27" s="7" t="n">
        <f aca="false">IF(F27&lt;&gt;0,F27-K27," ")</f>
        <v>8</v>
      </c>
      <c r="M27" s="8" t="n">
        <f aca="false">IF((F27-K27)&lt;&gt;0,M$1-A27," ")</f>
        <v>-28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n">
        <f aca="false">IF((E27="h"),H27," ")</f>
        <v>8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46164</v>
      </c>
      <c r="B28" s="2" t="s">
        <v>107</v>
      </c>
      <c r="E28" s="5" t="s">
        <v>85</v>
      </c>
      <c r="F28" s="46" t="n">
        <v>18</v>
      </c>
      <c r="H28" s="6" t="n">
        <f aca="false">IF((F28&lt;&gt;0),F28-G28," ")</f>
        <v>18</v>
      </c>
      <c r="I28" s="5"/>
      <c r="L28" s="7" t="n">
        <f aca="false">IF(F28&lt;&gt;0,F28-K28," ")</f>
        <v>18</v>
      </c>
      <c r="M28" s="8" t="n">
        <f aca="false">IF((F28-K28)&lt;&gt;0,M$1-A28," ")</f>
        <v>-29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n">
        <f aca="false">IF((E28="u"),H28," ")</f>
        <v>18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46164</v>
      </c>
      <c r="B29" s="2" t="s">
        <v>123</v>
      </c>
      <c r="E29" s="5" t="s">
        <v>88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-29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60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46167</v>
      </c>
      <c r="B30" s="2" t="s">
        <v>129</v>
      </c>
      <c r="E30" s="5" t="s">
        <v>130</v>
      </c>
      <c r="F30" s="46" t="n">
        <v>360</v>
      </c>
      <c r="H30" s="6" t="n">
        <f aca="false">IF((F30&lt;&gt;0),F30-G30," ")</f>
        <v>360</v>
      </c>
      <c r="I30" s="5"/>
      <c r="L30" s="7" t="n">
        <f aca="false">IF(F30&lt;&gt;0,F30-K30," ")</f>
        <v>360</v>
      </c>
      <c r="M30" s="8" t="n">
        <f aca="false">IF((F30-K30)&lt;&gt;0,M$1-A30," ")</f>
        <v>-32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n">
        <f aca="false">IF((E30="p"),H30," ")</f>
        <v>360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46167</v>
      </c>
      <c r="B31" s="2" t="s">
        <v>108</v>
      </c>
      <c r="E31" s="5" t="s">
        <v>85</v>
      </c>
      <c r="F31" s="46" t="n">
        <v>15</v>
      </c>
      <c r="H31" s="6" t="n">
        <f aca="false">IF((F31&lt;&gt;0),F31-G31," ")</f>
        <v>15</v>
      </c>
      <c r="I31" s="5"/>
      <c r="L31" s="7" t="n">
        <f aca="false">IF(F31&lt;&gt;0,F31-K31," ")</f>
        <v>15</v>
      </c>
      <c r="M31" s="8" t="n">
        <f aca="false">IF((F31-K31)&lt;&gt;0,M$1-A31," ")</f>
        <v>-32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46167</v>
      </c>
      <c r="B32" s="2" t="s">
        <v>109</v>
      </c>
      <c r="E32" s="5" t="s">
        <v>88</v>
      </c>
      <c r="F32" s="46" t="n">
        <v>58.5</v>
      </c>
      <c r="H32" s="6" t="n">
        <f aca="false">IF((F32&lt;&gt;0),F32-G32," ")</f>
        <v>58.5</v>
      </c>
      <c r="I32" s="5"/>
      <c r="L32" s="7" t="n">
        <f aca="false">IF(F32&lt;&gt;0,F32-K32," ")</f>
        <v>58.5</v>
      </c>
      <c r="M32" s="8" t="n">
        <f aca="false">IF((F32-K32)&lt;&gt;0,M$1-A32," ")</f>
        <v>-32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n">
        <f aca="false">IF((E32="v"),H32," ")</f>
        <v>58.5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46170</v>
      </c>
      <c r="B33" s="2" t="s">
        <v>20</v>
      </c>
      <c r="E33" s="5" t="s">
        <v>88</v>
      </c>
      <c r="F33" s="46" t="n">
        <v>120</v>
      </c>
      <c r="H33" s="6" t="n">
        <f aca="false">IF((F33&lt;&gt;0),F33-G33," ")</f>
        <v>120</v>
      </c>
      <c r="I33" s="5"/>
      <c r="L33" s="7" t="n">
        <f aca="false">IF(F33&lt;&gt;0,F33-K33," ")</f>
        <v>120</v>
      </c>
      <c r="M33" s="8" t="n">
        <f aca="false">IF((F33-K33)&lt;&gt;0,M$1-A33," ")</f>
        <v>-35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120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46173</v>
      </c>
      <c r="B34" s="2" t="s">
        <v>16</v>
      </c>
      <c r="E34" s="5" t="s">
        <v>110</v>
      </c>
      <c r="F34" s="46" t="n">
        <v>300</v>
      </c>
      <c r="H34" s="6" t="n">
        <f aca="false">IF((F34&lt;&gt;0),F34-G34," ")</f>
        <v>300</v>
      </c>
      <c r="I34" s="5"/>
      <c r="L34" s="7" t="n">
        <f aca="false">IF(F34&lt;&gt;0,F34-K34," ")</f>
        <v>300</v>
      </c>
      <c r="M34" s="8" t="n">
        <f aca="false">IF((F34-K34)&lt;&gt;0,M$1-A34," ")</f>
        <v>-38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n">
        <f aca="false">IF((E34="l"),H34," ")</f>
        <v>300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46173</v>
      </c>
      <c r="B35" s="2" t="s">
        <v>131</v>
      </c>
      <c r="E35" s="5" t="s">
        <v>110</v>
      </c>
      <c r="F35" s="46" t="n">
        <v>125</v>
      </c>
      <c r="H35" s="6" t="n">
        <f aca="false">IF((F35&lt;&gt;0),F35-G35," ")</f>
        <v>125</v>
      </c>
      <c r="I35" s="5"/>
      <c r="L35" s="7" t="n">
        <f aca="false">IF(F35&lt;&gt;0,F35-K35," ")</f>
        <v>125</v>
      </c>
      <c r="M35" s="8" t="n">
        <f aca="false">IF((F35-K35)&lt;&gt;0,M$1-A35," ")</f>
        <v>-38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125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6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149</v>
      </c>
      <c r="B1" s="9"/>
      <c r="C1" s="10" t="n">
        <f aca="false">-SUM([1]TrialBalance!$EJ$28:$EJ$31)</f>
        <v>-0</v>
      </c>
      <c r="D1" s="11" t="s">
        <v>1</v>
      </c>
      <c r="E1" s="11"/>
      <c r="F1" s="12" t="n">
        <f aca="false">SUM(F2:F200)</f>
        <v>0</v>
      </c>
      <c r="G1" s="12" t="e">
        <f aca="false">SUM(G5:G300)</f>
        <v>#N/A</v>
      </c>
      <c r="H1" s="12" t="n">
        <f aca="false">SUM(H2:H200)</f>
        <v>1710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46135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IF([2]Apr!$G$4&gt;0,0,[2]Apr!$G$2)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150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151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103</v>
      </c>
      <c r="C7" s="3" t="s">
        <v>152</v>
      </c>
      <c r="E7" s="2"/>
      <c r="G7" s="6" t="str">
        <f aca="false">IF(F7&lt;&gt;0,F7*G$2/(100+G$2)," ")</f>
        <v> </v>
      </c>
      <c r="H7" s="6" t="n">
        <v>60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153</v>
      </c>
      <c r="E8" s="2"/>
      <c r="G8" s="6" t="str">
        <f aca="false">IF(F8&lt;&gt;0,F8*G$2/(100+G$2)," ")</f>
        <v> </v>
      </c>
      <c r="H8" s="6" t="n">
        <v>150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0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1"/>
      <c r="B200" s="32"/>
      <c r="C200" s="33"/>
      <c r="D200" s="34"/>
      <c r="E200" s="32"/>
      <c r="F200" s="35"/>
      <c r="G200" s="35" t="str">
        <f aca="false">IF(F200&lt;&gt;0,F200*G$2/(100+G$2)," ")</f>
        <v> </v>
      </c>
      <c r="H200" s="35" t="str">
        <f aca="false">IF((F200&lt;&gt;0),F200-G200," ")</f>
        <v> </v>
      </c>
      <c r="J200" s="35"/>
      <c r="K200" s="35"/>
      <c r="L200" s="36" t="str">
        <f aca="false">IF(F200&lt;&gt;0,F200-K200," ")</f>
        <v> </v>
      </c>
      <c r="M200" s="37" t="str">
        <f aca="false">IF((F200-K200)&lt;&gt;0,M$1-A200," ")</f>
        <v> </v>
      </c>
    </row>
    <row r="201" customFormat="false" ht="12" hidden="false" customHeight="false" outlineLevel="0" collapsed="false">
      <c r="G201" s="6" t="e">
        <f aca="false">NA()</f>
        <v>#N/A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2025-04-03T23:05:38Z</dcterms:modified>
  <cp:revision>0</cp:revision>
  <dc:subject/>
  <dc:title>0607 Purchases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