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externalLinks/_rels/externalLink2.xml.rels" ContentType="application/vnd.openxmlformats-package.relationships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ingCreditors" sheetId="1" state="visible" r:id="rId3"/>
    <sheet name="Jun" sheetId="2" state="visible" r:id="rId4"/>
    <sheet name="Jul" sheetId="3" state="visible" r:id="rId5"/>
    <sheet name="Aug" sheetId="4" state="visible" r:id="rId6"/>
    <sheet name="Sep" sheetId="5" state="visible" r:id="rId7"/>
    <sheet name="Oct" sheetId="6" state="visible" r:id="rId8"/>
    <sheet name="Nov" sheetId="7" state="visible" r:id="rId9"/>
    <sheet name="Dec" sheetId="8" state="visible" r:id="rId10"/>
    <sheet name="Jan" sheetId="9" state="visible" r:id="rId11"/>
    <sheet name="Feb" sheetId="10" state="visible" r:id="rId12"/>
    <sheet name="Mar" sheetId="11" state="visible" r:id="rId13"/>
    <sheet name="Apr" sheetId="12" state="visible" r:id="rId14"/>
    <sheet name="May" sheetId="13" state="visible" r:id="rId15"/>
    <sheet name="ClosingCreditors" sheetId="14" state="visible" r:id="rId16"/>
  </sheets>
  <externalReferences>
    <externalReference r:id="rId17"/>
    <externalReference r:id="rId18"/>
  </externalReferences>
  <definedNames>
    <definedName function="false" hidden="false" localSheetId="13" name="_xlnm.Print_Area" vbProcedure="false">ClosingCreditors!$A$1:$M$75</definedName>
    <definedName function="false" hidden="false" localSheetId="13" name="_xlnm.Print_Titles" vbProcedure="false">ClosingCreditors!$1:$4</definedName>
    <definedName function="false" hidden="false" localSheetId="0" name="_xlnm.Print_Area" vbProcedure="false">OpeningCreditors!$A$1:$M$75</definedName>
    <definedName function="false" hidden="false" localSheetId="0" name="_xlnm.Print_Titles" vbProcedure="false">OpeningCreditors!$1:$4</definedName>
    <definedName function="false" hidden="false" localSheetId="0" name="_xlnm_Print_Area" vbProcedure="false">OpeningCreditors!$A$1:$M$75</definedName>
    <definedName function="false" hidden="false" localSheetId="0" name="_xlnm_Print_Titles" vbProcedure="false">OpeningCreditors!$1:$4</definedName>
    <definedName function="false" hidden="false" localSheetId="1" name="_xlnm_Print_Area" vbProcedure="false">Apr!$A$1:$AL$75</definedName>
    <definedName function="false" hidden="false" localSheetId="1" name="_xlnm_Print_Titles" vbProcedure="false">(Apr!$A:$C,Apr!$1:$4)</definedName>
    <definedName function="false" hidden="false" localSheetId="2" name="_xlnm_Print_Area" vbProcedure="false">May!$A$1:$AL$75</definedName>
    <definedName function="false" hidden="false" localSheetId="2" name="_xlnm_Print_Titles" vbProcedure="false">(May!$A:$C,May!$1:$4)</definedName>
    <definedName function="false" hidden="false" localSheetId="3" name="_xlnm_Print_Area" vbProcedure="false">Jun!$A$1:$AL$75</definedName>
    <definedName function="false" hidden="false" localSheetId="3" name="_xlnm_Print_Titles" vbProcedure="false">(Jun!$A:$C,Jun!$1:$4)</definedName>
    <definedName function="false" hidden="false" localSheetId="4" name="_xlnm_Print_Area" vbProcedure="false">Jul!$A$1:$AL$75</definedName>
    <definedName function="false" hidden="false" localSheetId="4" name="_xlnm_Print_Titles" vbProcedure="false">(Jul!$A:$C,Jul!$1:$4)</definedName>
    <definedName function="false" hidden="false" localSheetId="5" name="_xlnm_Print_Area" vbProcedure="false">Aug!$A$1:$AL$75</definedName>
    <definedName function="false" hidden="false" localSheetId="5" name="_xlnm_Print_Titles" vbProcedure="false">(Aug!$A:$C,Aug!$1:$4)</definedName>
    <definedName function="false" hidden="false" localSheetId="6" name="_xlnm_Print_Area" vbProcedure="false">Sep!$A$1:$AL$75</definedName>
    <definedName function="false" hidden="false" localSheetId="6" name="_xlnm_Print_Titles" vbProcedure="false">(Sep!$A:$C,Sep!$1:$4)</definedName>
    <definedName function="false" hidden="false" localSheetId="7" name="_xlnm_Print_Area" vbProcedure="false">Oct!$A$1:$AL$75</definedName>
    <definedName function="false" hidden="false" localSheetId="7" name="_xlnm_Print_Titles" vbProcedure="false">(Oct!$A:$C,Oct!$1:$4)</definedName>
    <definedName function="false" hidden="false" localSheetId="8" name="_xlnm_Print_Area" vbProcedure="false">Nov!$A$1:$AL$75</definedName>
    <definedName function="false" hidden="false" localSheetId="8" name="_xlnm_Print_Titles" vbProcedure="false">(Nov!$A:$C,Nov!$1:$4)</definedName>
    <definedName function="false" hidden="false" localSheetId="9" name="_xlnm_Print_Area" vbProcedure="false">Dec!$A$1:$AL$75</definedName>
    <definedName function="false" hidden="false" localSheetId="9" name="_xlnm_Print_Titles" vbProcedure="false">(Dec!$A:$C,Dec!$1:$4)</definedName>
    <definedName function="false" hidden="false" localSheetId="10" name="_xlnm_Print_Area" vbProcedure="false">Jan!$A$1:$AL$75</definedName>
    <definedName function="false" hidden="false" localSheetId="10" name="_xlnm_Print_Titles" vbProcedure="false">(Jan!$A:$C,Jan!$1:$4)</definedName>
    <definedName function="false" hidden="false" localSheetId="11" name="_xlnm_Print_Area" vbProcedure="false">Feb!$A$1:$AL$75</definedName>
    <definedName function="false" hidden="false" localSheetId="11" name="_xlnm_Print_Titles" vbProcedure="false">(Feb!$A:$C,Feb!$1:$4)</definedName>
    <definedName function="false" hidden="false" localSheetId="12" name="_xlnm_Print_Area" vbProcedure="false">Mar!$A$1:$AL$75</definedName>
    <definedName function="false" hidden="false" localSheetId="12" name="_xlnm_Print_Titles" vbProcedure="false">(Mar!$A:$C,Mar!$1:$4)</definedName>
    <definedName function="false" hidden="false" localSheetId="13" name="_xlnm_Print_Area" vbProcedure="false">ClosingCreditors!$A$1:$M$75</definedName>
    <definedName function="false" hidden="false" localSheetId="13" name="_xlnm_Print_Titles" vbProcedure="false">ClosingCreditors!$1:$4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<sst xmlns="http://schemas.openxmlformats.org/spreadsheetml/2006/main" count="1586" uniqueCount="154">
  <si>
    <t xml:space="preserve">Opening Creditors Balance</t>
  </si>
  <si>
    <t xml:space="preserve">Total in C1 should equal F1</t>
  </si>
  <si>
    <t xml:space="preserve">For your information only. Enter How Paid e.g. Cash, Cheque etc.,</t>
  </si>
  <si>
    <t xml:space="preserve">Purchase Date</t>
  </si>
  <si>
    <t xml:space="preserve">Supplier Name</t>
  </si>
  <si>
    <t xml:space="preserve">Purchase Invoice Number or Reference</t>
  </si>
  <si>
    <t xml:space="preserve">Purchase Description</t>
  </si>
  <si>
    <t xml:space="preserve">Total Purchase Value incl Vat</t>
  </si>
  <si>
    <t xml:space="preserve">Purchases           Net of Vat</t>
  </si>
  <si>
    <t xml:space="preserve">Payments Made to Creditors</t>
  </si>
  <si>
    <t xml:space="preserve">Vat Input</t>
  </si>
  <si>
    <t xml:space="preserve">Actual Amount Paid</t>
  </si>
  <si>
    <t xml:space="preserve">Purchases not yet paid</t>
  </si>
  <si>
    <t xml:space="preserve">Purchases Days Outstanding</t>
  </si>
  <si>
    <t xml:space="preserve">WorkSpace Ltd</t>
  </si>
  <si>
    <t xml:space="preserve">WS-2403</t>
  </si>
  <si>
    <t xml:space="preserve">Smith &amp; Co</t>
  </si>
  <si>
    <t xml:space="preserve">SC-2403</t>
  </si>
  <si>
    <t xml:space="preserve">TechParts Ltd</t>
  </si>
  <si>
    <t xml:space="preserve">TP-2403</t>
  </si>
  <si>
    <t xml:space="preserve">Shell</t>
  </si>
  <si>
    <t xml:space="preserve">SH-2403</t>
  </si>
  <si>
    <t xml:space="preserve">Check Total</t>
  </si>
  <si>
    <t xml:space="preserve">Total for Month</t>
  </si>
  <si>
    <t xml:space="preserve">  Enter Expense Code Letter</t>
  </si>
  <si>
    <t xml:space="preserve">Purchases Cost of Sales</t>
  </si>
  <si>
    <t xml:space="preserve"> Directors Wages         Non Paye</t>
  </si>
  <si>
    <t xml:space="preserve">Employee Wages        Non Paye</t>
  </si>
  <si>
    <t xml:space="preserve">Premises </t>
  </si>
  <si>
    <t xml:space="preserve">Distribution Transport Costs</t>
  </si>
  <si>
    <t xml:space="preserve">Equipment Tools &amp; Plant Hire</t>
  </si>
  <si>
    <t xml:space="preserve">Repairs &amp; Maintenance</t>
  </si>
  <si>
    <t xml:space="preserve">Consumable Materials</t>
  </si>
  <si>
    <t xml:space="preserve">Advertising &amp;  Promotion</t>
  </si>
  <si>
    <t xml:space="preserve">Telephone Postage &amp; Stationery</t>
  </si>
  <si>
    <t xml:space="preserve">Travel &amp; Hotel Expenses</t>
  </si>
  <si>
    <t xml:space="preserve">Motor Vehicle Expenses</t>
  </si>
  <si>
    <t xml:space="preserve">Insurance Costs</t>
  </si>
  <si>
    <t xml:space="preserve">Leasing Charges</t>
  </si>
  <si>
    <t xml:space="preserve">Legal &amp; Professional</t>
  </si>
  <si>
    <t xml:space="preserve">Charitable Donations</t>
  </si>
  <si>
    <t xml:space="preserve">Goodwill</t>
  </si>
  <si>
    <t xml:space="preserve">Fixed Asset Purchases</t>
  </si>
  <si>
    <t xml:space="preserve">Contractors </t>
  </si>
  <si>
    <t xml:space="preserve">Direct Materials</t>
  </si>
  <si>
    <t xml:space="preserve">Sub Contractors</t>
  </si>
  <si>
    <t xml:space="preserve">Other Direct Costs</t>
  </si>
  <si>
    <t xml:space="preserve">Rent &amp; Rates</t>
  </si>
  <si>
    <t xml:space="preserve">Light &amp; Heating</t>
  </si>
  <si>
    <t xml:space="preserve">CIS Certificates</t>
  </si>
  <si>
    <t xml:space="preserve">S</t>
  </si>
  <si>
    <t xml:space="preserve">C</t>
  </si>
  <si>
    <t xml:space="preserve">O</t>
  </si>
  <si>
    <t xml:space="preserve">D</t>
  </si>
  <si>
    <t xml:space="preserve">W</t>
  </si>
  <si>
    <t xml:space="preserve">R</t>
  </si>
  <si>
    <t xml:space="preserve">P</t>
  </si>
  <si>
    <t xml:space="preserve">T</t>
  </si>
  <si>
    <t xml:space="preserve">Q</t>
  </si>
  <si>
    <t xml:space="preserve">M</t>
  </si>
  <si>
    <t xml:space="preserve">U</t>
  </si>
  <si>
    <t xml:space="preserve">A</t>
  </si>
  <si>
    <t xml:space="preserve">G</t>
  </si>
  <si>
    <t xml:space="preserve">H</t>
  </si>
  <si>
    <t xml:space="preserve">V</t>
  </si>
  <si>
    <t xml:space="preserve">N</t>
  </si>
  <si>
    <t xml:space="preserve">F</t>
  </si>
  <si>
    <t xml:space="preserve">L</t>
  </si>
  <si>
    <t xml:space="preserve">Y</t>
  </si>
  <si>
    <t xml:space="preserve">Z</t>
  </si>
  <si>
    <t xml:space="preserve">FA</t>
  </si>
  <si>
    <t xml:space="preserve">Tax Paid</t>
  </si>
  <si>
    <t xml:space="preserve">Certificate No</t>
  </si>
  <si>
    <t xml:space="preserve">r</t>
  </si>
  <si>
    <t xml:space="preserve">Microsoft</t>
  </si>
  <si>
    <t xml:space="preserve">g</t>
  </si>
  <si>
    <t xml:space="preserve">Slack</t>
  </si>
  <si>
    <t xml:space="preserve">GitHub</t>
  </si>
  <si>
    <t xml:space="preserve">o</t>
  </si>
  <si>
    <t xml:space="preserve">Hiscox</t>
  </si>
  <si>
    <t xml:space="preserve">n</t>
  </si>
  <si>
    <t xml:space="preserve">Cloudflare</t>
  </si>
  <si>
    <t xml:space="preserve">Zoom</t>
  </si>
  <si>
    <t xml:space="preserve">AWS</t>
  </si>
  <si>
    <t xml:space="preserve">Argos</t>
  </si>
  <si>
    <t xml:space="preserve">u</t>
  </si>
  <si>
    <t xml:space="preserve">Ryman</t>
  </si>
  <si>
    <t xml:space="preserve">BP</t>
  </si>
  <si>
    <t xml:space="preserve">v</t>
  </si>
  <si>
    <t xml:space="preserve">DigitalOcean</t>
  </si>
  <si>
    <t xml:space="preserve">National Rail</t>
  </si>
  <si>
    <t xml:space="preserve">h</t>
  </si>
  <si>
    <t xml:space="preserve">Amazon</t>
  </si>
  <si>
    <t xml:space="preserve">Xerox</t>
  </si>
  <si>
    <t xml:space="preserve">f</t>
  </si>
  <si>
    <t xml:space="preserve">TechParts</t>
  </si>
  <si>
    <t xml:space="preserve">s</t>
  </si>
  <si>
    <t xml:space="preserve">NCP</t>
  </si>
  <si>
    <t xml:space="preserve">Toolstation</t>
  </si>
  <si>
    <t xml:space="preserve">Uber</t>
  </si>
  <si>
    <t xml:space="preserve">Costa Coffee</t>
  </si>
  <si>
    <t xml:space="preserve">Royal Mail</t>
  </si>
  <si>
    <t xml:space="preserve">Jet</t>
  </si>
  <si>
    <t xml:space="preserve">BT Business</t>
  </si>
  <si>
    <t xml:space="preserve">Office Maintenance Ltd</t>
  </si>
  <si>
    <t xml:space="preserve">m</t>
  </si>
  <si>
    <t xml:space="preserve">Greggs</t>
  </si>
  <si>
    <t xml:space="preserve">Screwfix</t>
  </si>
  <si>
    <t xml:space="preserve">Wilko</t>
  </si>
  <si>
    <t xml:space="preserve">Mileage claim</t>
  </si>
  <si>
    <t xml:space="preserve">l</t>
  </si>
  <si>
    <t xml:space="preserve">Trainline</t>
  </si>
  <si>
    <t xml:space="preserve">Hilti</t>
  </si>
  <si>
    <t xml:space="preserve">q</t>
  </si>
  <si>
    <t xml:space="preserve">Google Ads</t>
  </si>
  <si>
    <t xml:space="preserve">a</t>
  </si>
  <si>
    <t xml:space="preserve">ComponentsDirect</t>
  </si>
  <si>
    <t xml:space="preserve">Dell</t>
  </si>
  <si>
    <t xml:space="preserve">fa</t>
  </si>
  <si>
    <t xml:space="preserve">WHSmith</t>
  </si>
  <si>
    <t xml:space="preserve">ParcelForce</t>
  </si>
  <si>
    <t xml:space="preserve">t</t>
  </si>
  <si>
    <t xml:space="preserve">CableCo</t>
  </si>
  <si>
    <t xml:space="preserve">Halfords</t>
  </si>
  <si>
    <t xml:space="preserve">Vistaprint</t>
  </si>
  <si>
    <t xml:space="preserve">BuildTech Solutions</t>
  </si>
  <si>
    <t xml:space="preserve">c</t>
  </si>
  <si>
    <t xml:space="preserve">Premier Inn</t>
  </si>
  <si>
    <t xml:space="preserve">ElectroParts</t>
  </si>
  <si>
    <t xml:space="preserve">EnergySupply</t>
  </si>
  <si>
    <t xml:space="preserve">p</t>
  </si>
  <si>
    <t xml:space="preserve">Directors loan</t>
  </si>
  <si>
    <t xml:space="preserve">J. Smith Consulting</t>
  </si>
  <si>
    <t xml:space="preserve">z</t>
  </si>
  <si>
    <t xml:space="preserve">LinkedIn</t>
  </si>
  <si>
    <t xml:space="preserve">ToolHire</t>
  </si>
  <si>
    <t xml:space="preserve">IKEA</t>
  </si>
  <si>
    <t xml:space="preserve">DHL</t>
  </si>
  <si>
    <t xml:space="preserve">PC Repair Shop</t>
  </si>
  <si>
    <t xml:space="preserve">Casual worker</t>
  </si>
  <si>
    <t xml:space="preserve">w</t>
  </si>
  <si>
    <t xml:space="preserve">Jones Solicitors</t>
  </si>
  <si>
    <t xml:space="preserve">Simply Business</t>
  </si>
  <si>
    <t xml:space="preserve">TechExpo</t>
  </si>
  <si>
    <t xml:space="preserve">Ford</t>
  </si>
  <si>
    <t xml:space="preserve">Code Club UK</t>
  </si>
  <si>
    <t xml:space="preserve">y</t>
  </si>
  <si>
    <t xml:space="preserve">Director</t>
  </si>
  <si>
    <t xml:space="preserve">d</t>
  </si>
  <si>
    <t xml:space="preserve">Closing Creditors Balance</t>
  </si>
  <si>
    <t xml:space="preserve">WS-2603</t>
  </si>
  <si>
    <t xml:space="preserve">SC-2603</t>
  </si>
  <si>
    <t xml:space="preserve">BT-2603</t>
  </si>
  <si>
    <t xml:space="preserve">SH-2603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</si>
</sst>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d\-mmm\-yy"/>
    <numFmt numFmtId="166" formatCode="#,##0"/>
    <numFmt numFmtId="167" formatCode="#,##0.00_ ;[RED]\-#,##0.00\ "/>
    <numFmt numFmtId="168" formatCode="0_ ;[RED]\-0\ "/>
    <numFmt numFmtId="169" formatCode="0"/>
    <numFmt numFmtId="170" formatCode="#,##0.00"/>
    <numFmt numFmtId="171" formatCode="#,##0.0_ ;[RED]\-#,##0.0\ "/>
    <numFmt numFmtId="172" formatCode="0.00"/>
    <numFmt numFmtId="173" formatCode="General"/>
  </numFmts>
  <fonts count="11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FF0000"/>
      <name val="Times New Roman"/>
      <family val="1"/>
      <charset val="1"/>
    </font>
    <font>
      <b val="true"/>
      <sz val="9"/>
      <name val="Times New Roman"/>
      <family val="1"/>
      <charset val="1"/>
    </font>
    <font>
      <i val="true"/>
      <sz val="9"/>
      <name val="Times New Roman"/>
      <family val="1"/>
      <charset val="1"/>
    </font>
    <font>
      <sz val="9"/>
      <color rgb="FF000000"/>
      <name val="Times New Roman"/>
      <family val="1"/>
      <charset val="1"/>
    </font>
    <font>
      <sz val="9"/>
      <name val="Arial"/>
      <family val="2"/>
      <charset val="1"/>
    </font>
    <font>
      <b val="true"/>
      <sz val="9"/>
      <color rgb="FF000000"/>
      <name val="Times New Roman"/>
      <family val="1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FF"/>
        <bgColor rgb="FFC0F0F0"/>
      </patternFill>
    </fill>
    <fill>
      <patternFill patternType="solid">
        <fgColor rgb="FFC0F0F0"/>
        <bgColor rgb="FFCCFFFF"/>
      </patternFill>
    </fill>
    <fill>
      <patternFill patternType="solid">
        <fgColor rgb="FFCCFFCC"/>
        <bgColor rgb="FFCCFFFF"/>
      </patternFill>
    </fill>
    <fill>
      <patternFill patternType="solid">
        <fgColor rgb="FFFFFF99"/>
        <bgColor rgb="FFFFFFCC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/>
      <top/>
      <bottom style="medium"/>
      <diagonal/>
    </border>
    <border diagonalUp="false" diagonalDown="false">
      <left style="thin"/>
      <right style="thin"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4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0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8" fillId="3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4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2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7" fontId="4" fillId="0" borderId="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0" fillId="2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6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0F0F0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externalLink" Target="externalLinks/externalLink1.xml"/><Relationship Id="rId18" Type="http://schemas.openxmlformats.org/officeDocument/2006/relationships/externalLink" Target="externalLinks/externalLink2.xml"/><Relationship Id="rId19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Sale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>
        <row r="28">
          <cell r="D28">
            <v>0</v>
          </cell>
        </row>
        <row r="28">
          <cell r="EJ28">
            <v>0</v>
          </cell>
        </row>
        <row r="29">
          <cell r="D29">
            <v>0</v>
          </cell>
        </row>
        <row r="29">
          <cell r="EJ29">
            <v>0</v>
          </cell>
        </row>
        <row r="30">
          <cell r="D30">
            <v>0</v>
          </cell>
        </row>
        <row r="30">
          <cell r="EJ30">
            <v>0</v>
          </cell>
        </row>
        <row r="31">
          <cell r="D31">
            <v>0</v>
          </cell>
        </row>
        <row r="31">
          <cell r="EJ31">
            <v>0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OpeningDebtors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ClosingDebtors"/>
    </sheetNames>
    <sheetDataSet>
      <sheetData sheetId="0"/>
      <sheetData sheetId="1">
        <row r="2">
          <cell r="G2">
            <v>20</v>
          </cell>
        </row>
      </sheetData>
      <sheetData sheetId="2">
        <row r="2">
          <cell r="G2">
            <v>20</v>
          </cell>
        </row>
        <row r="4">
          <cell r="G4">
            <v>0</v>
          </cell>
        </row>
      </sheetData>
      <sheetData sheetId="3">
        <row r="2">
          <cell r="G2">
            <v>20</v>
          </cell>
        </row>
        <row r="4">
          <cell r="G4">
            <v>0</v>
          </cell>
        </row>
      </sheetData>
      <sheetData sheetId="4">
        <row r="2">
          <cell r="G2">
            <v>20</v>
          </cell>
        </row>
        <row r="4">
          <cell r="G4">
            <v>0</v>
          </cell>
        </row>
      </sheetData>
      <sheetData sheetId="5">
        <row r="2">
          <cell r="G2">
            <v>20</v>
          </cell>
        </row>
        <row r="4">
          <cell r="G4">
            <v>0</v>
          </cell>
        </row>
      </sheetData>
      <sheetData sheetId="6">
        <row r="2">
          <cell r="G2">
            <v>20</v>
          </cell>
        </row>
        <row r="4">
          <cell r="G4">
            <v>0</v>
          </cell>
        </row>
      </sheetData>
      <sheetData sheetId="7">
        <row r="2">
          <cell r="G2">
            <v>20</v>
          </cell>
        </row>
        <row r="4">
          <cell r="G4">
            <v>0</v>
          </cell>
        </row>
      </sheetData>
      <sheetData sheetId="8">
        <row r="2">
          <cell r="G2">
            <v>20</v>
          </cell>
        </row>
        <row r="4">
          <cell r="G4">
            <v>0</v>
          </cell>
        </row>
      </sheetData>
      <sheetData sheetId="9">
        <row r="2">
          <cell r="G2">
            <v>20</v>
          </cell>
        </row>
        <row r="4">
          <cell r="G4">
            <v>0</v>
          </cell>
        </row>
      </sheetData>
      <sheetData sheetId="10">
        <row r="2">
          <cell r="G2">
            <v>20</v>
          </cell>
        </row>
        <row r="4">
          <cell r="G4">
            <v>0</v>
          </cell>
        </row>
      </sheetData>
      <sheetData sheetId="11">
        <row r="2">
          <cell r="G2">
            <v>20</v>
          </cell>
        </row>
        <row r="4">
          <cell r="G4">
            <v>0</v>
          </cell>
        </row>
      </sheetData>
      <sheetData sheetId="12">
        <row r="2">
          <cell r="G2">
            <v>20</v>
          </cell>
        </row>
        <row r="4">
          <cell r="G4">
            <v>0</v>
          </cell>
        </row>
      </sheetData>
      <sheetData sheetId="13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0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9.66"/>
    <col collapsed="false" customWidth="true" hidden="false" outlineLevel="0" max="3" min="3" style="3" width="11.66"/>
    <col collapsed="false" customWidth="true" hidden="false" outlineLevel="0" max="4" min="4" style="4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false" hidden="false" outlineLevel="0" max="257" min="14" style="2" width="9.15"/>
  </cols>
  <sheetData>
    <row r="1" s="17" customFormat="true" ht="12.75" hidden="false" customHeight="true" outlineLevel="0" collapsed="false">
      <c r="A1" s="9" t="s">
        <v>0</v>
      </c>
      <c r="B1" s="9"/>
      <c r="C1" s="10" t="n">
        <f aca="false">-SUM([1]TrialBalance!$D$28:$D$31)</f>
        <v>-0</v>
      </c>
      <c r="D1" s="11" t="s">
        <v>1</v>
      </c>
      <c r="E1" s="11"/>
      <c r="F1" s="12" t="n">
        <f aca="false">SUM(F2:F200)</f>
        <v>0</v>
      </c>
      <c r="G1" s="12" t="e">
        <f aca="false">SUM(G5:G300)</f>
        <v>#N/A</v>
      </c>
      <c r="H1" s="12" t="n">
        <f aca="false">SUM(H2:H200)</f>
        <v>2220</v>
      </c>
      <c r="I1" s="13"/>
      <c r="J1" s="14" t="s">
        <v>2</v>
      </c>
      <c r="K1" s="15" t="n">
        <f aca="false">SUM(K5:K200)</f>
        <v>0</v>
      </c>
      <c r="L1" s="15" t="n">
        <f aca="false">SUM(L5:L200)</f>
        <v>0</v>
      </c>
      <c r="M1" s="16" t="n">
        <f aca="true">TODAY()</f>
        <v>46132</v>
      </c>
    </row>
    <row r="2" s="17" customFormat="true" ht="13.5" hidden="false" customHeight="true" outlineLevel="0" collapsed="false">
      <c r="A2" s="18" t="s">
        <v>3</v>
      </c>
      <c r="B2" s="19" t="s">
        <v>4</v>
      </c>
      <c r="C2" s="20" t="s">
        <v>5</v>
      </c>
      <c r="D2" s="21" t="s">
        <v>6</v>
      </c>
      <c r="E2" s="21"/>
      <c r="F2" s="19" t="s">
        <v>7</v>
      </c>
      <c r="G2" s="22" t="n">
        <f aca="false">IF([2]Jun!$G$4&gt;0,0,[2]Jun!$G$2)</f>
        <v>20</v>
      </c>
      <c r="H2" s="19" t="s">
        <v>8</v>
      </c>
      <c r="I2" s="13"/>
      <c r="J2" s="14"/>
      <c r="K2" s="23" t="s">
        <v>9</v>
      </c>
      <c r="L2" s="23"/>
      <c r="M2" s="23"/>
    </row>
    <row r="3" s="26" customFormat="true" ht="34.5" hidden="false" customHeight="true" outlineLevel="0" collapsed="false">
      <c r="A3" s="18"/>
      <c r="B3" s="18"/>
      <c r="C3" s="18"/>
      <c r="D3" s="18"/>
      <c r="E3" s="18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</row>
    <row r="4" s="27" customFormat="true" ht="12.75" hidden="false" customHeight="true" outlineLevel="0" collapsed="false">
      <c r="A4" s="18"/>
      <c r="B4" s="18"/>
      <c r="C4" s="18"/>
      <c r="D4" s="18"/>
      <c r="E4" s="18"/>
      <c r="F4" s="19"/>
      <c r="G4" s="19"/>
      <c r="H4" s="19"/>
      <c r="I4" s="13"/>
      <c r="J4" s="14"/>
      <c r="K4" s="24"/>
      <c r="L4" s="24"/>
      <c r="M4" s="24"/>
    </row>
    <row r="5" s="5" customFormat="true" ht="12" hidden="false" customHeight="false" outlineLevel="0" collapsed="false">
      <c r="A5" s="28"/>
      <c r="B5" s="5" t="s">
        <v>14</v>
      </c>
      <c r="C5" s="29" t="s">
        <v>15</v>
      </c>
      <c r="H5" s="6" t="n">
        <v>1200</v>
      </c>
      <c r="J5" s="6"/>
      <c r="K5" s="6"/>
      <c r="L5" s="7" t="str">
        <f aca="false">IF(F5&lt;&gt;0,F5-K5," ")</f>
        <v> </v>
      </c>
      <c r="M5" s="8" t="str">
        <f aca="false">IF((F5-K5)&lt;&gt;0,M$1-A5," ")</f>
        <v> </v>
      </c>
    </row>
    <row r="6" customFormat="false" ht="12" hidden="false" customHeight="false" outlineLevel="0" collapsed="false">
      <c r="A6" s="28"/>
      <c r="B6" s="2" t="s">
        <v>16</v>
      </c>
      <c r="C6" s="3" t="s">
        <v>17</v>
      </c>
      <c r="E6" s="2"/>
      <c r="G6" s="6" t="str">
        <f aca="false">IF(F6&lt;&gt;0,F6*G$2/(100+G$2)," ")</f>
        <v> </v>
      </c>
      <c r="H6" s="6" t="n">
        <v>300</v>
      </c>
      <c r="L6" s="7" t="str">
        <f aca="false">IF(F6&lt;&gt;0,F6-K6," ")</f>
        <v> </v>
      </c>
      <c r="M6" s="8" t="str">
        <f aca="false">IF((F6-K6)&lt;&gt;0,M$1-A6," ")</f>
        <v> </v>
      </c>
    </row>
    <row r="7" customFormat="false" ht="12" hidden="false" customHeight="false" outlineLevel="0" collapsed="false">
      <c r="A7" s="28"/>
      <c r="B7" s="2" t="s">
        <v>18</v>
      </c>
      <c r="C7" s="3" t="s">
        <v>19</v>
      </c>
      <c r="E7" s="2"/>
      <c r="G7" s="6" t="str">
        <f aca="false">IF(F7&lt;&gt;0,F7*G$2/(100+G$2)," ")</f>
        <v> </v>
      </c>
      <c r="H7" s="6" t="n">
        <v>600</v>
      </c>
      <c r="L7" s="7" t="str">
        <f aca="false">IF(F7&lt;&gt;0,F7-K7," ")</f>
        <v> </v>
      </c>
      <c r="M7" s="8" t="str">
        <f aca="false">IF((F7-K7)&lt;&gt;0,M$1-A7," ")</f>
        <v> </v>
      </c>
    </row>
    <row r="8" customFormat="false" ht="12" hidden="false" customHeight="false" outlineLevel="0" collapsed="false">
      <c r="A8" s="28"/>
      <c r="B8" s="2" t="s">
        <v>20</v>
      </c>
      <c r="C8" s="3" t="s">
        <v>21</v>
      </c>
      <c r="E8" s="2"/>
      <c r="G8" s="6" t="str">
        <f aca="false">IF(F8&lt;&gt;0,F8*G$2/(100+G$2)," ")</f>
        <v> </v>
      </c>
      <c r="H8" s="6" t="n">
        <v>120</v>
      </c>
      <c r="L8" s="7" t="str">
        <f aca="false">IF(F8&lt;&gt;0,F8-K8," ")</f>
        <v> </v>
      </c>
      <c r="M8" s="8" t="str">
        <f aca="false">IF((F8-K8)&lt;&gt;0,M$1-A8," ")</f>
        <v> </v>
      </c>
    </row>
    <row r="9" customFormat="false" ht="12" hidden="false" customHeight="false" outlineLevel="0" collapsed="false">
      <c r="A9" s="28"/>
      <c r="E9" s="2"/>
      <c r="G9" s="6" t="str">
        <f aca="false">IF(F9&lt;&gt;0,F9*G$2/(100+G$2)," ")</f>
        <v> </v>
      </c>
      <c r="L9" s="7" t="str">
        <f aca="false">IF(F9&lt;&gt;0,F9-K9," ")</f>
        <v> </v>
      </c>
      <c r="M9" s="8" t="str">
        <f aca="false">IF((F9-K9)&lt;&gt;0,M$1-A9," ")</f>
        <v> </v>
      </c>
    </row>
    <row r="10" customFormat="false" ht="12" hidden="false" customHeight="false" outlineLevel="0" collapsed="false">
      <c r="A10" s="28"/>
      <c r="E10" s="2"/>
      <c r="G10" s="6" t="str">
        <f aca="false">IF(F10&lt;&gt;0,F10*G$2/(100+G$2)," ")</f>
        <v> </v>
      </c>
      <c r="L10" s="7" t="str">
        <f aca="false">IF(F10&lt;&gt;0,F10-K10," ")</f>
        <v> </v>
      </c>
      <c r="M10" s="8" t="str">
        <f aca="false">IF((F10-K10)&lt;&gt;0,M$1-A10," ")</f>
        <v> </v>
      </c>
    </row>
    <row r="11" customFormat="false" ht="12" hidden="false" customHeight="false" outlineLevel="0" collapsed="false">
      <c r="A11" s="28"/>
      <c r="E11" s="2"/>
      <c r="G11" s="6" t="str">
        <f aca="false">IF(F11&lt;&gt;0,F11*G$2/(100+G$2)," ")</f>
        <v> </v>
      </c>
      <c r="L11" s="7" t="str">
        <f aca="false">IF(F11&lt;&gt;0,F11-K11," ")</f>
        <v> </v>
      </c>
      <c r="M11" s="8" t="str">
        <f aca="false">IF((F11-K11)&lt;&gt;0,M$1-A11," ")</f>
        <v> </v>
      </c>
    </row>
    <row r="12" customFormat="false" ht="12" hidden="false" customHeight="false" outlineLevel="0" collapsed="false">
      <c r="A12" s="28"/>
      <c r="E12" s="2"/>
      <c r="G12" s="6" t="str">
        <f aca="false">IF(F12&lt;&gt;0,F12*G$2/(100+G$2)," ")</f>
        <v> </v>
      </c>
      <c r="L12" s="7" t="str">
        <f aca="false">IF(F12&lt;&gt;0,F12-K12," ")</f>
        <v> </v>
      </c>
      <c r="M12" s="8" t="str">
        <f aca="false">IF((F12-K12)&lt;&gt;0,M$1-A12," ")</f>
        <v> </v>
      </c>
    </row>
    <row r="13" customFormat="false" ht="12" hidden="false" customHeight="false" outlineLevel="0" collapsed="false">
      <c r="A13" s="28"/>
      <c r="E13" s="2"/>
      <c r="G13" s="6" t="str">
        <f aca="false">IF(F13&lt;&gt;0,F13*G$2/(100+G$2)," ")</f>
        <v> </v>
      </c>
      <c r="L13" s="7" t="str">
        <f aca="false">IF(F13&lt;&gt;0,F13-K13," ")</f>
        <v> </v>
      </c>
      <c r="M13" s="8" t="str">
        <f aca="false">IF((F13-K13)&lt;&gt;0,M$1-A13," ")</f>
        <v> </v>
      </c>
    </row>
    <row r="14" customFormat="false" ht="12" hidden="false" customHeight="false" outlineLevel="0" collapsed="false">
      <c r="A14" s="28"/>
      <c r="E14" s="2"/>
      <c r="G14" s="6" t="str">
        <f aca="false">IF(F14&lt;&gt;0,F14*G$2/(100+G$2),"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</row>
    <row r="15" customFormat="false" ht="12" hidden="false" customHeight="false" outlineLevel="0" collapsed="false">
      <c r="A15" s="28"/>
      <c r="E15" s="2"/>
      <c r="G15" s="6" t="str">
        <f aca="false">IF(F15&lt;&gt;0,F15*G$2/(100+G$2),"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</row>
    <row r="16" customFormat="false" ht="12" hidden="false" customHeight="false" outlineLevel="0" collapsed="false">
      <c r="A16" s="28"/>
      <c r="E16" s="2"/>
      <c r="G16" s="6" t="str">
        <f aca="false">IF(F16&lt;&gt;0,F16*G$2/(100+G$2),"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</row>
    <row r="17" customFormat="false" ht="12" hidden="false" customHeight="false" outlineLevel="0" collapsed="false">
      <c r="A17" s="28"/>
      <c r="E17" s="2"/>
      <c r="G17" s="6" t="str">
        <f aca="false">IF(F17&lt;&gt;0,F17*G$2/(100+G$2),"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</row>
    <row r="18" customFormat="false" ht="12" hidden="false" customHeight="false" outlineLevel="0" collapsed="false">
      <c r="A18" s="28"/>
      <c r="E18" s="2"/>
      <c r="G18" s="6" t="str">
        <f aca="false">IF(F18&lt;&gt;0,F18*G$2/(100+G$2),"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</row>
    <row r="19" customFormat="false" ht="12" hidden="false" customHeight="false" outlineLevel="0" collapsed="false">
      <c r="A19" s="28"/>
      <c r="E19" s="2"/>
      <c r="G19" s="6" t="str">
        <f aca="false">IF(F19&lt;&gt;0,F19*G$2/(100+G$2),"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</row>
    <row r="20" customFormat="false" ht="12" hidden="false" customHeight="false" outlineLevel="0" collapsed="false">
      <c r="A20" s="28"/>
      <c r="E20" s="2"/>
      <c r="G20" s="6" t="str">
        <f aca="false">IF(F20&lt;&gt;0,F20*G$2/(100+G$2),"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</row>
    <row r="21" customFormat="false" ht="12" hidden="false" customHeight="false" outlineLevel="0" collapsed="false">
      <c r="A21" s="28"/>
      <c r="E21" s="2"/>
      <c r="G21" s="6" t="str">
        <f aca="false">IF(F21&lt;&gt;0,F21*G$2/(100+G$2),"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</row>
    <row r="22" customFormat="false" ht="12" hidden="false" customHeight="false" outlineLevel="0" collapsed="false">
      <c r="A22" s="28"/>
      <c r="D22" s="2"/>
      <c r="E22" s="2"/>
      <c r="G22" s="6" t="str">
        <f aca="false">IF(F22&lt;&gt;0,F22*G$2/(100+G$2),"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</row>
    <row r="23" customFormat="false" ht="12" hidden="false" customHeight="false" outlineLevel="0" collapsed="false">
      <c r="A23" s="28"/>
      <c r="D23" s="30"/>
      <c r="E23" s="2"/>
      <c r="G23" s="6" t="str">
        <f aca="false">IF(F23&lt;&gt;0,F23*G$2/(100+G$2),"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</row>
    <row r="24" customFormat="false" ht="12" hidden="false" customHeight="false" outlineLevel="0" collapsed="false">
      <c r="A24" s="28"/>
      <c r="E24" s="2"/>
      <c r="G24" s="6" t="str">
        <f aca="false">IF(F24&lt;&gt;0,F24*G$2/(100+G$2),"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</row>
    <row r="25" customFormat="false" ht="12" hidden="false" customHeight="false" outlineLevel="0" collapsed="false">
      <c r="A25" s="28"/>
      <c r="E25" s="2"/>
      <c r="G25" s="6" t="str">
        <f aca="false">IF(F25&lt;&gt;0,F25*G$2/(100+G$2),"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</row>
    <row r="26" customFormat="false" ht="12" hidden="false" customHeight="false" outlineLevel="0" collapsed="false">
      <c r="A26" s="28"/>
      <c r="E26" s="2"/>
      <c r="G26" s="6" t="str">
        <f aca="false">IF(F26&lt;&gt;0,F26*G$2/(100+G$2),"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</row>
    <row r="27" customFormat="false" ht="12" hidden="false" customHeight="false" outlineLevel="0" collapsed="false">
      <c r="A27" s="28"/>
      <c r="E27" s="2"/>
      <c r="G27" s="6" t="str">
        <f aca="false">IF(F27&lt;&gt;0,F27*G$2/(100+G$2),"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</row>
    <row r="28" customFormat="false" ht="12" hidden="false" customHeight="false" outlineLevel="0" collapsed="false">
      <c r="A28" s="28"/>
      <c r="E28" s="2"/>
      <c r="G28" s="6" t="str">
        <f aca="false">IF(F28&lt;&gt;0,F28*G$2/(100+G$2),"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</row>
    <row r="29" customFormat="false" ht="12" hidden="false" customHeight="false" outlineLevel="0" collapsed="false">
      <c r="A29" s="28"/>
      <c r="E29" s="2"/>
      <c r="G29" s="6" t="str">
        <f aca="false">IF(F29&lt;&gt;0,F29*G$2/(100+G$2),"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</row>
    <row r="30" customFormat="false" ht="12" hidden="false" customHeight="false" outlineLevel="0" collapsed="false">
      <c r="A30" s="28"/>
      <c r="E30" s="2"/>
      <c r="G30" s="6" t="str">
        <f aca="false">IF(F30&lt;&gt;0,F30*G$2/(100+G$2),"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</row>
    <row r="31" customFormat="false" ht="12" hidden="false" customHeight="false" outlineLevel="0" collapsed="false">
      <c r="A31" s="28"/>
      <c r="E31" s="2"/>
      <c r="G31" s="6" t="str">
        <f aca="false">IF(F31&lt;&gt;0,F31*G$2/(100+G$2),"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</row>
    <row r="32" customFormat="false" ht="12" hidden="false" customHeight="false" outlineLevel="0" collapsed="false">
      <c r="A32" s="28"/>
      <c r="E32" s="2"/>
      <c r="G32" s="6" t="str">
        <f aca="false">IF(F32&lt;&gt;0,F32*G$2/(100+G$2),"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</row>
    <row r="33" customFormat="false" ht="12" hidden="false" customHeight="false" outlineLevel="0" collapsed="false">
      <c r="A33" s="28"/>
      <c r="E33" s="2"/>
      <c r="G33" s="6" t="str">
        <f aca="false">IF(F33&lt;&gt;0,F33*G$2/(100+G$2),"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</row>
    <row r="34" customFormat="false" ht="12" hidden="false" customHeight="false" outlineLevel="0" collapsed="false">
      <c r="A34" s="28"/>
      <c r="E34" s="2"/>
      <c r="G34" s="6" t="str">
        <f aca="false">IF(F34&lt;&gt;0,F34*G$2/(100+G$2),"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</row>
    <row r="35" customFormat="false" ht="12" hidden="false" customHeight="false" outlineLevel="0" collapsed="false">
      <c r="A35" s="28"/>
      <c r="E35" s="2"/>
      <c r="G35" s="6" t="str">
        <f aca="false">IF(F35&lt;&gt;0,F35*G$2/(100+G$2),"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</row>
    <row r="36" customFormat="false" ht="12" hidden="false" customHeight="false" outlineLevel="0" collapsed="false">
      <c r="A36" s="28"/>
      <c r="E36" s="2"/>
      <c r="G36" s="6" t="str">
        <f aca="false">IF(F36&lt;&gt;0,F36*G$2/(100+G$2),"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</row>
    <row r="37" customFormat="false" ht="12" hidden="false" customHeight="false" outlineLevel="0" collapsed="false">
      <c r="A37" s="28"/>
      <c r="E37" s="2"/>
      <c r="G37" s="6" t="str">
        <f aca="false">IF(F37&lt;&gt;0,F37*G$2/(100+G$2),"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</row>
    <row r="38" customFormat="false" ht="12" hidden="false" customHeight="false" outlineLevel="0" collapsed="false">
      <c r="A38" s="28"/>
      <c r="E38" s="2"/>
      <c r="G38" s="6" t="str">
        <f aca="false">IF(F38&lt;&gt;0,F38*G$2/(100+G$2),"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</row>
    <row r="39" customFormat="false" ht="12" hidden="false" customHeight="false" outlineLevel="0" collapsed="false">
      <c r="A39" s="28"/>
      <c r="E39" s="2"/>
      <c r="G39" s="6" t="str">
        <f aca="false">IF(F39&lt;&gt;0,F39*G$2/(100+G$2),"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</row>
    <row r="40" customFormat="false" ht="12" hidden="false" customHeight="false" outlineLevel="0" collapsed="false">
      <c r="A40" s="28"/>
      <c r="E40" s="2"/>
      <c r="G40" s="6" t="str">
        <f aca="false">IF(F40&lt;&gt;0,F40*G$2/(100+G$2),"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</row>
    <row r="41" customFormat="false" ht="12" hidden="false" customHeight="false" outlineLevel="0" collapsed="false">
      <c r="A41" s="28"/>
      <c r="E41" s="2"/>
      <c r="G41" s="6" t="str">
        <f aca="false">IF(F41&lt;&gt;0,F41*G$2/(100+G$2),"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</row>
    <row r="42" customFormat="false" ht="12" hidden="false" customHeight="false" outlineLevel="0" collapsed="false">
      <c r="A42" s="28"/>
      <c r="E42" s="2"/>
      <c r="G42" s="6" t="str">
        <f aca="false">IF(F42&lt;&gt;0,F42*G$2/(100+G$2),"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</row>
    <row r="43" customFormat="false" ht="12" hidden="false" customHeight="false" outlineLevel="0" collapsed="false">
      <c r="A43" s="28"/>
      <c r="E43" s="2"/>
      <c r="G43" s="6" t="str">
        <f aca="false">IF(F43&lt;&gt;0,F43*G$2/(100+G$2),"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</row>
    <row r="44" customFormat="false" ht="12" hidden="false" customHeight="false" outlineLevel="0" collapsed="false">
      <c r="A44" s="28"/>
      <c r="E44" s="2"/>
      <c r="G44" s="6" t="str">
        <f aca="false">IF(F44&lt;&gt;0,F44*G$2/(100+G$2),"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</row>
    <row r="45" customFormat="false" ht="12" hidden="false" customHeight="false" outlineLevel="0" collapsed="false">
      <c r="A45" s="28"/>
      <c r="E45" s="2"/>
      <c r="G45" s="6" t="str">
        <f aca="false">IF(F45&lt;&gt;0,F45*G$2/(100+G$2),"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</row>
    <row r="46" customFormat="false" ht="12" hidden="false" customHeight="false" outlineLevel="0" collapsed="false">
      <c r="A46" s="28"/>
      <c r="E46" s="2"/>
      <c r="G46" s="6" t="str">
        <f aca="false">IF(F46&lt;&gt;0,F46*G$2/(100+G$2),"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</row>
    <row r="47" customFormat="false" ht="12" hidden="false" customHeight="false" outlineLevel="0" collapsed="false">
      <c r="A47" s="28"/>
      <c r="E47" s="2"/>
      <c r="G47" s="6" t="str">
        <f aca="false">IF(F47&lt;&gt;0,F47*G$2/(100+G$2),"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</row>
    <row r="48" customFormat="false" ht="12" hidden="false" customHeight="false" outlineLevel="0" collapsed="false">
      <c r="A48" s="28"/>
      <c r="E48" s="2"/>
      <c r="G48" s="6" t="str">
        <f aca="false">IF(F48&lt;&gt;0,F48*G$2/(100+G$2),"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</row>
    <row r="49" customFormat="false" ht="12" hidden="false" customHeight="false" outlineLevel="0" collapsed="false">
      <c r="A49" s="28"/>
      <c r="E49" s="2"/>
      <c r="G49" s="6" t="str">
        <f aca="false">IF(F49&lt;&gt;0,F49*G$2/(100+G$2),"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</row>
    <row r="50" customFormat="false" ht="12" hidden="false" customHeight="false" outlineLevel="0" collapsed="false">
      <c r="A50" s="28"/>
      <c r="E50" s="2"/>
      <c r="G50" s="6" t="str">
        <f aca="false">IF(F50&lt;&gt;0,F50*G$2/(100+G$2),"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</row>
    <row r="51" customFormat="false" ht="12" hidden="false" customHeight="false" outlineLevel="0" collapsed="false">
      <c r="A51" s="28"/>
      <c r="E51" s="2"/>
      <c r="G51" s="6" t="str">
        <f aca="false">IF(F51&lt;&gt;0,F51*G$2/(100+G$2),"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</row>
    <row r="52" customFormat="false" ht="12" hidden="false" customHeight="false" outlineLevel="0" collapsed="false">
      <c r="A52" s="28"/>
      <c r="E52" s="2"/>
      <c r="G52" s="6" t="str">
        <f aca="false">IF(F52&lt;&gt;0,F52*G$2/(100+G$2),"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</row>
    <row r="53" customFormat="false" ht="12" hidden="false" customHeight="false" outlineLevel="0" collapsed="false">
      <c r="A53" s="28"/>
      <c r="E53" s="2"/>
      <c r="G53" s="6" t="str">
        <f aca="false">IF(F53&lt;&gt;0,F53*G$2/(100+G$2),"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</row>
    <row r="54" customFormat="false" ht="12" hidden="false" customHeight="false" outlineLevel="0" collapsed="false">
      <c r="A54" s="28"/>
      <c r="E54" s="2"/>
      <c r="G54" s="6" t="str">
        <f aca="false">IF(F54&lt;&gt;0,F54*G$2/(100+G$2),"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</row>
    <row r="55" customFormat="false" ht="12" hidden="false" customHeight="false" outlineLevel="0" collapsed="false">
      <c r="A55" s="28"/>
      <c r="E55" s="2"/>
      <c r="G55" s="6" t="str">
        <f aca="false">IF(F55&lt;&gt;0,F55*G$2/(100+G$2),"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</row>
    <row r="56" customFormat="false" ht="12" hidden="false" customHeight="false" outlineLevel="0" collapsed="false">
      <c r="A56" s="28"/>
      <c r="E56" s="2"/>
      <c r="G56" s="6" t="str">
        <f aca="false">IF(F56&lt;&gt;0,F56*G$2/(100+G$2),"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</row>
    <row r="57" customFormat="false" ht="12" hidden="false" customHeight="false" outlineLevel="0" collapsed="false">
      <c r="A57" s="28"/>
      <c r="E57" s="2"/>
      <c r="G57" s="6" t="str">
        <f aca="false">IF(F57&lt;&gt;0,F57*G$2/(100+G$2),"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</row>
    <row r="58" customFormat="false" ht="12" hidden="false" customHeight="false" outlineLevel="0" collapsed="false">
      <c r="A58" s="28"/>
      <c r="E58" s="2"/>
      <c r="G58" s="6" t="str">
        <f aca="false">IF(F58&lt;&gt;0,F58*G$2/(100+G$2),"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</row>
    <row r="59" customFormat="false" ht="12" hidden="false" customHeight="false" outlineLevel="0" collapsed="false">
      <c r="A59" s="28"/>
      <c r="E59" s="2"/>
      <c r="G59" s="6" t="str">
        <f aca="false">IF(F59&lt;&gt;0,F59*G$2/(100+G$2),"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</row>
    <row r="60" customFormat="false" ht="12" hidden="false" customHeight="false" outlineLevel="0" collapsed="false">
      <c r="A60" s="28"/>
      <c r="E60" s="2"/>
      <c r="G60" s="6" t="str">
        <f aca="false">IF(F60&lt;&gt;0,F60*G$2/(100+G$2),"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</row>
    <row r="61" customFormat="false" ht="12" hidden="false" customHeight="false" outlineLevel="0" collapsed="false">
      <c r="A61" s="28"/>
      <c r="E61" s="2"/>
      <c r="G61" s="6" t="str">
        <f aca="false">IF(F61&lt;&gt;0,F61*G$2/(100+G$2),"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</row>
    <row r="62" customFormat="false" ht="12" hidden="false" customHeight="false" outlineLevel="0" collapsed="false">
      <c r="A62" s="28"/>
      <c r="E62" s="2"/>
      <c r="G62" s="6" t="str">
        <f aca="false">IF(F62&lt;&gt;0,F62*G$2/(100+G$2),"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</row>
    <row r="63" customFormat="false" ht="12" hidden="false" customHeight="false" outlineLevel="0" collapsed="false">
      <c r="A63" s="28"/>
      <c r="E63" s="2"/>
      <c r="G63" s="6" t="str">
        <f aca="false">IF(F63&lt;&gt;0,F63*G$2/(100+G$2),"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</row>
    <row r="64" customFormat="false" ht="12" hidden="false" customHeight="false" outlineLevel="0" collapsed="false">
      <c r="A64" s="28"/>
      <c r="E64" s="2"/>
      <c r="G64" s="6" t="str">
        <f aca="false">IF(F64&lt;&gt;0,F64*G$2/(100+G$2),"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</row>
    <row r="65" customFormat="false" ht="12" hidden="false" customHeight="false" outlineLevel="0" collapsed="false">
      <c r="A65" s="28"/>
      <c r="E65" s="2"/>
      <c r="G65" s="6" t="str">
        <f aca="false">IF(F65&lt;&gt;0,F65*G$2/(100+G$2),"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</row>
    <row r="66" customFormat="false" ht="12" hidden="false" customHeight="false" outlineLevel="0" collapsed="false">
      <c r="A66" s="28"/>
      <c r="E66" s="2"/>
      <c r="G66" s="6" t="str">
        <f aca="false">IF(F66&lt;&gt;0,F66*G$2/(100+G$2),"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</row>
    <row r="67" customFormat="false" ht="12" hidden="false" customHeight="false" outlineLevel="0" collapsed="false">
      <c r="A67" s="28"/>
      <c r="E67" s="2"/>
      <c r="G67" s="6" t="str">
        <f aca="false">IF(F67&lt;&gt;0,F67*G$2/(100+G$2),"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</row>
    <row r="68" customFormat="false" ht="12" hidden="false" customHeight="false" outlineLevel="0" collapsed="false">
      <c r="A68" s="28"/>
      <c r="E68" s="2"/>
      <c r="G68" s="6" t="str">
        <f aca="false">IF(F68&lt;&gt;0,F68*G$2/(100+G$2),"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</row>
    <row r="69" customFormat="false" ht="12" hidden="false" customHeight="false" outlineLevel="0" collapsed="false">
      <c r="A69" s="28"/>
      <c r="E69" s="2"/>
      <c r="G69" s="6" t="str">
        <f aca="false">IF(F69&lt;&gt;0,F69*G$2/(100+G$2),"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</row>
    <row r="70" customFormat="false" ht="12" hidden="false" customHeight="false" outlineLevel="0" collapsed="false">
      <c r="A70" s="28"/>
      <c r="E70" s="2"/>
      <c r="G70" s="6" t="str">
        <f aca="false">IF(F70&lt;&gt;0,F70*G$2/(100+G$2),"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</row>
    <row r="71" customFormat="false" ht="12" hidden="false" customHeight="false" outlineLevel="0" collapsed="false">
      <c r="A71" s="28"/>
      <c r="E71" s="2"/>
      <c r="G71" s="6" t="str">
        <f aca="false">IF(F71&lt;&gt;0,F71*G$2/(100+G$2)," ")</f>
        <v> </v>
      </c>
      <c r="H71" s="6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</row>
    <row r="72" customFormat="false" ht="12" hidden="false" customHeight="false" outlineLevel="0" collapsed="false">
      <c r="A72" s="28"/>
      <c r="E72" s="2"/>
      <c r="G72" s="6" t="str">
        <f aca="false">IF(F72&lt;&gt;0,F72*G$2/(100+G$2)," ")</f>
        <v> </v>
      </c>
      <c r="H72" s="6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</row>
    <row r="73" customFormat="false" ht="12" hidden="false" customHeight="false" outlineLevel="0" collapsed="false">
      <c r="A73" s="28"/>
      <c r="E73" s="2"/>
      <c r="G73" s="6" t="str">
        <f aca="false">IF(F73&lt;&gt;0,F73*G$2/(100+G$2)," ")</f>
        <v> </v>
      </c>
      <c r="H73" s="6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</row>
    <row r="74" customFormat="false" ht="12" hidden="false" customHeight="false" outlineLevel="0" collapsed="false">
      <c r="A74" s="28"/>
      <c r="E74" s="2"/>
      <c r="G74" s="6" t="str">
        <f aca="false">IF(F74&lt;&gt;0,F74*G$2/(100+G$2)," ")</f>
        <v> </v>
      </c>
      <c r="H74" s="6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</row>
    <row r="75" customFormat="false" ht="12" hidden="false" customHeight="false" outlineLevel="0" collapsed="false">
      <c r="A75" s="28"/>
      <c r="E75" s="2"/>
      <c r="G75" s="6" t="str">
        <f aca="false">IF(F75&lt;&gt;0,F75*G$2/(100+G$2)," ")</f>
        <v> </v>
      </c>
      <c r="H75" s="6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</row>
    <row r="76" customFormat="false" ht="12" hidden="false" customHeight="false" outlineLevel="0" collapsed="false">
      <c r="A76" s="28"/>
      <c r="E76" s="2"/>
      <c r="G76" s="6" t="str">
        <f aca="false">IF(F76&lt;&gt;0,F76*G$2/(100+G$2)," ")</f>
        <v> </v>
      </c>
      <c r="H76" s="6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</row>
    <row r="77" customFormat="false" ht="12" hidden="false" customHeight="false" outlineLevel="0" collapsed="false">
      <c r="A77" s="28"/>
      <c r="E77" s="2"/>
      <c r="G77" s="6" t="str">
        <f aca="false">IF(F77&lt;&gt;0,F77*G$2/(100+G$2)," ")</f>
        <v> </v>
      </c>
      <c r="H77" s="6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</row>
    <row r="78" customFormat="false" ht="12" hidden="false" customHeight="false" outlineLevel="0" collapsed="false">
      <c r="A78" s="28"/>
      <c r="E78" s="2"/>
      <c r="G78" s="6" t="str">
        <f aca="false">IF(F78&lt;&gt;0,F78*G$2/(100+G$2)," ")</f>
        <v> </v>
      </c>
      <c r="H78" s="6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</row>
    <row r="79" customFormat="false" ht="12" hidden="false" customHeight="false" outlineLevel="0" collapsed="false">
      <c r="A79" s="28"/>
      <c r="E79" s="2"/>
      <c r="G79" s="6" t="str">
        <f aca="false">IF(F79&lt;&gt;0,F79*G$2/(100+G$2)," ")</f>
        <v> </v>
      </c>
      <c r="H79" s="6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</row>
    <row r="80" customFormat="false" ht="12" hidden="false" customHeight="false" outlineLevel="0" collapsed="false">
      <c r="A80" s="28"/>
      <c r="E80" s="2"/>
      <c r="G80" s="6" t="str">
        <f aca="false">IF(F80&lt;&gt;0,F80*G$2/(100+G$2)," ")</f>
        <v> </v>
      </c>
      <c r="H80" s="6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</row>
    <row r="81" customFormat="false" ht="12" hidden="false" customHeight="false" outlineLevel="0" collapsed="false">
      <c r="A81" s="28"/>
      <c r="E81" s="2"/>
      <c r="G81" s="6" t="str">
        <f aca="false">IF(F81&lt;&gt;0,F81*G$2/(100+G$2)," ")</f>
        <v> </v>
      </c>
      <c r="H81" s="6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</row>
    <row r="82" customFormat="false" ht="12" hidden="false" customHeight="false" outlineLevel="0" collapsed="false">
      <c r="A82" s="28"/>
      <c r="E82" s="2"/>
      <c r="G82" s="6" t="str">
        <f aca="false">IF(F82&lt;&gt;0,F82*G$2/(100+G$2)," ")</f>
        <v> </v>
      </c>
      <c r="H82" s="6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</row>
    <row r="83" customFormat="false" ht="12" hidden="false" customHeight="false" outlineLevel="0" collapsed="false">
      <c r="A83" s="28"/>
      <c r="E83" s="2"/>
      <c r="G83" s="6" t="str">
        <f aca="false">IF(F83&lt;&gt;0,F83*G$2/(100+G$2)," ")</f>
        <v> </v>
      </c>
      <c r="H83" s="6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</row>
    <row r="84" customFormat="false" ht="12" hidden="false" customHeight="false" outlineLevel="0" collapsed="false">
      <c r="A84" s="28"/>
      <c r="E84" s="2"/>
      <c r="G84" s="6" t="str">
        <f aca="false">IF(F84&lt;&gt;0,F84*G$2/(100+G$2)," ")</f>
        <v> </v>
      </c>
      <c r="H84" s="6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</row>
    <row r="85" customFormat="false" ht="12" hidden="false" customHeight="false" outlineLevel="0" collapsed="false">
      <c r="A85" s="28"/>
      <c r="E85" s="2"/>
      <c r="G85" s="6" t="str">
        <f aca="false">IF(F85&lt;&gt;0,F85*G$2/(100+G$2)," ")</f>
        <v> </v>
      </c>
      <c r="H85" s="6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</row>
    <row r="86" customFormat="false" ht="12" hidden="false" customHeight="false" outlineLevel="0" collapsed="false">
      <c r="A86" s="28"/>
      <c r="E86" s="2"/>
      <c r="G86" s="6" t="str">
        <f aca="false">IF(F86&lt;&gt;0,F86*G$2/(100+G$2)," ")</f>
        <v> </v>
      </c>
      <c r="H86" s="6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</row>
    <row r="87" customFormat="false" ht="12" hidden="false" customHeight="false" outlineLevel="0" collapsed="false">
      <c r="A87" s="28"/>
      <c r="E87" s="2"/>
      <c r="G87" s="6" t="str">
        <f aca="false">IF(F87&lt;&gt;0,F87*G$2/(100+G$2)," ")</f>
        <v> </v>
      </c>
      <c r="H87" s="6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</row>
    <row r="88" customFormat="false" ht="12" hidden="false" customHeight="false" outlineLevel="0" collapsed="false">
      <c r="A88" s="28"/>
      <c r="E88" s="2"/>
      <c r="G88" s="6" t="str">
        <f aca="false">IF(F88&lt;&gt;0,F88*G$2/(100+G$2)," ")</f>
        <v> </v>
      </c>
      <c r="H88" s="6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</row>
    <row r="89" customFormat="false" ht="12" hidden="false" customHeight="false" outlineLevel="0" collapsed="false">
      <c r="A89" s="28"/>
      <c r="E89" s="2"/>
      <c r="G89" s="6" t="str">
        <f aca="false">IF(F89&lt;&gt;0,F89*G$2/(100+G$2)," ")</f>
        <v> </v>
      </c>
      <c r="H89" s="6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</row>
    <row r="90" customFormat="false" ht="12" hidden="false" customHeight="false" outlineLevel="0" collapsed="false">
      <c r="A90" s="28"/>
      <c r="E90" s="2"/>
      <c r="G90" s="6" t="str">
        <f aca="false">IF(F90&lt;&gt;0,F90*G$2/(100+G$2)," ")</f>
        <v> </v>
      </c>
      <c r="H90" s="6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</row>
    <row r="91" customFormat="false" ht="12" hidden="false" customHeight="false" outlineLevel="0" collapsed="false">
      <c r="A91" s="28"/>
      <c r="E91" s="2"/>
      <c r="G91" s="6" t="str">
        <f aca="false">IF(F91&lt;&gt;0,F91*G$2/(100+G$2)," ")</f>
        <v> </v>
      </c>
      <c r="H91" s="6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</row>
    <row r="92" customFormat="false" ht="12" hidden="false" customHeight="false" outlineLevel="0" collapsed="false">
      <c r="A92" s="28"/>
      <c r="E92" s="2"/>
      <c r="G92" s="6" t="str">
        <f aca="false">IF(F92&lt;&gt;0,F92*G$2/(100+G$2)," ")</f>
        <v> </v>
      </c>
      <c r="H92" s="6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</row>
    <row r="93" customFormat="false" ht="12" hidden="false" customHeight="false" outlineLevel="0" collapsed="false">
      <c r="A93" s="28"/>
      <c r="E93" s="2"/>
      <c r="G93" s="6" t="str">
        <f aca="false">IF(F93&lt;&gt;0,F93*G$2/(100+G$2)," ")</f>
        <v> </v>
      </c>
      <c r="H93" s="6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</row>
    <row r="94" customFormat="false" ht="12" hidden="false" customHeight="false" outlineLevel="0" collapsed="false">
      <c r="A94" s="28"/>
      <c r="E94" s="2"/>
      <c r="G94" s="6" t="str">
        <f aca="false">IF(F94&lt;&gt;0,F94*G$2/(100+G$2)," ")</f>
        <v> </v>
      </c>
      <c r="H94" s="6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</row>
    <row r="95" customFormat="false" ht="12" hidden="false" customHeight="false" outlineLevel="0" collapsed="false">
      <c r="A95" s="28"/>
      <c r="E95" s="2"/>
      <c r="G95" s="6" t="str">
        <f aca="false">IF(F95&lt;&gt;0,F95*G$2/(100+G$2)," ")</f>
        <v> </v>
      </c>
      <c r="H95" s="6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</row>
    <row r="96" customFormat="false" ht="12" hidden="false" customHeight="false" outlineLevel="0" collapsed="false">
      <c r="A96" s="28"/>
      <c r="E96" s="2"/>
      <c r="G96" s="6" t="str">
        <f aca="false">IF(F96&lt;&gt;0,F96*G$2/(100+G$2)," ")</f>
        <v> </v>
      </c>
      <c r="H96" s="6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</row>
    <row r="97" customFormat="false" ht="12" hidden="false" customHeight="false" outlineLevel="0" collapsed="false">
      <c r="A97" s="28"/>
      <c r="E97" s="2"/>
      <c r="G97" s="6" t="str">
        <f aca="false">IF(F97&lt;&gt;0,F97*G$2/(100+G$2)," ")</f>
        <v> </v>
      </c>
      <c r="H97" s="6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</row>
    <row r="98" customFormat="false" ht="12" hidden="false" customHeight="false" outlineLevel="0" collapsed="false">
      <c r="A98" s="28"/>
      <c r="E98" s="2"/>
      <c r="G98" s="6" t="str">
        <f aca="false">IF(F98&lt;&gt;0,F98*G$2/(100+G$2)," ")</f>
        <v> </v>
      </c>
      <c r="H98" s="6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</row>
    <row r="99" customFormat="false" ht="12" hidden="false" customHeight="false" outlineLevel="0" collapsed="false">
      <c r="A99" s="28"/>
      <c r="E99" s="2"/>
      <c r="G99" s="6" t="str">
        <f aca="false">IF(F99&lt;&gt;0,F99*G$2/(100+G$2)," ")</f>
        <v> </v>
      </c>
      <c r="H99" s="6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</row>
    <row r="100" customFormat="false" ht="12" hidden="false" customHeight="false" outlineLevel="0" collapsed="false">
      <c r="A100" s="28"/>
      <c r="E100" s="2"/>
      <c r="G100" s="6" t="str">
        <f aca="false">IF(F100&lt;&gt;0,F100*G$2/(100+G$2)," ")</f>
        <v> </v>
      </c>
      <c r="H100" s="6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</row>
    <row r="101" customFormat="false" ht="12" hidden="false" customHeight="false" outlineLevel="0" collapsed="false">
      <c r="A101" s="28"/>
      <c r="E101" s="2"/>
      <c r="G101" s="6" t="str">
        <f aca="false">IF(F101&lt;&gt;0,F101*G$2/(100+G$2)," ")</f>
        <v> </v>
      </c>
      <c r="H101" s="6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</row>
    <row r="102" customFormat="false" ht="12" hidden="false" customHeight="false" outlineLevel="0" collapsed="false">
      <c r="A102" s="28"/>
      <c r="E102" s="2"/>
      <c r="G102" s="6" t="str">
        <f aca="false">IF(F102&lt;&gt;0,F102*G$2/(100+G$2)," ")</f>
        <v> </v>
      </c>
      <c r="H102" s="6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</row>
    <row r="103" customFormat="false" ht="12" hidden="false" customHeight="false" outlineLevel="0" collapsed="false">
      <c r="A103" s="28"/>
      <c r="E103" s="2"/>
      <c r="G103" s="6" t="str">
        <f aca="false">IF(F103&lt;&gt;0,F103*G$2/(100+G$2)," ")</f>
        <v> </v>
      </c>
      <c r="H103" s="6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</row>
    <row r="104" customFormat="false" ht="12" hidden="false" customHeight="false" outlineLevel="0" collapsed="false">
      <c r="A104" s="28"/>
      <c r="E104" s="2"/>
      <c r="G104" s="6" t="str">
        <f aca="false">IF(F104&lt;&gt;0,F104*G$2/(100+G$2)," ")</f>
        <v> </v>
      </c>
      <c r="H104" s="6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</row>
    <row r="105" customFormat="false" ht="12" hidden="false" customHeight="false" outlineLevel="0" collapsed="false">
      <c r="A105" s="28"/>
      <c r="E105" s="2"/>
      <c r="G105" s="6" t="str">
        <f aca="false">IF(F105&lt;&gt;0,F105*G$2/(100+G$2)," ")</f>
        <v> </v>
      </c>
      <c r="H105" s="6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</row>
    <row r="106" customFormat="false" ht="12" hidden="false" customHeight="false" outlineLevel="0" collapsed="false">
      <c r="A106" s="28"/>
      <c r="E106" s="2"/>
      <c r="G106" s="6" t="str">
        <f aca="false">IF(F106&lt;&gt;0,F106*G$2/(100+G$2)," ")</f>
        <v> </v>
      </c>
      <c r="H106" s="6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</row>
    <row r="107" customFormat="false" ht="12" hidden="false" customHeight="false" outlineLevel="0" collapsed="false">
      <c r="A107" s="28"/>
      <c r="E107" s="2"/>
      <c r="G107" s="6" t="str">
        <f aca="false">IF(F107&lt;&gt;0,F107*G$2/(100+G$2)," ")</f>
        <v> </v>
      </c>
      <c r="H107" s="6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</row>
    <row r="108" customFormat="false" ht="12" hidden="false" customHeight="false" outlineLevel="0" collapsed="false">
      <c r="A108" s="28"/>
      <c r="E108" s="2"/>
      <c r="G108" s="6" t="str">
        <f aca="false">IF(F108&lt;&gt;0,F108*G$2/(100+G$2)," ")</f>
        <v> </v>
      </c>
      <c r="H108" s="6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</row>
    <row r="109" customFormat="false" ht="12" hidden="false" customHeight="false" outlineLevel="0" collapsed="false">
      <c r="A109" s="28"/>
      <c r="E109" s="2"/>
      <c r="G109" s="6" t="str">
        <f aca="false">IF(F109&lt;&gt;0,F109*G$2/(100+G$2)," ")</f>
        <v> </v>
      </c>
      <c r="H109" s="6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</row>
    <row r="110" customFormat="false" ht="12" hidden="false" customHeight="false" outlineLevel="0" collapsed="false">
      <c r="A110" s="28"/>
      <c r="E110" s="2"/>
      <c r="G110" s="6" t="str">
        <f aca="false">IF(F110&lt;&gt;0,F110*G$2/(100+G$2)," ")</f>
        <v> </v>
      </c>
      <c r="H110" s="6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</row>
    <row r="111" customFormat="false" ht="12" hidden="false" customHeight="false" outlineLevel="0" collapsed="false">
      <c r="A111" s="28"/>
      <c r="E111" s="2"/>
      <c r="G111" s="6" t="str">
        <f aca="false">IF(F111&lt;&gt;0,F111*G$2/(100+G$2)," ")</f>
        <v> </v>
      </c>
      <c r="H111" s="6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</row>
    <row r="112" customFormat="false" ht="12" hidden="false" customHeight="false" outlineLevel="0" collapsed="false">
      <c r="A112" s="28"/>
      <c r="E112" s="2"/>
      <c r="G112" s="6" t="str">
        <f aca="false">IF(F112&lt;&gt;0,F112*G$2/(100+G$2)," ")</f>
        <v> </v>
      </c>
      <c r="H112" s="6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</row>
    <row r="113" customFormat="false" ht="12" hidden="false" customHeight="false" outlineLevel="0" collapsed="false">
      <c r="A113" s="28"/>
      <c r="E113" s="2"/>
      <c r="G113" s="6" t="str">
        <f aca="false">IF(F113&lt;&gt;0,F113*G$2/(100+G$2)," ")</f>
        <v> </v>
      </c>
      <c r="H113" s="6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</row>
    <row r="114" customFormat="false" ht="12" hidden="false" customHeight="false" outlineLevel="0" collapsed="false">
      <c r="A114" s="28"/>
      <c r="E114" s="2"/>
      <c r="G114" s="6" t="str">
        <f aca="false">IF(F114&lt;&gt;0,F114*G$2/(100+G$2)," ")</f>
        <v> </v>
      </c>
      <c r="H114" s="6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</row>
    <row r="115" customFormat="false" ht="12" hidden="false" customHeight="false" outlineLevel="0" collapsed="false">
      <c r="A115" s="28"/>
      <c r="E115" s="2"/>
      <c r="G115" s="6" t="str">
        <f aca="false">IF(F115&lt;&gt;0,F115*G$2/(100+G$2)," ")</f>
        <v> </v>
      </c>
      <c r="H115" s="6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</row>
    <row r="116" customFormat="false" ht="12" hidden="false" customHeight="false" outlineLevel="0" collapsed="false">
      <c r="A116" s="28"/>
      <c r="E116" s="2"/>
      <c r="G116" s="6" t="str">
        <f aca="false">IF(F116&lt;&gt;0,F116*G$2/(100+G$2)," ")</f>
        <v> </v>
      </c>
      <c r="H116" s="6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</row>
    <row r="117" customFormat="false" ht="12" hidden="false" customHeight="false" outlineLevel="0" collapsed="false">
      <c r="A117" s="28"/>
      <c r="E117" s="2"/>
      <c r="G117" s="6" t="str">
        <f aca="false">IF(F117&lt;&gt;0,F117*G$2/(100+G$2)," ")</f>
        <v> </v>
      </c>
      <c r="H117" s="6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</row>
    <row r="118" customFormat="false" ht="12" hidden="false" customHeight="false" outlineLevel="0" collapsed="false">
      <c r="A118" s="28"/>
      <c r="E118" s="2"/>
      <c r="G118" s="6" t="str">
        <f aca="false">IF(F118&lt;&gt;0,F118*G$2/(100+G$2)," ")</f>
        <v> </v>
      </c>
      <c r="H118" s="6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</row>
    <row r="119" customFormat="false" ht="12" hidden="false" customHeight="false" outlineLevel="0" collapsed="false">
      <c r="A119" s="28"/>
      <c r="E119" s="2"/>
      <c r="G119" s="6" t="str">
        <f aca="false">IF(F119&lt;&gt;0,F119*G$2/(100+G$2)," ")</f>
        <v> </v>
      </c>
      <c r="H119" s="6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</row>
    <row r="120" customFormat="false" ht="12" hidden="false" customHeight="false" outlineLevel="0" collapsed="false">
      <c r="A120" s="28"/>
      <c r="E120" s="2"/>
      <c r="G120" s="6" t="str">
        <f aca="false">IF(F120&lt;&gt;0,F120*G$2/(100+G$2)," ")</f>
        <v> </v>
      </c>
      <c r="H120" s="6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</row>
    <row r="121" customFormat="false" ht="12" hidden="false" customHeight="false" outlineLevel="0" collapsed="false">
      <c r="A121" s="28"/>
      <c r="E121" s="2"/>
      <c r="G121" s="6" t="str">
        <f aca="false">IF(F121&lt;&gt;0,F121*G$2/(100+G$2)," ")</f>
        <v> </v>
      </c>
      <c r="H121" s="6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</row>
    <row r="122" customFormat="false" ht="12" hidden="false" customHeight="false" outlineLevel="0" collapsed="false">
      <c r="A122" s="28"/>
      <c r="E122" s="2"/>
      <c r="G122" s="6" t="str">
        <f aca="false">IF(F122&lt;&gt;0,F122*G$2/(100+G$2)," ")</f>
        <v> </v>
      </c>
      <c r="H122" s="6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</row>
    <row r="123" customFormat="false" ht="12" hidden="false" customHeight="false" outlineLevel="0" collapsed="false">
      <c r="A123" s="28"/>
      <c r="E123" s="2"/>
      <c r="G123" s="6" t="str">
        <f aca="false">IF(F123&lt;&gt;0,F123*G$2/(100+G$2)," ")</f>
        <v> </v>
      </c>
      <c r="H123" s="6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</row>
    <row r="124" customFormat="false" ht="12" hidden="false" customHeight="false" outlineLevel="0" collapsed="false">
      <c r="A124" s="28"/>
      <c r="E124" s="2"/>
      <c r="G124" s="6" t="str">
        <f aca="false">IF(F124&lt;&gt;0,F124*G$2/(100+G$2)," ")</f>
        <v> </v>
      </c>
      <c r="H124" s="6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</row>
    <row r="125" customFormat="false" ht="12" hidden="false" customHeight="false" outlineLevel="0" collapsed="false">
      <c r="A125" s="28"/>
      <c r="E125" s="2"/>
      <c r="G125" s="6" t="str">
        <f aca="false">IF(F125&lt;&gt;0,F125*G$2/(100+G$2)," ")</f>
        <v> </v>
      </c>
      <c r="H125" s="6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</row>
    <row r="126" customFormat="false" ht="12" hidden="false" customHeight="false" outlineLevel="0" collapsed="false">
      <c r="A126" s="28"/>
      <c r="E126" s="2"/>
      <c r="G126" s="6" t="str">
        <f aca="false">IF(F126&lt;&gt;0,F126*G$2/(100+G$2)," ")</f>
        <v> </v>
      </c>
      <c r="H126" s="6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</row>
    <row r="127" customFormat="false" ht="12" hidden="false" customHeight="false" outlineLevel="0" collapsed="false">
      <c r="A127" s="28"/>
      <c r="E127" s="2"/>
      <c r="G127" s="6" t="str">
        <f aca="false">IF(F127&lt;&gt;0,F127*G$2/(100+G$2)," ")</f>
        <v> </v>
      </c>
      <c r="H127" s="6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</row>
    <row r="128" customFormat="false" ht="12" hidden="false" customHeight="false" outlineLevel="0" collapsed="false">
      <c r="A128" s="28"/>
      <c r="E128" s="2"/>
      <c r="G128" s="6" t="str">
        <f aca="false">IF(F128&lt;&gt;0,F128*G$2/(100+G$2)," ")</f>
        <v> </v>
      </c>
      <c r="H128" s="6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</row>
    <row r="129" customFormat="false" ht="12" hidden="false" customHeight="false" outlineLevel="0" collapsed="false">
      <c r="A129" s="28"/>
      <c r="E129" s="2"/>
      <c r="G129" s="6" t="str">
        <f aca="false">IF(F129&lt;&gt;0,F129*G$2/(100+G$2)," ")</f>
        <v> </v>
      </c>
      <c r="H129" s="6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</row>
    <row r="130" customFormat="false" ht="12" hidden="false" customHeight="false" outlineLevel="0" collapsed="false">
      <c r="A130" s="28"/>
      <c r="E130" s="2"/>
      <c r="G130" s="6" t="str">
        <f aca="false">IF(F130&lt;&gt;0,F130*G$2/(100+G$2)," ")</f>
        <v> </v>
      </c>
      <c r="H130" s="6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</row>
    <row r="131" customFormat="false" ht="12" hidden="false" customHeight="false" outlineLevel="0" collapsed="false">
      <c r="A131" s="28"/>
      <c r="E131" s="2"/>
      <c r="G131" s="6" t="str">
        <f aca="false">IF(F131&lt;&gt;0,F131*G$2/(100+G$2)," ")</f>
        <v> </v>
      </c>
      <c r="H131" s="6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</row>
    <row r="132" customFormat="false" ht="12" hidden="false" customHeight="false" outlineLevel="0" collapsed="false">
      <c r="A132" s="28"/>
      <c r="E132" s="2"/>
      <c r="G132" s="6" t="str">
        <f aca="false">IF(F132&lt;&gt;0,F132*G$2/(100+G$2)," ")</f>
        <v> </v>
      </c>
      <c r="H132" s="6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</row>
    <row r="133" customFormat="false" ht="12" hidden="false" customHeight="false" outlineLevel="0" collapsed="false">
      <c r="A133" s="28"/>
      <c r="E133" s="2"/>
      <c r="G133" s="6" t="str">
        <f aca="false">IF(F133&lt;&gt;0,F133*G$2/(100+G$2)," ")</f>
        <v> </v>
      </c>
      <c r="H133" s="6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</row>
    <row r="134" customFormat="false" ht="12" hidden="false" customHeight="false" outlineLevel="0" collapsed="false">
      <c r="A134" s="28"/>
      <c r="E134" s="2"/>
      <c r="G134" s="6" t="str">
        <f aca="false">IF(F134&lt;&gt;0,F134*G$2/(100+G$2)," ")</f>
        <v> </v>
      </c>
      <c r="H134" s="6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</row>
    <row r="135" customFormat="false" ht="12" hidden="false" customHeight="false" outlineLevel="0" collapsed="false">
      <c r="A135" s="28"/>
      <c r="E135" s="2"/>
      <c r="G135" s="6" t="str">
        <f aca="false">IF(F135&lt;&gt;0,F135*G$2/(100+G$2)," ")</f>
        <v> </v>
      </c>
      <c r="H135" s="6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</row>
    <row r="136" customFormat="false" ht="12" hidden="false" customHeight="false" outlineLevel="0" collapsed="false">
      <c r="A136" s="28"/>
      <c r="E136" s="2"/>
      <c r="G136" s="6" t="str">
        <f aca="false">IF(F136&lt;&gt;0,F136*G$2/(100+G$2)," ")</f>
        <v> </v>
      </c>
      <c r="H136" s="6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</row>
    <row r="137" customFormat="false" ht="12" hidden="false" customHeight="false" outlineLevel="0" collapsed="false">
      <c r="A137" s="28"/>
      <c r="E137" s="2"/>
      <c r="G137" s="6" t="str">
        <f aca="false">IF(F137&lt;&gt;0,F137*G$2/(100+G$2)," ")</f>
        <v> </v>
      </c>
      <c r="H137" s="6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</row>
    <row r="138" customFormat="false" ht="12" hidden="false" customHeight="false" outlineLevel="0" collapsed="false">
      <c r="A138" s="28"/>
      <c r="E138" s="2"/>
      <c r="G138" s="6" t="str">
        <f aca="false">IF(F138&lt;&gt;0,F138*G$2/(100+G$2)," ")</f>
        <v> </v>
      </c>
      <c r="H138" s="6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</row>
    <row r="139" customFormat="false" ht="12" hidden="false" customHeight="false" outlineLevel="0" collapsed="false">
      <c r="A139" s="28"/>
      <c r="E139" s="2"/>
      <c r="G139" s="6" t="str">
        <f aca="false">IF(F139&lt;&gt;0,F139*G$2/(100+G$2)," ")</f>
        <v> </v>
      </c>
      <c r="H139" s="6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</row>
    <row r="140" customFormat="false" ht="12" hidden="false" customHeight="false" outlineLevel="0" collapsed="false">
      <c r="A140" s="28"/>
      <c r="E140" s="2"/>
      <c r="G140" s="6" t="str">
        <f aca="false">IF(F140&lt;&gt;0,F140*G$2/(100+G$2)," ")</f>
        <v> </v>
      </c>
      <c r="H140" s="6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</row>
    <row r="141" customFormat="false" ht="12" hidden="false" customHeight="false" outlineLevel="0" collapsed="false">
      <c r="A141" s="28"/>
      <c r="E141" s="2"/>
      <c r="G141" s="6" t="str">
        <f aca="false">IF(F141&lt;&gt;0,F141*G$2/(100+G$2)," ")</f>
        <v> </v>
      </c>
      <c r="H141" s="6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</row>
    <row r="142" customFormat="false" ht="12" hidden="false" customHeight="false" outlineLevel="0" collapsed="false">
      <c r="A142" s="28"/>
      <c r="E142" s="2"/>
      <c r="G142" s="6" t="str">
        <f aca="false">IF(F142&lt;&gt;0,F142*G$2/(100+G$2)," ")</f>
        <v> </v>
      </c>
      <c r="H142" s="6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</row>
    <row r="143" customFormat="false" ht="12" hidden="false" customHeight="false" outlineLevel="0" collapsed="false">
      <c r="A143" s="28"/>
      <c r="E143" s="2"/>
      <c r="G143" s="6" t="str">
        <f aca="false">IF(F143&lt;&gt;0,F143*G$2/(100+G$2)," ")</f>
        <v> </v>
      </c>
      <c r="H143" s="6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</row>
    <row r="144" customFormat="false" ht="12" hidden="false" customHeight="false" outlineLevel="0" collapsed="false">
      <c r="A144" s="28"/>
      <c r="E144" s="2"/>
      <c r="G144" s="6" t="str">
        <f aca="false">IF(F144&lt;&gt;0,F144*G$2/(100+G$2)," ")</f>
        <v> </v>
      </c>
      <c r="H144" s="6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</row>
    <row r="145" customFormat="false" ht="12" hidden="false" customHeight="false" outlineLevel="0" collapsed="false">
      <c r="A145" s="28"/>
      <c r="E145" s="2"/>
      <c r="G145" s="6" t="str">
        <f aca="false">IF(F145&lt;&gt;0,F145*G$2/(100+G$2)," ")</f>
        <v> </v>
      </c>
      <c r="H145" s="6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</row>
    <row r="146" customFormat="false" ht="12" hidden="false" customHeight="false" outlineLevel="0" collapsed="false">
      <c r="A146" s="28"/>
      <c r="E146" s="2"/>
      <c r="G146" s="6" t="str">
        <f aca="false">IF(F146&lt;&gt;0,F146*G$2/(100+G$2)," ")</f>
        <v> </v>
      </c>
      <c r="H146" s="6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</row>
    <row r="147" customFormat="false" ht="12" hidden="false" customHeight="false" outlineLevel="0" collapsed="false">
      <c r="A147" s="28"/>
      <c r="E147" s="2"/>
      <c r="G147" s="6" t="str">
        <f aca="false">IF(F147&lt;&gt;0,F147*G$2/(100+G$2)," ")</f>
        <v> </v>
      </c>
      <c r="H147" s="6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</row>
    <row r="148" customFormat="false" ht="12" hidden="false" customHeight="false" outlineLevel="0" collapsed="false">
      <c r="A148" s="28"/>
      <c r="E148" s="2"/>
      <c r="G148" s="6" t="str">
        <f aca="false">IF(F148&lt;&gt;0,F148*G$2/(100+G$2)," ")</f>
        <v> </v>
      </c>
      <c r="H148" s="6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</row>
    <row r="149" customFormat="false" ht="12" hidden="false" customHeight="false" outlineLevel="0" collapsed="false">
      <c r="A149" s="28"/>
      <c r="E149" s="2"/>
      <c r="G149" s="6" t="str">
        <f aca="false">IF(F149&lt;&gt;0,F149*G$2/(100+G$2)," ")</f>
        <v> </v>
      </c>
      <c r="H149" s="6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</row>
    <row r="150" customFormat="false" ht="12" hidden="false" customHeight="false" outlineLevel="0" collapsed="false">
      <c r="A150" s="28"/>
      <c r="E150" s="2"/>
      <c r="G150" s="6" t="str">
        <f aca="false">IF(F150&lt;&gt;0,F150*G$2/(100+G$2)," ")</f>
        <v> </v>
      </c>
      <c r="H150" s="6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</row>
    <row r="151" customFormat="false" ht="12" hidden="false" customHeight="false" outlineLevel="0" collapsed="false">
      <c r="A151" s="28"/>
      <c r="E151" s="2"/>
      <c r="G151" s="6" t="str">
        <f aca="false">IF(F151&lt;&gt;0,F151*G$2/(100+G$2)," ")</f>
        <v> </v>
      </c>
      <c r="H151" s="6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</row>
    <row r="152" customFormat="false" ht="12" hidden="false" customHeight="false" outlineLevel="0" collapsed="false">
      <c r="A152" s="28"/>
      <c r="E152" s="2"/>
      <c r="G152" s="6" t="str">
        <f aca="false">IF(F152&lt;&gt;0,F152*G$2/(100+G$2)," ")</f>
        <v> </v>
      </c>
      <c r="H152" s="6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</row>
    <row r="153" customFormat="false" ht="12" hidden="false" customHeight="false" outlineLevel="0" collapsed="false">
      <c r="A153" s="28"/>
      <c r="E153" s="2"/>
      <c r="G153" s="6" t="str">
        <f aca="false">IF(F153&lt;&gt;0,F153*G$2/(100+G$2)," ")</f>
        <v> </v>
      </c>
      <c r="H153" s="6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</row>
    <row r="154" customFormat="false" ht="12" hidden="false" customHeight="false" outlineLevel="0" collapsed="false">
      <c r="A154" s="28"/>
      <c r="E154" s="2"/>
      <c r="G154" s="6" t="str">
        <f aca="false">IF(F154&lt;&gt;0,F154*G$2/(100+G$2)," ")</f>
        <v> </v>
      </c>
      <c r="H154" s="6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</row>
    <row r="155" customFormat="false" ht="12" hidden="false" customHeight="false" outlineLevel="0" collapsed="false">
      <c r="A155" s="28"/>
      <c r="E155" s="2"/>
      <c r="G155" s="6" t="str">
        <f aca="false">IF(F155&lt;&gt;0,F155*G$2/(100+G$2)," ")</f>
        <v> </v>
      </c>
      <c r="H155" s="6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</row>
    <row r="156" customFormat="false" ht="12" hidden="false" customHeight="false" outlineLevel="0" collapsed="false">
      <c r="A156" s="28"/>
      <c r="E156" s="2"/>
      <c r="G156" s="6" t="str">
        <f aca="false">IF(F156&lt;&gt;0,F156*G$2/(100+G$2)," ")</f>
        <v> </v>
      </c>
      <c r="H156" s="6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</row>
    <row r="157" customFormat="false" ht="12" hidden="false" customHeight="false" outlineLevel="0" collapsed="false">
      <c r="A157" s="28"/>
      <c r="E157" s="2"/>
      <c r="G157" s="6" t="str">
        <f aca="false">IF(F157&lt;&gt;0,F157*G$2/(100+G$2)," ")</f>
        <v> </v>
      </c>
      <c r="H157" s="6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</row>
    <row r="158" customFormat="false" ht="12" hidden="false" customHeight="false" outlineLevel="0" collapsed="false">
      <c r="A158" s="28"/>
      <c r="E158" s="2"/>
      <c r="G158" s="6" t="str">
        <f aca="false">IF(F158&lt;&gt;0,F158*G$2/(100+G$2)," ")</f>
        <v> </v>
      </c>
      <c r="H158" s="6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</row>
    <row r="159" customFormat="false" ht="12" hidden="false" customHeight="false" outlineLevel="0" collapsed="false">
      <c r="A159" s="28"/>
      <c r="E159" s="2"/>
      <c r="G159" s="6" t="str">
        <f aca="false">IF(F159&lt;&gt;0,F159*G$2/(100+G$2)," ")</f>
        <v> </v>
      </c>
      <c r="H159" s="6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</row>
    <row r="160" customFormat="false" ht="12" hidden="false" customHeight="false" outlineLevel="0" collapsed="false">
      <c r="A160" s="28"/>
      <c r="E160" s="2"/>
      <c r="G160" s="6" t="str">
        <f aca="false">IF(F160&lt;&gt;0,F160*G$2/(100+G$2)," ")</f>
        <v> </v>
      </c>
      <c r="H160" s="6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</row>
    <row r="161" customFormat="false" ht="12" hidden="false" customHeight="false" outlineLevel="0" collapsed="false">
      <c r="A161" s="28"/>
      <c r="E161" s="2"/>
      <c r="G161" s="6" t="str">
        <f aca="false">IF(F161&lt;&gt;0,F161*G$2/(100+G$2)," ")</f>
        <v> </v>
      </c>
      <c r="H161" s="6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</row>
    <row r="162" customFormat="false" ht="12" hidden="false" customHeight="false" outlineLevel="0" collapsed="false">
      <c r="A162" s="28"/>
      <c r="E162" s="2"/>
      <c r="G162" s="6" t="str">
        <f aca="false">IF(F162&lt;&gt;0,F162*G$2/(100+G$2)," ")</f>
        <v> </v>
      </c>
      <c r="H162" s="6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</row>
    <row r="163" customFormat="false" ht="12" hidden="false" customHeight="false" outlineLevel="0" collapsed="false">
      <c r="A163" s="28"/>
      <c r="E163" s="2"/>
      <c r="G163" s="6" t="str">
        <f aca="false">IF(F163&lt;&gt;0,F163*G$2/(100+G$2)," ")</f>
        <v> </v>
      </c>
      <c r="H163" s="6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</row>
    <row r="164" customFormat="false" ht="12" hidden="false" customHeight="false" outlineLevel="0" collapsed="false">
      <c r="A164" s="28"/>
      <c r="E164" s="2"/>
      <c r="G164" s="6" t="str">
        <f aca="false">IF(F164&lt;&gt;0,F164*G$2/(100+G$2)," ")</f>
        <v> </v>
      </c>
      <c r="H164" s="6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</row>
    <row r="165" customFormat="false" ht="12" hidden="false" customHeight="false" outlineLevel="0" collapsed="false">
      <c r="A165" s="28"/>
      <c r="E165" s="2"/>
      <c r="G165" s="6" t="str">
        <f aca="false">IF(F165&lt;&gt;0,F165*G$2/(100+G$2)," ")</f>
        <v> </v>
      </c>
      <c r="H165" s="6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</row>
    <row r="166" customFormat="false" ht="12" hidden="false" customHeight="false" outlineLevel="0" collapsed="false">
      <c r="A166" s="28"/>
      <c r="E166" s="2"/>
      <c r="G166" s="6" t="str">
        <f aca="false">IF(F166&lt;&gt;0,F166*G$2/(100+G$2)," ")</f>
        <v> </v>
      </c>
      <c r="H166" s="6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</row>
    <row r="167" customFormat="false" ht="12" hidden="false" customHeight="false" outlineLevel="0" collapsed="false">
      <c r="A167" s="28"/>
      <c r="E167" s="2"/>
      <c r="G167" s="6" t="str">
        <f aca="false">IF(F167&lt;&gt;0,F167*G$2/(100+G$2)," ")</f>
        <v> </v>
      </c>
      <c r="H167" s="6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</row>
    <row r="168" customFormat="false" ht="12" hidden="false" customHeight="false" outlineLevel="0" collapsed="false">
      <c r="A168" s="28"/>
      <c r="E168" s="2"/>
      <c r="G168" s="6" t="str">
        <f aca="false">IF(F168&lt;&gt;0,F168*G$2/(100+G$2)," ")</f>
        <v> </v>
      </c>
      <c r="H168" s="6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</row>
    <row r="169" customFormat="false" ht="12" hidden="false" customHeight="false" outlineLevel="0" collapsed="false">
      <c r="A169" s="28"/>
      <c r="E169" s="2"/>
      <c r="G169" s="6" t="str">
        <f aca="false">IF(F169&lt;&gt;0,F169*G$2/(100+G$2)," ")</f>
        <v> </v>
      </c>
      <c r="H169" s="6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</row>
    <row r="170" customFormat="false" ht="12" hidden="false" customHeight="false" outlineLevel="0" collapsed="false">
      <c r="A170" s="28"/>
      <c r="E170" s="2"/>
      <c r="G170" s="6" t="str">
        <f aca="false">IF(F170&lt;&gt;0,F170*G$2/(100+G$2)," ")</f>
        <v> </v>
      </c>
      <c r="H170" s="6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</row>
    <row r="171" customFormat="false" ht="12" hidden="false" customHeight="false" outlineLevel="0" collapsed="false">
      <c r="A171" s="28"/>
      <c r="E171" s="2"/>
      <c r="G171" s="6" t="str">
        <f aca="false">IF(F171&lt;&gt;0,F171*G$2/(100+G$2)," ")</f>
        <v> </v>
      </c>
      <c r="H171" s="6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</row>
    <row r="172" customFormat="false" ht="12" hidden="false" customHeight="false" outlineLevel="0" collapsed="false">
      <c r="A172" s="28"/>
      <c r="E172" s="2"/>
      <c r="G172" s="6" t="str">
        <f aca="false">IF(F172&lt;&gt;0,F172*G$2/(100+G$2)," ")</f>
        <v> </v>
      </c>
      <c r="H172" s="6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</row>
    <row r="173" customFormat="false" ht="12" hidden="false" customHeight="false" outlineLevel="0" collapsed="false">
      <c r="A173" s="28"/>
      <c r="E173" s="2"/>
      <c r="G173" s="6" t="str">
        <f aca="false">IF(F173&lt;&gt;0,F173*G$2/(100+G$2)," ")</f>
        <v> </v>
      </c>
      <c r="H173" s="6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</row>
    <row r="174" customFormat="false" ht="12" hidden="false" customHeight="false" outlineLevel="0" collapsed="false">
      <c r="A174" s="28"/>
      <c r="E174" s="2"/>
      <c r="G174" s="6" t="str">
        <f aca="false">IF(F174&lt;&gt;0,F174*G$2/(100+G$2)," ")</f>
        <v> </v>
      </c>
      <c r="H174" s="6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</row>
    <row r="175" customFormat="false" ht="12" hidden="false" customHeight="false" outlineLevel="0" collapsed="false">
      <c r="A175" s="28"/>
      <c r="E175" s="2"/>
      <c r="G175" s="6" t="str">
        <f aca="false">IF(F175&lt;&gt;0,F175*G$2/(100+G$2)," ")</f>
        <v> </v>
      </c>
      <c r="H175" s="6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</row>
    <row r="176" customFormat="false" ht="12" hidden="false" customHeight="false" outlineLevel="0" collapsed="false">
      <c r="A176" s="28"/>
      <c r="E176" s="2"/>
      <c r="G176" s="6" t="str">
        <f aca="false">IF(F176&lt;&gt;0,F176*G$2/(100+G$2)," ")</f>
        <v> </v>
      </c>
      <c r="H176" s="6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</row>
    <row r="177" customFormat="false" ht="12" hidden="false" customHeight="false" outlineLevel="0" collapsed="false">
      <c r="A177" s="28"/>
      <c r="E177" s="2"/>
      <c r="G177" s="6" t="str">
        <f aca="false">IF(F177&lt;&gt;0,F177*G$2/(100+G$2)," ")</f>
        <v> </v>
      </c>
      <c r="H177" s="6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</row>
    <row r="178" customFormat="false" ht="12" hidden="false" customHeight="false" outlineLevel="0" collapsed="false">
      <c r="A178" s="28"/>
      <c r="E178" s="2"/>
      <c r="G178" s="6" t="str">
        <f aca="false">IF(F178&lt;&gt;0,F178*G$2/(100+G$2)," ")</f>
        <v> </v>
      </c>
      <c r="H178" s="6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</row>
    <row r="179" customFormat="false" ht="12" hidden="false" customHeight="false" outlineLevel="0" collapsed="false">
      <c r="A179" s="28"/>
      <c r="E179" s="2"/>
      <c r="G179" s="6" t="str">
        <f aca="false">IF(F179&lt;&gt;0,F179*G$2/(100+G$2)," ")</f>
        <v> </v>
      </c>
      <c r="H179" s="6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</row>
    <row r="180" customFormat="false" ht="12" hidden="false" customHeight="false" outlineLevel="0" collapsed="false">
      <c r="A180" s="28"/>
      <c r="E180" s="2"/>
      <c r="G180" s="6" t="str">
        <f aca="false">IF(F180&lt;&gt;0,F180*G$2/(100+G$2)," ")</f>
        <v> </v>
      </c>
      <c r="H180" s="6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</row>
    <row r="181" customFormat="false" ht="12" hidden="false" customHeight="false" outlineLevel="0" collapsed="false">
      <c r="A181" s="28"/>
      <c r="E181" s="2"/>
      <c r="G181" s="6" t="str">
        <f aca="false">IF(F181&lt;&gt;0,F181*G$2/(100+G$2)," ")</f>
        <v> </v>
      </c>
      <c r="H181" s="6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</row>
    <row r="182" customFormat="false" ht="12" hidden="false" customHeight="false" outlineLevel="0" collapsed="false">
      <c r="A182" s="28"/>
      <c r="E182" s="2"/>
      <c r="G182" s="6" t="str">
        <f aca="false">IF(F182&lt;&gt;0,F182*G$2/(100+G$2)," ")</f>
        <v> </v>
      </c>
      <c r="H182" s="6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</row>
    <row r="183" customFormat="false" ht="12" hidden="false" customHeight="false" outlineLevel="0" collapsed="false">
      <c r="A183" s="28"/>
      <c r="E183" s="2"/>
      <c r="G183" s="6" t="str">
        <f aca="false">IF(F183&lt;&gt;0,F183*G$2/(100+G$2)," ")</f>
        <v> </v>
      </c>
      <c r="H183" s="6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</row>
    <row r="184" customFormat="false" ht="12" hidden="false" customHeight="false" outlineLevel="0" collapsed="false">
      <c r="A184" s="28"/>
      <c r="E184" s="2"/>
      <c r="G184" s="6" t="str">
        <f aca="false">IF(F184&lt;&gt;0,F184*G$2/(100+G$2)," ")</f>
        <v> </v>
      </c>
      <c r="H184" s="6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</row>
    <row r="185" customFormat="false" ht="12" hidden="false" customHeight="false" outlineLevel="0" collapsed="false">
      <c r="A185" s="28"/>
      <c r="E185" s="2"/>
      <c r="G185" s="6" t="str">
        <f aca="false">IF(F185&lt;&gt;0,F185*G$2/(100+G$2)," ")</f>
        <v> </v>
      </c>
      <c r="H185" s="6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</row>
    <row r="186" customFormat="false" ht="12" hidden="false" customHeight="false" outlineLevel="0" collapsed="false">
      <c r="A186" s="28"/>
      <c r="E186" s="2"/>
      <c r="G186" s="6" t="str">
        <f aca="false">IF(F186&lt;&gt;0,F186*G$2/(100+G$2)," ")</f>
        <v> </v>
      </c>
      <c r="H186" s="6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</row>
    <row r="187" customFormat="false" ht="12" hidden="false" customHeight="false" outlineLevel="0" collapsed="false">
      <c r="A187" s="28"/>
      <c r="E187" s="2"/>
      <c r="G187" s="6" t="str">
        <f aca="false">IF(F187&lt;&gt;0,F187*G$2/(100+G$2)," ")</f>
        <v> </v>
      </c>
      <c r="H187" s="6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</row>
    <row r="188" customFormat="false" ht="12" hidden="false" customHeight="false" outlineLevel="0" collapsed="false">
      <c r="A188" s="28"/>
      <c r="E188" s="2"/>
      <c r="G188" s="6" t="str">
        <f aca="false">IF(F188&lt;&gt;0,F188*G$2/(100+G$2)," ")</f>
        <v> </v>
      </c>
      <c r="H188" s="6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</row>
    <row r="189" customFormat="false" ht="12" hidden="false" customHeight="false" outlineLevel="0" collapsed="false">
      <c r="A189" s="28"/>
      <c r="E189" s="2"/>
      <c r="G189" s="6" t="str">
        <f aca="false">IF(F189&lt;&gt;0,F189*G$2/(100+G$2)," ")</f>
        <v> </v>
      </c>
      <c r="H189" s="6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</row>
    <row r="190" customFormat="false" ht="12" hidden="false" customHeight="false" outlineLevel="0" collapsed="false">
      <c r="A190" s="28"/>
      <c r="E190" s="2"/>
      <c r="G190" s="6" t="str">
        <f aca="false">IF(F190&lt;&gt;0,F190*G$2/(100+G$2)," ")</f>
        <v> </v>
      </c>
      <c r="H190" s="6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</row>
    <row r="191" customFormat="false" ht="12" hidden="false" customHeight="false" outlineLevel="0" collapsed="false">
      <c r="A191" s="28"/>
      <c r="E191" s="2"/>
      <c r="G191" s="6" t="str">
        <f aca="false">IF(F191&lt;&gt;0,F191*G$2/(100+G$2)," ")</f>
        <v> </v>
      </c>
      <c r="H191" s="6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</row>
    <row r="192" customFormat="false" ht="12" hidden="false" customHeight="false" outlineLevel="0" collapsed="false">
      <c r="A192" s="28"/>
      <c r="E192" s="2"/>
      <c r="G192" s="6" t="str">
        <f aca="false">IF(F192&lt;&gt;0,F192*G$2/(100+G$2)," ")</f>
        <v> </v>
      </c>
      <c r="H192" s="6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</row>
    <row r="193" customFormat="false" ht="12" hidden="false" customHeight="false" outlineLevel="0" collapsed="false">
      <c r="A193" s="28"/>
      <c r="E193" s="2"/>
      <c r="G193" s="6" t="str">
        <f aca="false">IF(F193&lt;&gt;0,F193*G$2/(100+G$2)," ")</f>
        <v> </v>
      </c>
      <c r="H193" s="6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</row>
    <row r="194" customFormat="false" ht="12" hidden="false" customHeight="false" outlineLevel="0" collapsed="false">
      <c r="A194" s="28"/>
      <c r="E194" s="2"/>
      <c r="G194" s="6" t="str">
        <f aca="false">IF(F194&lt;&gt;0,F194*G$2/(100+G$2)," ")</f>
        <v> </v>
      </c>
      <c r="H194" s="6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</row>
    <row r="195" customFormat="false" ht="12" hidden="false" customHeight="false" outlineLevel="0" collapsed="false">
      <c r="A195" s="28"/>
      <c r="E195" s="2"/>
      <c r="G195" s="6" t="str">
        <f aca="false">IF(F195&lt;&gt;0,F195*G$2/(100+G$2)," ")</f>
        <v> </v>
      </c>
      <c r="H195" s="6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</row>
    <row r="196" customFormat="false" ht="12" hidden="false" customHeight="false" outlineLevel="0" collapsed="false">
      <c r="A196" s="28"/>
      <c r="E196" s="2"/>
      <c r="G196" s="6" t="str">
        <f aca="false">IF(F196&lt;&gt;0,F196*G$2/(100+G$2)," ")</f>
        <v> </v>
      </c>
      <c r="H196" s="6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</row>
    <row r="197" customFormat="false" ht="12" hidden="false" customHeight="false" outlineLevel="0" collapsed="false">
      <c r="A197" s="28"/>
      <c r="E197" s="2"/>
      <c r="G197" s="6" t="str">
        <f aca="false">IF(F197&lt;&gt;0,F197*G$2/(100+G$2)," ")</f>
        <v> </v>
      </c>
      <c r="H197" s="6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</row>
    <row r="198" customFormat="false" ht="12" hidden="false" customHeight="false" outlineLevel="0" collapsed="false">
      <c r="A198" s="28"/>
      <c r="E198" s="2"/>
      <c r="G198" s="6" t="str">
        <f aca="false">IF(F198&lt;&gt;0,F198*G$2/(100+G$2)," ")</f>
        <v> </v>
      </c>
      <c r="H198" s="6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</row>
    <row r="199" customFormat="false" ht="12" hidden="false" customHeight="false" outlineLevel="0" collapsed="false">
      <c r="A199" s="28"/>
      <c r="E199" s="2"/>
      <c r="G199" s="6" t="str">
        <f aca="false">IF(F199&lt;&gt;0,F199*G$2/(100+G$2)," ")</f>
        <v> </v>
      </c>
      <c r="H199" s="6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</row>
    <row r="200" customFormat="false" ht="12" hidden="false" customHeight="false" outlineLevel="0" collapsed="false">
      <c r="A200" s="31"/>
      <c r="B200" s="32"/>
      <c r="C200" s="33"/>
      <c r="D200" s="34"/>
      <c r="E200" s="32"/>
      <c r="F200" s="35"/>
      <c r="G200" s="35" t="str">
        <f aca="false">IF(F200&lt;&gt;0,F200*G$2/(100+G$2)," ")</f>
        <v> </v>
      </c>
      <c r="H200" s="35" t="str">
        <f aca="false">IF((F200&lt;&gt;0),F200-G200," ")</f>
        <v> </v>
      </c>
      <c r="J200" s="35"/>
      <c r="K200" s="35"/>
      <c r="L200" s="36" t="str">
        <f aca="false">IF(F200&lt;&gt;0,F200-K200," ")</f>
        <v> </v>
      </c>
      <c r="M200" s="37" t="str">
        <f aca="false">IF((F200-K200)&lt;&gt;0,M$1-A200," ")</f>
        <v> </v>
      </c>
    </row>
    <row r="201" customFormat="false" ht="12" hidden="false" customHeight="false" outlineLevel="0" collapsed="false">
      <c r="G201" s="6" t="e">
        <f aca="false">NA()</f>
        <v>#N/A</v>
      </c>
    </row>
  </sheetData>
  <mergeCells count="16">
    <mergeCell ref="A1:B1"/>
    <mergeCell ref="D1:E1"/>
    <mergeCell ref="I1:I4"/>
    <mergeCell ref="J1:J4"/>
    <mergeCell ref="A2:A4"/>
    <mergeCell ref="B2:B4"/>
    <mergeCell ref="C2:C4"/>
    <mergeCell ref="D2:D4"/>
    <mergeCell ref="E2:E4"/>
    <mergeCell ref="F2:F4"/>
    <mergeCell ref="H2:H4"/>
    <mergeCell ref="K2:M2"/>
    <mergeCell ref="G3:G4"/>
    <mergeCell ref="K3:K4"/>
    <mergeCell ref="L3:L4"/>
    <mergeCell ref="M3:M4"/>
  </mergeCells>
  <dataValidations count="1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00" type="date">
      <formula1>38353</formula1>
      <formula2>53327</formula2>
    </dataValidation>
  </dataValidations>
  <printOptions headings="false" gridLines="false" gridLinesSet="true" horizontalCentered="true" verticalCentered="true"/>
  <pageMargins left="0.157638888888889" right="0.157638888888889" top="0.590277777777778" bottom="0.590277777777778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CREDITORS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5111.25</v>
      </c>
      <c r="G1" s="12" t="n">
        <f aca="false">SUM(G5:G300)</f>
        <v>0</v>
      </c>
      <c r="H1" s="12" t="n">
        <f aca="false">SUM(H5:H300)</f>
        <v>5111.25</v>
      </c>
      <c r="I1" s="13"/>
      <c r="J1" s="14" t="s">
        <v>2</v>
      </c>
      <c r="K1" s="15" t="n">
        <f aca="false">SUM(K5:K300)</f>
        <v>0</v>
      </c>
      <c r="L1" s="15" t="n">
        <f aca="false">SUM(L5:L300)</f>
        <v>5111.25</v>
      </c>
      <c r="M1" s="16" t="n">
        <f aca="true">TODAY()</f>
        <v>46132</v>
      </c>
      <c r="N1" s="13"/>
      <c r="O1" s="12" t="n">
        <f aca="false">SUM(O5:O300)</f>
        <v>600</v>
      </c>
      <c r="P1" s="12" t="n">
        <f aca="false">SUM(P5:P300)</f>
        <v>0</v>
      </c>
      <c r="Q1" s="12" t="n">
        <f aca="false">SUM(Q5:Q300)</f>
        <v>285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120</v>
      </c>
      <c r="Y1" s="12" t="n">
        <f aca="false">SUM(Y5:Y300)</f>
        <v>157</v>
      </c>
      <c r="Z1" s="12" t="n">
        <f aca="false">SUM(Z5:Z300)</f>
        <v>0</v>
      </c>
      <c r="AA1" s="12" t="n">
        <f aca="false">SUM(AA5:AA300)</f>
        <v>135</v>
      </c>
      <c r="AB1" s="12" t="n">
        <f aca="false">SUM(AB5:AB300)</f>
        <v>92</v>
      </c>
      <c r="AC1" s="12" t="n">
        <f aca="false">SUM(AC5:AC300)</f>
        <v>602.25</v>
      </c>
      <c r="AD1" s="12" t="n">
        <f aca="false">SUM(AD5:AD300)</f>
        <v>1440</v>
      </c>
      <c r="AE1" s="12" t="n">
        <f aca="false">SUM(AE5:AE300)</f>
        <v>180</v>
      </c>
      <c r="AF1" s="12" t="n">
        <f aca="false">SUM(AF5:AF300)</f>
        <v>300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IF([2]Jun!$G$4&gt;0,0,[2]Jun!$G$2)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45809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323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45809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323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45809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323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45809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323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45809</v>
      </c>
      <c r="B9" s="2" t="s">
        <v>79</v>
      </c>
      <c r="E9" s="5" t="s">
        <v>80</v>
      </c>
      <c r="F9" s="46" t="n">
        <v>1440</v>
      </c>
      <c r="H9" s="6" t="n">
        <f aca="false">IF((F9&lt;&gt;0),F9-G9," ")</f>
        <v>1440</v>
      </c>
      <c r="I9" s="5"/>
      <c r="L9" s="7" t="n">
        <f aca="false">IF(F9&lt;&gt;0,F9-K9," ")</f>
        <v>1440</v>
      </c>
      <c r="M9" s="8" t="n">
        <f aca="false">IF((F9-K9)&lt;&gt;0,M$1-A9," ")</f>
        <v>323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str">
        <f aca="false">IF((E9="o"),H9," ")</f>
        <v> 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n">
        <f aca="false">IF((E9="n"),H9," ")</f>
        <v>1440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45809</v>
      </c>
      <c r="B10" s="2" t="s">
        <v>81</v>
      </c>
      <c r="E10" s="5" t="s">
        <v>78</v>
      </c>
      <c r="F10" s="46" t="n">
        <v>24</v>
      </c>
      <c r="H10" s="6" t="n">
        <f aca="false">IF((F10&lt;&gt;0),F10-G10," ")</f>
        <v>24</v>
      </c>
      <c r="I10" s="5"/>
      <c r="L10" s="7" t="n">
        <f aca="false">IF(F10&lt;&gt;0,F10-K10," ")</f>
        <v>24</v>
      </c>
      <c r="M10" s="8" t="n">
        <f aca="false">IF((F10-K10)&lt;&gt;0,M$1-A10," ")</f>
        <v>323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n">
        <f aca="false">IF((E10="o"),H10," ")</f>
        <v>24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str">
        <f aca="false">IF((E10="g"),H10," ")</f>
        <v> 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45809</v>
      </c>
      <c r="B11" s="2" t="s">
        <v>82</v>
      </c>
      <c r="E11" s="5" t="s">
        <v>75</v>
      </c>
      <c r="F11" s="46" t="n">
        <v>18</v>
      </c>
      <c r="H11" s="6" t="n">
        <f aca="false">IF((F11&lt;&gt;0),F11-G11," ")</f>
        <v>18</v>
      </c>
      <c r="I11" s="5"/>
      <c r="L11" s="7" t="n">
        <f aca="false">IF(F11&lt;&gt;0,F11-K11," ")</f>
        <v>18</v>
      </c>
      <c r="M11" s="8" t="n">
        <f aca="false">IF((F11-K11)&lt;&gt;0,M$1-A11," ")</f>
        <v>323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str">
        <f aca="false">IF((E11="o"),H11," ")</f>
        <v> 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n">
        <f aca="false">IF((E11="g"),H11," ")</f>
        <v>18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45811</v>
      </c>
      <c r="B12" s="2" t="s">
        <v>83</v>
      </c>
      <c r="E12" s="5" t="s">
        <v>78</v>
      </c>
      <c r="F12" s="46" t="n">
        <v>180</v>
      </c>
      <c r="H12" s="6" t="n">
        <f aca="false">IF((F12&lt;&gt;0),F12-G12," ")</f>
        <v>180</v>
      </c>
      <c r="I12" s="5"/>
      <c r="L12" s="7" t="n">
        <f aca="false">IF(F12&lt;&gt;0,F12-K12," ")</f>
        <v>180</v>
      </c>
      <c r="M12" s="8" t="n">
        <f aca="false">IF((F12-K12)&lt;&gt;0,M$1-A12," ")</f>
        <v>321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n">
        <f aca="false">IF((E12="o"),H12," ")</f>
        <v>180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str">
        <f aca="false">IF((E12="u"),H12," ")</f>
        <v> 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45811</v>
      </c>
      <c r="B13" s="2" t="s">
        <v>84</v>
      </c>
      <c r="E13" s="5" t="s">
        <v>85</v>
      </c>
      <c r="F13" s="46" t="n">
        <v>22</v>
      </c>
      <c r="H13" s="6" t="n">
        <f aca="false">IF((F13&lt;&gt;0),F13-G13," ")</f>
        <v>22</v>
      </c>
      <c r="I13" s="5"/>
      <c r="L13" s="7" t="n">
        <f aca="false">IF(F13&lt;&gt;0,F13-K13," ")</f>
        <v>22</v>
      </c>
      <c r="M13" s="8" t="n">
        <f aca="false">IF((F13-K13)&lt;&gt;0,M$1-A13," ")</f>
        <v>321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22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45813</v>
      </c>
      <c r="B14" s="2" t="s">
        <v>86</v>
      </c>
      <c r="E14" s="5" t="s">
        <v>85</v>
      </c>
      <c r="F14" s="46" t="n">
        <v>24</v>
      </c>
      <c r="H14" s="6" t="n">
        <f aca="false">IF((F14&lt;&gt;0),F14-G14," ")</f>
        <v>24</v>
      </c>
      <c r="I14" s="5"/>
      <c r="L14" s="7" t="n">
        <f aca="false">IF(F14&lt;&gt;0,F14-K14," ")</f>
        <v>24</v>
      </c>
      <c r="M14" s="8" t="n">
        <f aca="false">IF((F14-K14)&lt;&gt;0,M$1-A14," ")</f>
        <v>319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n">
        <f aca="false">IF((E14="u"),H14," ")</f>
        <v>24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str">
        <f aca="false">IF((E14="v"),H14," ")</f>
        <v> 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45813</v>
      </c>
      <c r="B15" s="2" t="s">
        <v>87</v>
      </c>
      <c r="E15" s="5" t="s">
        <v>88</v>
      </c>
      <c r="F15" s="46" t="n">
        <v>180</v>
      </c>
      <c r="H15" s="6" t="n">
        <f aca="false">IF((F15&lt;&gt;0),F15-G15," ")</f>
        <v>180</v>
      </c>
      <c r="I15" s="5"/>
      <c r="L15" s="7" t="n">
        <f aca="false">IF(F15&lt;&gt;0,F15-K15," ")</f>
        <v>180</v>
      </c>
      <c r="M15" s="8" t="n">
        <f aca="false">IF((F15-K15)&lt;&gt;0,M$1-A15," ")</f>
        <v>319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46" t="n">
        <f aca="false">IF((E15="v"),H15," ")</f>
        <v>180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45813</v>
      </c>
      <c r="B16" s="2" t="s">
        <v>89</v>
      </c>
      <c r="E16" s="5" t="s">
        <v>78</v>
      </c>
      <c r="F16" s="46" t="n">
        <v>36</v>
      </c>
      <c r="H16" s="6" t="n">
        <f aca="false">IF((F16&lt;&gt;0),F16-G16," ")</f>
        <v>36</v>
      </c>
      <c r="I16" s="5"/>
      <c r="L16" s="7" t="n">
        <f aca="false">IF(F16&lt;&gt;0,F16-K16," ")</f>
        <v>36</v>
      </c>
      <c r="M16" s="8" t="n">
        <f aca="false">IF((F16-K16)&lt;&gt;0,M$1-A16," ")</f>
        <v>319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n">
        <f aca="false">IF((E16="o"),H16," ")</f>
        <v>36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45816</v>
      </c>
      <c r="B17" s="2" t="s">
        <v>90</v>
      </c>
      <c r="E17" s="5" t="s">
        <v>91</v>
      </c>
      <c r="F17" s="46" t="n">
        <v>48</v>
      </c>
      <c r="H17" s="6" t="n">
        <f aca="false">IF((F17&lt;&gt;0),F17-G17," ")</f>
        <v>48</v>
      </c>
      <c r="I17" s="5"/>
      <c r="L17" s="7" t="n">
        <f aca="false">IF(F17&lt;&gt;0,F17-K17," ")</f>
        <v>48</v>
      </c>
      <c r="M17" s="8" t="n">
        <f aca="false">IF((F17-K17)&lt;&gt;0,M$1-A17," ")</f>
        <v>316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48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45818</v>
      </c>
      <c r="B18" s="2" t="s">
        <v>92</v>
      </c>
      <c r="E18" s="5" t="s">
        <v>85</v>
      </c>
      <c r="F18" s="46" t="n">
        <v>36</v>
      </c>
      <c r="H18" s="6" t="n">
        <f aca="false">IF((F18&lt;&gt;0),F18-G18," ")</f>
        <v>36</v>
      </c>
      <c r="I18" s="5"/>
      <c r="L18" s="7" t="n">
        <f aca="false">IF(F18&lt;&gt;0,F18-K18," ")</f>
        <v>36</v>
      </c>
      <c r="M18" s="8" t="n">
        <f aca="false">IF((F18-K18)&lt;&gt;0,M$1-A18," ")</f>
        <v>314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36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45818</v>
      </c>
      <c r="B19" s="2" t="s">
        <v>93</v>
      </c>
      <c r="E19" s="5" t="s">
        <v>94</v>
      </c>
      <c r="F19" s="46" t="n">
        <v>180</v>
      </c>
      <c r="H19" s="6" t="n">
        <f aca="false">IF((F19&lt;&gt;0),F19-G19," ")</f>
        <v>180</v>
      </c>
      <c r="I19" s="5"/>
      <c r="L19" s="7" t="n">
        <f aca="false">IF(F19&lt;&gt;0,F19-K19," ")</f>
        <v>180</v>
      </c>
      <c r="M19" s="8" t="n">
        <f aca="false">IF((F19-K19)&lt;&gt;0,M$1-A19," ")</f>
        <v>314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46" t="str">
        <f aca="false">IF((E19="v"),H19," ")</f>
        <v> </v>
      </c>
      <c r="AD19" s="46" t="str">
        <f aca="false">IF((E19="n"),H19," ")</f>
        <v> </v>
      </c>
      <c r="AE19" s="17" t="n">
        <f aca="false">IF((E19="f"),H19," ")</f>
        <v>180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45818</v>
      </c>
      <c r="B20" s="2" t="s">
        <v>95</v>
      </c>
      <c r="E20" s="5" t="s">
        <v>96</v>
      </c>
      <c r="F20" s="46" t="n">
        <v>600</v>
      </c>
      <c r="H20" s="6" t="n">
        <f aca="false">IF((F20&lt;&gt;0),F20-G20," ")</f>
        <v>600</v>
      </c>
      <c r="I20" s="5"/>
      <c r="L20" s="7" t="n">
        <f aca="false">IF(F20&lt;&gt;0,F20-K20," ")</f>
        <v>600</v>
      </c>
      <c r="M20" s="8" t="n">
        <f aca="false">IF((F20-K20)&lt;&gt;0,M$1-A20," ")</f>
        <v>314</v>
      </c>
      <c r="N20" s="5"/>
      <c r="O20" s="17" t="n">
        <f aca="false">IF((E20="s"),H20," ")</f>
        <v>600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45820</v>
      </c>
      <c r="B21" s="2" t="s">
        <v>97</v>
      </c>
      <c r="E21" s="5" t="s">
        <v>88</v>
      </c>
      <c r="F21" s="46" t="n">
        <v>18</v>
      </c>
      <c r="H21" s="6" t="n">
        <f aca="false">IF((F21&lt;&gt;0),F21-G21," ")</f>
        <v>18</v>
      </c>
      <c r="I21" s="5"/>
      <c r="L21" s="7" t="n">
        <f aca="false">IF(F21&lt;&gt;0,F21-K21," ")</f>
        <v>18</v>
      </c>
      <c r="M21" s="8" t="n">
        <f aca="false">IF((F21-K21)&lt;&gt;0,M$1-A21," ")</f>
        <v>312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46" t="n">
        <f aca="false">IF((E21="v"),H21," ")</f>
        <v>18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45822</v>
      </c>
      <c r="B22" s="2" t="s">
        <v>98</v>
      </c>
      <c r="E22" s="5" t="s">
        <v>85</v>
      </c>
      <c r="F22" s="46" t="n">
        <v>42</v>
      </c>
      <c r="H22" s="6" t="n">
        <f aca="false">IF((F22&lt;&gt;0),F22-G22," ")</f>
        <v>42</v>
      </c>
      <c r="I22" s="5"/>
      <c r="L22" s="7" t="n">
        <f aca="false">IF(F22&lt;&gt;0,F22-K22," ")</f>
        <v>42</v>
      </c>
      <c r="M22" s="8" t="n">
        <f aca="false">IF((F22-K22)&lt;&gt;0,M$1-A22," ")</f>
        <v>310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n">
        <f aca="false">IF((E22="u"),H22," ")</f>
        <v>42</v>
      </c>
      <c r="Z22" s="17" t="str">
        <f aca="false">IF((E22="a"),H22," ")</f>
        <v> </v>
      </c>
      <c r="AA22" s="17" t="str">
        <f aca="false">IF((E22="g"),H22," ")</f>
        <v> </v>
      </c>
      <c r="AB22" s="17" t="str">
        <f aca="false">IF((E22="h"),H22," ")</f>
        <v> 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45822</v>
      </c>
      <c r="B23" s="2" t="s">
        <v>99</v>
      </c>
      <c r="E23" s="5" t="s">
        <v>91</v>
      </c>
      <c r="F23" s="46" t="n">
        <v>24</v>
      </c>
      <c r="H23" s="6" t="n">
        <f aca="false">IF((F23&lt;&gt;0),F23-G23," ")</f>
        <v>24</v>
      </c>
      <c r="I23" s="5"/>
      <c r="L23" s="7" t="n">
        <f aca="false">IF(F23&lt;&gt;0,F23-K23," ")</f>
        <v>24</v>
      </c>
      <c r="M23" s="8" t="n">
        <f aca="false">IF((F23-K23)&lt;&gt;0,M$1-A23," ")</f>
        <v>310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n">
        <f aca="false">IF((E23="h"),H23," ")</f>
        <v>24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45822</v>
      </c>
      <c r="B24" s="2" t="s">
        <v>100</v>
      </c>
      <c r="E24" s="5" t="s">
        <v>91</v>
      </c>
      <c r="F24" s="46" t="n">
        <v>12</v>
      </c>
      <c r="H24" s="6" t="n">
        <f aca="false">IF((F24&lt;&gt;0),F24-G24," ")</f>
        <v>12</v>
      </c>
      <c r="I24" s="5"/>
      <c r="L24" s="7" t="n">
        <f aca="false">IF(F24&lt;&gt;0,F24-K24," ")</f>
        <v>12</v>
      </c>
      <c r="M24" s="8" t="n">
        <f aca="false">IF((F24-K24)&lt;&gt;0,M$1-A24," ")</f>
        <v>310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n">
        <f aca="false">IF((E24="h"),H24," ")</f>
        <v>12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45823</v>
      </c>
      <c r="B25" s="2" t="s">
        <v>20</v>
      </c>
      <c r="E25" s="5" t="s">
        <v>88</v>
      </c>
      <c r="F25" s="46" t="n">
        <v>150</v>
      </c>
      <c r="H25" s="6" t="n">
        <f aca="false">IF((F25&lt;&gt;0),F25-G25," ")</f>
        <v>150</v>
      </c>
      <c r="I25" s="5"/>
      <c r="L25" s="7" t="n">
        <f aca="false">IF(F25&lt;&gt;0,F25-K25," ")</f>
        <v>150</v>
      </c>
      <c r="M25" s="8" t="n">
        <f aca="false">IF((F25-K25)&lt;&gt;0,M$1-A25," ")</f>
        <v>309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46" t="n">
        <f aca="false">IF((E25="v"),H25," ")</f>
        <v>150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45823</v>
      </c>
      <c r="B26" s="2" t="s">
        <v>101</v>
      </c>
      <c r="E26" s="5" t="s">
        <v>75</v>
      </c>
      <c r="F26" s="46" t="n">
        <v>12</v>
      </c>
      <c r="H26" s="6" t="n">
        <f aca="false">IF((F26&lt;&gt;0),F26-G26," ")</f>
        <v>12</v>
      </c>
      <c r="I26" s="5"/>
      <c r="L26" s="7" t="n">
        <f aca="false">IF(F26&lt;&gt;0,F26-K26," ")</f>
        <v>12</v>
      </c>
      <c r="M26" s="8" t="n">
        <f aca="false">IF((F26-K26)&lt;&gt;0,M$1-A26," ")</f>
        <v>309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n">
        <f aca="false">IF((E26="g"),H26," ")</f>
        <v>12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45826</v>
      </c>
      <c r="B27" s="2" t="s">
        <v>102</v>
      </c>
      <c r="E27" s="5" t="s">
        <v>88</v>
      </c>
      <c r="F27" s="46" t="n">
        <v>96</v>
      </c>
      <c r="H27" s="6" t="n">
        <f aca="false">IF((F27&lt;&gt;0),F27-G27," ")</f>
        <v>96</v>
      </c>
      <c r="I27" s="5"/>
      <c r="L27" s="7" t="n">
        <f aca="false">IF(F27&lt;&gt;0,F27-K27," ")</f>
        <v>96</v>
      </c>
      <c r="M27" s="8" t="n">
        <f aca="false">IF((F27-K27)&lt;&gt;0,M$1-A27," ")</f>
        <v>306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46" t="n">
        <f aca="false">IF((E27="v"),H27," ")</f>
        <v>96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45828</v>
      </c>
      <c r="B28" s="2" t="s">
        <v>103</v>
      </c>
      <c r="E28" s="5" t="s">
        <v>75</v>
      </c>
      <c r="F28" s="46" t="n">
        <v>60</v>
      </c>
      <c r="H28" s="6" t="n">
        <f aca="false">IF((F28&lt;&gt;0),F28-G28," ")</f>
        <v>60</v>
      </c>
      <c r="I28" s="5"/>
      <c r="L28" s="7" t="n">
        <f aca="false">IF(F28&lt;&gt;0,F28-K28," ")</f>
        <v>60</v>
      </c>
      <c r="M28" s="8" t="n">
        <f aca="false">IF((F28-K28)&lt;&gt;0,M$1-A28," ")</f>
        <v>304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60</v>
      </c>
      <c r="AB28" s="17" t="str">
        <f aca="false">IF((E28="h"),H28," ")</f>
        <v> 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45828</v>
      </c>
      <c r="B29" s="2" t="s">
        <v>104</v>
      </c>
      <c r="E29" s="5" t="s">
        <v>105</v>
      </c>
      <c r="F29" s="46" t="n">
        <v>120</v>
      </c>
      <c r="H29" s="6" t="n">
        <f aca="false">IF((F29&lt;&gt;0),F29-G29," ")</f>
        <v>120</v>
      </c>
      <c r="I29" s="5"/>
      <c r="L29" s="7" t="n">
        <f aca="false">IF(F29&lt;&gt;0,F29-K29," ")</f>
        <v>120</v>
      </c>
      <c r="M29" s="8" t="n">
        <f aca="false">IF((F29-K29)&lt;&gt;0,M$1-A29," ")</f>
        <v>304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n">
        <f aca="false">IF((E29="m"),H29," ")</f>
        <v>120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45829</v>
      </c>
      <c r="B30" s="2" t="s">
        <v>106</v>
      </c>
      <c r="E30" s="5" t="s">
        <v>91</v>
      </c>
      <c r="F30" s="46" t="n">
        <v>8</v>
      </c>
      <c r="H30" s="6" t="n">
        <f aca="false">IF((F30&lt;&gt;0),F30-G30," ")</f>
        <v>8</v>
      </c>
      <c r="I30" s="5"/>
      <c r="L30" s="7" t="n">
        <f aca="false">IF(F30&lt;&gt;0,F30-K30," ")</f>
        <v>8</v>
      </c>
      <c r="M30" s="8" t="n">
        <f aca="false">IF((F30-K30)&lt;&gt;0,M$1-A30," ")</f>
        <v>303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n">
        <f aca="false">IF((E30="h"),H30," ")</f>
        <v>8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45830</v>
      </c>
      <c r="B31" s="2" t="s">
        <v>107</v>
      </c>
      <c r="E31" s="5" t="s">
        <v>85</v>
      </c>
      <c r="F31" s="46" t="n">
        <v>18</v>
      </c>
      <c r="H31" s="6" t="n">
        <f aca="false">IF((F31&lt;&gt;0),F31-G31," ")</f>
        <v>18</v>
      </c>
      <c r="I31" s="5"/>
      <c r="L31" s="7" t="n">
        <f aca="false">IF(F31&lt;&gt;0,F31-K31," ")</f>
        <v>18</v>
      </c>
      <c r="M31" s="8" t="n">
        <f aca="false">IF((F31-K31)&lt;&gt;0,M$1-A31," ")</f>
        <v>302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n">
        <f aca="false">IF((E31="u"),H31," ")</f>
        <v>18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45833</v>
      </c>
      <c r="B32" s="2" t="s">
        <v>108</v>
      </c>
      <c r="E32" s="5" t="s">
        <v>85</v>
      </c>
      <c r="F32" s="46" t="n">
        <v>15</v>
      </c>
      <c r="H32" s="6" t="n">
        <f aca="false">IF((F32&lt;&gt;0),F32-G32," ")</f>
        <v>15</v>
      </c>
      <c r="I32" s="5"/>
      <c r="L32" s="7" t="n">
        <f aca="false">IF(F32&lt;&gt;0,F32-K32," ")</f>
        <v>15</v>
      </c>
      <c r="M32" s="8" t="n">
        <f aca="false">IF((F32-K32)&lt;&gt;0,M$1-A32," ")</f>
        <v>299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n">
        <f aca="false">IF((E32="u"),H32," ")</f>
        <v>15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45833</v>
      </c>
      <c r="B33" s="2" t="s">
        <v>109</v>
      </c>
      <c r="E33" s="5" t="s">
        <v>88</v>
      </c>
      <c r="F33" s="46" t="n">
        <v>38.25</v>
      </c>
      <c r="H33" s="6" t="n">
        <f aca="false">IF((F33&lt;&gt;0),F33-G33," ")</f>
        <v>38.25</v>
      </c>
      <c r="I33" s="5"/>
      <c r="L33" s="7" t="n">
        <f aca="false">IF(F33&lt;&gt;0,F33-K33," ")</f>
        <v>38.25</v>
      </c>
      <c r="M33" s="8" t="n">
        <f aca="false">IF((F33-K33)&lt;&gt;0,M$1-A33," ")</f>
        <v>299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n">
        <f aca="false">IF((E33="v"),H33," ")</f>
        <v>38.25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45836</v>
      </c>
      <c r="B34" s="2" t="s">
        <v>20</v>
      </c>
      <c r="E34" s="5" t="s">
        <v>88</v>
      </c>
      <c r="F34" s="46" t="n">
        <v>120</v>
      </c>
      <c r="H34" s="6" t="n">
        <f aca="false">IF((F34&lt;&gt;0),F34-G34," ")</f>
        <v>120</v>
      </c>
      <c r="I34" s="5"/>
      <c r="L34" s="7" t="n">
        <f aca="false">IF(F34&lt;&gt;0,F34-K34," ")</f>
        <v>120</v>
      </c>
      <c r="M34" s="8" t="n">
        <f aca="false">IF((F34-K34)&lt;&gt;0,M$1-A34," ")</f>
        <v>296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n">
        <f aca="false">IF((E34="v"),H34," ")</f>
        <v>120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45838</v>
      </c>
      <c r="B35" s="2" t="s">
        <v>16</v>
      </c>
      <c r="E35" s="5" t="s">
        <v>110</v>
      </c>
      <c r="F35" s="46" t="n">
        <v>300</v>
      </c>
      <c r="H35" s="6" t="n">
        <f aca="false">IF((F35&lt;&gt;0),F35-G35," ")</f>
        <v>300</v>
      </c>
      <c r="I35" s="5"/>
      <c r="L35" s="7" t="n">
        <f aca="false">IF(F35&lt;&gt;0,F35-K35," ")</f>
        <v>300</v>
      </c>
      <c r="M35" s="8" t="n">
        <f aca="false">IF((F35-K35)&lt;&gt;0,M$1-A35," ")</f>
        <v>294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str">
        <f aca="false">IF((E35="v"),H35," ")</f>
        <v> </v>
      </c>
      <c r="AD35" s="46" t="str">
        <f aca="false">IF((E35="n"),H35," ")</f>
        <v> </v>
      </c>
      <c r="AE35" s="17" t="str">
        <f aca="false">IF((E35="f"),H35," ")</f>
        <v> </v>
      </c>
      <c r="AF35" s="17" t="n">
        <f aca="false">IF((E35="l"),H35," ")</f>
        <v>300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/>
      <c r="E36" s="2"/>
      <c r="F36" s="46"/>
      <c r="H36" s="6" t="str">
        <f aca="false">IF((F36&lt;&gt;0),F36-G36," ")</f>
        <v> </v>
      </c>
      <c r="I36" s="5"/>
      <c r="L36" s="7" t="str">
        <f aca="false">IF(F36&lt;&gt;0,F36-K36," ")</f>
        <v> </v>
      </c>
      <c r="M36" s="8" t="str">
        <f aca="false">IF((F36-K36)&lt;&gt;0,M$1-A36," ")</f>
        <v> 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str">
        <f aca="false">IF((E36="v"),H36," ")</f>
        <v> 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/>
      <c r="E37" s="2"/>
      <c r="F37" s="46"/>
      <c r="H37" s="6" t="str">
        <f aca="false">IF((F37&lt;&gt;0),F37-G37," ")</f>
        <v> </v>
      </c>
      <c r="I37" s="5"/>
      <c r="L37" s="7" t="str">
        <f aca="false">IF(F37&lt;&gt;0,F37-K37," ")</f>
        <v> </v>
      </c>
      <c r="M37" s="8" t="str">
        <f aca="false">IF((F37-K37)&lt;&gt;0,M$1-A37," ")</f>
        <v> 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46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14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6375</v>
      </c>
      <c r="G1" s="12" t="n">
        <f aca="false">SUM(G5:G300)</f>
        <v>0</v>
      </c>
      <c r="H1" s="12" t="n">
        <f aca="false">SUM(H5:H300)</f>
        <v>6375</v>
      </c>
      <c r="I1" s="13"/>
      <c r="J1" s="14" t="s">
        <v>2</v>
      </c>
      <c r="K1" s="15" t="n">
        <f aca="false">SUM(K5:K300)</f>
        <v>0</v>
      </c>
      <c r="L1" s="15" t="n">
        <f aca="false">SUM(L5:L300)</f>
        <v>6375</v>
      </c>
      <c r="M1" s="16" t="n">
        <f aca="true">TODAY()</f>
        <v>46132</v>
      </c>
      <c r="N1" s="13"/>
      <c r="O1" s="12" t="n">
        <f aca="false">SUM(O5:O300)</f>
        <v>720</v>
      </c>
      <c r="P1" s="12" t="n">
        <f aca="false">SUM(P5:P300)</f>
        <v>0</v>
      </c>
      <c r="Q1" s="12" t="n">
        <f aca="false">SUM(Q5:Q300)</f>
        <v>249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180</v>
      </c>
      <c r="W1" s="12" t="n">
        <f aca="false">SUM(W5:W300)</f>
        <v>240</v>
      </c>
      <c r="X1" s="12" t="n">
        <f aca="false">SUM(X5:X300)</f>
        <v>0</v>
      </c>
      <c r="Y1" s="12" t="n">
        <f aca="false">SUM(Y5:Y300)</f>
        <v>115</v>
      </c>
      <c r="Z1" s="12" t="n">
        <f aca="false">SUM(Z5:Z300)</f>
        <v>600</v>
      </c>
      <c r="AA1" s="12" t="n">
        <f aca="false">SUM(AA5:AA300)</f>
        <v>153</v>
      </c>
      <c r="AB1" s="12" t="n">
        <f aca="false">SUM(AB5:AB300)</f>
        <v>152</v>
      </c>
      <c r="AC1" s="12" t="n">
        <f aca="false">SUM(AC5:AC300)</f>
        <v>666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300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1800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IF([2]Jul!$G$4&gt;0,0,[2]Jul!$G$2)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45839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293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45839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293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45839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293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45839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293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45839</v>
      </c>
      <c r="B9" s="2" t="s">
        <v>81</v>
      </c>
      <c r="E9" s="5" t="s">
        <v>78</v>
      </c>
      <c r="F9" s="46" t="n">
        <v>24</v>
      </c>
      <c r="H9" s="6" t="n">
        <f aca="false">IF((F9&lt;&gt;0),F9-G9," ")</f>
        <v>24</v>
      </c>
      <c r="I9" s="5"/>
      <c r="L9" s="7" t="n">
        <f aca="false">IF(F9&lt;&gt;0,F9-K9," ")</f>
        <v>24</v>
      </c>
      <c r="M9" s="8" t="n">
        <f aca="false">IF((F9-K9)&lt;&gt;0,M$1-A9," ")</f>
        <v>293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24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45839</v>
      </c>
      <c r="B10" s="2" t="s">
        <v>82</v>
      </c>
      <c r="E10" s="5" t="s">
        <v>75</v>
      </c>
      <c r="F10" s="46" t="n">
        <v>18</v>
      </c>
      <c r="H10" s="6" t="n">
        <f aca="false">IF((F10&lt;&gt;0),F10-G10," ")</f>
        <v>18</v>
      </c>
      <c r="I10" s="5"/>
      <c r="L10" s="7" t="n">
        <f aca="false">IF(F10&lt;&gt;0,F10-K10," ")</f>
        <v>18</v>
      </c>
      <c r="M10" s="8" t="n">
        <f aca="false">IF((F10-K10)&lt;&gt;0,M$1-A10," ")</f>
        <v>293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18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45841</v>
      </c>
      <c r="B11" s="2" t="s">
        <v>83</v>
      </c>
      <c r="E11" s="5" t="s">
        <v>78</v>
      </c>
      <c r="F11" s="46" t="n">
        <v>180</v>
      </c>
      <c r="H11" s="6" t="n">
        <f aca="false">IF((F11&lt;&gt;0),F11-G11," ")</f>
        <v>180</v>
      </c>
      <c r="I11" s="5"/>
      <c r="L11" s="7" t="n">
        <f aca="false">IF(F11&lt;&gt;0,F11-K11," ")</f>
        <v>180</v>
      </c>
      <c r="M11" s="8" t="n">
        <f aca="false">IF((F11-K11)&lt;&gt;0,M$1-A11," ")</f>
        <v>291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180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45841</v>
      </c>
      <c r="B12" s="2" t="s">
        <v>84</v>
      </c>
      <c r="E12" s="5" t="s">
        <v>85</v>
      </c>
      <c r="F12" s="46" t="n">
        <v>22</v>
      </c>
      <c r="H12" s="6" t="n">
        <f aca="false">IF((F12&lt;&gt;0),F12-G12," ")</f>
        <v>22</v>
      </c>
      <c r="I12" s="5"/>
      <c r="L12" s="7" t="n">
        <f aca="false">IF(F12&lt;&gt;0,F12-K12," ")</f>
        <v>22</v>
      </c>
      <c r="M12" s="8" t="n">
        <f aca="false">IF((F12-K12)&lt;&gt;0,M$1-A12," ")</f>
        <v>291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22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45843</v>
      </c>
      <c r="B13" s="2" t="s">
        <v>86</v>
      </c>
      <c r="E13" s="5" t="s">
        <v>85</v>
      </c>
      <c r="F13" s="46" t="n">
        <v>24</v>
      </c>
      <c r="H13" s="6" t="n">
        <f aca="false">IF((F13&lt;&gt;0),F13-G13," ")</f>
        <v>24</v>
      </c>
      <c r="I13" s="5"/>
      <c r="L13" s="7" t="n">
        <f aca="false">IF(F13&lt;&gt;0,F13-K13," ")</f>
        <v>24</v>
      </c>
      <c r="M13" s="8" t="n">
        <f aca="false">IF((F13-K13)&lt;&gt;0,M$1-A13," ")</f>
        <v>289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24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45843</v>
      </c>
      <c r="B14" s="2" t="s">
        <v>87</v>
      </c>
      <c r="E14" s="5" t="s">
        <v>88</v>
      </c>
      <c r="F14" s="46" t="n">
        <v>180</v>
      </c>
      <c r="H14" s="6" t="n">
        <f aca="false">IF((F14&lt;&gt;0),F14-G14," ")</f>
        <v>180</v>
      </c>
      <c r="I14" s="5"/>
      <c r="L14" s="7" t="n">
        <f aca="false">IF(F14&lt;&gt;0,F14-K14," ")</f>
        <v>180</v>
      </c>
      <c r="M14" s="8" t="n">
        <f aca="false">IF((F14-K14)&lt;&gt;0,M$1-A14," ")</f>
        <v>289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n">
        <f aca="false">IF((E14="v"),H14," ")</f>
        <v>180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45844</v>
      </c>
      <c r="B15" s="2" t="s">
        <v>111</v>
      </c>
      <c r="E15" s="5" t="s">
        <v>91</v>
      </c>
      <c r="F15" s="46" t="n">
        <v>60</v>
      </c>
      <c r="H15" s="6" t="n">
        <f aca="false">IF((F15&lt;&gt;0),F15-G15," ")</f>
        <v>60</v>
      </c>
      <c r="I15" s="5"/>
      <c r="L15" s="7" t="n">
        <f aca="false">IF(F15&lt;&gt;0,F15-K15," ")</f>
        <v>60</v>
      </c>
      <c r="M15" s="8" t="n">
        <f aca="false">IF((F15-K15)&lt;&gt;0,M$1-A15," ")</f>
        <v>288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n">
        <f aca="false">IF((E15="h"),H15," ")</f>
        <v>60</v>
      </c>
      <c r="AC15" s="46" t="str">
        <f aca="false">IF((E15="v"),H15," ")</f>
        <v> 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45846</v>
      </c>
      <c r="B16" s="2" t="s">
        <v>90</v>
      </c>
      <c r="E16" s="5" t="s">
        <v>91</v>
      </c>
      <c r="F16" s="46" t="n">
        <v>48</v>
      </c>
      <c r="H16" s="6" t="n">
        <f aca="false">IF((F16&lt;&gt;0),F16-G16," ")</f>
        <v>48</v>
      </c>
      <c r="I16" s="5"/>
      <c r="L16" s="7" t="n">
        <f aca="false">IF(F16&lt;&gt;0,F16-K16," ")</f>
        <v>48</v>
      </c>
      <c r="M16" s="8" t="n">
        <f aca="false">IF((F16-K16)&lt;&gt;0,M$1-A16," ")</f>
        <v>286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48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45846</v>
      </c>
      <c r="B17" s="2" t="s">
        <v>112</v>
      </c>
      <c r="E17" s="5" t="s">
        <v>113</v>
      </c>
      <c r="F17" s="46" t="n">
        <v>240</v>
      </c>
      <c r="H17" s="6" t="n">
        <f aca="false">IF((F17&lt;&gt;0),F17-G17," ")</f>
        <v>240</v>
      </c>
      <c r="I17" s="5"/>
      <c r="L17" s="7" t="n">
        <f aca="false">IF(F17&lt;&gt;0,F17-K17," ")</f>
        <v>240</v>
      </c>
      <c r="M17" s="8" t="n">
        <f aca="false">IF((F17-K17)&lt;&gt;0,M$1-A17," ")</f>
        <v>286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n">
        <f aca="false">IF((E17="q"),H17," ")</f>
        <v>240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45848</v>
      </c>
      <c r="B18" s="2" t="s">
        <v>92</v>
      </c>
      <c r="E18" s="5" t="s">
        <v>85</v>
      </c>
      <c r="F18" s="46" t="n">
        <v>36</v>
      </c>
      <c r="H18" s="6" t="n">
        <f aca="false">IF((F18&lt;&gt;0),F18-G18," ")</f>
        <v>36</v>
      </c>
      <c r="I18" s="5"/>
      <c r="L18" s="7" t="n">
        <f aca="false">IF(F18&lt;&gt;0,F18-K18," ")</f>
        <v>36</v>
      </c>
      <c r="M18" s="8" t="n">
        <f aca="false">IF((F18-K18)&lt;&gt;0,M$1-A18," ")</f>
        <v>284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36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45848</v>
      </c>
      <c r="B19" s="2" t="s">
        <v>114</v>
      </c>
      <c r="E19" s="5" t="s">
        <v>115</v>
      </c>
      <c r="F19" s="46" t="n">
        <v>600</v>
      </c>
      <c r="H19" s="6" t="n">
        <f aca="false">IF((F19&lt;&gt;0),F19-G19," ")</f>
        <v>600</v>
      </c>
      <c r="I19" s="5"/>
      <c r="L19" s="7" t="n">
        <f aca="false">IF(F19&lt;&gt;0,F19-K19," ")</f>
        <v>600</v>
      </c>
      <c r="M19" s="8" t="n">
        <f aca="false">IF((F19-K19)&lt;&gt;0,M$1-A19," ")</f>
        <v>284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n">
        <f aca="false">IF((E19="a"),H19," ")</f>
        <v>600</v>
      </c>
      <c r="AA19" s="17" t="str">
        <f aca="false">IF((E19="g"),H19," ")</f>
        <v> </v>
      </c>
      <c r="AB19" s="17" t="str">
        <f aca="false">IF((E19="h"),H19," ")</f>
        <v> </v>
      </c>
      <c r="AC19" s="46" t="str">
        <f aca="false">IF((E19="v"),H19," ")</f>
        <v> 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45850</v>
      </c>
      <c r="B20" s="2" t="s">
        <v>97</v>
      </c>
      <c r="E20" s="5" t="s">
        <v>88</v>
      </c>
      <c r="F20" s="46" t="n">
        <v>18</v>
      </c>
      <c r="H20" s="6" t="n">
        <f aca="false">IF((F20&lt;&gt;0),F20-G20," ")</f>
        <v>18</v>
      </c>
      <c r="I20" s="5"/>
      <c r="L20" s="7" t="n">
        <f aca="false">IF(F20&lt;&gt;0,F20-K20," ")</f>
        <v>18</v>
      </c>
      <c r="M20" s="8" t="n">
        <f aca="false">IF((F20-K20)&lt;&gt;0,M$1-A20," ")</f>
        <v>282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n">
        <f aca="false">IF((E20="v"),H20," ")</f>
        <v>18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45852</v>
      </c>
      <c r="B21" s="2" t="s">
        <v>99</v>
      </c>
      <c r="E21" s="5" t="s">
        <v>91</v>
      </c>
      <c r="F21" s="46" t="n">
        <v>24</v>
      </c>
      <c r="H21" s="6" t="n">
        <f aca="false">IF((F21&lt;&gt;0),F21-G21," ")</f>
        <v>24</v>
      </c>
      <c r="I21" s="5"/>
      <c r="L21" s="7" t="n">
        <f aca="false">IF(F21&lt;&gt;0,F21-K21," ")</f>
        <v>24</v>
      </c>
      <c r="M21" s="8" t="n">
        <f aca="false">IF((F21-K21)&lt;&gt;0,M$1-A21," ")</f>
        <v>280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n">
        <f aca="false">IF((E21="h"),H21," ")</f>
        <v>24</v>
      </c>
      <c r="AC21" s="46" t="str">
        <f aca="false">IF((E21="v"),H21," ")</f>
        <v> 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45852</v>
      </c>
      <c r="B22" s="2" t="s">
        <v>100</v>
      </c>
      <c r="E22" s="5" t="s">
        <v>91</v>
      </c>
      <c r="F22" s="46" t="n">
        <v>12</v>
      </c>
      <c r="H22" s="6" t="n">
        <f aca="false">IF((F22&lt;&gt;0),F22-G22," ")</f>
        <v>12</v>
      </c>
      <c r="I22" s="5"/>
      <c r="L22" s="7" t="n">
        <f aca="false">IF(F22&lt;&gt;0,F22-K22," ")</f>
        <v>12</v>
      </c>
      <c r="M22" s="8" t="n">
        <f aca="false">IF((F22-K22)&lt;&gt;0,M$1-A22," ")</f>
        <v>280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12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45853</v>
      </c>
      <c r="B23" s="2" t="s">
        <v>20</v>
      </c>
      <c r="E23" s="5" t="s">
        <v>88</v>
      </c>
      <c r="F23" s="46" t="n">
        <v>150</v>
      </c>
      <c r="H23" s="6" t="n">
        <f aca="false">IF((F23&lt;&gt;0),F23-G23," ")</f>
        <v>150</v>
      </c>
      <c r="I23" s="5"/>
      <c r="L23" s="7" t="n">
        <f aca="false">IF(F23&lt;&gt;0,F23-K23," ")</f>
        <v>150</v>
      </c>
      <c r="M23" s="8" t="n">
        <f aca="false">IF((F23-K23)&lt;&gt;0,M$1-A23," ")</f>
        <v>279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46" t="n">
        <f aca="false">IF((E23="v"),H23," ")</f>
        <v>150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45853</v>
      </c>
      <c r="B24" s="2" t="s">
        <v>101</v>
      </c>
      <c r="E24" s="5" t="s">
        <v>75</v>
      </c>
      <c r="F24" s="46" t="n">
        <v>12</v>
      </c>
      <c r="H24" s="6" t="n">
        <f aca="false">IF((F24&lt;&gt;0),F24-G24," ")</f>
        <v>12</v>
      </c>
      <c r="I24" s="5"/>
      <c r="L24" s="7" t="n">
        <f aca="false">IF(F24&lt;&gt;0,F24-K24," ")</f>
        <v>12</v>
      </c>
      <c r="M24" s="8" t="n">
        <f aca="false">IF((F24-K24)&lt;&gt;0,M$1-A24," ")</f>
        <v>279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n">
        <f aca="false">IF((E24="g"),H24," ")</f>
        <v>12</v>
      </c>
      <c r="AB24" s="17" t="str">
        <f aca="false">IF((E24="h"),H24," ")</f>
        <v> 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45853</v>
      </c>
      <c r="B25" s="2" t="s">
        <v>116</v>
      </c>
      <c r="E25" s="5" t="s">
        <v>96</v>
      </c>
      <c r="F25" s="46" t="n">
        <v>480</v>
      </c>
      <c r="H25" s="6" t="n">
        <f aca="false">IF((F25&lt;&gt;0),F25-G25," ")</f>
        <v>480</v>
      </c>
      <c r="I25" s="5"/>
      <c r="L25" s="7" t="n">
        <f aca="false">IF(F25&lt;&gt;0,F25-K25," ")</f>
        <v>480</v>
      </c>
      <c r="M25" s="8" t="n">
        <f aca="false">IF((F25-K25)&lt;&gt;0,M$1-A25," ")</f>
        <v>279</v>
      </c>
      <c r="N25" s="5"/>
      <c r="O25" s="17" t="n">
        <f aca="false">IF((E25="s"),H25," ")</f>
        <v>480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45853</v>
      </c>
      <c r="B26" s="2" t="s">
        <v>117</v>
      </c>
      <c r="E26" s="5" t="s">
        <v>118</v>
      </c>
      <c r="F26" s="46" t="n">
        <v>1800</v>
      </c>
      <c r="H26" s="6" t="n">
        <f aca="false">IF((F26&lt;&gt;0),F26-G26," ")</f>
        <v>1800</v>
      </c>
      <c r="I26" s="5"/>
      <c r="L26" s="7" t="n">
        <f aca="false">IF(F26&lt;&gt;0,F26-K26," ")</f>
        <v>1800</v>
      </c>
      <c r="M26" s="8" t="n">
        <f aca="false">IF((F26-K26)&lt;&gt;0,M$1-A26," ")</f>
        <v>279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n">
        <f aca="false">IF((E26="fa"),H26," ")</f>
        <v>1800</v>
      </c>
    </row>
    <row r="27" customFormat="false" ht="12" hidden="false" customHeight="false" outlineLevel="0" collapsed="false">
      <c r="A27" s="28" t="n">
        <v>45854</v>
      </c>
      <c r="B27" s="2" t="s">
        <v>119</v>
      </c>
      <c r="E27" s="5" t="s">
        <v>75</v>
      </c>
      <c r="F27" s="46" t="n">
        <v>18</v>
      </c>
      <c r="H27" s="6" t="n">
        <f aca="false">IF((F27&lt;&gt;0),F27-G27," ")</f>
        <v>18</v>
      </c>
      <c r="I27" s="5"/>
      <c r="L27" s="7" t="n">
        <f aca="false">IF(F27&lt;&gt;0,F27-K27," ")</f>
        <v>18</v>
      </c>
      <c r="M27" s="8" t="n">
        <f aca="false">IF((F27-K27)&lt;&gt;0,M$1-A27," ")</f>
        <v>278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n">
        <f aca="false">IF((E27="g"),H27," ")</f>
        <v>18</v>
      </c>
      <c r="AB27" s="17" t="str">
        <f aca="false">IF((E27="h"),H27," ")</f>
        <v> </v>
      </c>
      <c r="AC27" s="46" t="str">
        <f aca="false">IF((E27="v"),H27," ")</f>
        <v> 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45856</v>
      </c>
      <c r="B28" s="2" t="s">
        <v>102</v>
      </c>
      <c r="E28" s="5" t="s">
        <v>88</v>
      </c>
      <c r="F28" s="46" t="n">
        <v>96</v>
      </c>
      <c r="H28" s="6" t="n">
        <f aca="false">IF((F28&lt;&gt;0),F28-G28," ")</f>
        <v>96</v>
      </c>
      <c r="I28" s="5"/>
      <c r="L28" s="7" t="n">
        <f aca="false">IF(F28&lt;&gt;0,F28-K28," ")</f>
        <v>96</v>
      </c>
      <c r="M28" s="8" t="n">
        <f aca="false">IF((F28-K28)&lt;&gt;0,M$1-A28," ")</f>
        <v>276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46" t="n">
        <f aca="false">IF((E28="v"),H28," ")</f>
        <v>96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45858</v>
      </c>
      <c r="B29" s="2" t="s">
        <v>103</v>
      </c>
      <c r="E29" s="5" t="s">
        <v>75</v>
      </c>
      <c r="F29" s="46" t="n">
        <v>60</v>
      </c>
      <c r="H29" s="6" t="n">
        <f aca="false">IF((F29&lt;&gt;0),F29-G29," ")</f>
        <v>60</v>
      </c>
      <c r="I29" s="5"/>
      <c r="L29" s="7" t="n">
        <f aca="false">IF(F29&lt;&gt;0,F29-K29," ")</f>
        <v>60</v>
      </c>
      <c r="M29" s="8" t="n">
        <f aca="false">IF((F29-K29)&lt;&gt;0,M$1-A29," ")</f>
        <v>274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n">
        <f aca="false">IF((E29="g"),H29," ")</f>
        <v>60</v>
      </c>
      <c r="AB29" s="17" t="str">
        <f aca="false">IF((E29="h"),H29," ")</f>
        <v> 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45858</v>
      </c>
      <c r="B30" s="2" t="s">
        <v>120</v>
      </c>
      <c r="E30" s="5" t="s">
        <v>121</v>
      </c>
      <c r="F30" s="46" t="n">
        <v>180</v>
      </c>
      <c r="H30" s="6" t="n">
        <f aca="false">IF((F30&lt;&gt;0),F30-G30," ")</f>
        <v>180</v>
      </c>
      <c r="I30" s="5"/>
      <c r="L30" s="7" t="n">
        <f aca="false">IF(F30&lt;&gt;0,F30-K30," ")</f>
        <v>180</v>
      </c>
      <c r="M30" s="8" t="n">
        <f aca="false">IF((F30-K30)&lt;&gt;0,M$1-A30," ")</f>
        <v>274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n">
        <f aca="false">IF((E30="t"),H30," ")</f>
        <v>180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45858</v>
      </c>
      <c r="B31" s="2" t="s">
        <v>122</v>
      </c>
      <c r="E31" s="5" t="s">
        <v>96</v>
      </c>
      <c r="F31" s="46" t="n">
        <v>240</v>
      </c>
      <c r="H31" s="6" t="n">
        <f aca="false">IF((F31&lt;&gt;0),F31-G31," ")</f>
        <v>240</v>
      </c>
      <c r="I31" s="5"/>
      <c r="L31" s="7" t="n">
        <f aca="false">IF(F31&lt;&gt;0,F31-K31," ")</f>
        <v>240</v>
      </c>
      <c r="M31" s="8" t="n">
        <f aca="false">IF((F31-K31)&lt;&gt;0,M$1-A31," ")</f>
        <v>274</v>
      </c>
      <c r="N31" s="5"/>
      <c r="O31" s="17" t="n">
        <f aca="false">IF((E31="s"),H31," ")</f>
        <v>240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45859</v>
      </c>
      <c r="B32" s="2" t="s">
        <v>106</v>
      </c>
      <c r="E32" s="5" t="s">
        <v>91</v>
      </c>
      <c r="F32" s="46" t="n">
        <v>8</v>
      </c>
      <c r="H32" s="6" t="n">
        <f aca="false">IF((F32&lt;&gt;0),F32-G32," ")</f>
        <v>8</v>
      </c>
      <c r="I32" s="5"/>
      <c r="L32" s="7" t="n">
        <f aca="false">IF(F32&lt;&gt;0,F32-K32," ")</f>
        <v>8</v>
      </c>
      <c r="M32" s="8" t="n">
        <f aca="false">IF((F32-K32)&lt;&gt;0,M$1-A32," ")</f>
        <v>273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n">
        <f aca="false">IF((E32="h"),H32," ")</f>
        <v>8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45860</v>
      </c>
      <c r="B33" s="2" t="s">
        <v>107</v>
      </c>
      <c r="E33" s="5" t="s">
        <v>85</v>
      </c>
      <c r="F33" s="46" t="n">
        <v>18</v>
      </c>
      <c r="H33" s="6" t="n">
        <f aca="false">IF((F33&lt;&gt;0),F33-G33," ")</f>
        <v>18</v>
      </c>
      <c r="I33" s="5"/>
      <c r="L33" s="7" t="n">
        <f aca="false">IF(F33&lt;&gt;0,F33-K33," ")</f>
        <v>18</v>
      </c>
      <c r="M33" s="8" t="n">
        <f aca="false">IF((F33-K33)&lt;&gt;0,M$1-A33," ")</f>
        <v>272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n">
        <f aca="false">IF((E33="u"),H33," ")</f>
        <v>18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str">
        <f aca="false">IF((E33="v"),H33," ")</f>
        <v> 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45860</v>
      </c>
      <c r="B34" s="2" t="s">
        <v>123</v>
      </c>
      <c r="E34" s="5" t="s">
        <v>88</v>
      </c>
      <c r="F34" s="46" t="n">
        <v>48</v>
      </c>
      <c r="H34" s="6" t="n">
        <f aca="false">IF((F34&lt;&gt;0),F34-G34," ")</f>
        <v>48</v>
      </c>
      <c r="I34" s="5"/>
      <c r="L34" s="7" t="n">
        <f aca="false">IF(F34&lt;&gt;0,F34-K34," ")</f>
        <v>48</v>
      </c>
      <c r="M34" s="8" t="n">
        <f aca="false">IF((F34-K34)&lt;&gt;0,M$1-A34," ")</f>
        <v>272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n">
        <f aca="false">IF((E34="v"),H34," ")</f>
        <v>48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45863</v>
      </c>
      <c r="B35" s="2" t="s">
        <v>108</v>
      </c>
      <c r="E35" s="5" t="s">
        <v>85</v>
      </c>
      <c r="F35" s="46" t="n">
        <v>15</v>
      </c>
      <c r="H35" s="6" t="n">
        <f aca="false">IF((F35&lt;&gt;0),F35-G35," ")</f>
        <v>15</v>
      </c>
      <c r="I35" s="5"/>
      <c r="L35" s="7" t="n">
        <f aca="false">IF(F35&lt;&gt;0,F35-K35," ")</f>
        <v>15</v>
      </c>
      <c r="M35" s="8" t="n">
        <f aca="false">IF((F35-K35)&lt;&gt;0,M$1-A35," ")</f>
        <v>269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n">
        <f aca="false">IF((E35="u"),H35," ")</f>
        <v>15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str">
        <f aca="false">IF((E35="v"),H35," ")</f>
        <v> 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45863</v>
      </c>
      <c r="B36" s="2" t="s">
        <v>109</v>
      </c>
      <c r="E36" s="5" t="s">
        <v>88</v>
      </c>
      <c r="F36" s="46" t="n">
        <v>54</v>
      </c>
      <c r="H36" s="6" t="n">
        <f aca="false">IF((F36&lt;&gt;0),F36-G36," ")</f>
        <v>54</v>
      </c>
      <c r="I36" s="5"/>
      <c r="L36" s="7" t="n">
        <f aca="false">IF(F36&lt;&gt;0,F36-K36," ")</f>
        <v>54</v>
      </c>
      <c r="M36" s="8" t="n">
        <f aca="false">IF((F36-K36)&lt;&gt;0,M$1-A36," ")</f>
        <v>269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n">
        <f aca="false">IF((E36="v"),H36," ")</f>
        <v>54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45866</v>
      </c>
      <c r="B37" s="2" t="s">
        <v>20</v>
      </c>
      <c r="E37" s="5" t="s">
        <v>88</v>
      </c>
      <c r="F37" s="46" t="n">
        <v>120</v>
      </c>
      <c r="H37" s="6" t="n">
        <f aca="false">IF((F37&lt;&gt;0),F37-G37," ")</f>
        <v>120</v>
      </c>
      <c r="I37" s="5"/>
      <c r="L37" s="7" t="n">
        <f aca="false">IF(F37&lt;&gt;0,F37-K37," ")</f>
        <v>120</v>
      </c>
      <c r="M37" s="8" t="n">
        <f aca="false">IF((F37-K37)&lt;&gt;0,M$1-A37," ")</f>
        <v>266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n">
        <f aca="false">IF((E37="v"),H37," ")</f>
        <v>120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 t="n">
        <v>45869</v>
      </c>
      <c r="B38" s="2" t="s">
        <v>16</v>
      </c>
      <c r="E38" s="5" t="s">
        <v>110</v>
      </c>
      <c r="F38" s="46" t="n">
        <v>300</v>
      </c>
      <c r="H38" s="6" t="n">
        <f aca="false">IF((F38&lt;&gt;0),F38-G38," ")</f>
        <v>300</v>
      </c>
      <c r="I38" s="5"/>
      <c r="L38" s="7" t="n">
        <f aca="false">IF(F38&lt;&gt;0,F38-K38," ")</f>
        <v>300</v>
      </c>
      <c r="M38" s="8" t="n">
        <f aca="false">IF((F38-K38)&lt;&gt;0,M$1-A38," ")</f>
        <v>263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n">
        <f aca="false">IF((E38="l"),H38," ")</f>
        <v>300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9057</v>
      </c>
      <c r="G1" s="12" t="n">
        <f aca="false">SUM(G5:G300)</f>
        <v>0</v>
      </c>
      <c r="H1" s="12" t="n">
        <f aca="false">SUM(H5:H300)</f>
        <v>9057</v>
      </c>
      <c r="I1" s="13"/>
      <c r="J1" s="14" t="s">
        <v>2</v>
      </c>
      <c r="K1" s="15" t="n">
        <f aca="false">SUM(K5:K300)</f>
        <v>0</v>
      </c>
      <c r="L1" s="15" t="n">
        <f aca="false">SUM(L5:L300)</f>
        <v>9057</v>
      </c>
      <c r="M1" s="16" t="n">
        <f aca="true">TODAY()</f>
        <v>46132</v>
      </c>
      <c r="N1" s="13"/>
      <c r="O1" s="12" t="n">
        <f aca="false">SUM(O5:O300)</f>
        <v>360</v>
      </c>
      <c r="P1" s="12" t="n">
        <f aca="false">SUM(P5:P300)</f>
        <v>5000</v>
      </c>
      <c r="Q1" s="12" t="n">
        <f aca="false">SUM(Q5:Q300)</f>
        <v>285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360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0</v>
      </c>
      <c r="Y1" s="12" t="n">
        <f aca="false">SUM(Y5:Y300)</f>
        <v>145</v>
      </c>
      <c r="Z1" s="12" t="n">
        <f aca="false">SUM(Z5:Z300)</f>
        <v>0</v>
      </c>
      <c r="AA1" s="12" t="n">
        <f aca="false">SUM(AA5:AA300)</f>
        <v>231</v>
      </c>
      <c r="AB1" s="12" t="n">
        <f aca="false">SUM(AB5:AB300)</f>
        <v>272</v>
      </c>
      <c r="AC1" s="12" t="n">
        <f aca="false">SUM(AC5:AC300)</f>
        <v>654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550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IF([2]Aug!$G$4&gt;0,0,[2]Aug!$G$2)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45870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262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45870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262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45870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262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45870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262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45870</v>
      </c>
      <c r="B9" s="2" t="s">
        <v>81</v>
      </c>
      <c r="E9" s="5" t="s">
        <v>78</v>
      </c>
      <c r="F9" s="46" t="n">
        <v>24</v>
      </c>
      <c r="H9" s="6" t="n">
        <f aca="false">IF((F9&lt;&gt;0),F9-G9," ")</f>
        <v>24</v>
      </c>
      <c r="I9" s="5"/>
      <c r="L9" s="7" t="n">
        <f aca="false">IF(F9&lt;&gt;0,F9-K9," ")</f>
        <v>24</v>
      </c>
      <c r="M9" s="8" t="n">
        <f aca="false">IF((F9-K9)&lt;&gt;0,M$1-A9," ")</f>
        <v>262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24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45870</v>
      </c>
      <c r="B10" s="2" t="s">
        <v>82</v>
      </c>
      <c r="E10" s="5" t="s">
        <v>75</v>
      </c>
      <c r="F10" s="46" t="n">
        <v>18</v>
      </c>
      <c r="H10" s="6" t="n">
        <f aca="false">IF((F10&lt;&gt;0),F10-G10," ")</f>
        <v>18</v>
      </c>
      <c r="I10" s="5"/>
      <c r="L10" s="7" t="n">
        <f aca="false">IF(F10&lt;&gt;0,F10-K10," ")</f>
        <v>18</v>
      </c>
      <c r="M10" s="8" t="n">
        <f aca="false">IF((F10-K10)&lt;&gt;0,M$1-A10," ")</f>
        <v>262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18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45872</v>
      </c>
      <c r="B11" s="2" t="s">
        <v>83</v>
      </c>
      <c r="E11" s="5" t="s">
        <v>78</v>
      </c>
      <c r="F11" s="46" t="n">
        <v>180</v>
      </c>
      <c r="H11" s="6" t="n">
        <f aca="false">IF((F11&lt;&gt;0),F11-G11," ")</f>
        <v>180</v>
      </c>
      <c r="I11" s="5"/>
      <c r="L11" s="7" t="n">
        <f aca="false">IF(F11&lt;&gt;0,F11-K11," ")</f>
        <v>180</v>
      </c>
      <c r="M11" s="8" t="n">
        <f aca="false">IF((F11-K11)&lt;&gt;0,M$1-A11," ")</f>
        <v>260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180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45872</v>
      </c>
      <c r="B12" s="2" t="s">
        <v>84</v>
      </c>
      <c r="E12" s="5" t="s">
        <v>85</v>
      </c>
      <c r="F12" s="46" t="n">
        <v>22</v>
      </c>
      <c r="H12" s="6" t="n">
        <f aca="false">IF((F12&lt;&gt;0),F12-G12," ")</f>
        <v>22</v>
      </c>
      <c r="I12" s="5"/>
      <c r="L12" s="7" t="n">
        <f aca="false">IF(F12&lt;&gt;0,F12-K12," ")</f>
        <v>22</v>
      </c>
      <c r="M12" s="8" t="n">
        <f aca="false">IF((F12-K12)&lt;&gt;0,M$1-A12," ")</f>
        <v>260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22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45874</v>
      </c>
      <c r="B13" s="2" t="s">
        <v>86</v>
      </c>
      <c r="E13" s="5" t="s">
        <v>85</v>
      </c>
      <c r="F13" s="46" t="n">
        <v>24</v>
      </c>
      <c r="H13" s="6" t="n">
        <f aca="false">IF((F13&lt;&gt;0),F13-G13," ")</f>
        <v>24</v>
      </c>
      <c r="I13" s="5"/>
      <c r="L13" s="7" t="n">
        <f aca="false">IF(F13&lt;&gt;0,F13-K13," ")</f>
        <v>24</v>
      </c>
      <c r="M13" s="8" t="n">
        <f aca="false">IF((F13-K13)&lt;&gt;0,M$1-A13," ")</f>
        <v>258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24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45874</v>
      </c>
      <c r="B14" s="2" t="s">
        <v>87</v>
      </c>
      <c r="E14" s="5" t="s">
        <v>88</v>
      </c>
      <c r="F14" s="46" t="n">
        <v>180</v>
      </c>
      <c r="H14" s="6" t="n">
        <f aca="false">IF((F14&lt;&gt;0),F14-G14," ")</f>
        <v>180</v>
      </c>
      <c r="I14" s="5"/>
      <c r="L14" s="7" t="n">
        <f aca="false">IF(F14&lt;&gt;0,F14-K14," ")</f>
        <v>180</v>
      </c>
      <c r="M14" s="8" t="n">
        <f aca="false">IF((F14-K14)&lt;&gt;0,M$1-A14," ")</f>
        <v>258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n">
        <f aca="false">IF((E14="v"),H14," ")</f>
        <v>180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45874</v>
      </c>
      <c r="B15" s="2" t="s">
        <v>89</v>
      </c>
      <c r="E15" s="5" t="s">
        <v>78</v>
      </c>
      <c r="F15" s="46" t="n">
        <v>36</v>
      </c>
      <c r="H15" s="6" t="n">
        <f aca="false">IF((F15&lt;&gt;0),F15-G15," ")</f>
        <v>36</v>
      </c>
      <c r="I15" s="5"/>
      <c r="L15" s="7" t="n">
        <f aca="false">IF(F15&lt;&gt;0,F15-K15," ")</f>
        <v>36</v>
      </c>
      <c r="M15" s="8" t="n">
        <f aca="false">IF((F15-K15)&lt;&gt;0,M$1-A15," ")</f>
        <v>258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n">
        <f aca="false">IF((E15="o"),H15," ")</f>
        <v>36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46" t="str">
        <f aca="false">IF((E15="v"),H15," ")</f>
        <v> 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45877</v>
      </c>
      <c r="B16" s="2" t="s">
        <v>90</v>
      </c>
      <c r="E16" s="5" t="s">
        <v>91</v>
      </c>
      <c r="F16" s="46" t="n">
        <v>48</v>
      </c>
      <c r="H16" s="6" t="n">
        <f aca="false">IF((F16&lt;&gt;0),F16-G16," ")</f>
        <v>48</v>
      </c>
      <c r="I16" s="5"/>
      <c r="L16" s="7" t="n">
        <f aca="false">IF(F16&lt;&gt;0,F16-K16," ")</f>
        <v>48</v>
      </c>
      <c r="M16" s="8" t="n">
        <f aca="false">IF((F16-K16)&lt;&gt;0,M$1-A16," ")</f>
        <v>255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48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45879</v>
      </c>
      <c r="B17" s="2" t="s">
        <v>92</v>
      </c>
      <c r="E17" s="5" t="s">
        <v>85</v>
      </c>
      <c r="F17" s="46" t="n">
        <v>36</v>
      </c>
      <c r="H17" s="6" t="n">
        <f aca="false">IF((F17&lt;&gt;0),F17-G17," ")</f>
        <v>36</v>
      </c>
      <c r="I17" s="5"/>
      <c r="L17" s="7" t="n">
        <f aca="false">IF(F17&lt;&gt;0,F17-K17," ")</f>
        <v>36</v>
      </c>
      <c r="M17" s="8" t="n">
        <f aca="false">IF((F17-K17)&lt;&gt;0,M$1-A17," ")</f>
        <v>253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n">
        <f aca="false">IF((E17="u"),H17," ")</f>
        <v>36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45879</v>
      </c>
      <c r="B18" s="2" t="s">
        <v>124</v>
      </c>
      <c r="E18" s="5" t="s">
        <v>75</v>
      </c>
      <c r="F18" s="46" t="n">
        <v>96</v>
      </c>
      <c r="H18" s="6" t="n">
        <f aca="false">IF((F18&lt;&gt;0),F18-G18," ")</f>
        <v>96</v>
      </c>
      <c r="I18" s="5"/>
      <c r="L18" s="7" t="n">
        <f aca="false">IF(F18&lt;&gt;0,F18-K18," ")</f>
        <v>96</v>
      </c>
      <c r="M18" s="8" t="n">
        <f aca="false">IF((F18-K18)&lt;&gt;0,M$1-A18," ")</f>
        <v>253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n">
        <f aca="false">IF((E18="g"),H18," ")</f>
        <v>96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45881</v>
      </c>
      <c r="B19" s="2" t="s">
        <v>97</v>
      </c>
      <c r="E19" s="5" t="s">
        <v>88</v>
      </c>
      <c r="F19" s="46" t="n">
        <v>18</v>
      </c>
      <c r="H19" s="6" t="n">
        <f aca="false">IF((F19&lt;&gt;0),F19-G19," ")</f>
        <v>18</v>
      </c>
      <c r="I19" s="5"/>
      <c r="L19" s="7" t="n">
        <f aca="false">IF(F19&lt;&gt;0,F19-K19," ")</f>
        <v>18</v>
      </c>
      <c r="M19" s="8" t="n">
        <f aca="false">IF((F19-K19)&lt;&gt;0,M$1-A19," ")</f>
        <v>251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46" t="n">
        <f aca="false">IF((E19="v"),H19," ")</f>
        <v>18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45883</v>
      </c>
      <c r="B20" s="2" t="s">
        <v>98</v>
      </c>
      <c r="E20" s="5" t="s">
        <v>85</v>
      </c>
      <c r="F20" s="46" t="n">
        <v>30</v>
      </c>
      <c r="H20" s="6" t="n">
        <f aca="false">IF((F20&lt;&gt;0),F20-G20," ")</f>
        <v>30</v>
      </c>
      <c r="I20" s="5"/>
      <c r="L20" s="7" t="n">
        <f aca="false">IF(F20&lt;&gt;0,F20-K20," ")</f>
        <v>30</v>
      </c>
      <c r="M20" s="8" t="n">
        <f aca="false">IF((F20-K20)&lt;&gt;0,M$1-A20," ")</f>
        <v>249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n">
        <f aca="false">IF((E20="u"),H20," ")</f>
        <v>30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45883</v>
      </c>
      <c r="B21" s="2" t="s">
        <v>99</v>
      </c>
      <c r="E21" s="5" t="s">
        <v>91</v>
      </c>
      <c r="F21" s="46" t="n">
        <v>24</v>
      </c>
      <c r="H21" s="6" t="n">
        <f aca="false">IF((F21&lt;&gt;0),F21-G21," ")</f>
        <v>24</v>
      </c>
      <c r="I21" s="5"/>
      <c r="L21" s="7" t="n">
        <f aca="false">IF(F21&lt;&gt;0,F21-K21," ")</f>
        <v>24</v>
      </c>
      <c r="M21" s="8" t="n">
        <f aca="false">IF((F21-K21)&lt;&gt;0,M$1-A21," ")</f>
        <v>249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n">
        <f aca="false">IF((E21="h"),H21," ")</f>
        <v>24</v>
      </c>
      <c r="AC21" s="46" t="str">
        <f aca="false">IF((E21="v"),H21," ")</f>
        <v> 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45883</v>
      </c>
      <c r="B22" s="2" t="s">
        <v>100</v>
      </c>
      <c r="E22" s="5" t="s">
        <v>91</v>
      </c>
      <c r="F22" s="46" t="n">
        <v>12</v>
      </c>
      <c r="H22" s="6" t="n">
        <f aca="false">IF((F22&lt;&gt;0),F22-G22," ")</f>
        <v>12</v>
      </c>
      <c r="I22" s="5"/>
      <c r="L22" s="7" t="n">
        <f aca="false">IF(F22&lt;&gt;0,F22-K22," ")</f>
        <v>12</v>
      </c>
      <c r="M22" s="8" t="n">
        <f aca="false">IF((F22-K22)&lt;&gt;0,M$1-A22," ")</f>
        <v>249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12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45884</v>
      </c>
      <c r="B23" s="2" t="s">
        <v>20</v>
      </c>
      <c r="E23" s="5" t="s">
        <v>88</v>
      </c>
      <c r="F23" s="46" t="n">
        <v>150</v>
      </c>
      <c r="H23" s="6" t="n">
        <f aca="false">IF((F23&lt;&gt;0),F23-G23," ")</f>
        <v>150</v>
      </c>
      <c r="I23" s="5"/>
      <c r="L23" s="7" t="n">
        <f aca="false">IF(F23&lt;&gt;0,F23-K23," ")</f>
        <v>150</v>
      </c>
      <c r="M23" s="8" t="n">
        <f aca="false">IF((F23-K23)&lt;&gt;0,M$1-A23," ")</f>
        <v>248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46" t="n">
        <f aca="false">IF((E23="v"),H23," ")</f>
        <v>150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45884</v>
      </c>
      <c r="B24" s="2" t="s">
        <v>101</v>
      </c>
      <c r="E24" s="5" t="s">
        <v>75</v>
      </c>
      <c r="F24" s="46" t="n">
        <v>12</v>
      </c>
      <c r="H24" s="6" t="n">
        <f aca="false">IF((F24&lt;&gt;0),F24-G24," ")</f>
        <v>12</v>
      </c>
      <c r="I24" s="5"/>
      <c r="L24" s="7" t="n">
        <f aca="false">IF(F24&lt;&gt;0,F24-K24," ")</f>
        <v>12</v>
      </c>
      <c r="M24" s="8" t="n">
        <f aca="false">IF((F24-K24)&lt;&gt;0,M$1-A24," ")</f>
        <v>248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n">
        <f aca="false">IF((E24="g"),H24," ")</f>
        <v>12</v>
      </c>
      <c r="AB24" s="17" t="str">
        <f aca="false">IF((E24="h"),H24," ")</f>
        <v> 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45884</v>
      </c>
      <c r="B25" s="2" t="s">
        <v>125</v>
      </c>
      <c r="E25" s="5" t="s">
        <v>126</v>
      </c>
      <c r="F25" s="46" t="n">
        <v>5000</v>
      </c>
      <c r="H25" s="6" t="n">
        <f aca="false">IF((F25&lt;&gt;0),F25-G25," ")</f>
        <v>5000</v>
      </c>
      <c r="I25" s="5"/>
      <c r="L25" s="7" t="n">
        <f aca="false">IF(F25&lt;&gt;0,F25-K25," ")</f>
        <v>5000</v>
      </c>
      <c r="M25" s="8" t="n">
        <f aca="false">IF((F25-K25)&lt;&gt;0,M$1-A25," ")</f>
        <v>248</v>
      </c>
      <c r="N25" s="5"/>
      <c r="O25" s="17" t="str">
        <f aca="false">IF((E25="s"),H25," ")</f>
        <v> </v>
      </c>
      <c r="P25" s="17" t="n">
        <f aca="false">IF((E25="c"),H25," ")</f>
        <v>5000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45887</v>
      </c>
      <c r="B26" s="2" t="s">
        <v>127</v>
      </c>
      <c r="E26" s="5" t="s">
        <v>91</v>
      </c>
      <c r="F26" s="46" t="n">
        <v>180</v>
      </c>
      <c r="H26" s="6" t="n">
        <f aca="false">IF((F26&lt;&gt;0),F26-G26," ")</f>
        <v>180</v>
      </c>
      <c r="I26" s="5"/>
      <c r="L26" s="7" t="n">
        <f aca="false">IF(F26&lt;&gt;0,F26-K26," ")</f>
        <v>180</v>
      </c>
      <c r="M26" s="8" t="n">
        <f aca="false">IF((F26-K26)&lt;&gt;0,M$1-A26," ")</f>
        <v>245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n">
        <f aca="false">IF((E26="h"),H26," ")</f>
        <v>180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45887</v>
      </c>
      <c r="B27" s="2" t="s">
        <v>128</v>
      </c>
      <c r="E27" s="5" t="s">
        <v>96</v>
      </c>
      <c r="F27" s="46" t="n">
        <v>360</v>
      </c>
      <c r="H27" s="6" t="n">
        <f aca="false">IF((F27&lt;&gt;0),F27-G27," ")</f>
        <v>360</v>
      </c>
      <c r="I27" s="5"/>
      <c r="L27" s="7" t="n">
        <f aca="false">IF(F27&lt;&gt;0,F27-K27," ")</f>
        <v>360</v>
      </c>
      <c r="M27" s="8" t="n">
        <f aca="false">IF((F27-K27)&lt;&gt;0,M$1-A27," ")</f>
        <v>245</v>
      </c>
      <c r="N27" s="5"/>
      <c r="O27" s="17" t="n">
        <f aca="false">IF((E27="s"),H27," ")</f>
        <v>360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46" t="str">
        <f aca="false">IF((E27="v"),H27," ")</f>
        <v> 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45887</v>
      </c>
      <c r="B28" s="2" t="s">
        <v>102</v>
      </c>
      <c r="E28" s="5" t="s">
        <v>88</v>
      </c>
      <c r="F28" s="46" t="n">
        <v>96</v>
      </c>
      <c r="H28" s="6" t="n">
        <f aca="false">IF((F28&lt;&gt;0),F28-G28," ")</f>
        <v>96</v>
      </c>
      <c r="I28" s="5"/>
      <c r="L28" s="7" t="n">
        <f aca="false">IF(F28&lt;&gt;0,F28-K28," ")</f>
        <v>96</v>
      </c>
      <c r="M28" s="8" t="n">
        <f aca="false">IF((F28-K28)&lt;&gt;0,M$1-A28," ")</f>
        <v>245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46" t="n">
        <f aca="false">IF((E28="v"),H28," ")</f>
        <v>96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45889</v>
      </c>
      <c r="B29" s="2" t="s">
        <v>103</v>
      </c>
      <c r="E29" s="5" t="s">
        <v>75</v>
      </c>
      <c r="F29" s="46" t="n">
        <v>60</v>
      </c>
      <c r="H29" s="6" t="n">
        <f aca="false">IF((F29&lt;&gt;0),F29-G29," ")</f>
        <v>60</v>
      </c>
      <c r="I29" s="5"/>
      <c r="L29" s="7" t="n">
        <f aca="false">IF(F29&lt;&gt;0,F29-K29," ")</f>
        <v>60</v>
      </c>
      <c r="M29" s="8" t="n">
        <f aca="false">IF((F29-K29)&lt;&gt;0,M$1-A29," ")</f>
        <v>243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n">
        <f aca="false">IF((E29="g"),H29," ")</f>
        <v>60</v>
      </c>
      <c r="AB29" s="17" t="str">
        <f aca="false">IF((E29="h"),H29," ")</f>
        <v> 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45890</v>
      </c>
      <c r="B30" s="2" t="s">
        <v>106</v>
      </c>
      <c r="E30" s="5" t="s">
        <v>91</v>
      </c>
      <c r="F30" s="46" t="n">
        <v>8</v>
      </c>
      <c r="H30" s="6" t="n">
        <f aca="false">IF((F30&lt;&gt;0),F30-G30," ")</f>
        <v>8</v>
      </c>
      <c r="I30" s="5"/>
      <c r="L30" s="7" t="n">
        <f aca="false">IF(F30&lt;&gt;0,F30-K30," ")</f>
        <v>8</v>
      </c>
      <c r="M30" s="8" t="n">
        <f aca="false">IF((F30-K30)&lt;&gt;0,M$1-A30," ")</f>
        <v>242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n">
        <f aca="false">IF((E30="h"),H30," ")</f>
        <v>8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45891</v>
      </c>
      <c r="B31" s="2" t="s">
        <v>107</v>
      </c>
      <c r="E31" s="5" t="s">
        <v>85</v>
      </c>
      <c r="F31" s="46" t="n">
        <v>18</v>
      </c>
      <c r="H31" s="6" t="n">
        <f aca="false">IF((F31&lt;&gt;0),F31-G31," ")</f>
        <v>18</v>
      </c>
      <c r="I31" s="5"/>
      <c r="L31" s="7" t="n">
        <f aca="false">IF(F31&lt;&gt;0,F31-K31," ")</f>
        <v>18</v>
      </c>
      <c r="M31" s="8" t="n">
        <f aca="false">IF((F31-K31)&lt;&gt;0,M$1-A31," ")</f>
        <v>241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n">
        <f aca="false">IF((E31="u"),H31," ")</f>
        <v>18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45894</v>
      </c>
      <c r="B32" s="2" t="s">
        <v>129</v>
      </c>
      <c r="E32" s="5" t="s">
        <v>130</v>
      </c>
      <c r="F32" s="46" t="n">
        <v>360</v>
      </c>
      <c r="H32" s="6" t="n">
        <f aca="false">IF((F32&lt;&gt;0),F32-G32," ")</f>
        <v>360</v>
      </c>
      <c r="I32" s="5"/>
      <c r="L32" s="7" t="n">
        <f aca="false">IF(F32&lt;&gt;0,F32-K32," ")</f>
        <v>360</v>
      </c>
      <c r="M32" s="8" t="n">
        <f aca="false">IF((F32-K32)&lt;&gt;0,M$1-A32," ")</f>
        <v>238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n">
        <f aca="false">IF((E32="p"),H32," ")</f>
        <v>360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45894</v>
      </c>
      <c r="B33" s="2" t="s">
        <v>108</v>
      </c>
      <c r="E33" s="5" t="s">
        <v>85</v>
      </c>
      <c r="F33" s="46" t="n">
        <v>15</v>
      </c>
      <c r="H33" s="6" t="n">
        <f aca="false">IF((F33&lt;&gt;0),F33-G33," ")</f>
        <v>15</v>
      </c>
      <c r="I33" s="5"/>
      <c r="L33" s="7" t="n">
        <f aca="false">IF(F33&lt;&gt;0,F33-K33," ")</f>
        <v>15</v>
      </c>
      <c r="M33" s="8" t="n">
        <f aca="false">IF((F33-K33)&lt;&gt;0,M$1-A33," ")</f>
        <v>238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n">
        <f aca="false">IF((E33="u"),H33," ")</f>
        <v>15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str">
        <f aca="false">IF((E33="v"),H33," ")</f>
        <v> 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45894</v>
      </c>
      <c r="B34" s="2" t="s">
        <v>109</v>
      </c>
      <c r="E34" s="5" t="s">
        <v>88</v>
      </c>
      <c r="F34" s="46" t="n">
        <v>90</v>
      </c>
      <c r="H34" s="6" t="n">
        <f aca="false">IF((F34&lt;&gt;0),F34-G34," ")</f>
        <v>90</v>
      </c>
      <c r="I34" s="5"/>
      <c r="L34" s="7" t="n">
        <f aca="false">IF(F34&lt;&gt;0,F34-K34," ")</f>
        <v>90</v>
      </c>
      <c r="M34" s="8" t="n">
        <f aca="false">IF((F34-K34)&lt;&gt;0,M$1-A34," ")</f>
        <v>238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n">
        <f aca="false">IF((E34="v"),H34," ")</f>
        <v>90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45897</v>
      </c>
      <c r="B35" s="2" t="s">
        <v>20</v>
      </c>
      <c r="E35" s="5" t="s">
        <v>88</v>
      </c>
      <c r="F35" s="46" t="n">
        <v>120</v>
      </c>
      <c r="H35" s="6" t="n">
        <f aca="false">IF((F35&lt;&gt;0),F35-G35," ")</f>
        <v>120</v>
      </c>
      <c r="I35" s="5"/>
      <c r="L35" s="7" t="n">
        <f aca="false">IF(F35&lt;&gt;0,F35-K35," ")</f>
        <v>120</v>
      </c>
      <c r="M35" s="8" t="n">
        <f aca="false">IF((F35-K35)&lt;&gt;0,M$1-A35," ")</f>
        <v>235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n">
        <f aca="false">IF((E35="v"),H35," ")</f>
        <v>120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45899</v>
      </c>
      <c r="B36" s="2" t="s">
        <v>16</v>
      </c>
      <c r="E36" s="5" t="s">
        <v>110</v>
      </c>
      <c r="F36" s="46" t="n">
        <v>300</v>
      </c>
      <c r="H36" s="6" t="n">
        <f aca="false">IF((F36&lt;&gt;0),F36-G36," ")</f>
        <v>300</v>
      </c>
      <c r="I36" s="5"/>
      <c r="L36" s="7" t="n">
        <f aca="false">IF(F36&lt;&gt;0,F36-K36," ")</f>
        <v>300</v>
      </c>
      <c r="M36" s="8" t="n">
        <f aca="false">IF((F36-K36)&lt;&gt;0,M$1-A36," ")</f>
        <v>233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str">
        <f aca="false">IF((E36="v"),H36," ")</f>
        <v> </v>
      </c>
      <c r="AD36" s="46" t="str">
        <f aca="false">IF((E36="n"),H36," ")</f>
        <v> </v>
      </c>
      <c r="AE36" s="17" t="str">
        <f aca="false">IF((E36="f"),H36," ")</f>
        <v> </v>
      </c>
      <c r="AF36" s="17" t="n">
        <f aca="false">IF((E36="l"),H36," ")</f>
        <v>300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45899</v>
      </c>
      <c r="B37" s="2" t="s">
        <v>131</v>
      </c>
      <c r="E37" s="5" t="s">
        <v>110</v>
      </c>
      <c r="F37" s="46" t="n">
        <v>250</v>
      </c>
      <c r="H37" s="6" t="n">
        <f aca="false">IF((F37&lt;&gt;0),F37-G37," ")</f>
        <v>250</v>
      </c>
      <c r="I37" s="5"/>
      <c r="L37" s="7" t="n">
        <f aca="false">IF(F37&lt;&gt;0,F37-K37," ")</f>
        <v>250</v>
      </c>
      <c r="M37" s="8" t="n">
        <f aca="false">IF((F37-K37)&lt;&gt;0,M$1-A37," ")</f>
        <v>233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n">
        <f aca="false">IF((E37="l"),H37," ")</f>
        <v>250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46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8759.25</v>
      </c>
      <c r="G1" s="12" t="n">
        <f aca="false">SUM(G5:G300)</f>
        <v>0</v>
      </c>
      <c r="H1" s="12" t="n">
        <f aca="false">SUM(H5:H300)</f>
        <v>8759.25</v>
      </c>
      <c r="I1" s="13"/>
      <c r="J1" s="14" t="s">
        <v>2</v>
      </c>
      <c r="K1" s="15" t="n">
        <f aca="false">SUM(K5:K300)</f>
        <v>0</v>
      </c>
      <c r="L1" s="15" t="n">
        <f aca="false">SUM(L5:L300)</f>
        <v>8759.25</v>
      </c>
      <c r="M1" s="16" t="n">
        <f aca="true">TODAY()</f>
        <v>46132</v>
      </c>
      <c r="N1" s="13"/>
      <c r="O1" s="12" t="n">
        <f aca="false">SUM(O5:O300)</f>
        <v>720</v>
      </c>
      <c r="P1" s="12" t="n">
        <f aca="false">SUM(P5:P300)</f>
        <v>0</v>
      </c>
      <c r="Q1" s="12" t="n">
        <f aca="false">SUM(Q5:Q300)</f>
        <v>249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120</v>
      </c>
      <c r="W1" s="12" t="n">
        <f aca="false">SUM(W5:W300)</f>
        <v>480</v>
      </c>
      <c r="X1" s="12" t="n">
        <f aca="false">SUM(X5:X300)</f>
        <v>180</v>
      </c>
      <c r="Y1" s="12" t="n">
        <f aca="false">SUM(Y5:Y300)</f>
        <v>115</v>
      </c>
      <c r="Z1" s="12" t="n">
        <f aca="false">SUM(Z5:Z300)</f>
        <v>480</v>
      </c>
      <c r="AA1" s="12" t="n">
        <f aca="false">SUM(AA5:AA300)</f>
        <v>159</v>
      </c>
      <c r="AB1" s="12" t="n">
        <f aca="false">SUM(AB5:AB300)</f>
        <v>92</v>
      </c>
      <c r="AC1" s="12" t="n">
        <f aca="false">SUM(AC5:AC300)</f>
        <v>584.25</v>
      </c>
      <c r="AD1" s="12" t="n">
        <f aca="false">SUM(AD5:AD300)</f>
        <v>0</v>
      </c>
      <c r="AE1" s="12" t="n">
        <f aca="false">SUM(AE5:AE300)</f>
        <v>180</v>
      </c>
      <c r="AF1" s="12" t="n">
        <f aca="false">SUM(AF5:AF300)</f>
        <v>0</v>
      </c>
      <c r="AG1" s="12" t="n">
        <f aca="false">SUM(AG5:AG300)</f>
        <v>0</v>
      </c>
      <c r="AH1" s="12" t="n">
        <f aca="false">SUM(AH5:AH300)</f>
        <v>3000</v>
      </c>
      <c r="AI1" s="12" t="n">
        <f aca="false">SUM(AI5:AI300)</f>
        <v>1200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IF([2]Sep!$G$4&gt;0,0,[2]Sep!$G$2)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45901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231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45901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231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45901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231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45901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231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45901</v>
      </c>
      <c r="B9" s="2" t="s">
        <v>132</v>
      </c>
      <c r="E9" s="5" t="s">
        <v>133</v>
      </c>
      <c r="F9" s="46" t="n">
        <v>3000</v>
      </c>
      <c r="H9" s="6" t="n">
        <f aca="false">IF((F9&lt;&gt;0),F9-G9," ")</f>
        <v>3000</v>
      </c>
      <c r="I9" s="5"/>
      <c r="L9" s="7" t="n">
        <f aca="false">IF(F9&lt;&gt;0,F9-K9," ")</f>
        <v>3000</v>
      </c>
      <c r="M9" s="8" t="n">
        <f aca="false">IF((F9-K9)&lt;&gt;0,M$1-A9," ")</f>
        <v>231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str">
        <f aca="false">IF((E9="o"),H9," ")</f>
        <v> 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n">
        <f aca="false">IF((E9="z"),H9," ")</f>
        <v>3000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45901</v>
      </c>
      <c r="B10" s="2" t="s">
        <v>81</v>
      </c>
      <c r="E10" s="5" t="s">
        <v>78</v>
      </c>
      <c r="F10" s="46" t="n">
        <v>24</v>
      </c>
      <c r="H10" s="6" t="n">
        <f aca="false">IF((F10&lt;&gt;0),F10-G10," ")</f>
        <v>24</v>
      </c>
      <c r="I10" s="5"/>
      <c r="L10" s="7" t="n">
        <f aca="false">IF(F10&lt;&gt;0,F10-K10," ")</f>
        <v>24</v>
      </c>
      <c r="M10" s="8" t="n">
        <f aca="false">IF((F10-K10)&lt;&gt;0,M$1-A10," ")</f>
        <v>231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n">
        <f aca="false">IF((E10="o"),H10," ")</f>
        <v>24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str">
        <f aca="false">IF((E10="g"),H10," ")</f>
        <v> 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45901</v>
      </c>
      <c r="B11" s="2" t="s">
        <v>82</v>
      </c>
      <c r="E11" s="5" t="s">
        <v>75</v>
      </c>
      <c r="F11" s="46" t="n">
        <v>18</v>
      </c>
      <c r="H11" s="6" t="n">
        <f aca="false">IF((F11&lt;&gt;0),F11-G11," ")</f>
        <v>18</v>
      </c>
      <c r="I11" s="5"/>
      <c r="L11" s="7" t="n">
        <f aca="false">IF(F11&lt;&gt;0,F11-K11," ")</f>
        <v>18</v>
      </c>
      <c r="M11" s="8" t="n">
        <f aca="false">IF((F11-K11)&lt;&gt;0,M$1-A11," ")</f>
        <v>231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str">
        <f aca="false">IF((E11="o"),H11," ")</f>
        <v> 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n">
        <f aca="false">IF((E11="g"),H11," ")</f>
        <v>18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45903</v>
      </c>
      <c r="B12" s="2" t="s">
        <v>83</v>
      </c>
      <c r="E12" s="5" t="s">
        <v>78</v>
      </c>
      <c r="F12" s="46" t="n">
        <v>180</v>
      </c>
      <c r="H12" s="6" t="n">
        <f aca="false">IF((F12&lt;&gt;0),F12-G12," ")</f>
        <v>180</v>
      </c>
      <c r="I12" s="5"/>
      <c r="L12" s="7" t="n">
        <f aca="false">IF(F12&lt;&gt;0,F12-K12," ")</f>
        <v>180</v>
      </c>
      <c r="M12" s="8" t="n">
        <f aca="false">IF((F12-K12)&lt;&gt;0,M$1-A12," ")</f>
        <v>229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n">
        <f aca="false">IF((E12="o"),H12," ")</f>
        <v>180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str">
        <f aca="false">IF((E12="u"),H12," ")</f>
        <v> 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45903</v>
      </c>
      <c r="B13" s="2" t="s">
        <v>84</v>
      </c>
      <c r="E13" s="5" t="s">
        <v>85</v>
      </c>
      <c r="F13" s="46" t="n">
        <v>22</v>
      </c>
      <c r="H13" s="6" t="n">
        <f aca="false">IF((F13&lt;&gt;0),F13-G13," ")</f>
        <v>22</v>
      </c>
      <c r="I13" s="5"/>
      <c r="L13" s="7" t="n">
        <f aca="false">IF(F13&lt;&gt;0,F13-K13," ")</f>
        <v>22</v>
      </c>
      <c r="M13" s="8" t="n">
        <f aca="false">IF((F13-K13)&lt;&gt;0,M$1-A13," ")</f>
        <v>229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22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45905</v>
      </c>
      <c r="B14" s="2" t="s">
        <v>86</v>
      </c>
      <c r="E14" s="5" t="s">
        <v>85</v>
      </c>
      <c r="F14" s="46" t="n">
        <v>24</v>
      </c>
      <c r="H14" s="6" t="n">
        <f aca="false">IF((F14&lt;&gt;0),F14-G14," ")</f>
        <v>24</v>
      </c>
      <c r="I14" s="5"/>
      <c r="L14" s="7" t="n">
        <f aca="false">IF(F14&lt;&gt;0,F14-K14," ")</f>
        <v>24</v>
      </c>
      <c r="M14" s="8" t="n">
        <f aca="false">IF((F14-K14)&lt;&gt;0,M$1-A14," ")</f>
        <v>227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n">
        <f aca="false">IF((E14="u"),H14," ")</f>
        <v>24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str">
        <f aca="false">IF((E14="v"),H14," ")</f>
        <v> 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45905</v>
      </c>
      <c r="B15" s="2" t="s">
        <v>134</v>
      </c>
      <c r="E15" s="5" t="s">
        <v>115</v>
      </c>
      <c r="F15" s="46" t="n">
        <v>480</v>
      </c>
      <c r="H15" s="6" t="n">
        <f aca="false">IF((F15&lt;&gt;0),F15-G15," ")</f>
        <v>480</v>
      </c>
      <c r="I15" s="5"/>
      <c r="L15" s="7" t="n">
        <f aca="false">IF(F15&lt;&gt;0,F15-K15," ")</f>
        <v>480</v>
      </c>
      <c r="M15" s="8" t="n">
        <f aca="false">IF((F15-K15)&lt;&gt;0,M$1-A15," ")</f>
        <v>227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n">
        <f aca="false">IF((E15="a"),H15," ")</f>
        <v>480</v>
      </c>
      <c r="AA15" s="17" t="str">
        <f aca="false">IF((E15="g"),H15," ")</f>
        <v> </v>
      </c>
      <c r="AB15" s="17" t="str">
        <f aca="false">IF((E15="h"),H15," ")</f>
        <v> </v>
      </c>
      <c r="AC15" s="46" t="str">
        <f aca="false">IF((E15="v"),H15," ")</f>
        <v> 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45905</v>
      </c>
      <c r="B16" s="2" t="s">
        <v>87</v>
      </c>
      <c r="E16" s="5" t="s">
        <v>88</v>
      </c>
      <c r="F16" s="46" t="n">
        <v>180</v>
      </c>
      <c r="H16" s="6" t="n">
        <f aca="false">IF((F16&lt;&gt;0),F16-G16," ")</f>
        <v>180</v>
      </c>
      <c r="I16" s="5"/>
      <c r="L16" s="7" t="n">
        <f aca="false">IF(F16&lt;&gt;0,F16-K16," ")</f>
        <v>180</v>
      </c>
      <c r="M16" s="8" t="n">
        <f aca="false">IF((F16-K16)&lt;&gt;0,M$1-A16," ")</f>
        <v>227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46" t="n">
        <f aca="false">IF((E16="v"),H16," ")</f>
        <v>180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45908</v>
      </c>
      <c r="B17" s="2" t="s">
        <v>90</v>
      </c>
      <c r="E17" s="5" t="s">
        <v>91</v>
      </c>
      <c r="F17" s="46" t="n">
        <v>48</v>
      </c>
      <c r="H17" s="6" t="n">
        <f aca="false">IF((F17&lt;&gt;0),F17-G17," ")</f>
        <v>48</v>
      </c>
      <c r="I17" s="5"/>
      <c r="L17" s="7" t="n">
        <f aca="false">IF(F17&lt;&gt;0,F17-K17," ")</f>
        <v>48</v>
      </c>
      <c r="M17" s="8" t="n">
        <f aca="false">IF((F17-K17)&lt;&gt;0,M$1-A17," ")</f>
        <v>224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48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45910</v>
      </c>
      <c r="B18" s="2" t="s">
        <v>92</v>
      </c>
      <c r="E18" s="5" t="s">
        <v>85</v>
      </c>
      <c r="F18" s="46" t="n">
        <v>36</v>
      </c>
      <c r="H18" s="6" t="n">
        <f aca="false">IF((F18&lt;&gt;0),F18-G18," ")</f>
        <v>36</v>
      </c>
      <c r="I18" s="5"/>
      <c r="L18" s="7" t="n">
        <f aca="false">IF(F18&lt;&gt;0,F18-K18," ")</f>
        <v>36</v>
      </c>
      <c r="M18" s="8" t="n">
        <f aca="false">IF((F18-K18)&lt;&gt;0,M$1-A18," ")</f>
        <v>222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36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45910</v>
      </c>
      <c r="B19" s="2" t="s">
        <v>93</v>
      </c>
      <c r="E19" s="5" t="s">
        <v>94</v>
      </c>
      <c r="F19" s="46" t="n">
        <v>180</v>
      </c>
      <c r="H19" s="6" t="n">
        <f aca="false">IF((F19&lt;&gt;0),F19-G19," ")</f>
        <v>180</v>
      </c>
      <c r="I19" s="5"/>
      <c r="L19" s="7" t="n">
        <f aca="false">IF(F19&lt;&gt;0,F19-K19," ")</f>
        <v>180</v>
      </c>
      <c r="M19" s="8" t="n">
        <f aca="false">IF((F19-K19)&lt;&gt;0,M$1-A19," ")</f>
        <v>222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46" t="str">
        <f aca="false">IF((E19="v"),H19," ")</f>
        <v> </v>
      </c>
      <c r="AD19" s="46" t="str">
        <f aca="false">IF((E19="n"),H19," ")</f>
        <v> </v>
      </c>
      <c r="AE19" s="17" t="n">
        <f aca="false">IF((E19="f"),H19," ")</f>
        <v>180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45910</v>
      </c>
      <c r="B20" s="2" t="s">
        <v>95</v>
      </c>
      <c r="E20" s="5" t="s">
        <v>96</v>
      </c>
      <c r="F20" s="46" t="n">
        <v>720</v>
      </c>
      <c r="H20" s="6" t="n">
        <f aca="false">IF((F20&lt;&gt;0),F20-G20," ")</f>
        <v>720</v>
      </c>
      <c r="I20" s="5"/>
      <c r="L20" s="7" t="n">
        <f aca="false">IF(F20&lt;&gt;0,F20-K20," ")</f>
        <v>720</v>
      </c>
      <c r="M20" s="8" t="n">
        <f aca="false">IF((F20-K20)&lt;&gt;0,M$1-A20," ")</f>
        <v>222</v>
      </c>
      <c r="N20" s="5"/>
      <c r="O20" s="17" t="n">
        <f aca="false">IF((E20="s"),H20," ")</f>
        <v>720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45912</v>
      </c>
      <c r="B21" s="2" t="s">
        <v>97</v>
      </c>
      <c r="E21" s="5" t="s">
        <v>88</v>
      </c>
      <c r="F21" s="46" t="n">
        <v>18</v>
      </c>
      <c r="H21" s="6" t="n">
        <f aca="false">IF((F21&lt;&gt;0),F21-G21," ")</f>
        <v>18</v>
      </c>
      <c r="I21" s="5"/>
      <c r="L21" s="7" t="n">
        <f aca="false">IF(F21&lt;&gt;0,F21-K21," ")</f>
        <v>18</v>
      </c>
      <c r="M21" s="8" t="n">
        <f aca="false">IF((F21-K21)&lt;&gt;0,M$1-A21," ")</f>
        <v>220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46" t="n">
        <f aca="false">IF((E21="v"),H21," ")</f>
        <v>18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45912</v>
      </c>
      <c r="B22" s="2" t="s">
        <v>135</v>
      </c>
      <c r="E22" s="5" t="s">
        <v>113</v>
      </c>
      <c r="F22" s="46" t="n">
        <v>480</v>
      </c>
      <c r="H22" s="6" t="n">
        <f aca="false">IF((F22&lt;&gt;0),F22-G22," ")</f>
        <v>480</v>
      </c>
      <c r="I22" s="5"/>
      <c r="L22" s="7" t="n">
        <f aca="false">IF(F22&lt;&gt;0,F22-K22," ")</f>
        <v>480</v>
      </c>
      <c r="M22" s="8" t="n">
        <f aca="false">IF((F22-K22)&lt;&gt;0,M$1-A22," ")</f>
        <v>220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n">
        <f aca="false">IF((E22="q"),H22," ")</f>
        <v>480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str">
        <f aca="false">IF((E22="h"),H22," ")</f>
        <v> 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45914</v>
      </c>
      <c r="B23" s="2" t="s">
        <v>99</v>
      </c>
      <c r="E23" s="5" t="s">
        <v>91</v>
      </c>
      <c r="F23" s="46" t="n">
        <v>24</v>
      </c>
      <c r="H23" s="6" t="n">
        <f aca="false">IF((F23&lt;&gt;0),F23-G23," ")</f>
        <v>24</v>
      </c>
      <c r="I23" s="5"/>
      <c r="L23" s="7" t="n">
        <f aca="false">IF(F23&lt;&gt;0,F23-K23," ")</f>
        <v>24</v>
      </c>
      <c r="M23" s="8" t="n">
        <f aca="false">IF((F23-K23)&lt;&gt;0,M$1-A23," ")</f>
        <v>218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n">
        <f aca="false">IF((E23="h"),H23," ")</f>
        <v>24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45914</v>
      </c>
      <c r="B24" s="2" t="s">
        <v>100</v>
      </c>
      <c r="E24" s="5" t="s">
        <v>91</v>
      </c>
      <c r="F24" s="46" t="n">
        <v>12</v>
      </c>
      <c r="H24" s="6" t="n">
        <f aca="false">IF((F24&lt;&gt;0),F24-G24," ")</f>
        <v>12</v>
      </c>
      <c r="I24" s="5"/>
      <c r="L24" s="7" t="n">
        <f aca="false">IF(F24&lt;&gt;0,F24-K24," ")</f>
        <v>12</v>
      </c>
      <c r="M24" s="8" t="n">
        <f aca="false">IF((F24-K24)&lt;&gt;0,M$1-A24," ")</f>
        <v>218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n">
        <f aca="false">IF((E24="h"),H24," ")</f>
        <v>12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45915</v>
      </c>
      <c r="B25" s="2" t="s">
        <v>20</v>
      </c>
      <c r="E25" s="5" t="s">
        <v>88</v>
      </c>
      <c r="F25" s="46" t="n">
        <v>150</v>
      </c>
      <c r="H25" s="6" t="n">
        <f aca="false">IF((F25&lt;&gt;0),F25-G25," ")</f>
        <v>150</v>
      </c>
      <c r="I25" s="5"/>
      <c r="L25" s="7" t="n">
        <f aca="false">IF(F25&lt;&gt;0,F25-K25," ")</f>
        <v>150</v>
      </c>
      <c r="M25" s="8" t="n">
        <f aca="false">IF((F25-K25)&lt;&gt;0,M$1-A25," ")</f>
        <v>217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46" t="n">
        <f aca="false">IF((E25="v"),H25," ")</f>
        <v>150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45915</v>
      </c>
      <c r="B26" s="2" t="s">
        <v>101</v>
      </c>
      <c r="E26" s="5" t="s">
        <v>75</v>
      </c>
      <c r="F26" s="46" t="n">
        <v>12</v>
      </c>
      <c r="H26" s="6" t="n">
        <f aca="false">IF((F26&lt;&gt;0),F26-G26," ")</f>
        <v>12</v>
      </c>
      <c r="I26" s="5"/>
      <c r="L26" s="7" t="n">
        <f aca="false">IF(F26&lt;&gt;0,F26-K26," ")</f>
        <v>12</v>
      </c>
      <c r="M26" s="8" t="n">
        <f aca="false">IF((F26-K26)&lt;&gt;0,M$1-A26," ")</f>
        <v>217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n">
        <f aca="false">IF((E26="g"),H26," ")</f>
        <v>12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45915</v>
      </c>
      <c r="B27" s="2" t="s">
        <v>136</v>
      </c>
      <c r="E27" s="5" t="s">
        <v>118</v>
      </c>
      <c r="F27" s="46" t="n">
        <v>1200</v>
      </c>
      <c r="H27" s="6" t="n">
        <f aca="false">IF((F27&lt;&gt;0),F27-G27," ")</f>
        <v>1200</v>
      </c>
      <c r="I27" s="5"/>
      <c r="L27" s="7" t="n">
        <f aca="false">IF(F27&lt;&gt;0,F27-K27," ")</f>
        <v>1200</v>
      </c>
      <c r="M27" s="8" t="n">
        <f aca="false">IF((F27-K27)&lt;&gt;0,M$1-A27," ")</f>
        <v>217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46" t="str">
        <f aca="false">IF((E27="v"),H27," ")</f>
        <v> 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n">
        <f aca="false">IF((E27="fa"),H27," ")</f>
        <v>1200</v>
      </c>
    </row>
    <row r="28" customFormat="false" ht="12" hidden="false" customHeight="false" outlineLevel="0" collapsed="false">
      <c r="A28" s="28" t="n">
        <v>45916</v>
      </c>
      <c r="B28" s="2" t="s">
        <v>119</v>
      </c>
      <c r="E28" s="5" t="s">
        <v>75</v>
      </c>
      <c r="F28" s="46" t="n">
        <v>24</v>
      </c>
      <c r="H28" s="6" t="n">
        <f aca="false">IF((F28&lt;&gt;0),F28-G28," ")</f>
        <v>24</v>
      </c>
      <c r="I28" s="5"/>
      <c r="L28" s="7" t="n">
        <f aca="false">IF(F28&lt;&gt;0,F28-K28," ")</f>
        <v>24</v>
      </c>
      <c r="M28" s="8" t="n">
        <f aca="false">IF((F28-K28)&lt;&gt;0,M$1-A28," ")</f>
        <v>216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24</v>
      </c>
      <c r="AB28" s="17" t="str">
        <f aca="false">IF((E28="h"),H28," ")</f>
        <v> 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45918</v>
      </c>
      <c r="B29" s="2" t="s">
        <v>102</v>
      </c>
      <c r="E29" s="5" t="s">
        <v>88</v>
      </c>
      <c r="F29" s="46" t="n">
        <v>96</v>
      </c>
      <c r="H29" s="6" t="n">
        <f aca="false">IF((F29&lt;&gt;0),F29-G29," ")</f>
        <v>96</v>
      </c>
      <c r="I29" s="5"/>
      <c r="L29" s="7" t="n">
        <f aca="false">IF(F29&lt;&gt;0,F29-K29," ")</f>
        <v>96</v>
      </c>
      <c r="M29" s="8" t="n">
        <f aca="false">IF((F29-K29)&lt;&gt;0,M$1-A29," ")</f>
        <v>214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46" t="n">
        <f aca="false">IF((E29="v"),H29," ")</f>
        <v>96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45920</v>
      </c>
      <c r="B30" s="2" t="s">
        <v>103</v>
      </c>
      <c r="E30" s="5" t="s">
        <v>75</v>
      </c>
      <c r="F30" s="46" t="n">
        <v>60</v>
      </c>
      <c r="H30" s="6" t="n">
        <f aca="false">IF((F30&lt;&gt;0),F30-G30," ")</f>
        <v>60</v>
      </c>
      <c r="I30" s="5"/>
      <c r="L30" s="7" t="n">
        <f aca="false">IF(F30&lt;&gt;0,F30-K30," ")</f>
        <v>60</v>
      </c>
      <c r="M30" s="8" t="n">
        <f aca="false">IF((F30-K30)&lt;&gt;0,M$1-A30," ")</f>
        <v>212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n">
        <f aca="false">IF((E30="g"),H30," ")</f>
        <v>60</v>
      </c>
      <c r="AB30" s="17" t="str">
        <f aca="false">IF((E30="h"),H30," ")</f>
        <v> 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45920</v>
      </c>
      <c r="B31" s="2" t="s">
        <v>137</v>
      </c>
      <c r="E31" s="5" t="s">
        <v>121</v>
      </c>
      <c r="F31" s="46" t="n">
        <v>120</v>
      </c>
      <c r="H31" s="6" t="n">
        <f aca="false">IF((F31&lt;&gt;0),F31-G31," ")</f>
        <v>120</v>
      </c>
      <c r="I31" s="5"/>
      <c r="L31" s="7" t="n">
        <f aca="false">IF(F31&lt;&gt;0,F31-K31," ")</f>
        <v>120</v>
      </c>
      <c r="M31" s="8" t="n">
        <f aca="false">IF((F31-K31)&lt;&gt;0,M$1-A31," ")</f>
        <v>212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n">
        <f aca="false">IF((E31="t"),H31," ")</f>
        <v>120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45920</v>
      </c>
      <c r="B32" s="2" t="s">
        <v>104</v>
      </c>
      <c r="E32" s="5" t="s">
        <v>105</v>
      </c>
      <c r="F32" s="46" t="n">
        <v>180</v>
      </c>
      <c r="H32" s="6" t="n">
        <f aca="false">IF((F32&lt;&gt;0),F32-G32," ")</f>
        <v>180</v>
      </c>
      <c r="I32" s="5"/>
      <c r="L32" s="7" t="n">
        <f aca="false">IF(F32&lt;&gt;0,F32-K32," ")</f>
        <v>180</v>
      </c>
      <c r="M32" s="8" t="n">
        <f aca="false">IF((F32-K32)&lt;&gt;0,M$1-A32," ")</f>
        <v>212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n">
        <f aca="false">IF((E32="m"),H32," ")</f>
        <v>180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45921</v>
      </c>
      <c r="B33" s="2" t="s">
        <v>106</v>
      </c>
      <c r="E33" s="5" t="s">
        <v>91</v>
      </c>
      <c r="F33" s="46" t="n">
        <v>8</v>
      </c>
      <c r="H33" s="6" t="n">
        <f aca="false">IF((F33&lt;&gt;0),F33-G33," ")</f>
        <v>8</v>
      </c>
      <c r="I33" s="5"/>
      <c r="L33" s="7" t="n">
        <f aca="false">IF(F33&lt;&gt;0,F33-K33," ")</f>
        <v>8</v>
      </c>
      <c r="M33" s="8" t="n">
        <f aca="false">IF((F33-K33)&lt;&gt;0,M$1-A33," ")</f>
        <v>211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n">
        <f aca="false">IF((E33="h"),H33," ")</f>
        <v>8</v>
      </c>
      <c r="AC33" s="46" t="str">
        <f aca="false">IF((E33="v"),H33," ")</f>
        <v> 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45922</v>
      </c>
      <c r="B34" s="2" t="s">
        <v>107</v>
      </c>
      <c r="E34" s="5" t="s">
        <v>85</v>
      </c>
      <c r="F34" s="46" t="n">
        <v>18</v>
      </c>
      <c r="H34" s="6" t="n">
        <f aca="false">IF((F34&lt;&gt;0),F34-G34," ")</f>
        <v>18</v>
      </c>
      <c r="I34" s="5"/>
      <c r="L34" s="7" t="n">
        <f aca="false">IF(F34&lt;&gt;0,F34-K34," ")</f>
        <v>18</v>
      </c>
      <c r="M34" s="8" t="n">
        <f aca="false">IF((F34-K34)&lt;&gt;0,M$1-A34," ")</f>
        <v>210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n">
        <f aca="false">IF((E34="u"),H34," ")</f>
        <v>18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str">
        <f aca="false">IF((E34="v"),H34," ")</f>
        <v> 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45925</v>
      </c>
      <c r="B35" s="2" t="s">
        <v>108</v>
      </c>
      <c r="E35" s="5" t="s">
        <v>85</v>
      </c>
      <c r="F35" s="46" t="n">
        <v>15</v>
      </c>
      <c r="H35" s="6" t="n">
        <f aca="false">IF((F35&lt;&gt;0),F35-G35," ")</f>
        <v>15</v>
      </c>
      <c r="I35" s="5"/>
      <c r="L35" s="7" t="n">
        <f aca="false">IF(F35&lt;&gt;0,F35-K35," ")</f>
        <v>15</v>
      </c>
      <c r="M35" s="8" t="n">
        <f aca="false">IF((F35-K35)&lt;&gt;0,M$1-A35," ")</f>
        <v>207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n">
        <f aca="false">IF((E35="u"),H35," ")</f>
        <v>15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str">
        <f aca="false">IF((E35="v"),H35," ")</f>
        <v> 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45925</v>
      </c>
      <c r="B36" s="2" t="s">
        <v>109</v>
      </c>
      <c r="E36" s="5" t="s">
        <v>88</v>
      </c>
      <c r="F36" s="46" t="n">
        <v>20.25</v>
      </c>
      <c r="H36" s="6" t="n">
        <f aca="false">IF((F36&lt;&gt;0),F36-G36," ")</f>
        <v>20.25</v>
      </c>
      <c r="I36" s="5"/>
      <c r="L36" s="7" t="n">
        <f aca="false">IF(F36&lt;&gt;0,F36-K36," ")</f>
        <v>20.25</v>
      </c>
      <c r="M36" s="8" t="n">
        <f aca="false">IF((F36-K36)&lt;&gt;0,M$1-A36," ")</f>
        <v>207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n">
        <f aca="false">IF((E36="v"),H36," ")</f>
        <v>20.25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45928</v>
      </c>
      <c r="B37" s="2" t="s">
        <v>20</v>
      </c>
      <c r="E37" s="5" t="s">
        <v>88</v>
      </c>
      <c r="F37" s="46" t="n">
        <v>120</v>
      </c>
      <c r="H37" s="6" t="n">
        <f aca="false">IF((F37&lt;&gt;0),F37-G37," ")</f>
        <v>120</v>
      </c>
      <c r="I37" s="5"/>
      <c r="L37" s="7" t="n">
        <f aca="false">IF(F37&lt;&gt;0,F37-K37," ")</f>
        <v>120</v>
      </c>
      <c r="M37" s="8" t="n">
        <f aca="false">IF((F37-K37)&lt;&gt;0,M$1-A37," ")</f>
        <v>204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n">
        <f aca="false">IF((E37="v"),H37," ")</f>
        <v>120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46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4705.25</v>
      </c>
      <c r="G1" s="12" t="n">
        <f aca="false">SUM(G5:G300)</f>
        <v>0</v>
      </c>
      <c r="H1" s="12" t="n">
        <f aca="false">SUM(H5:H300)</f>
        <v>4705.25</v>
      </c>
      <c r="I1" s="13"/>
      <c r="J1" s="14" t="s">
        <v>2</v>
      </c>
      <c r="K1" s="15" t="n">
        <f aca="false">SUM(K5:K300)</f>
        <v>0</v>
      </c>
      <c r="L1" s="15" t="n">
        <f aca="false">SUM(L5:L300)</f>
        <v>4705.25</v>
      </c>
      <c r="M1" s="16" t="n">
        <f aca="true">TODAY()</f>
        <v>46132</v>
      </c>
      <c r="N1" s="13"/>
      <c r="O1" s="12" t="n">
        <f aca="false">SUM(O5:O300)</f>
        <v>540</v>
      </c>
      <c r="P1" s="12" t="n">
        <f aca="false">SUM(P5:P300)</f>
        <v>0</v>
      </c>
      <c r="Q1" s="12" t="n">
        <f aca="false">SUM(Q5:Q300)</f>
        <v>285</v>
      </c>
      <c r="R1" s="12" t="n">
        <f aca="false">SUM(R5:R300)</f>
        <v>0</v>
      </c>
      <c r="S1" s="12" t="n">
        <f aca="false">SUM(S5:S300)</f>
        <v>800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240</v>
      </c>
      <c r="Y1" s="12" t="n">
        <f aca="false">SUM(Y5:Y300)</f>
        <v>163</v>
      </c>
      <c r="Z1" s="12" t="n">
        <f aca="false">SUM(Z5:Z300)</f>
        <v>0</v>
      </c>
      <c r="AA1" s="12" t="n">
        <f aca="false">SUM(AA5:AA300)</f>
        <v>135</v>
      </c>
      <c r="AB1" s="12" t="n">
        <f aca="false">SUM(AB5:AB300)</f>
        <v>140</v>
      </c>
      <c r="AC1" s="12" t="n">
        <f aca="false">SUM(AC5:AC300)</f>
        <v>602.25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600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IF([2]Oct!$G$4&gt;0,0,[2]Oct!$G$2)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45931</v>
      </c>
      <c r="B5" s="5" t="s">
        <v>16</v>
      </c>
      <c r="E5" s="5" t="s">
        <v>110</v>
      </c>
      <c r="F5" s="46" t="n">
        <v>300</v>
      </c>
      <c r="H5" s="6" t="n">
        <f aca="false">IF((F5&lt;&gt;0),F5-G5," ")</f>
        <v>300</v>
      </c>
      <c r="J5" s="6"/>
      <c r="K5" s="6"/>
      <c r="L5" s="7" t="n">
        <f aca="false">IF(F5&lt;&gt;0,F5-K5," ")</f>
        <v>300</v>
      </c>
      <c r="M5" s="8" t="n">
        <f aca="false">IF((F5-K5)&lt;&gt;0,M$1-A5," ")</f>
        <v>201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str">
        <f aca="false">IF((E5="r"),H5," ")</f>
        <v> 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n">
        <f aca="false">IF((E5="l"),H5," ")</f>
        <v>300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45931</v>
      </c>
      <c r="B6" s="2" t="s">
        <v>14</v>
      </c>
      <c r="E6" s="5" t="s">
        <v>73</v>
      </c>
      <c r="F6" s="46" t="n">
        <v>1200</v>
      </c>
      <c r="H6" s="6" t="n">
        <f aca="false">IF((F6&lt;&gt;0),F6-G6," ")</f>
        <v>1200</v>
      </c>
      <c r="I6" s="5"/>
      <c r="L6" s="7" t="n">
        <f aca="false">IF(F6&lt;&gt;0,F6-K6," ")</f>
        <v>1200</v>
      </c>
      <c r="M6" s="8" t="n">
        <f aca="false">IF((F6-K6)&lt;&gt;0,M$1-A6," ")</f>
        <v>201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n">
        <f aca="false">IF((E6="r"),H6," ")</f>
        <v>1200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str">
        <f aca="false">IF((E6="g"),H6," ")</f>
        <v> 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45931</v>
      </c>
      <c r="B7" s="2" t="s">
        <v>74</v>
      </c>
      <c r="E7" s="5" t="s">
        <v>75</v>
      </c>
      <c r="F7" s="46" t="n">
        <v>30</v>
      </c>
      <c r="H7" s="6" t="n">
        <f aca="false">IF((F7&lt;&gt;0),F7-G7," ")</f>
        <v>30</v>
      </c>
      <c r="I7" s="5"/>
      <c r="L7" s="7" t="n">
        <f aca="false">IF(F7&lt;&gt;0,F7-K7," ")</f>
        <v>30</v>
      </c>
      <c r="M7" s="8" t="n">
        <f aca="false">IF((F7-K7)&lt;&gt;0,M$1-A7," ")</f>
        <v>201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30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45931</v>
      </c>
      <c r="B8" s="2" t="s">
        <v>76</v>
      </c>
      <c r="E8" s="5" t="s">
        <v>75</v>
      </c>
      <c r="F8" s="46" t="n">
        <v>15</v>
      </c>
      <c r="H8" s="6" t="n">
        <f aca="false">IF((F8&lt;&gt;0),F8-G8," ")</f>
        <v>15</v>
      </c>
      <c r="I8" s="5"/>
      <c r="L8" s="7" t="n">
        <f aca="false">IF(F8&lt;&gt;0,F8-K8," ")</f>
        <v>15</v>
      </c>
      <c r="M8" s="8" t="n">
        <f aca="false">IF((F8-K8)&lt;&gt;0,M$1-A8," ")</f>
        <v>201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str">
        <f aca="false">IF((E8="o"),H8," ")</f>
        <v> 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n">
        <f aca="false">IF((E8="g"),H8," ")</f>
        <v>15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45931</v>
      </c>
      <c r="B9" s="2" t="s">
        <v>77</v>
      </c>
      <c r="E9" s="5" t="s">
        <v>78</v>
      </c>
      <c r="F9" s="46" t="n">
        <v>45</v>
      </c>
      <c r="H9" s="6" t="n">
        <f aca="false">IF((F9&lt;&gt;0),F9-G9," ")</f>
        <v>45</v>
      </c>
      <c r="I9" s="5"/>
      <c r="L9" s="7" t="n">
        <f aca="false">IF(F9&lt;&gt;0,F9-K9," ")</f>
        <v>45</v>
      </c>
      <c r="M9" s="8" t="n">
        <f aca="false">IF((F9-K9)&lt;&gt;0,M$1-A9," ")</f>
        <v>201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45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45931</v>
      </c>
      <c r="B10" s="2" t="s">
        <v>81</v>
      </c>
      <c r="E10" s="5" t="s">
        <v>78</v>
      </c>
      <c r="F10" s="46" t="n">
        <v>24</v>
      </c>
      <c r="H10" s="6" t="n">
        <f aca="false">IF((F10&lt;&gt;0),F10-G10," ")</f>
        <v>24</v>
      </c>
      <c r="I10" s="5"/>
      <c r="L10" s="7" t="n">
        <f aca="false">IF(F10&lt;&gt;0,F10-K10," ")</f>
        <v>24</v>
      </c>
      <c r="M10" s="8" t="n">
        <f aca="false">IF((F10-K10)&lt;&gt;0,M$1-A10," ")</f>
        <v>201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n">
        <f aca="false">IF((E10="o"),H10," ")</f>
        <v>24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str">
        <f aca="false">IF((E10="g"),H10," ")</f>
        <v> 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45931</v>
      </c>
      <c r="B11" s="2" t="s">
        <v>82</v>
      </c>
      <c r="E11" s="5" t="s">
        <v>75</v>
      </c>
      <c r="F11" s="46" t="n">
        <v>18</v>
      </c>
      <c r="H11" s="6" t="n">
        <f aca="false">IF((F11&lt;&gt;0),F11-G11," ")</f>
        <v>18</v>
      </c>
      <c r="I11" s="5"/>
      <c r="L11" s="7" t="n">
        <f aca="false">IF(F11&lt;&gt;0,F11-K11," ")</f>
        <v>18</v>
      </c>
      <c r="M11" s="8" t="n">
        <f aca="false">IF((F11-K11)&lt;&gt;0,M$1-A11," ")</f>
        <v>201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str">
        <f aca="false">IF((E11="o"),H11," ")</f>
        <v> 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n">
        <f aca="false">IF((E11="g"),H11," ")</f>
        <v>18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45933</v>
      </c>
      <c r="B12" s="2" t="s">
        <v>83</v>
      </c>
      <c r="E12" s="5" t="s">
        <v>78</v>
      </c>
      <c r="F12" s="46" t="n">
        <v>180</v>
      </c>
      <c r="H12" s="6" t="n">
        <f aca="false">IF((F12&lt;&gt;0),F12-G12," ")</f>
        <v>180</v>
      </c>
      <c r="I12" s="5"/>
      <c r="L12" s="7" t="n">
        <f aca="false">IF(F12&lt;&gt;0,F12-K12," ")</f>
        <v>180</v>
      </c>
      <c r="M12" s="8" t="n">
        <f aca="false">IF((F12-K12)&lt;&gt;0,M$1-A12," ")</f>
        <v>199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n">
        <f aca="false">IF((E12="o"),H12," ")</f>
        <v>180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str">
        <f aca="false">IF((E12="u"),H12," ")</f>
        <v> 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45933</v>
      </c>
      <c r="B13" s="2" t="s">
        <v>84</v>
      </c>
      <c r="E13" s="5" t="s">
        <v>85</v>
      </c>
      <c r="F13" s="46" t="n">
        <v>22</v>
      </c>
      <c r="H13" s="6" t="n">
        <f aca="false">IF((F13&lt;&gt;0),F13-G13," ")</f>
        <v>22</v>
      </c>
      <c r="I13" s="5"/>
      <c r="L13" s="7" t="n">
        <f aca="false">IF(F13&lt;&gt;0,F13-K13," ")</f>
        <v>22</v>
      </c>
      <c r="M13" s="8" t="n">
        <f aca="false">IF((F13-K13)&lt;&gt;0,M$1-A13," ")</f>
        <v>199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22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45935</v>
      </c>
      <c r="B14" s="2" t="s">
        <v>86</v>
      </c>
      <c r="E14" s="5" t="s">
        <v>85</v>
      </c>
      <c r="F14" s="46" t="n">
        <v>24</v>
      </c>
      <c r="H14" s="6" t="n">
        <f aca="false">IF((F14&lt;&gt;0),F14-G14," ")</f>
        <v>24</v>
      </c>
      <c r="I14" s="5"/>
      <c r="L14" s="7" t="n">
        <f aca="false">IF(F14&lt;&gt;0,F14-K14," ")</f>
        <v>24</v>
      </c>
      <c r="M14" s="8" t="n">
        <f aca="false">IF((F14-K14)&lt;&gt;0,M$1-A14," ")</f>
        <v>197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n">
        <f aca="false">IF((E14="u"),H14," ")</f>
        <v>24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str">
        <f aca="false">IF((E14="v"),H14," ")</f>
        <v> 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45935</v>
      </c>
      <c r="B15" s="2" t="s">
        <v>87</v>
      </c>
      <c r="E15" s="5" t="s">
        <v>88</v>
      </c>
      <c r="F15" s="46" t="n">
        <v>180</v>
      </c>
      <c r="H15" s="6" t="n">
        <f aca="false">IF((F15&lt;&gt;0),F15-G15," ")</f>
        <v>180</v>
      </c>
      <c r="I15" s="5"/>
      <c r="L15" s="7" t="n">
        <f aca="false">IF(F15&lt;&gt;0,F15-K15," ")</f>
        <v>180</v>
      </c>
      <c r="M15" s="8" t="n">
        <f aca="false">IF((F15-K15)&lt;&gt;0,M$1-A15," ")</f>
        <v>197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46" t="n">
        <f aca="false">IF((E15="v"),H15," ")</f>
        <v>180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45935</v>
      </c>
      <c r="B16" s="2" t="s">
        <v>89</v>
      </c>
      <c r="E16" s="5" t="s">
        <v>78</v>
      </c>
      <c r="F16" s="46" t="n">
        <v>36</v>
      </c>
      <c r="H16" s="6" t="n">
        <f aca="false">IF((F16&lt;&gt;0),F16-G16," ")</f>
        <v>36</v>
      </c>
      <c r="I16" s="5"/>
      <c r="L16" s="7" t="n">
        <f aca="false">IF(F16&lt;&gt;0,F16-K16," ")</f>
        <v>36</v>
      </c>
      <c r="M16" s="8" t="n">
        <f aca="false">IF((F16-K16)&lt;&gt;0,M$1-A16," ")</f>
        <v>197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n">
        <f aca="false">IF((E16="o"),H16," ")</f>
        <v>36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45936</v>
      </c>
      <c r="B17" s="2" t="s">
        <v>111</v>
      </c>
      <c r="E17" s="5" t="s">
        <v>91</v>
      </c>
      <c r="F17" s="46" t="n">
        <v>48</v>
      </c>
      <c r="H17" s="6" t="n">
        <f aca="false">IF((F17&lt;&gt;0),F17-G17," ")</f>
        <v>48</v>
      </c>
      <c r="I17" s="5"/>
      <c r="L17" s="7" t="n">
        <f aca="false">IF(F17&lt;&gt;0,F17-K17," ")</f>
        <v>48</v>
      </c>
      <c r="M17" s="8" t="n">
        <f aca="false">IF((F17-K17)&lt;&gt;0,M$1-A17," ")</f>
        <v>196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48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45938</v>
      </c>
      <c r="B18" s="2" t="s">
        <v>90</v>
      </c>
      <c r="E18" s="5" t="s">
        <v>91</v>
      </c>
      <c r="F18" s="46" t="n">
        <v>48</v>
      </c>
      <c r="H18" s="6" t="n">
        <f aca="false">IF((F18&lt;&gt;0),F18-G18," ")</f>
        <v>48</v>
      </c>
      <c r="I18" s="5"/>
      <c r="L18" s="7" t="n">
        <f aca="false">IF(F18&lt;&gt;0,F18-K18," ")</f>
        <v>48</v>
      </c>
      <c r="M18" s="8" t="n">
        <f aca="false">IF((F18-K18)&lt;&gt;0,M$1-A18," ")</f>
        <v>194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str">
        <f aca="false">IF((E18="g"),H18," ")</f>
        <v> </v>
      </c>
      <c r="AB18" s="17" t="n">
        <f aca="false">IF((E18="h"),H18," ")</f>
        <v>48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45940</v>
      </c>
      <c r="B19" s="2" t="s">
        <v>92</v>
      </c>
      <c r="E19" s="5" t="s">
        <v>85</v>
      </c>
      <c r="F19" s="46" t="n">
        <v>36</v>
      </c>
      <c r="H19" s="6" t="n">
        <f aca="false">IF((F19&lt;&gt;0),F19-G19," ")</f>
        <v>36</v>
      </c>
      <c r="I19" s="5"/>
      <c r="L19" s="7" t="n">
        <f aca="false">IF(F19&lt;&gt;0,F19-K19," ")</f>
        <v>36</v>
      </c>
      <c r="M19" s="8" t="n">
        <f aca="false">IF((F19-K19)&lt;&gt;0,M$1-A19," ")</f>
        <v>192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n">
        <f aca="false">IF((E19="u"),H19," ")</f>
        <v>36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46" t="str">
        <f aca="false">IF((E19="v"),H19," ")</f>
        <v> 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45942</v>
      </c>
      <c r="B20" s="2" t="s">
        <v>97</v>
      </c>
      <c r="E20" s="5" t="s">
        <v>88</v>
      </c>
      <c r="F20" s="46" t="n">
        <v>18</v>
      </c>
      <c r="H20" s="6" t="n">
        <f aca="false">IF((F20&lt;&gt;0),F20-G20," ")</f>
        <v>18</v>
      </c>
      <c r="I20" s="5"/>
      <c r="L20" s="7" t="n">
        <f aca="false">IF(F20&lt;&gt;0,F20-K20," ")</f>
        <v>18</v>
      </c>
      <c r="M20" s="8" t="n">
        <f aca="false">IF((F20-K20)&lt;&gt;0,M$1-A20," ")</f>
        <v>190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n">
        <f aca="false">IF((E20="v"),H20," ")</f>
        <v>18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45944</v>
      </c>
      <c r="B21" s="2" t="s">
        <v>98</v>
      </c>
      <c r="E21" s="5" t="s">
        <v>85</v>
      </c>
      <c r="F21" s="46" t="n">
        <v>48</v>
      </c>
      <c r="H21" s="6" t="n">
        <f aca="false">IF((F21&lt;&gt;0),F21-G21," ")</f>
        <v>48</v>
      </c>
      <c r="I21" s="5"/>
      <c r="L21" s="7" t="n">
        <f aca="false">IF(F21&lt;&gt;0,F21-K21," ")</f>
        <v>48</v>
      </c>
      <c r="M21" s="8" t="n">
        <f aca="false">IF((F21-K21)&lt;&gt;0,M$1-A21," ")</f>
        <v>188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n">
        <f aca="false">IF((E21="u"),H21," ")</f>
        <v>48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46" t="str">
        <f aca="false">IF((E21="v"),H21," ")</f>
        <v> 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45944</v>
      </c>
      <c r="B22" s="2" t="s">
        <v>99</v>
      </c>
      <c r="E22" s="5" t="s">
        <v>91</v>
      </c>
      <c r="F22" s="46" t="n">
        <v>24</v>
      </c>
      <c r="H22" s="6" t="n">
        <f aca="false">IF((F22&lt;&gt;0),F22-G22," ")</f>
        <v>24</v>
      </c>
      <c r="I22" s="5"/>
      <c r="L22" s="7" t="n">
        <f aca="false">IF(F22&lt;&gt;0,F22-K22," ")</f>
        <v>24</v>
      </c>
      <c r="M22" s="8" t="n">
        <f aca="false">IF((F22-K22)&lt;&gt;0,M$1-A22," ")</f>
        <v>188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24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45944</v>
      </c>
      <c r="B23" s="2" t="s">
        <v>100</v>
      </c>
      <c r="E23" s="5" t="s">
        <v>91</v>
      </c>
      <c r="F23" s="46" t="n">
        <v>12</v>
      </c>
      <c r="H23" s="6" t="n">
        <f aca="false">IF((F23&lt;&gt;0),F23-G23," ")</f>
        <v>12</v>
      </c>
      <c r="I23" s="5"/>
      <c r="L23" s="7" t="n">
        <f aca="false">IF(F23&lt;&gt;0,F23-K23," ")</f>
        <v>12</v>
      </c>
      <c r="M23" s="8" t="n">
        <f aca="false">IF((F23-K23)&lt;&gt;0,M$1-A23," ")</f>
        <v>188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n">
        <f aca="false">IF((E23="h"),H23," ")</f>
        <v>12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45945</v>
      </c>
      <c r="B24" s="2" t="s">
        <v>20</v>
      </c>
      <c r="E24" s="5" t="s">
        <v>88</v>
      </c>
      <c r="F24" s="46" t="n">
        <v>150</v>
      </c>
      <c r="H24" s="6" t="n">
        <f aca="false">IF((F24&lt;&gt;0),F24-G24," ")</f>
        <v>150</v>
      </c>
      <c r="I24" s="5"/>
      <c r="L24" s="7" t="n">
        <f aca="false">IF(F24&lt;&gt;0,F24-K24," ")</f>
        <v>150</v>
      </c>
      <c r="M24" s="8" t="n">
        <f aca="false">IF((F24-K24)&lt;&gt;0,M$1-A24," ")</f>
        <v>187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46" t="n">
        <f aca="false">IF((E24="v"),H24," ")</f>
        <v>150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45945</v>
      </c>
      <c r="B25" s="2" t="s">
        <v>101</v>
      </c>
      <c r="E25" s="5" t="s">
        <v>75</v>
      </c>
      <c r="F25" s="46" t="n">
        <v>12</v>
      </c>
      <c r="H25" s="6" t="n">
        <f aca="false">IF((F25&lt;&gt;0),F25-G25," ")</f>
        <v>12</v>
      </c>
      <c r="I25" s="5"/>
      <c r="L25" s="7" t="n">
        <f aca="false">IF(F25&lt;&gt;0,F25-K25," ")</f>
        <v>12</v>
      </c>
      <c r="M25" s="8" t="n">
        <f aca="false">IF((F25-K25)&lt;&gt;0,M$1-A25," ")</f>
        <v>187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n">
        <f aca="false">IF((E25="g"),H25," ")</f>
        <v>12</v>
      </c>
      <c r="AB25" s="17" t="str">
        <f aca="false">IF((E25="h"),H25," ")</f>
        <v> 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45945</v>
      </c>
      <c r="B26" s="2" t="s">
        <v>116</v>
      </c>
      <c r="E26" s="5" t="s">
        <v>96</v>
      </c>
      <c r="F26" s="46" t="n">
        <v>360</v>
      </c>
      <c r="H26" s="6" t="n">
        <f aca="false">IF((F26&lt;&gt;0),F26-G26," ")</f>
        <v>360</v>
      </c>
      <c r="I26" s="5"/>
      <c r="L26" s="7" t="n">
        <f aca="false">IF(F26&lt;&gt;0,F26-K26," ")</f>
        <v>360</v>
      </c>
      <c r="M26" s="8" t="n">
        <f aca="false">IF((F26-K26)&lt;&gt;0,M$1-A26," ")</f>
        <v>187</v>
      </c>
      <c r="N26" s="5"/>
      <c r="O26" s="17" t="n">
        <f aca="false">IF((E26="s"),H26," ")</f>
        <v>360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45948</v>
      </c>
      <c r="B27" s="2" t="s">
        <v>138</v>
      </c>
      <c r="E27" s="5" t="s">
        <v>105</v>
      </c>
      <c r="F27" s="46" t="n">
        <v>240</v>
      </c>
      <c r="H27" s="6" t="n">
        <f aca="false">IF((F27&lt;&gt;0),F27-G27," ")</f>
        <v>240</v>
      </c>
      <c r="I27" s="5"/>
      <c r="L27" s="7" t="n">
        <f aca="false">IF(F27&lt;&gt;0,F27-K27," ")</f>
        <v>240</v>
      </c>
      <c r="M27" s="8" t="n">
        <f aca="false">IF((F27-K27)&lt;&gt;0,M$1-A27," ")</f>
        <v>184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n">
        <f aca="false">IF((E27="m"),H27," ")</f>
        <v>240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46" t="str">
        <f aca="false">IF((E27="v"),H27," ")</f>
        <v> 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45948</v>
      </c>
      <c r="B28" s="2" t="s">
        <v>102</v>
      </c>
      <c r="E28" s="5" t="s">
        <v>88</v>
      </c>
      <c r="F28" s="46" t="n">
        <v>96</v>
      </c>
      <c r="H28" s="6" t="n">
        <f aca="false">IF((F28&lt;&gt;0),F28-G28," ")</f>
        <v>96</v>
      </c>
      <c r="I28" s="5"/>
      <c r="L28" s="7" t="n">
        <f aca="false">IF(F28&lt;&gt;0,F28-K28," ")</f>
        <v>96</v>
      </c>
      <c r="M28" s="8" t="n">
        <f aca="false">IF((F28-K28)&lt;&gt;0,M$1-A28," ")</f>
        <v>184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46" t="n">
        <f aca="false">IF((E28="v"),H28," ")</f>
        <v>96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45950</v>
      </c>
      <c r="B29" s="2" t="s">
        <v>103</v>
      </c>
      <c r="E29" s="5" t="s">
        <v>75</v>
      </c>
      <c r="F29" s="46" t="n">
        <v>60</v>
      </c>
      <c r="H29" s="6" t="n">
        <f aca="false">IF((F29&lt;&gt;0),F29-G29," ")</f>
        <v>60</v>
      </c>
      <c r="I29" s="5"/>
      <c r="L29" s="7" t="n">
        <f aca="false">IF(F29&lt;&gt;0,F29-K29," ")</f>
        <v>60</v>
      </c>
      <c r="M29" s="8" t="n">
        <f aca="false">IF((F29-K29)&lt;&gt;0,M$1-A29," ")</f>
        <v>182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n">
        <f aca="false">IF((E29="g"),H29," ")</f>
        <v>60</v>
      </c>
      <c r="AB29" s="17" t="str">
        <f aca="false">IF((E29="h"),H29," ")</f>
        <v> 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45950</v>
      </c>
      <c r="B30" s="2" t="s">
        <v>139</v>
      </c>
      <c r="E30" s="5" t="s">
        <v>140</v>
      </c>
      <c r="F30" s="46" t="n">
        <v>800</v>
      </c>
      <c r="H30" s="6" t="n">
        <f aca="false">IF((F30&lt;&gt;0),F30-G30," ")</f>
        <v>800</v>
      </c>
      <c r="I30" s="5"/>
      <c r="L30" s="7" t="n">
        <f aca="false">IF(F30&lt;&gt;0,F30-K30," ")</f>
        <v>800</v>
      </c>
      <c r="M30" s="8" t="n">
        <f aca="false">IF((F30-K30)&lt;&gt;0,M$1-A30," ")</f>
        <v>182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n">
        <f aca="false">IF((E30="w"),H30," ")</f>
        <v>800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45950</v>
      </c>
      <c r="B31" s="2" t="s">
        <v>122</v>
      </c>
      <c r="E31" s="5" t="s">
        <v>96</v>
      </c>
      <c r="F31" s="46" t="n">
        <v>180</v>
      </c>
      <c r="H31" s="6" t="n">
        <f aca="false">IF((F31&lt;&gt;0),F31-G31," ")</f>
        <v>180</v>
      </c>
      <c r="I31" s="5"/>
      <c r="L31" s="7" t="n">
        <f aca="false">IF(F31&lt;&gt;0,F31-K31," ")</f>
        <v>180</v>
      </c>
      <c r="M31" s="8" t="n">
        <f aca="false">IF((F31-K31)&lt;&gt;0,M$1-A31," ")</f>
        <v>182</v>
      </c>
      <c r="N31" s="5"/>
      <c r="O31" s="17" t="n">
        <f aca="false">IF((E31="s"),H31," ")</f>
        <v>180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45951</v>
      </c>
      <c r="B32" s="2" t="s">
        <v>106</v>
      </c>
      <c r="E32" s="5" t="s">
        <v>91</v>
      </c>
      <c r="F32" s="46" t="n">
        <v>8</v>
      </c>
      <c r="H32" s="6" t="n">
        <f aca="false">IF((F32&lt;&gt;0),F32-G32," ")</f>
        <v>8</v>
      </c>
      <c r="I32" s="5"/>
      <c r="L32" s="7" t="n">
        <f aca="false">IF(F32&lt;&gt;0,F32-K32," ")</f>
        <v>8</v>
      </c>
      <c r="M32" s="8" t="n">
        <f aca="false">IF((F32-K32)&lt;&gt;0,M$1-A32," ")</f>
        <v>181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n">
        <f aca="false">IF((E32="h"),H32," ")</f>
        <v>8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45952</v>
      </c>
      <c r="B33" s="2" t="s">
        <v>107</v>
      </c>
      <c r="E33" s="5" t="s">
        <v>85</v>
      </c>
      <c r="F33" s="46" t="n">
        <v>18</v>
      </c>
      <c r="H33" s="6" t="n">
        <f aca="false">IF((F33&lt;&gt;0),F33-G33," ")</f>
        <v>18</v>
      </c>
      <c r="I33" s="5"/>
      <c r="L33" s="7" t="n">
        <f aca="false">IF(F33&lt;&gt;0,F33-K33," ")</f>
        <v>18</v>
      </c>
      <c r="M33" s="8" t="n">
        <f aca="false">IF((F33-K33)&lt;&gt;0,M$1-A33," ")</f>
        <v>180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n">
        <f aca="false">IF((E33="u"),H33," ")</f>
        <v>18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str">
        <f aca="false">IF((E33="v"),H33," ")</f>
        <v> 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45955</v>
      </c>
      <c r="B34" s="2" t="s">
        <v>108</v>
      </c>
      <c r="E34" s="5" t="s">
        <v>85</v>
      </c>
      <c r="F34" s="46" t="n">
        <v>15</v>
      </c>
      <c r="H34" s="6" t="n">
        <f aca="false">IF((F34&lt;&gt;0),F34-G34," ")</f>
        <v>15</v>
      </c>
      <c r="I34" s="5"/>
      <c r="L34" s="7" t="n">
        <f aca="false">IF(F34&lt;&gt;0,F34-K34," ")</f>
        <v>15</v>
      </c>
      <c r="M34" s="8" t="n">
        <f aca="false">IF((F34-K34)&lt;&gt;0,M$1-A34," ")</f>
        <v>177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n">
        <f aca="false">IF((E34="u"),H34," ")</f>
        <v>15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str">
        <f aca="false">IF((E34="v"),H34," ")</f>
        <v> 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45955</v>
      </c>
      <c r="B35" s="2" t="s">
        <v>109</v>
      </c>
      <c r="E35" s="5" t="s">
        <v>88</v>
      </c>
      <c r="F35" s="46" t="n">
        <v>38.25</v>
      </c>
      <c r="H35" s="6" t="n">
        <f aca="false">IF((F35&lt;&gt;0),F35-G35," ")</f>
        <v>38.25</v>
      </c>
      <c r="I35" s="5"/>
      <c r="L35" s="7" t="n">
        <f aca="false">IF(F35&lt;&gt;0,F35-K35," ")</f>
        <v>38.25</v>
      </c>
      <c r="M35" s="8" t="n">
        <f aca="false">IF((F35-K35)&lt;&gt;0,M$1-A35," ")</f>
        <v>177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n">
        <f aca="false">IF((E35="v"),H35," ")</f>
        <v>38.25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45958</v>
      </c>
      <c r="B36" s="2" t="s">
        <v>20</v>
      </c>
      <c r="E36" s="5" t="s">
        <v>88</v>
      </c>
      <c r="F36" s="46" t="n">
        <v>120</v>
      </c>
      <c r="H36" s="6" t="n">
        <f aca="false">IF((F36&lt;&gt;0),F36-G36," ")</f>
        <v>120</v>
      </c>
      <c r="I36" s="5"/>
      <c r="L36" s="7" t="n">
        <f aca="false">IF(F36&lt;&gt;0,F36-K36," ")</f>
        <v>120</v>
      </c>
      <c r="M36" s="8" t="n">
        <f aca="false">IF((F36-K36)&lt;&gt;0,M$1-A36," ")</f>
        <v>174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n">
        <f aca="false">IF((E36="v"),H36," ")</f>
        <v>120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45961</v>
      </c>
      <c r="B37" s="2" t="s">
        <v>16</v>
      </c>
      <c r="E37" s="5" t="s">
        <v>110</v>
      </c>
      <c r="F37" s="46" t="n">
        <v>300</v>
      </c>
      <c r="H37" s="6" t="n">
        <f aca="false">IF((F37&lt;&gt;0),F37-G37," ")</f>
        <v>300</v>
      </c>
      <c r="I37" s="5"/>
      <c r="L37" s="7" t="n">
        <f aca="false">IF(F37&lt;&gt;0,F37-K37," ")</f>
        <v>300</v>
      </c>
      <c r="M37" s="8" t="n">
        <f aca="false">IF((F37-K37)&lt;&gt;0,M$1-A37," ")</f>
        <v>171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n">
        <f aca="false">IF((E37="l"),H37," ")</f>
        <v>300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46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&amp;C&amp;"Arial,Bold"&amp;12Costs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4975</v>
      </c>
      <c r="G1" s="12" t="n">
        <f aca="false">SUM(G5:G300)</f>
        <v>0</v>
      </c>
      <c r="H1" s="12" t="n">
        <f aca="false">SUM(H5:H300)</f>
        <v>4975</v>
      </c>
      <c r="I1" s="13"/>
      <c r="J1" s="14" t="s">
        <v>2</v>
      </c>
      <c r="K1" s="15" t="n">
        <f aca="false">SUM(K5:K300)</f>
        <v>0</v>
      </c>
      <c r="L1" s="15" t="n">
        <f aca="false">SUM(L5:L300)</f>
        <v>4975</v>
      </c>
      <c r="M1" s="16" t="n">
        <f aca="true">TODAY()</f>
        <v>46132</v>
      </c>
      <c r="N1" s="13"/>
      <c r="O1" s="12" t="n">
        <f aca="false">SUM(O5:O300)</f>
        <v>240</v>
      </c>
      <c r="P1" s="12" t="n">
        <f aca="false">SUM(P5:P300)</f>
        <v>0</v>
      </c>
      <c r="Q1" s="12" t="n">
        <f aca="false">SUM(Q5:Q300)</f>
        <v>249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300</v>
      </c>
      <c r="V1" s="12" t="n">
        <f aca="false">SUM(V5:V300)</f>
        <v>96</v>
      </c>
      <c r="W1" s="12" t="n">
        <f aca="false">SUM(W5:W300)</f>
        <v>360</v>
      </c>
      <c r="X1" s="12" t="n">
        <f aca="false">SUM(X5:X300)</f>
        <v>0</v>
      </c>
      <c r="Y1" s="12" t="n">
        <f aca="false">SUM(Y5:Y300)</f>
        <v>115</v>
      </c>
      <c r="Z1" s="12" t="n">
        <f aca="false">SUM(Z5:Z300)</f>
        <v>0</v>
      </c>
      <c r="AA1" s="12" t="n">
        <f aca="false">SUM(AA5:AA300)</f>
        <v>147</v>
      </c>
      <c r="AB1" s="12" t="n">
        <f aca="false">SUM(AB5:AB300)</f>
        <v>92</v>
      </c>
      <c r="AC1" s="12" t="n">
        <f aca="false">SUM(AC5:AC300)</f>
        <v>708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1468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IF([2]Nov!$G$4&gt;0,0,[2]Nov!$G$2)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45962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170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45962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170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45962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170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45962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170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45962</v>
      </c>
      <c r="B9" s="2" t="s">
        <v>81</v>
      </c>
      <c r="E9" s="5" t="s">
        <v>78</v>
      </c>
      <c r="F9" s="46" t="n">
        <v>24</v>
      </c>
      <c r="H9" s="6" t="n">
        <f aca="false">IF((F9&lt;&gt;0),F9-G9," ")</f>
        <v>24</v>
      </c>
      <c r="I9" s="5"/>
      <c r="L9" s="7" t="n">
        <f aca="false">IF(F9&lt;&gt;0,F9-K9," ")</f>
        <v>24</v>
      </c>
      <c r="M9" s="8" t="n">
        <f aca="false">IF((F9-K9)&lt;&gt;0,M$1-A9," ")</f>
        <v>170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24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45962</v>
      </c>
      <c r="B10" s="2" t="s">
        <v>82</v>
      </c>
      <c r="E10" s="5" t="s">
        <v>75</v>
      </c>
      <c r="F10" s="46" t="n">
        <v>18</v>
      </c>
      <c r="H10" s="6" t="n">
        <f aca="false">IF((F10&lt;&gt;0),F10-G10," ")</f>
        <v>18</v>
      </c>
      <c r="I10" s="5"/>
      <c r="L10" s="7" t="n">
        <f aca="false">IF(F10&lt;&gt;0,F10-K10," ")</f>
        <v>18</v>
      </c>
      <c r="M10" s="8" t="n">
        <f aca="false">IF((F10-K10)&lt;&gt;0,M$1-A10," ")</f>
        <v>170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18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45964</v>
      </c>
      <c r="B11" s="2" t="s">
        <v>83</v>
      </c>
      <c r="E11" s="5" t="s">
        <v>78</v>
      </c>
      <c r="F11" s="46" t="n">
        <v>180</v>
      </c>
      <c r="H11" s="6" t="n">
        <f aca="false">IF((F11&lt;&gt;0),F11-G11," ")</f>
        <v>180</v>
      </c>
      <c r="I11" s="5"/>
      <c r="L11" s="7" t="n">
        <f aca="false">IF(F11&lt;&gt;0,F11-K11," ")</f>
        <v>180</v>
      </c>
      <c r="M11" s="8" t="n">
        <f aca="false">IF((F11-K11)&lt;&gt;0,M$1-A11," ")</f>
        <v>168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180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45964</v>
      </c>
      <c r="B12" s="2" t="s">
        <v>84</v>
      </c>
      <c r="E12" s="5" t="s">
        <v>85</v>
      </c>
      <c r="F12" s="46" t="n">
        <v>22</v>
      </c>
      <c r="H12" s="6" t="n">
        <f aca="false">IF((F12&lt;&gt;0),F12-G12," ")</f>
        <v>22</v>
      </c>
      <c r="I12" s="5"/>
      <c r="L12" s="7" t="n">
        <f aca="false">IF(F12&lt;&gt;0,F12-K12," ")</f>
        <v>22</v>
      </c>
      <c r="M12" s="8" t="n">
        <f aca="false">IF((F12-K12)&lt;&gt;0,M$1-A12," ")</f>
        <v>168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22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45966</v>
      </c>
      <c r="B13" s="2" t="s">
        <v>86</v>
      </c>
      <c r="E13" s="5" t="s">
        <v>85</v>
      </c>
      <c r="F13" s="46" t="n">
        <v>24</v>
      </c>
      <c r="H13" s="6" t="n">
        <f aca="false">IF((F13&lt;&gt;0),F13-G13," ")</f>
        <v>24</v>
      </c>
      <c r="I13" s="5"/>
      <c r="L13" s="7" t="n">
        <f aca="false">IF(F13&lt;&gt;0,F13-K13," ")</f>
        <v>24</v>
      </c>
      <c r="M13" s="8" t="n">
        <f aca="false">IF((F13-K13)&lt;&gt;0,M$1-A13," ")</f>
        <v>166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24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45966</v>
      </c>
      <c r="B14" s="2" t="s">
        <v>87</v>
      </c>
      <c r="E14" s="5" t="s">
        <v>88</v>
      </c>
      <c r="F14" s="46" t="n">
        <v>180</v>
      </c>
      <c r="H14" s="6" t="n">
        <f aca="false">IF((F14&lt;&gt;0),F14-G14," ")</f>
        <v>180</v>
      </c>
      <c r="I14" s="5"/>
      <c r="L14" s="7" t="n">
        <f aca="false">IF(F14&lt;&gt;0,F14-K14," ")</f>
        <v>180</v>
      </c>
      <c r="M14" s="8" t="n">
        <f aca="false">IF((F14-K14)&lt;&gt;0,M$1-A14," ")</f>
        <v>166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n">
        <f aca="false">IF((E14="v"),H14," ")</f>
        <v>180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45969</v>
      </c>
      <c r="B15" s="2" t="s">
        <v>90</v>
      </c>
      <c r="E15" s="5" t="s">
        <v>91</v>
      </c>
      <c r="F15" s="46" t="n">
        <v>48</v>
      </c>
      <c r="H15" s="6" t="n">
        <f aca="false">IF((F15&lt;&gt;0),F15-G15," ")</f>
        <v>48</v>
      </c>
      <c r="I15" s="5"/>
      <c r="L15" s="7" t="n">
        <f aca="false">IF(F15&lt;&gt;0,F15-K15," ")</f>
        <v>48</v>
      </c>
      <c r="M15" s="8" t="n">
        <f aca="false">IF((F15-K15)&lt;&gt;0,M$1-A15," ")</f>
        <v>163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n">
        <f aca="false">IF((E15="h"),H15," ")</f>
        <v>48</v>
      </c>
      <c r="AC15" s="46" t="str">
        <f aca="false">IF((E15="v"),H15," ")</f>
        <v> 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45969</v>
      </c>
      <c r="B16" s="2" t="s">
        <v>112</v>
      </c>
      <c r="E16" s="5" t="s">
        <v>113</v>
      </c>
      <c r="F16" s="46" t="n">
        <v>360</v>
      </c>
      <c r="H16" s="6" t="n">
        <f aca="false">IF((F16&lt;&gt;0),F16-G16," ")</f>
        <v>360</v>
      </c>
      <c r="I16" s="5"/>
      <c r="L16" s="7" t="n">
        <f aca="false">IF(F16&lt;&gt;0,F16-K16," ")</f>
        <v>360</v>
      </c>
      <c r="M16" s="8" t="n">
        <f aca="false">IF((F16-K16)&lt;&gt;0,M$1-A16," ")</f>
        <v>163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n">
        <f aca="false">IF((E16="q"),H16," ")</f>
        <v>360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45971</v>
      </c>
      <c r="B17" s="2" t="s">
        <v>92</v>
      </c>
      <c r="E17" s="5" t="s">
        <v>85</v>
      </c>
      <c r="F17" s="46" t="n">
        <v>36</v>
      </c>
      <c r="H17" s="6" t="n">
        <f aca="false">IF((F17&lt;&gt;0),F17-G17," ")</f>
        <v>36</v>
      </c>
      <c r="I17" s="5"/>
      <c r="L17" s="7" t="n">
        <f aca="false">IF(F17&lt;&gt;0,F17-K17," ")</f>
        <v>36</v>
      </c>
      <c r="M17" s="8" t="n">
        <f aca="false">IF((F17-K17)&lt;&gt;0,M$1-A17," ")</f>
        <v>161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n">
        <f aca="false">IF((E17="u"),H17," ")</f>
        <v>36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45971</v>
      </c>
      <c r="B18" s="2" t="s">
        <v>101</v>
      </c>
      <c r="E18" s="5" t="s">
        <v>121</v>
      </c>
      <c r="F18" s="46" t="n">
        <v>96</v>
      </c>
      <c r="H18" s="6" t="n">
        <f aca="false">IF((F18&lt;&gt;0),F18-G18," ")</f>
        <v>96</v>
      </c>
      <c r="I18" s="5"/>
      <c r="L18" s="7" t="n">
        <f aca="false">IF(F18&lt;&gt;0,F18-K18," ")</f>
        <v>96</v>
      </c>
      <c r="M18" s="8" t="n">
        <f aca="false">IF((F18-K18)&lt;&gt;0,M$1-A18," ")</f>
        <v>161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n">
        <f aca="false">IF((E18="t"),H18," ")</f>
        <v>96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45973</v>
      </c>
      <c r="B19" s="2" t="s">
        <v>97</v>
      </c>
      <c r="E19" s="5" t="s">
        <v>88</v>
      </c>
      <c r="F19" s="46" t="n">
        <v>18</v>
      </c>
      <c r="H19" s="6" t="n">
        <f aca="false">IF((F19&lt;&gt;0),F19-G19," ")</f>
        <v>18</v>
      </c>
      <c r="I19" s="5"/>
      <c r="L19" s="7" t="n">
        <f aca="false">IF(F19&lt;&gt;0,F19-K19," ")</f>
        <v>18</v>
      </c>
      <c r="M19" s="8" t="n">
        <f aca="false">IF((F19-K19)&lt;&gt;0,M$1-A19," ")</f>
        <v>159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46" t="n">
        <f aca="false">IF((E19="v"),H19," ")</f>
        <v>18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45975</v>
      </c>
      <c r="B20" s="2" t="s">
        <v>99</v>
      </c>
      <c r="E20" s="5" t="s">
        <v>91</v>
      </c>
      <c r="F20" s="46" t="n">
        <v>24</v>
      </c>
      <c r="H20" s="6" t="n">
        <f aca="false">IF((F20&lt;&gt;0),F20-G20," ")</f>
        <v>24</v>
      </c>
      <c r="I20" s="5"/>
      <c r="L20" s="7" t="n">
        <f aca="false">IF(F20&lt;&gt;0,F20-K20," ")</f>
        <v>24</v>
      </c>
      <c r="M20" s="8" t="n">
        <f aca="false">IF((F20-K20)&lt;&gt;0,M$1-A20," ")</f>
        <v>157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n">
        <f aca="false">IF((E20="h"),H20," ")</f>
        <v>24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45975</v>
      </c>
      <c r="B21" s="2" t="s">
        <v>100</v>
      </c>
      <c r="E21" s="5" t="s">
        <v>91</v>
      </c>
      <c r="F21" s="46" t="n">
        <v>12</v>
      </c>
      <c r="H21" s="6" t="n">
        <f aca="false">IF((F21&lt;&gt;0),F21-G21," ")</f>
        <v>12</v>
      </c>
      <c r="I21" s="5"/>
      <c r="L21" s="7" t="n">
        <f aca="false">IF(F21&lt;&gt;0,F21-K21," ")</f>
        <v>12</v>
      </c>
      <c r="M21" s="8" t="n">
        <f aca="false">IF((F21-K21)&lt;&gt;0,M$1-A21," ")</f>
        <v>157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n">
        <f aca="false">IF((E21="h"),H21," ")</f>
        <v>12</v>
      </c>
      <c r="AC21" s="46" t="str">
        <f aca="false">IF((E21="v"),H21," ")</f>
        <v> 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45976</v>
      </c>
      <c r="B22" s="2" t="s">
        <v>20</v>
      </c>
      <c r="E22" s="5" t="s">
        <v>88</v>
      </c>
      <c r="F22" s="46" t="n">
        <v>150</v>
      </c>
      <c r="H22" s="6" t="n">
        <f aca="false">IF((F22&lt;&gt;0),F22-G22," ")</f>
        <v>150</v>
      </c>
      <c r="I22" s="5"/>
      <c r="L22" s="7" t="n">
        <f aca="false">IF(F22&lt;&gt;0,F22-K22," ")</f>
        <v>150</v>
      </c>
      <c r="M22" s="8" t="n">
        <f aca="false">IF((F22-K22)&lt;&gt;0,M$1-A22," ")</f>
        <v>156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str">
        <f aca="false">IF((E22="h"),H22," ")</f>
        <v> </v>
      </c>
      <c r="AC22" s="46" t="n">
        <f aca="false">IF((E22="v"),H22," ")</f>
        <v>150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45976</v>
      </c>
      <c r="B23" s="2" t="s">
        <v>101</v>
      </c>
      <c r="E23" s="5" t="s">
        <v>75</v>
      </c>
      <c r="F23" s="46" t="n">
        <v>12</v>
      </c>
      <c r="H23" s="6" t="n">
        <f aca="false">IF((F23&lt;&gt;0),F23-G23," ")</f>
        <v>12</v>
      </c>
      <c r="I23" s="5"/>
      <c r="L23" s="7" t="n">
        <f aca="false">IF(F23&lt;&gt;0,F23-K23," ")</f>
        <v>12</v>
      </c>
      <c r="M23" s="8" t="n">
        <f aca="false">IF((F23-K23)&lt;&gt;0,M$1-A23," ")</f>
        <v>156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n">
        <f aca="false">IF((E23="g"),H23," ")</f>
        <v>12</v>
      </c>
      <c r="AB23" s="17" t="str">
        <f aca="false">IF((E23="h"),H23," ")</f>
        <v> 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45976</v>
      </c>
      <c r="B24" s="2" t="s">
        <v>141</v>
      </c>
      <c r="E24" s="5" t="s">
        <v>110</v>
      </c>
      <c r="F24" s="46" t="n">
        <v>960</v>
      </c>
      <c r="H24" s="6" t="n">
        <f aca="false">IF((F24&lt;&gt;0),F24-G24," ")</f>
        <v>960</v>
      </c>
      <c r="I24" s="5"/>
      <c r="L24" s="7" t="n">
        <f aca="false">IF(F24&lt;&gt;0,F24-K24," ")</f>
        <v>960</v>
      </c>
      <c r="M24" s="8" t="n">
        <f aca="false">IF((F24-K24)&lt;&gt;0,M$1-A24," ")</f>
        <v>156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n">
        <f aca="false">IF((E24="l"),H24," ")</f>
        <v>960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45977</v>
      </c>
      <c r="B25" s="2" t="s">
        <v>119</v>
      </c>
      <c r="E25" s="5" t="s">
        <v>75</v>
      </c>
      <c r="F25" s="46" t="n">
        <v>12</v>
      </c>
      <c r="H25" s="6" t="n">
        <f aca="false">IF((F25&lt;&gt;0),F25-G25," ")</f>
        <v>12</v>
      </c>
      <c r="I25" s="5"/>
      <c r="L25" s="7" t="n">
        <f aca="false">IF(F25&lt;&gt;0,F25-K25," ")</f>
        <v>12</v>
      </c>
      <c r="M25" s="8" t="n">
        <f aca="false">IF((F25-K25)&lt;&gt;0,M$1-A25," ")</f>
        <v>155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n">
        <f aca="false">IF((E25="g"),H25," ")</f>
        <v>12</v>
      </c>
      <c r="AB25" s="17" t="str">
        <f aca="false">IF((E25="h"),H25," ")</f>
        <v> 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45979</v>
      </c>
      <c r="B26" s="2" t="s">
        <v>128</v>
      </c>
      <c r="E26" s="5" t="s">
        <v>96</v>
      </c>
      <c r="F26" s="46" t="n">
        <v>240</v>
      </c>
      <c r="H26" s="6" t="n">
        <f aca="false">IF((F26&lt;&gt;0),F26-G26," ")</f>
        <v>240</v>
      </c>
      <c r="I26" s="5"/>
      <c r="L26" s="7" t="n">
        <f aca="false">IF(F26&lt;&gt;0,F26-K26," ")</f>
        <v>240</v>
      </c>
      <c r="M26" s="8" t="n">
        <f aca="false">IF((F26-K26)&lt;&gt;0,M$1-A26," ")</f>
        <v>153</v>
      </c>
      <c r="N26" s="5"/>
      <c r="O26" s="17" t="n">
        <f aca="false">IF((E26="s"),H26," ")</f>
        <v>240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45979</v>
      </c>
      <c r="B27" s="2" t="s">
        <v>102</v>
      </c>
      <c r="E27" s="5" t="s">
        <v>88</v>
      </c>
      <c r="F27" s="46" t="n">
        <v>96</v>
      </c>
      <c r="H27" s="6" t="n">
        <f aca="false">IF((F27&lt;&gt;0),F27-G27," ")</f>
        <v>96</v>
      </c>
      <c r="I27" s="5"/>
      <c r="L27" s="7" t="n">
        <f aca="false">IF(F27&lt;&gt;0,F27-K27," ")</f>
        <v>96</v>
      </c>
      <c r="M27" s="8" t="n">
        <f aca="false">IF((F27-K27)&lt;&gt;0,M$1-A27," ")</f>
        <v>153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46" t="n">
        <f aca="false">IF((E27="v"),H27," ")</f>
        <v>96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45981</v>
      </c>
      <c r="B28" s="2" t="s">
        <v>103</v>
      </c>
      <c r="E28" s="5" t="s">
        <v>75</v>
      </c>
      <c r="F28" s="46" t="n">
        <v>60</v>
      </c>
      <c r="H28" s="6" t="n">
        <f aca="false">IF((F28&lt;&gt;0),F28-G28," ")</f>
        <v>60</v>
      </c>
      <c r="I28" s="5"/>
      <c r="L28" s="7" t="n">
        <f aca="false">IF(F28&lt;&gt;0,F28-K28," ")</f>
        <v>60</v>
      </c>
      <c r="M28" s="8" t="n">
        <f aca="false">IF((F28-K28)&lt;&gt;0,M$1-A28," ")</f>
        <v>151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60</v>
      </c>
      <c r="AB28" s="17" t="str">
        <f aca="false">IF((E28="h"),H28," ")</f>
        <v> 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45982</v>
      </c>
      <c r="B29" s="2" t="s">
        <v>106</v>
      </c>
      <c r="E29" s="5" t="s">
        <v>91</v>
      </c>
      <c r="F29" s="46" t="n">
        <v>8</v>
      </c>
      <c r="H29" s="6" t="n">
        <f aca="false">IF((F29&lt;&gt;0),F29-G29," ")</f>
        <v>8</v>
      </c>
      <c r="I29" s="5"/>
      <c r="L29" s="7" t="n">
        <f aca="false">IF(F29&lt;&gt;0,F29-K29," ")</f>
        <v>8</v>
      </c>
      <c r="M29" s="8" t="n">
        <f aca="false">IF((F29-K29)&lt;&gt;0,M$1-A29," ")</f>
        <v>150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n">
        <f aca="false">IF((E29="h"),H29," ")</f>
        <v>8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45983</v>
      </c>
      <c r="B30" s="2" t="s">
        <v>107</v>
      </c>
      <c r="E30" s="5" t="s">
        <v>85</v>
      </c>
      <c r="F30" s="46" t="n">
        <v>18</v>
      </c>
      <c r="H30" s="6" t="n">
        <f aca="false">IF((F30&lt;&gt;0),F30-G30," ")</f>
        <v>18</v>
      </c>
      <c r="I30" s="5"/>
      <c r="L30" s="7" t="n">
        <f aca="false">IF(F30&lt;&gt;0,F30-K30," ")</f>
        <v>18</v>
      </c>
      <c r="M30" s="8" t="n">
        <f aca="false">IF((F30-K30)&lt;&gt;0,M$1-A30," ")</f>
        <v>149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n">
        <f aca="false">IF((E30="u"),H30," ")</f>
        <v>18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45983</v>
      </c>
      <c r="B31" s="2" t="s">
        <v>123</v>
      </c>
      <c r="E31" s="5" t="s">
        <v>88</v>
      </c>
      <c r="F31" s="46" t="n">
        <v>72</v>
      </c>
      <c r="H31" s="6" t="n">
        <f aca="false">IF((F31&lt;&gt;0),F31-G31," ")</f>
        <v>72</v>
      </c>
      <c r="I31" s="5"/>
      <c r="L31" s="7" t="n">
        <f aca="false">IF(F31&lt;&gt;0,F31-K31," ")</f>
        <v>72</v>
      </c>
      <c r="M31" s="8" t="n">
        <f aca="false">IF((F31-K31)&lt;&gt;0,M$1-A31," ")</f>
        <v>149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n">
        <f aca="false">IF((E31="v"),H31," ")</f>
        <v>72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45986</v>
      </c>
      <c r="B32" s="2" t="s">
        <v>129</v>
      </c>
      <c r="E32" s="5" t="s">
        <v>130</v>
      </c>
      <c r="F32" s="46" t="n">
        <v>300</v>
      </c>
      <c r="H32" s="6" t="n">
        <f aca="false">IF((F32&lt;&gt;0),F32-G32," ")</f>
        <v>300</v>
      </c>
      <c r="I32" s="5"/>
      <c r="L32" s="7" t="n">
        <f aca="false">IF(F32&lt;&gt;0,F32-K32," ")</f>
        <v>300</v>
      </c>
      <c r="M32" s="8" t="n">
        <f aca="false">IF((F32-K32)&lt;&gt;0,M$1-A32," ")</f>
        <v>146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n">
        <f aca="false">IF((E32="p"),H32," ")</f>
        <v>300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45986</v>
      </c>
      <c r="B33" s="2" t="s">
        <v>108</v>
      </c>
      <c r="E33" s="5" t="s">
        <v>85</v>
      </c>
      <c r="F33" s="46" t="n">
        <v>15</v>
      </c>
      <c r="H33" s="6" t="n">
        <f aca="false">IF((F33&lt;&gt;0),F33-G33," ")</f>
        <v>15</v>
      </c>
      <c r="I33" s="5"/>
      <c r="L33" s="7" t="n">
        <f aca="false">IF(F33&lt;&gt;0,F33-K33," ")</f>
        <v>15</v>
      </c>
      <c r="M33" s="8" t="n">
        <f aca="false">IF((F33-K33)&lt;&gt;0,M$1-A33," ")</f>
        <v>146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n">
        <f aca="false">IF((E33="u"),H33," ")</f>
        <v>15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str">
        <f aca="false">IF((E33="v"),H33," ")</f>
        <v> 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45986</v>
      </c>
      <c r="B34" s="2" t="s">
        <v>109</v>
      </c>
      <c r="E34" s="5" t="s">
        <v>88</v>
      </c>
      <c r="F34" s="46" t="n">
        <v>72</v>
      </c>
      <c r="H34" s="6" t="n">
        <f aca="false">IF((F34&lt;&gt;0),F34-G34," ")</f>
        <v>72</v>
      </c>
      <c r="I34" s="5"/>
      <c r="L34" s="7" t="n">
        <f aca="false">IF(F34&lt;&gt;0,F34-K34," ")</f>
        <v>72</v>
      </c>
      <c r="M34" s="8" t="n">
        <f aca="false">IF((F34-K34)&lt;&gt;0,M$1-A34," ")</f>
        <v>146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n">
        <f aca="false">IF((E34="v"),H34," ")</f>
        <v>72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45989</v>
      </c>
      <c r="B35" s="2" t="s">
        <v>20</v>
      </c>
      <c r="E35" s="5" t="s">
        <v>88</v>
      </c>
      <c r="F35" s="46" t="n">
        <v>120</v>
      </c>
      <c r="H35" s="6" t="n">
        <f aca="false">IF((F35&lt;&gt;0),F35-G35," ")</f>
        <v>120</v>
      </c>
      <c r="I35" s="5"/>
      <c r="L35" s="7" t="n">
        <f aca="false">IF(F35&lt;&gt;0,F35-K35," ")</f>
        <v>120</v>
      </c>
      <c r="M35" s="8" t="n">
        <f aca="false">IF((F35-K35)&lt;&gt;0,M$1-A35," ")</f>
        <v>143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n">
        <f aca="false">IF((E35="v"),H35," ")</f>
        <v>120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45991</v>
      </c>
      <c r="B36" s="2" t="s">
        <v>16</v>
      </c>
      <c r="E36" s="5" t="s">
        <v>110</v>
      </c>
      <c r="F36" s="46" t="n">
        <v>300</v>
      </c>
      <c r="H36" s="6" t="n">
        <f aca="false">IF((F36&lt;&gt;0),F36-G36," ")</f>
        <v>300</v>
      </c>
      <c r="I36" s="5"/>
      <c r="L36" s="7" t="n">
        <f aca="false">IF(F36&lt;&gt;0,F36-K36," ")</f>
        <v>300</v>
      </c>
      <c r="M36" s="8" t="n">
        <f aca="false">IF((F36-K36)&lt;&gt;0,M$1-A36," ")</f>
        <v>141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str">
        <f aca="false">IF((E36="v"),H36," ")</f>
        <v> </v>
      </c>
      <c r="AD36" s="46" t="str">
        <f aca="false">IF((E36="n"),H36," ")</f>
        <v> </v>
      </c>
      <c r="AE36" s="17" t="str">
        <f aca="false">IF((E36="f"),H36," ")</f>
        <v> </v>
      </c>
      <c r="AF36" s="17" t="n">
        <f aca="false">IF((E36="l"),H36," ")</f>
        <v>300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45991</v>
      </c>
      <c r="B37" s="2" t="s">
        <v>131</v>
      </c>
      <c r="E37" s="5" t="s">
        <v>110</v>
      </c>
      <c r="F37" s="46" t="n">
        <v>208</v>
      </c>
      <c r="H37" s="6" t="n">
        <f aca="false">IF((F37&lt;&gt;0),F37-G37," ")</f>
        <v>208</v>
      </c>
      <c r="I37" s="5"/>
      <c r="L37" s="7" t="n">
        <f aca="false">IF(F37&lt;&gt;0,F37-K37," ")</f>
        <v>208</v>
      </c>
      <c r="M37" s="8" t="n">
        <f aca="false">IF((F37-K37)&lt;&gt;0,M$1-A37," ")</f>
        <v>141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n">
        <f aca="false">IF((E37="l"),H37," ")</f>
        <v>208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46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82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43005.75</v>
      </c>
      <c r="G1" s="12" t="n">
        <f aca="false">SUM(G5:G300)</f>
        <v>0</v>
      </c>
      <c r="H1" s="12" t="n">
        <f aca="false">SUM(H5:H300)</f>
        <v>43005.75</v>
      </c>
      <c r="I1" s="13"/>
      <c r="J1" s="14" t="s">
        <v>2</v>
      </c>
      <c r="K1" s="15" t="n">
        <f aca="false">SUM(K5:K300)</f>
        <v>0</v>
      </c>
      <c r="L1" s="15" t="n">
        <f aca="false">SUM(L5:L300)</f>
        <v>43005.75</v>
      </c>
      <c r="M1" s="16" t="n">
        <f aca="true">TODAY()</f>
        <v>46132</v>
      </c>
      <c r="N1" s="13"/>
      <c r="O1" s="12" t="n">
        <f aca="false">SUM(O5:O300)</f>
        <v>480</v>
      </c>
      <c r="P1" s="12" t="n">
        <f aca="false">SUM(P5:P300)</f>
        <v>0</v>
      </c>
      <c r="Q1" s="12" t="n">
        <f aca="false">SUM(Q5:Q300)</f>
        <v>285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96</v>
      </c>
      <c r="Y1" s="12" t="n">
        <f aca="false">SUM(Y5:Y300)</f>
        <v>151</v>
      </c>
      <c r="Z1" s="12" t="n">
        <f aca="false">SUM(Z5:Z300)</f>
        <v>3000</v>
      </c>
      <c r="AA1" s="12" t="n">
        <f aca="false">SUM(AA5:AA300)</f>
        <v>135</v>
      </c>
      <c r="AB1" s="12" t="n">
        <f aca="false">SUM(AB5:AB300)</f>
        <v>212</v>
      </c>
      <c r="AC1" s="12" t="n">
        <f aca="false">SUM(AC5:AC300)</f>
        <v>606.75</v>
      </c>
      <c r="AD1" s="12" t="n">
        <f aca="false">SUM(AD5:AD300)</f>
        <v>360</v>
      </c>
      <c r="AE1" s="12" t="n">
        <f aca="false">SUM(AE5:AE300)</f>
        <v>180</v>
      </c>
      <c r="AF1" s="12" t="n">
        <f aca="false">SUM(AF5:AF300)</f>
        <v>300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36000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IF([2]Dec!$G$4&gt;0,0,[2]Dec!$G$2)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45992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140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45992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140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45992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140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45992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140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45992</v>
      </c>
      <c r="B9" s="2" t="s">
        <v>142</v>
      </c>
      <c r="E9" s="5" t="s">
        <v>80</v>
      </c>
      <c r="F9" s="46" t="n">
        <v>360</v>
      </c>
      <c r="H9" s="6" t="n">
        <f aca="false">IF((F9&lt;&gt;0),F9-G9," ")</f>
        <v>360</v>
      </c>
      <c r="I9" s="5"/>
      <c r="L9" s="7" t="n">
        <f aca="false">IF(F9&lt;&gt;0,F9-K9," ")</f>
        <v>360</v>
      </c>
      <c r="M9" s="8" t="n">
        <f aca="false">IF((F9-K9)&lt;&gt;0,M$1-A9," ")</f>
        <v>140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str">
        <f aca="false">IF((E9="o"),H9," ")</f>
        <v> 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n">
        <f aca="false">IF((E9="n"),H9," ")</f>
        <v>360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45992</v>
      </c>
      <c r="B10" s="2" t="s">
        <v>81</v>
      </c>
      <c r="E10" s="5" t="s">
        <v>78</v>
      </c>
      <c r="F10" s="46" t="n">
        <v>24</v>
      </c>
      <c r="H10" s="6" t="n">
        <f aca="false">IF((F10&lt;&gt;0),F10-G10," ")</f>
        <v>24</v>
      </c>
      <c r="I10" s="5"/>
      <c r="L10" s="7" t="n">
        <f aca="false">IF(F10&lt;&gt;0,F10-K10," ")</f>
        <v>24</v>
      </c>
      <c r="M10" s="8" t="n">
        <f aca="false">IF((F10-K10)&lt;&gt;0,M$1-A10," ")</f>
        <v>140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n">
        <f aca="false">IF((E10="o"),H10," ")</f>
        <v>24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str">
        <f aca="false">IF((E10="g"),H10," ")</f>
        <v> 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45992</v>
      </c>
      <c r="B11" s="2" t="s">
        <v>82</v>
      </c>
      <c r="E11" s="5" t="s">
        <v>75</v>
      </c>
      <c r="F11" s="46" t="n">
        <v>18</v>
      </c>
      <c r="H11" s="6" t="n">
        <f aca="false">IF((F11&lt;&gt;0),F11-G11," ")</f>
        <v>18</v>
      </c>
      <c r="I11" s="5"/>
      <c r="L11" s="7" t="n">
        <f aca="false">IF(F11&lt;&gt;0,F11-K11," ")</f>
        <v>18</v>
      </c>
      <c r="M11" s="8" t="n">
        <f aca="false">IF((F11-K11)&lt;&gt;0,M$1-A11," ")</f>
        <v>140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str">
        <f aca="false">IF((E11="o"),H11," ")</f>
        <v> 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n">
        <f aca="false">IF((E11="g"),H11," ")</f>
        <v>18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45994</v>
      </c>
      <c r="B12" s="2" t="s">
        <v>83</v>
      </c>
      <c r="E12" s="5" t="s">
        <v>78</v>
      </c>
      <c r="F12" s="46" t="n">
        <v>180</v>
      </c>
      <c r="H12" s="6" t="n">
        <f aca="false">IF((F12&lt;&gt;0),F12-G12," ")</f>
        <v>180</v>
      </c>
      <c r="I12" s="5"/>
      <c r="L12" s="7" t="n">
        <f aca="false">IF(F12&lt;&gt;0,F12-K12," ")</f>
        <v>180</v>
      </c>
      <c r="M12" s="8" t="n">
        <f aca="false">IF((F12-K12)&lt;&gt;0,M$1-A12," ")</f>
        <v>138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n">
        <f aca="false">IF((E12="o"),H12," ")</f>
        <v>180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str">
        <f aca="false">IF((E12="u"),H12," ")</f>
        <v> 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45994</v>
      </c>
      <c r="B13" s="2" t="s">
        <v>84</v>
      </c>
      <c r="E13" s="5" t="s">
        <v>85</v>
      </c>
      <c r="F13" s="46" t="n">
        <v>22</v>
      </c>
      <c r="H13" s="6" t="n">
        <f aca="false">IF((F13&lt;&gt;0),F13-G13," ")</f>
        <v>22</v>
      </c>
      <c r="I13" s="5"/>
      <c r="L13" s="7" t="n">
        <f aca="false">IF(F13&lt;&gt;0,F13-K13," ")</f>
        <v>22</v>
      </c>
      <c r="M13" s="8" t="n">
        <f aca="false">IF((F13-K13)&lt;&gt;0,M$1-A13," ")</f>
        <v>138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22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45996</v>
      </c>
      <c r="B14" s="2" t="s">
        <v>86</v>
      </c>
      <c r="E14" s="5" t="s">
        <v>85</v>
      </c>
      <c r="F14" s="46" t="n">
        <v>24</v>
      </c>
      <c r="H14" s="6" t="n">
        <f aca="false">IF((F14&lt;&gt;0),F14-G14," ")</f>
        <v>24</v>
      </c>
      <c r="I14" s="5"/>
      <c r="L14" s="7" t="n">
        <f aca="false">IF(F14&lt;&gt;0,F14-K14," ")</f>
        <v>24</v>
      </c>
      <c r="M14" s="8" t="n">
        <f aca="false">IF((F14-K14)&lt;&gt;0,M$1-A14," ")</f>
        <v>136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n">
        <f aca="false">IF((E14="u"),H14," ")</f>
        <v>24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str">
        <f aca="false">IF((E14="v"),H14," ")</f>
        <v> 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45996</v>
      </c>
      <c r="B15" s="2" t="s">
        <v>87</v>
      </c>
      <c r="E15" s="5" t="s">
        <v>88</v>
      </c>
      <c r="F15" s="46" t="n">
        <v>180</v>
      </c>
      <c r="H15" s="6" t="n">
        <f aca="false">IF((F15&lt;&gt;0),F15-G15," ")</f>
        <v>180</v>
      </c>
      <c r="I15" s="5"/>
      <c r="L15" s="7" t="n">
        <f aca="false">IF(F15&lt;&gt;0,F15-K15," ")</f>
        <v>180</v>
      </c>
      <c r="M15" s="8" t="n">
        <f aca="false">IF((F15-K15)&lt;&gt;0,M$1-A15," ")</f>
        <v>136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46" t="n">
        <f aca="false">IF((E15="v"),H15," ")</f>
        <v>180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45996</v>
      </c>
      <c r="B16" s="2" t="s">
        <v>89</v>
      </c>
      <c r="E16" s="5" t="s">
        <v>78</v>
      </c>
      <c r="F16" s="46" t="n">
        <v>36</v>
      </c>
      <c r="H16" s="6" t="n">
        <f aca="false">IF((F16&lt;&gt;0),F16-G16," ")</f>
        <v>36</v>
      </c>
      <c r="I16" s="5"/>
      <c r="L16" s="7" t="n">
        <f aca="false">IF(F16&lt;&gt;0,F16-K16," ")</f>
        <v>36</v>
      </c>
      <c r="M16" s="8" t="n">
        <f aca="false">IF((F16-K16)&lt;&gt;0,M$1-A16," ")</f>
        <v>136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n">
        <f aca="false">IF((E16="o"),H16," ")</f>
        <v>36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45999</v>
      </c>
      <c r="B17" s="2" t="s">
        <v>90</v>
      </c>
      <c r="E17" s="5" t="s">
        <v>91</v>
      </c>
      <c r="F17" s="46" t="n">
        <v>48</v>
      </c>
      <c r="H17" s="6" t="n">
        <f aca="false">IF((F17&lt;&gt;0),F17-G17," ")</f>
        <v>48</v>
      </c>
      <c r="I17" s="5"/>
      <c r="L17" s="7" t="n">
        <f aca="false">IF(F17&lt;&gt;0,F17-K17," ")</f>
        <v>48</v>
      </c>
      <c r="M17" s="8" t="n">
        <f aca="false">IF((F17-K17)&lt;&gt;0,M$1-A17," ")</f>
        <v>133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48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46001</v>
      </c>
      <c r="B18" s="2" t="s">
        <v>92</v>
      </c>
      <c r="E18" s="5" t="s">
        <v>85</v>
      </c>
      <c r="F18" s="46" t="n">
        <v>36</v>
      </c>
      <c r="H18" s="6" t="n">
        <f aca="false">IF((F18&lt;&gt;0),F18-G18," ")</f>
        <v>36</v>
      </c>
      <c r="I18" s="5"/>
      <c r="L18" s="7" t="n">
        <f aca="false">IF(F18&lt;&gt;0,F18-K18," ")</f>
        <v>36</v>
      </c>
      <c r="M18" s="8" t="n">
        <f aca="false">IF((F18-K18)&lt;&gt;0,M$1-A18," ")</f>
        <v>131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36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46001</v>
      </c>
      <c r="B19" s="2" t="s">
        <v>93</v>
      </c>
      <c r="E19" s="5" t="s">
        <v>94</v>
      </c>
      <c r="F19" s="46" t="n">
        <v>180</v>
      </c>
      <c r="H19" s="6" t="n">
        <f aca="false">IF((F19&lt;&gt;0),F19-G19," ")</f>
        <v>180</v>
      </c>
      <c r="I19" s="5"/>
      <c r="L19" s="7" t="n">
        <f aca="false">IF(F19&lt;&gt;0,F19-K19," ")</f>
        <v>180</v>
      </c>
      <c r="M19" s="8" t="n">
        <f aca="false">IF((F19-K19)&lt;&gt;0,M$1-A19," ")</f>
        <v>131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46" t="str">
        <f aca="false">IF((E19="v"),H19," ")</f>
        <v> </v>
      </c>
      <c r="AD19" s="46" t="str">
        <f aca="false">IF((E19="n"),H19," ")</f>
        <v> </v>
      </c>
      <c r="AE19" s="17" t="n">
        <f aca="false">IF((E19="f"),H19," ")</f>
        <v>180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46001</v>
      </c>
      <c r="B20" s="2" t="s">
        <v>95</v>
      </c>
      <c r="E20" s="5" t="s">
        <v>96</v>
      </c>
      <c r="F20" s="46" t="n">
        <v>480</v>
      </c>
      <c r="H20" s="6" t="n">
        <f aca="false">IF((F20&lt;&gt;0),F20-G20," ")</f>
        <v>480</v>
      </c>
      <c r="I20" s="5"/>
      <c r="L20" s="7" t="n">
        <f aca="false">IF(F20&lt;&gt;0,F20-K20," ")</f>
        <v>480</v>
      </c>
      <c r="M20" s="8" t="n">
        <f aca="false">IF((F20-K20)&lt;&gt;0,M$1-A20," ")</f>
        <v>131</v>
      </c>
      <c r="N20" s="5"/>
      <c r="O20" s="17" t="n">
        <f aca="false">IF((E20="s"),H20," ")</f>
        <v>480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46001</v>
      </c>
      <c r="B21" s="2" t="s">
        <v>114</v>
      </c>
      <c r="E21" s="5" t="s">
        <v>115</v>
      </c>
      <c r="F21" s="46" t="n">
        <v>1800</v>
      </c>
      <c r="H21" s="6" t="n">
        <f aca="false">IF((F21&lt;&gt;0),F21-G21," ")</f>
        <v>1800</v>
      </c>
      <c r="I21" s="5"/>
      <c r="L21" s="7" t="n">
        <f aca="false">IF(F21&lt;&gt;0,F21-K21," ")</f>
        <v>1800</v>
      </c>
      <c r="M21" s="8" t="n">
        <f aca="false">IF((F21-K21)&lt;&gt;0,M$1-A21," ")</f>
        <v>131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n">
        <f aca="false">IF((E21="a"),H21," ")</f>
        <v>1800</v>
      </c>
      <c r="AA21" s="17" t="str">
        <f aca="false">IF((E21="g"),H21," ")</f>
        <v> </v>
      </c>
      <c r="AB21" s="17" t="str">
        <f aca="false">IF((E21="h"),H21," ")</f>
        <v> </v>
      </c>
      <c r="AC21" s="46" t="str">
        <f aca="false">IF((E21="v"),H21," ")</f>
        <v> 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46003</v>
      </c>
      <c r="B22" s="2" t="s">
        <v>97</v>
      </c>
      <c r="E22" s="5" t="s">
        <v>88</v>
      </c>
      <c r="F22" s="46" t="n">
        <v>18</v>
      </c>
      <c r="H22" s="6" t="n">
        <f aca="false">IF((F22&lt;&gt;0),F22-G22," ")</f>
        <v>18</v>
      </c>
      <c r="I22" s="5"/>
      <c r="L22" s="7" t="n">
        <f aca="false">IF(F22&lt;&gt;0,F22-K22," ")</f>
        <v>18</v>
      </c>
      <c r="M22" s="8" t="n">
        <f aca="false">IF((F22-K22)&lt;&gt;0,M$1-A22," ")</f>
        <v>129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str">
        <f aca="false">IF((E22="h"),H22," ")</f>
        <v> </v>
      </c>
      <c r="AC22" s="46" t="n">
        <f aca="false">IF((E22="v"),H22," ")</f>
        <v>18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46005</v>
      </c>
      <c r="B23" s="2" t="s">
        <v>98</v>
      </c>
      <c r="E23" s="5" t="s">
        <v>85</v>
      </c>
      <c r="F23" s="46" t="n">
        <v>36</v>
      </c>
      <c r="H23" s="6" t="n">
        <f aca="false">IF((F23&lt;&gt;0),F23-G23," ")</f>
        <v>36</v>
      </c>
      <c r="I23" s="5"/>
      <c r="L23" s="7" t="n">
        <f aca="false">IF(F23&lt;&gt;0,F23-K23," ")</f>
        <v>36</v>
      </c>
      <c r="M23" s="8" t="n">
        <f aca="false">IF((F23-K23)&lt;&gt;0,M$1-A23," ")</f>
        <v>127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n">
        <f aca="false">IF((E23="u"),H23," ")</f>
        <v>36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46005</v>
      </c>
      <c r="B24" s="2" t="s">
        <v>99</v>
      </c>
      <c r="E24" s="5" t="s">
        <v>91</v>
      </c>
      <c r="F24" s="46" t="n">
        <v>24</v>
      </c>
      <c r="H24" s="6" t="n">
        <f aca="false">IF((F24&lt;&gt;0),F24-G24," ")</f>
        <v>24</v>
      </c>
      <c r="I24" s="5"/>
      <c r="L24" s="7" t="n">
        <f aca="false">IF(F24&lt;&gt;0,F24-K24," ")</f>
        <v>24</v>
      </c>
      <c r="M24" s="8" t="n">
        <f aca="false">IF((F24-K24)&lt;&gt;0,M$1-A24," ")</f>
        <v>127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n">
        <f aca="false">IF((E24="h"),H24," ")</f>
        <v>24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46005</v>
      </c>
      <c r="B25" s="2" t="s">
        <v>100</v>
      </c>
      <c r="E25" s="5" t="s">
        <v>91</v>
      </c>
      <c r="F25" s="46" t="n">
        <v>12</v>
      </c>
      <c r="H25" s="6" t="n">
        <f aca="false">IF((F25&lt;&gt;0),F25-G25," ")</f>
        <v>12</v>
      </c>
      <c r="I25" s="5"/>
      <c r="L25" s="7" t="n">
        <f aca="false">IF(F25&lt;&gt;0,F25-K25," ")</f>
        <v>12</v>
      </c>
      <c r="M25" s="8" t="n">
        <f aca="false">IF((F25-K25)&lt;&gt;0,M$1-A25," ")</f>
        <v>127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n">
        <f aca="false">IF((E25="h"),H25," ")</f>
        <v>12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46006</v>
      </c>
      <c r="B26" s="2" t="s">
        <v>20</v>
      </c>
      <c r="E26" s="5" t="s">
        <v>88</v>
      </c>
      <c r="F26" s="46" t="n">
        <v>150</v>
      </c>
      <c r="H26" s="6" t="n">
        <f aca="false">IF((F26&lt;&gt;0),F26-G26," ")</f>
        <v>150</v>
      </c>
      <c r="I26" s="5"/>
      <c r="L26" s="7" t="n">
        <f aca="false">IF(F26&lt;&gt;0,F26-K26," ")</f>
        <v>150</v>
      </c>
      <c r="M26" s="8" t="n">
        <f aca="false">IF((F26-K26)&lt;&gt;0,M$1-A26," ")</f>
        <v>126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46" t="n">
        <f aca="false">IF((E26="v"),H26," ")</f>
        <v>150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46006</v>
      </c>
      <c r="B27" s="2" t="s">
        <v>101</v>
      </c>
      <c r="E27" s="5" t="s">
        <v>75</v>
      </c>
      <c r="F27" s="46" t="n">
        <v>12</v>
      </c>
      <c r="H27" s="6" t="n">
        <f aca="false">IF((F27&lt;&gt;0),F27-G27," ")</f>
        <v>12</v>
      </c>
      <c r="I27" s="5"/>
      <c r="L27" s="7" t="n">
        <f aca="false">IF(F27&lt;&gt;0,F27-K27," ")</f>
        <v>12</v>
      </c>
      <c r="M27" s="8" t="n">
        <f aca="false">IF((F27-K27)&lt;&gt;0,M$1-A27," ")</f>
        <v>126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n">
        <f aca="false">IF((E27="g"),H27," ")</f>
        <v>12</v>
      </c>
      <c r="AB27" s="17" t="str">
        <f aca="false">IF((E27="h"),H27," ")</f>
        <v> </v>
      </c>
      <c r="AC27" s="46" t="str">
        <f aca="false">IF((E27="v"),H27," ")</f>
        <v> 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46006</v>
      </c>
      <c r="B28" s="2" t="s">
        <v>143</v>
      </c>
      <c r="E28" s="5" t="s">
        <v>115</v>
      </c>
      <c r="F28" s="46" t="n">
        <v>1200</v>
      </c>
      <c r="H28" s="6" t="n">
        <f aca="false">IF((F28&lt;&gt;0),F28-G28," ")</f>
        <v>1200</v>
      </c>
      <c r="I28" s="5"/>
      <c r="L28" s="7" t="n">
        <f aca="false">IF(F28&lt;&gt;0,F28-K28," ")</f>
        <v>1200</v>
      </c>
      <c r="M28" s="8" t="n">
        <f aca="false">IF((F28-K28)&lt;&gt;0,M$1-A28," ")</f>
        <v>126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n">
        <f aca="false">IF((E28="a"),H28," ")</f>
        <v>1200</v>
      </c>
      <c r="AA28" s="17" t="str">
        <f aca="false">IF((E28="g"),H28," ")</f>
        <v> </v>
      </c>
      <c r="AB28" s="17" t="str">
        <f aca="false">IF((E28="h"),H28," ")</f>
        <v> 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46009</v>
      </c>
      <c r="B29" s="2" t="s">
        <v>127</v>
      </c>
      <c r="E29" s="5" t="s">
        <v>91</v>
      </c>
      <c r="F29" s="46" t="n">
        <v>120</v>
      </c>
      <c r="H29" s="6" t="n">
        <f aca="false">IF((F29&lt;&gt;0),F29-G29," ")</f>
        <v>120</v>
      </c>
      <c r="I29" s="5"/>
      <c r="L29" s="7" t="n">
        <f aca="false">IF(F29&lt;&gt;0,F29-K29," ")</f>
        <v>120</v>
      </c>
      <c r="M29" s="8" t="n">
        <f aca="false">IF((F29-K29)&lt;&gt;0,M$1-A29," ")</f>
        <v>123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n">
        <f aca="false">IF((E29="h"),H29," ")</f>
        <v>120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46009</v>
      </c>
      <c r="B30" s="2" t="s">
        <v>102</v>
      </c>
      <c r="E30" s="5" t="s">
        <v>88</v>
      </c>
      <c r="F30" s="46" t="n">
        <v>96</v>
      </c>
      <c r="H30" s="6" t="n">
        <f aca="false">IF((F30&lt;&gt;0),F30-G30," ")</f>
        <v>96</v>
      </c>
      <c r="I30" s="5"/>
      <c r="L30" s="7" t="n">
        <f aca="false">IF(F30&lt;&gt;0,F30-K30," ")</f>
        <v>96</v>
      </c>
      <c r="M30" s="8" t="n">
        <f aca="false">IF((F30-K30)&lt;&gt;0,M$1-A30," ")</f>
        <v>123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46" t="n">
        <f aca="false">IF((E30="v"),H30," ")</f>
        <v>96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46011</v>
      </c>
      <c r="B31" s="2" t="s">
        <v>103</v>
      </c>
      <c r="E31" s="5" t="s">
        <v>75</v>
      </c>
      <c r="F31" s="46" t="n">
        <v>60</v>
      </c>
      <c r="H31" s="6" t="n">
        <f aca="false">IF((F31&lt;&gt;0),F31-G31," ")</f>
        <v>60</v>
      </c>
      <c r="I31" s="5"/>
      <c r="L31" s="7" t="n">
        <f aca="false">IF(F31&lt;&gt;0,F31-K31," ")</f>
        <v>60</v>
      </c>
      <c r="M31" s="8" t="n">
        <f aca="false">IF((F31-K31)&lt;&gt;0,M$1-A31," ")</f>
        <v>121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n">
        <f aca="false">IF((E31="g"),H31," ")</f>
        <v>60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46011</v>
      </c>
      <c r="B32" s="2" t="s">
        <v>104</v>
      </c>
      <c r="E32" s="5" t="s">
        <v>105</v>
      </c>
      <c r="F32" s="46" t="n">
        <v>96</v>
      </c>
      <c r="H32" s="6" t="n">
        <f aca="false">IF((F32&lt;&gt;0),F32-G32," ")</f>
        <v>96</v>
      </c>
      <c r="I32" s="5"/>
      <c r="L32" s="7" t="n">
        <f aca="false">IF(F32&lt;&gt;0,F32-K32," ")</f>
        <v>96</v>
      </c>
      <c r="M32" s="8" t="n">
        <f aca="false">IF((F32-K32)&lt;&gt;0,M$1-A32," ")</f>
        <v>121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n">
        <f aca="false">IF((E32="m"),H32," ")</f>
        <v>96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46012</v>
      </c>
      <c r="B33" s="2" t="s">
        <v>106</v>
      </c>
      <c r="E33" s="5" t="s">
        <v>91</v>
      </c>
      <c r="F33" s="46" t="n">
        <v>8</v>
      </c>
      <c r="H33" s="6" t="n">
        <f aca="false">IF((F33&lt;&gt;0),F33-G33," ")</f>
        <v>8</v>
      </c>
      <c r="I33" s="5"/>
      <c r="L33" s="7" t="n">
        <f aca="false">IF(F33&lt;&gt;0,F33-K33," ")</f>
        <v>8</v>
      </c>
      <c r="M33" s="8" t="n">
        <f aca="false">IF((F33-K33)&lt;&gt;0,M$1-A33," ")</f>
        <v>120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n">
        <f aca="false">IF((E33="h"),H33," ")</f>
        <v>8</v>
      </c>
      <c r="AC33" s="46" t="str">
        <f aca="false">IF((E33="v"),H33," ")</f>
        <v> 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46013</v>
      </c>
      <c r="B34" s="2" t="s">
        <v>107</v>
      </c>
      <c r="E34" s="5" t="s">
        <v>85</v>
      </c>
      <c r="F34" s="46" t="n">
        <v>18</v>
      </c>
      <c r="H34" s="6" t="n">
        <f aca="false">IF((F34&lt;&gt;0),F34-G34," ")</f>
        <v>18</v>
      </c>
      <c r="I34" s="5"/>
      <c r="L34" s="7" t="n">
        <f aca="false">IF(F34&lt;&gt;0,F34-K34," ")</f>
        <v>18</v>
      </c>
      <c r="M34" s="8" t="n">
        <f aca="false">IF((F34-K34)&lt;&gt;0,M$1-A34," ")</f>
        <v>119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n">
        <f aca="false">IF((E34="u"),H34," ")</f>
        <v>18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str">
        <f aca="false">IF((E34="v"),H34," ")</f>
        <v> 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46016</v>
      </c>
      <c r="B35" s="2" t="s">
        <v>108</v>
      </c>
      <c r="E35" s="5" t="s">
        <v>85</v>
      </c>
      <c r="F35" s="46" t="n">
        <v>15</v>
      </c>
      <c r="H35" s="6" t="n">
        <f aca="false">IF((F35&lt;&gt;0),F35-G35," ")</f>
        <v>15</v>
      </c>
      <c r="I35" s="5"/>
      <c r="L35" s="7" t="n">
        <f aca="false">IF(F35&lt;&gt;0,F35-K35," ")</f>
        <v>15</v>
      </c>
      <c r="M35" s="8" t="n">
        <f aca="false">IF((F35-K35)&lt;&gt;0,M$1-A35," ")</f>
        <v>116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n">
        <f aca="false">IF((E35="u"),H35," ")</f>
        <v>15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str">
        <f aca="false">IF((E35="v"),H35," ")</f>
        <v> 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46016</v>
      </c>
      <c r="B36" s="2" t="s">
        <v>109</v>
      </c>
      <c r="E36" s="5" t="s">
        <v>88</v>
      </c>
      <c r="F36" s="46" t="n">
        <v>42.75</v>
      </c>
      <c r="H36" s="6" t="n">
        <f aca="false">IF((F36&lt;&gt;0),F36-G36," ")</f>
        <v>42.75</v>
      </c>
      <c r="I36" s="5"/>
      <c r="L36" s="7" t="n">
        <f aca="false">IF(F36&lt;&gt;0,F36-K36," ")</f>
        <v>42.75</v>
      </c>
      <c r="M36" s="8" t="n">
        <f aca="false">IF((F36-K36)&lt;&gt;0,M$1-A36," ")</f>
        <v>116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n">
        <f aca="false">IF((E36="v"),H36," ")</f>
        <v>42.75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46016</v>
      </c>
      <c r="B37" s="2" t="s">
        <v>144</v>
      </c>
      <c r="E37" s="5" t="s">
        <v>118</v>
      </c>
      <c r="F37" s="46" t="n">
        <v>36000</v>
      </c>
      <c r="H37" s="6" t="n">
        <f aca="false">IF((F37&lt;&gt;0),F37-G37," ")</f>
        <v>36000</v>
      </c>
      <c r="I37" s="5"/>
      <c r="L37" s="7" t="n">
        <f aca="false">IF(F37&lt;&gt;0,F37-K37," ")</f>
        <v>36000</v>
      </c>
      <c r="M37" s="8" t="n">
        <f aca="false">IF((F37-K37)&lt;&gt;0,M$1-A37," ")</f>
        <v>116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n">
        <f aca="false">IF((E37="fa"),H37," ")</f>
        <v>36000</v>
      </c>
    </row>
    <row r="38" customFormat="false" ht="12" hidden="false" customHeight="false" outlineLevel="0" collapsed="false">
      <c r="A38" s="28" t="n">
        <v>46019</v>
      </c>
      <c r="B38" s="2" t="s">
        <v>20</v>
      </c>
      <c r="E38" s="5" t="s">
        <v>88</v>
      </c>
      <c r="F38" s="46" t="n">
        <v>120</v>
      </c>
      <c r="H38" s="6" t="n">
        <f aca="false">IF((F38&lt;&gt;0),F38-G38," ")</f>
        <v>120</v>
      </c>
      <c r="I38" s="5"/>
      <c r="L38" s="7" t="n">
        <f aca="false">IF(F38&lt;&gt;0,F38-K38," ")</f>
        <v>120</v>
      </c>
      <c r="M38" s="8" t="n">
        <f aca="false">IF((F38-K38)&lt;&gt;0,M$1-A38," ")</f>
        <v>113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n">
        <f aca="false">IF((E38="v"),H38," ")</f>
        <v>120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 t="n">
        <v>46022</v>
      </c>
      <c r="B39" s="2" t="s">
        <v>16</v>
      </c>
      <c r="E39" s="5" t="s">
        <v>110</v>
      </c>
      <c r="F39" s="46" t="n">
        <v>300</v>
      </c>
      <c r="H39" s="6" t="n">
        <f aca="false">IF((F39&lt;&gt;0),F39-G39," ")</f>
        <v>300</v>
      </c>
      <c r="I39" s="5"/>
      <c r="L39" s="7" t="n">
        <f aca="false">IF(F39&lt;&gt;0,F39-K39," ")</f>
        <v>300</v>
      </c>
      <c r="M39" s="8" t="n">
        <f aca="false">IF((F39-K39)&lt;&gt;0,M$1-A39," ")</f>
        <v>110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n">
        <f aca="false">IF((E39="l"),H39," ")</f>
        <v>300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6918</v>
      </c>
      <c r="G1" s="12" t="n">
        <f aca="false">SUM(G5:G300)</f>
        <v>0</v>
      </c>
      <c r="H1" s="12" t="n">
        <f aca="false">SUM(H5:H300)</f>
        <v>6918</v>
      </c>
      <c r="I1" s="13"/>
      <c r="J1" s="14" t="s">
        <v>2</v>
      </c>
      <c r="K1" s="15" t="n">
        <f aca="false">SUM(K5:K300)</f>
        <v>0</v>
      </c>
      <c r="L1" s="15" t="n">
        <f aca="false">SUM(L5:L300)</f>
        <v>6918</v>
      </c>
      <c r="M1" s="16" t="n">
        <f aca="true">TODAY()</f>
        <v>46132</v>
      </c>
      <c r="N1" s="13"/>
      <c r="O1" s="12" t="n">
        <f aca="false">SUM(O5:O300)</f>
        <v>840</v>
      </c>
      <c r="P1" s="12" t="n">
        <f aca="false">SUM(P5:P300)</f>
        <v>3000</v>
      </c>
      <c r="Q1" s="12" t="n">
        <f aca="false">SUM(Q5:Q300)</f>
        <v>249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240</v>
      </c>
      <c r="W1" s="12" t="n">
        <f aca="false">SUM(W5:W300)</f>
        <v>0</v>
      </c>
      <c r="X1" s="12" t="n">
        <f aca="false">SUM(X5:X300)</f>
        <v>0</v>
      </c>
      <c r="Y1" s="12" t="n">
        <f aca="false">SUM(Y5:Y300)</f>
        <v>115</v>
      </c>
      <c r="Z1" s="12" t="n">
        <f aca="false">SUM(Z5:Z300)</f>
        <v>0</v>
      </c>
      <c r="AA1" s="12" t="n">
        <f aca="false">SUM(AA5:AA300)</f>
        <v>165</v>
      </c>
      <c r="AB1" s="12" t="n">
        <f aca="false">SUM(AB5:AB300)</f>
        <v>164</v>
      </c>
      <c r="AC1" s="12" t="n">
        <f aca="false">SUM(AC5:AC300)</f>
        <v>645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300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IF([2]Jan!$G$4&gt;0,0,[2]Jan!$G$2)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46023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109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46023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109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46023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109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46023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109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46023</v>
      </c>
      <c r="B9" s="2" t="s">
        <v>81</v>
      </c>
      <c r="E9" s="5" t="s">
        <v>78</v>
      </c>
      <c r="F9" s="46" t="n">
        <v>24</v>
      </c>
      <c r="H9" s="6" t="n">
        <f aca="false">IF((F9&lt;&gt;0),F9-G9," ")</f>
        <v>24</v>
      </c>
      <c r="I9" s="5"/>
      <c r="L9" s="7" t="n">
        <f aca="false">IF(F9&lt;&gt;0,F9-K9," ")</f>
        <v>24</v>
      </c>
      <c r="M9" s="8" t="n">
        <f aca="false">IF((F9-K9)&lt;&gt;0,M$1-A9," ")</f>
        <v>109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24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46023</v>
      </c>
      <c r="B10" s="2" t="s">
        <v>82</v>
      </c>
      <c r="E10" s="5" t="s">
        <v>75</v>
      </c>
      <c r="F10" s="46" t="n">
        <v>18</v>
      </c>
      <c r="H10" s="6" t="n">
        <f aca="false">IF((F10&lt;&gt;0),F10-G10," ")</f>
        <v>18</v>
      </c>
      <c r="I10" s="5"/>
      <c r="L10" s="7" t="n">
        <f aca="false">IF(F10&lt;&gt;0,F10-K10," ")</f>
        <v>18</v>
      </c>
      <c r="M10" s="8" t="n">
        <f aca="false">IF((F10-K10)&lt;&gt;0,M$1-A10," ")</f>
        <v>109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18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46025</v>
      </c>
      <c r="B11" s="2" t="s">
        <v>83</v>
      </c>
      <c r="E11" s="5" t="s">
        <v>78</v>
      </c>
      <c r="F11" s="46" t="n">
        <v>180</v>
      </c>
      <c r="H11" s="6" t="n">
        <f aca="false">IF((F11&lt;&gt;0),F11-G11," ")</f>
        <v>180</v>
      </c>
      <c r="I11" s="5"/>
      <c r="L11" s="7" t="n">
        <f aca="false">IF(F11&lt;&gt;0,F11-K11," ")</f>
        <v>180</v>
      </c>
      <c r="M11" s="8" t="n">
        <f aca="false">IF((F11-K11)&lt;&gt;0,M$1-A11," ")</f>
        <v>107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180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46025</v>
      </c>
      <c r="B12" s="2" t="s">
        <v>84</v>
      </c>
      <c r="E12" s="5" t="s">
        <v>85</v>
      </c>
      <c r="F12" s="46" t="n">
        <v>22</v>
      </c>
      <c r="H12" s="6" t="n">
        <f aca="false">IF((F12&lt;&gt;0),F12-G12," ")</f>
        <v>22</v>
      </c>
      <c r="I12" s="5"/>
      <c r="L12" s="7" t="n">
        <f aca="false">IF(F12&lt;&gt;0,F12-K12," ")</f>
        <v>22</v>
      </c>
      <c r="M12" s="8" t="n">
        <f aca="false">IF((F12-K12)&lt;&gt;0,M$1-A12," ")</f>
        <v>107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22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46027</v>
      </c>
      <c r="B13" s="2" t="s">
        <v>86</v>
      </c>
      <c r="E13" s="5" t="s">
        <v>85</v>
      </c>
      <c r="F13" s="46" t="n">
        <v>24</v>
      </c>
      <c r="H13" s="6" t="n">
        <f aca="false">IF((F13&lt;&gt;0),F13-G13," ")</f>
        <v>24</v>
      </c>
      <c r="I13" s="5"/>
      <c r="L13" s="7" t="n">
        <f aca="false">IF(F13&lt;&gt;0,F13-K13," ")</f>
        <v>24</v>
      </c>
      <c r="M13" s="8" t="n">
        <f aca="false">IF((F13-K13)&lt;&gt;0,M$1-A13," ")</f>
        <v>105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24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46027</v>
      </c>
      <c r="B14" s="2" t="s">
        <v>87</v>
      </c>
      <c r="E14" s="5" t="s">
        <v>88</v>
      </c>
      <c r="F14" s="46" t="n">
        <v>180</v>
      </c>
      <c r="H14" s="6" t="n">
        <f aca="false">IF((F14&lt;&gt;0),F14-G14," ")</f>
        <v>180</v>
      </c>
      <c r="I14" s="5"/>
      <c r="L14" s="7" t="n">
        <f aca="false">IF(F14&lt;&gt;0,F14-K14," ")</f>
        <v>180</v>
      </c>
      <c r="M14" s="8" t="n">
        <f aca="false">IF((F14-K14)&lt;&gt;0,M$1-A14," ")</f>
        <v>105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n">
        <f aca="false">IF((E14="v"),H14," ")</f>
        <v>180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46028</v>
      </c>
      <c r="B15" s="2" t="s">
        <v>111</v>
      </c>
      <c r="E15" s="5" t="s">
        <v>91</v>
      </c>
      <c r="F15" s="46" t="n">
        <v>72</v>
      </c>
      <c r="H15" s="6" t="n">
        <f aca="false">IF((F15&lt;&gt;0),F15-G15," ")</f>
        <v>72</v>
      </c>
      <c r="I15" s="5"/>
      <c r="L15" s="7" t="n">
        <f aca="false">IF(F15&lt;&gt;0,F15-K15," ")</f>
        <v>72</v>
      </c>
      <c r="M15" s="8" t="n">
        <f aca="false">IF((F15-K15)&lt;&gt;0,M$1-A15," ")</f>
        <v>104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n">
        <f aca="false">IF((E15="h"),H15," ")</f>
        <v>72</v>
      </c>
      <c r="AC15" s="46" t="str">
        <f aca="false">IF((E15="v"),H15," ")</f>
        <v> 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46030</v>
      </c>
      <c r="B16" s="2" t="s">
        <v>90</v>
      </c>
      <c r="E16" s="5" t="s">
        <v>91</v>
      </c>
      <c r="F16" s="46" t="n">
        <v>48</v>
      </c>
      <c r="H16" s="6" t="n">
        <f aca="false">IF((F16&lt;&gt;0),F16-G16," ")</f>
        <v>48</v>
      </c>
      <c r="I16" s="5"/>
      <c r="L16" s="7" t="n">
        <f aca="false">IF(F16&lt;&gt;0,F16-K16," ")</f>
        <v>48</v>
      </c>
      <c r="M16" s="8" t="n">
        <f aca="false">IF((F16-K16)&lt;&gt;0,M$1-A16," ")</f>
        <v>102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48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46032</v>
      </c>
      <c r="B17" s="2" t="s">
        <v>92</v>
      </c>
      <c r="E17" s="5" t="s">
        <v>85</v>
      </c>
      <c r="F17" s="46" t="n">
        <v>36</v>
      </c>
      <c r="H17" s="6" t="n">
        <f aca="false">IF((F17&lt;&gt;0),F17-G17," ")</f>
        <v>36</v>
      </c>
      <c r="I17" s="5"/>
      <c r="L17" s="7" t="n">
        <f aca="false">IF(F17&lt;&gt;0,F17-K17," ")</f>
        <v>36</v>
      </c>
      <c r="M17" s="8" t="n">
        <f aca="false">IF((F17-K17)&lt;&gt;0,M$1-A17," ")</f>
        <v>100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n">
        <f aca="false">IF((E17="u"),H17," ")</f>
        <v>36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46034</v>
      </c>
      <c r="B18" s="2" t="s">
        <v>97</v>
      </c>
      <c r="E18" s="5" t="s">
        <v>88</v>
      </c>
      <c r="F18" s="46" t="n">
        <v>18</v>
      </c>
      <c r="H18" s="6" t="n">
        <f aca="false">IF((F18&lt;&gt;0),F18-G18," ")</f>
        <v>18</v>
      </c>
      <c r="I18" s="5"/>
      <c r="L18" s="7" t="n">
        <f aca="false">IF(F18&lt;&gt;0,F18-K18," ")</f>
        <v>18</v>
      </c>
      <c r="M18" s="8" t="n">
        <f aca="false">IF((F18-K18)&lt;&gt;0,M$1-A18," ")</f>
        <v>98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n">
        <f aca="false">IF((E18="v"),H18," ")</f>
        <v>18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46036</v>
      </c>
      <c r="B19" s="2" t="s">
        <v>99</v>
      </c>
      <c r="E19" s="5" t="s">
        <v>91</v>
      </c>
      <c r="F19" s="46" t="n">
        <v>24</v>
      </c>
      <c r="H19" s="6" t="n">
        <f aca="false">IF((F19&lt;&gt;0),F19-G19," ")</f>
        <v>24</v>
      </c>
      <c r="I19" s="5"/>
      <c r="L19" s="7" t="n">
        <f aca="false">IF(F19&lt;&gt;0,F19-K19," ")</f>
        <v>24</v>
      </c>
      <c r="M19" s="8" t="n">
        <f aca="false">IF((F19-K19)&lt;&gt;0,M$1-A19," ")</f>
        <v>96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n">
        <f aca="false">IF((E19="h"),H19," ")</f>
        <v>24</v>
      </c>
      <c r="AC19" s="46" t="str">
        <f aca="false">IF((E19="v"),H19," ")</f>
        <v> 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46036</v>
      </c>
      <c r="B20" s="2" t="s">
        <v>100</v>
      </c>
      <c r="E20" s="5" t="s">
        <v>91</v>
      </c>
      <c r="F20" s="46" t="n">
        <v>12</v>
      </c>
      <c r="H20" s="6" t="n">
        <f aca="false">IF((F20&lt;&gt;0),F20-G20," ")</f>
        <v>12</v>
      </c>
      <c r="I20" s="5"/>
      <c r="L20" s="7" t="n">
        <f aca="false">IF(F20&lt;&gt;0,F20-K20," ")</f>
        <v>12</v>
      </c>
      <c r="M20" s="8" t="n">
        <f aca="false">IF((F20-K20)&lt;&gt;0,M$1-A20," ")</f>
        <v>96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n">
        <f aca="false">IF((E20="h"),H20," ")</f>
        <v>12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46037</v>
      </c>
      <c r="B21" s="2" t="s">
        <v>20</v>
      </c>
      <c r="E21" s="5" t="s">
        <v>88</v>
      </c>
      <c r="F21" s="46" t="n">
        <v>150</v>
      </c>
      <c r="H21" s="6" t="n">
        <f aca="false">IF((F21&lt;&gt;0),F21-G21," ")</f>
        <v>150</v>
      </c>
      <c r="I21" s="5"/>
      <c r="L21" s="7" t="n">
        <f aca="false">IF(F21&lt;&gt;0,F21-K21," ")</f>
        <v>150</v>
      </c>
      <c r="M21" s="8" t="n">
        <f aca="false">IF((F21-K21)&lt;&gt;0,M$1-A21," ")</f>
        <v>95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46" t="n">
        <f aca="false">IF((E21="v"),H21," ")</f>
        <v>150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46037</v>
      </c>
      <c r="B22" s="2" t="s">
        <v>101</v>
      </c>
      <c r="E22" s="5" t="s">
        <v>75</v>
      </c>
      <c r="F22" s="46" t="n">
        <v>12</v>
      </c>
      <c r="H22" s="6" t="n">
        <f aca="false">IF((F22&lt;&gt;0),F22-G22," ")</f>
        <v>12</v>
      </c>
      <c r="I22" s="5"/>
      <c r="L22" s="7" t="n">
        <f aca="false">IF(F22&lt;&gt;0,F22-K22," ")</f>
        <v>12</v>
      </c>
      <c r="M22" s="8" t="n">
        <f aca="false">IF((F22-K22)&lt;&gt;0,M$1-A22," ")</f>
        <v>95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n">
        <f aca="false">IF((E22="g"),H22," ")</f>
        <v>12</v>
      </c>
      <c r="AB22" s="17" t="str">
        <f aca="false">IF((E22="h"),H22," ")</f>
        <v> 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46037</v>
      </c>
      <c r="B23" s="2" t="s">
        <v>116</v>
      </c>
      <c r="E23" s="5" t="s">
        <v>96</v>
      </c>
      <c r="F23" s="46" t="n">
        <v>540</v>
      </c>
      <c r="H23" s="6" t="n">
        <f aca="false">IF((F23&lt;&gt;0),F23-G23," ")</f>
        <v>540</v>
      </c>
      <c r="I23" s="5"/>
      <c r="L23" s="7" t="n">
        <f aca="false">IF(F23&lt;&gt;0,F23-K23," ")</f>
        <v>540</v>
      </c>
      <c r="M23" s="8" t="n">
        <f aca="false">IF((F23-K23)&lt;&gt;0,M$1-A23," ")</f>
        <v>95</v>
      </c>
      <c r="N23" s="5"/>
      <c r="O23" s="17" t="n">
        <f aca="false">IF((E23="s"),H23," ")</f>
        <v>540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46037</v>
      </c>
      <c r="B24" s="2" t="s">
        <v>125</v>
      </c>
      <c r="E24" s="5" t="s">
        <v>126</v>
      </c>
      <c r="F24" s="46" t="n">
        <v>3000</v>
      </c>
      <c r="H24" s="6" t="n">
        <f aca="false">IF((F24&lt;&gt;0),F24-G24," ")</f>
        <v>3000</v>
      </c>
      <c r="I24" s="5"/>
      <c r="L24" s="7" t="n">
        <f aca="false">IF(F24&lt;&gt;0,F24-K24," ")</f>
        <v>3000</v>
      </c>
      <c r="M24" s="8" t="n">
        <f aca="false">IF((F24-K24)&lt;&gt;0,M$1-A24," ")</f>
        <v>95</v>
      </c>
      <c r="N24" s="5"/>
      <c r="O24" s="17" t="str">
        <f aca="false">IF((E24="s"),H24," ")</f>
        <v> </v>
      </c>
      <c r="P24" s="17" t="n">
        <f aca="false">IF((E24="c"),H24," ")</f>
        <v>3000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46038</v>
      </c>
      <c r="B25" s="2" t="s">
        <v>119</v>
      </c>
      <c r="E25" s="5" t="s">
        <v>75</v>
      </c>
      <c r="F25" s="46" t="n">
        <v>30</v>
      </c>
      <c r="H25" s="6" t="n">
        <f aca="false">IF((F25&lt;&gt;0),F25-G25," ")</f>
        <v>30</v>
      </c>
      <c r="I25" s="5"/>
      <c r="L25" s="7" t="n">
        <f aca="false">IF(F25&lt;&gt;0,F25-K25," ")</f>
        <v>30</v>
      </c>
      <c r="M25" s="8" t="n">
        <f aca="false">IF((F25-K25)&lt;&gt;0,M$1-A25," ")</f>
        <v>94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n">
        <f aca="false">IF((E25="g"),H25," ")</f>
        <v>30</v>
      </c>
      <c r="AB25" s="17" t="str">
        <f aca="false">IF((E25="h"),H25," ")</f>
        <v> 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46040</v>
      </c>
      <c r="B26" s="2" t="s">
        <v>102</v>
      </c>
      <c r="E26" s="5" t="s">
        <v>88</v>
      </c>
      <c r="F26" s="46" t="n">
        <v>96</v>
      </c>
      <c r="H26" s="6" t="n">
        <f aca="false">IF((F26&lt;&gt;0),F26-G26," ")</f>
        <v>96</v>
      </c>
      <c r="I26" s="5"/>
      <c r="L26" s="7" t="n">
        <f aca="false">IF(F26&lt;&gt;0,F26-K26," ")</f>
        <v>96</v>
      </c>
      <c r="M26" s="8" t="n">
        <f aca="false">IF((F26-K26)&lt;&gt;0,M$1-A26," ")</f>
        <v>92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46" t="n">
        <f aca="false">IF((E26="v"),H26," ")</f>
        <v>96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46042</v>
      </c>
      <c r="B27" s="2" t="s">
        <v>103</v>
      </c>
      <c r="E27" s="5" t="s">
        <v>75</v>
      </c>
      <c r="F27" s="46" t="n">
        <v>60</v>
      </c>
      <c r="H27" s="6" t="n">
        <f aca="false">IF((F27&lt;&gt;0),F27-G27," ")</f>
        <v>60</v>
      </c>
      <c r="I27" s="5"/>
      <c r="L27" s="7" t="n">
        <f aca="false">IF(F27&lt;&gt;0,F27-K27," ")</f>
        <v>60</v>
      </c>
      <c r="M27" s="8" t="n">
        <f aca="false">IF((F27-K27)&lt;&gt;0,M$1-A27," ")</f>
        <v>90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n">
        <f aca="false">IF((E27="g"),H27," ")</f>
        <v>60</v>
      </c>
      <c r="AB27" s="17" t="str">
        <f aca="false">IF((E27="h"),H27," ")</f>
        <v> </v>
      </c>
      <c r="AC27" s="46" t="str">
        <f aca="false">IF((E27="v"),H27," ")</f>
        <v> 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46042</v>
      </c>
      <c r="B28" s="2" t="s">
        <v>120</v>
      </c>
      <c r="E28" s="5" t="s">
        <v>121</v>
      </c>
      <c r="F28" s="46" t="n">
        <v>240</v>
      </c>
      <c r="H28" s="6" t="n">
        <f aca="false">IF((F28&lt;&gt;0),F28-G28," ")</f>
        <v>240</v>
      </c>
      <c r="I28" s="5"/>
      <c r="L28" s="7" t="n">
        <f aca="false">IF(F28&lt;&gt;0,F28-K28," ")</f>
        <v>240</v>
      </c>
      <c r="M28" s="8" t="n">
        <f aca="false">IF((F28-K28)&lt;&gt;0,M$1-A28," ")</f>
        <v>90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n">
        <f aca="false">IF((E28="t"),H28," ")</f>
        <v>240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46042</v>
      </c>
      <c r="B29" s="2" t="s">
        <v>122</v>
      </c>
      <c r="E29" s="5" t="s">
        <v>96</v>
      </c>
      <c r="F29" s="46" t="n">
        <v>300</v>
      </c>
      <c r="H29" s="6" t="n">
        <f aca="false">IF((F29&lt;&gt;0),F29-G29," ")</f>
        <v>300</v>
      </c>
      <c r="I29" s="5"/>
      <c r="L29" s="7" t="n">
        <f aca="false">IF(F29&lt;&gt;0,F29-K29," ")</f>
        <v>300</v>
      </c>
      <c r="M29" s="8" t="n">
        <f aca="false">IF((F29-K29)&lt;&gt;0,M$1-A29," ")</f>
        <v>90</v>
      </c>
      <c r="N29" s="5"/>
      <c r="O29" s="17" t="n">
        <f aca="false">IF((E29="s"),H29," ")</f>
        <v>300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46043</v>
      </c>
      <c r="B30" s="2" t="s">
        <v>106</v>
      </c>
      <c r="E30" s="5" t="s">
        <v>91</v>
      </c>
      <c r="F30" s="46" t="n">
        <v>8</v>
      </c>
      <c r="H30" s="6" t="n">
        <f aca="false">IF((F30&lt;&gt;0),F30-G30," ")</f>
        <v>8</v>
      </c>
      <c r="I30" s="5"/>
      <c r="L30" s="7" t="n">
        <f aca="false">IF(F30&lt;&gt;0,F30-K30," ")</f>
        <v>8</v>
      </c>
      <c r="M30" s="8" t="n">
        <f aca="false">IF((F30-K30)&lt;&gt;0,M$1-A30," ")</f>
        <v>89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n">
        <f aca="false">IF((E30="h"),H30," ")</f>
        <v>8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46044</v>
      </c>
      <c r="B31" s="2" t="s">
        <v>107</v>
      </c>
      <c r="E31" s="5" t="s">
        <v>85</v>
      </c>
      <c r="F31" s="46" t="n">
        <v>18</v>
      </c>
      <c r="H31" s="6" t="n">
        <f aca="false">IF((F31&lt;&gt;0),F31-G31," ")</f>
        <v>18</v>
      </c>
      <c r="I31" s="5"/>
      <c r="L31" s="7" t="n">
        <f aca="false">IF(F31&lt;&gt;0,F31-K31," ")</f>
        <v>18</v>
      </c>
      <c r="M31" s="8" t="n">
        <f aca="false">IF((F31-K31)&lt;&gt;0,M$1-A31," ")</f>
        <v>88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n">
        <f aca="false">IF((E31="u"),H31," ")</f>
        <v>18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46047</v>
      </c>
      <c r="B32" s="2" t="s">
        <v>108</v>
      </c>
      <c r="E32" s="5" t="s">
        <v>85</v>
      </c>
      <c r="F32" s="46" t="n">
        <v>15</v>
      </c>
      <c r="H32" s="6" t="n">
        <f aca="false">IF((F32&lt;&gt;0),F32-G32," ")</f>
        <v>15</v>
      </c>
      <c r="I32" s="5"/>
      <c r="L32" s="7" t="n">
        <f aca="false">IF(F32&lt;&gt;0,F32-K32," ")</f>
        <v>15</v>
      </c>
      <c r="M32" s="8" t="n">
        <f aca="false">IF((F32-K32)&lt;&gt;0,M$1-A32," ")</f>
        <v>85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n">
        <f aca="false">IF((E32="u"),H32," ")</f>
        <v>15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46047</v>
      </c>
      <c r="B33" s="2" t="s">
        <v>109</v>
      </c>
      <c r="E33" s="5" t="s">
        <v>88</v>
      </c>
      <c r="F33" s="46" t="n">
        <v>81</v>
      </c>
      <c r="H33" s="6" t="n">
        <f aca="false">IF((F33&lt;&gt;0),F33-G33," ")</f>
        <v>81</v>
      </c>
      <c r="I33" s="5"/>
      <c r="L33" s="7" t="n">
        <f aca="false">IF(F33&lt;&gt;0,F33-K33," ")</f>
        <v>81</v>
      </c>
      <c r="M33" s="8" t="n">
        <f aca="false">IF((F33-K33)&lt;&gt;0,M$1-A33," ")</f>
        <v>85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n">
        <f aca="false">IF((E33="v"),H33," ")</f>
        <v>81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46050</v>
      </c>
      <c r="B34" s="2" t="s">
        <v>20</v>
      </c>
      <c r="E34" s="5" t="s">
        <v>88</v>
      </c>
      <c r="F34" s="46" t="n">
        <v>120</v>
      </c>
      <c r="H34" s="6" t="n">
        <f aca="false">IF((F34&lt;&gt;0),F34-G34," ")</f>
        <v>120</v>
      </c>
      <c r="I34" s="5"/>
      <c r="L34" s="7" t="n">
        <f aca="false">IF(F34&lt;&gt;0,F34-K34," ")</f>
        <v>120</v>
      </c>
      <c r="M34" s="8" t="n">
        <f aca="false">IF((F34-K34)&lt;&gt;0,M$1-A34," ")</f>
        <v>82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n">
        <f aca="false">IF((E34="v"),H34," ")</f>
        <v>120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46052</v>
      </c>
      <c r="B35" s="2" t="s">
        <v>16</v>
      </c>
      <c r="E35" s="5" t="s">
        <v>110</v>
      </c>
      <c r="F35" s="46" t="n">
        <v>300</v>
      </c>
      <c r="H35" s="6" t="n">
        <f aca="false">IF((F35&lt;&gt;0),F35-G35," ")</f>
        <v>300</v>
      </c>
      <c r="I35" s="5"/>
      <c r="L35" s="7" t="n">
        <f aca="false">IF(F35&lt;&gt;0,F35-K35," ")</f>
        <v>300</v>
      </c>
      <c r="M35" s="8" t="n">
        <f aca="false">IF((F35-K35)&lt;&gt;0,M$1-A35," ")</f>
        <v>80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str">
        <f aca="false">IF((E35="v"),H35," ")</f>
        <v> </v>
      </c>
      <c r="AD35" s="46" t="str">
        <f aca="false">IF((E35="n"),H35," ")</f>
        <v> </v>
      </c>
      <c r="AE35" s="17" t="str">
        <f aca="false">IF((E35="f"),H35," ")</f>
        <v> </v>
      </c>
      <c r="AF35" s="17" t="n">
        <f aca="false">IF((E35="l"),H35," ")</f>
        <v>300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/>
      <c r="E36" s="2"/>
      <c r="F36" s="46"/>
      <c r="H36" s="6" t="str">
        <f aca="false">IF((F36&lt;&gt;0),F36-G36," ")</f>
        <v> </v>
      </c>
      <c r="I36" s="5"/>
      <c r="L36" s="7" t="str">
        <f aca="false">IF(F36&lt;&gt;0,F36-K36," ")</f>
        <v> </v>
      </c>
      <c r="M36" s="8" t="str">
        <f aca="false">IF((F36-K36)&lt;&gt;0,M$1-A36," ")</f>
        <v> 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str">
        <f aca="false">IF((E36="v"),H36," ")</f>
        <v> 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/>
      <c r="E37" s="2"/>
      <c r="F37" s="46"/>
      <c r="H37" s="6" t="str">
        <f aca="false">IF((F37&lt;&gt;0),F37-G37," ")</f>
        <v> </v>
      </c>
      <c r="I37" s="5"/>
      <c r="L37" s="7" t="str">
        <f aca="false">IF(F37&lt;&gt;0,F37-K37," ")</f>
        <v> </v>
      </c>
      <c r="M37" s="8" t="str">
        <f aca="false">IF((F37-K37)&lt;&gt;0,M$1-A37," ")</f>
        <v> 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46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3984.5</v>
      </c>
      <c r="G1" s="12" t="n">
        <f aca="false">SUM(G5:G300)</f>
        <v>0</v>
      </c>
      <c r="H1" s="12" t="n">
        <f aca="false">SUM(H5:H300)</f>
        <v>3984.5</v>
      </c>
      <c r="I1" s="13"/>
      <c r="J1" s="14" t="s">
        <v>2</v>
      </c>
      <c r="K1" s="15" t="n">
        <f aca="false">SUM(K5:K300)</f>
        <v>0</v>
      </c>
      <c r="L1" s="15" t="n">
        <f aca="false">SUM(L5:L300)</f>
        <v>3984.5</v>
      </c>
      <c r="M1" s="16" t="n">
        <f aca="true">TODAY()</f>
        <v>46132</v>
      </c>
      <c r="N1" s="13"/>
      <c r="O1" s="12" t="n">
        <f aca="false">SUM(O5:O300)</f>
        <v>480</v>
      </c>
      <c r="P1" s="12" t="n">
        <f aca="false">SUM(P5:P300)</f>
        <v>0</v>
      </c>
      <c r="Q1" s="12" t="n">
        <f aca="false">SUM(Q5:Q300)</f>
        <v>285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420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0</v>
      </c>
      <c r="Y1" s="12" t="n">
        <f aca="false">SUM(Y5:Y300)</f>
        <v>139</v>
      </c>
      <c r="Z1" s="12" t="n">
        <f aca="false">SUM(Z5:Z300)</f>
        <v>0</v>
      </c>
      <c r="AA1" s="12" t="n">
        <f aca="false">SUM(AA5:AA300)</f>
        <v>255</v>
      </c>
      <c r="AB1" s="12" t="n">
        <f aca="false">SUM(AB5:AB300)</f>
        <v>92</v>
      </c>
      <c r="AC1" s="12" t="n">
        <f aca="false">SUM(AC5:AC300)</f>
        <v>613.5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0</v>
      </c>
      <c r="AG1" s="12" t="n">
        <f aca="false">SUM(AG5:AG300)</f>
        <v>500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IF([2]Feb!$G$4&gt;0,0,[2]Feb!$G$2)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46054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78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46054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78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46054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78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46054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78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46054</v>
      </c>
      <c r="B9" s="2" t="s">
        <v>81</v>
      </c>
      <c r="E9" s="5" t="s">
        <v>78</v>
      </c>
      <c r="F9" s="46" t="n">
        <v>24</v>
      </c>
      <c r="H9" s="6" t="n">
        <f aca="false">IF((F9&lt;&gt;0),F9-G9," ")</f>
        <v>24</v>
      </c>
      <c r="I9" s="5"/>
      <c r="L9" s="7" t="n">
        <f aca="false">IF(F9&lt;&gt;0,F9-K9," ")</f>
        <v>24</v>
      </c>
      <c r="M9" s="8" t="n">
        <f aca="false">IF((F9-K9)&lt;&gt;0,M$1-A9," ")</f>
        <v>78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24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46054</v>
      </c>
      <c r="B10" s="2" t="s">
        <v>82</v>
      </c>
      <c r="E10" s="5" t="s">
        <v>75</v>
      </c>
      <c r="F10" s="46" t="n">
        <v>18</v>
      </c>
      <c r="H10" s="6" t="n">
        <f aca="false">IF((F10&lt;&gt;0),F10-G10," ")</f>
        <v>18</v>
      </c>
      <c r="I10" s="5"/>
      <c r="L10" s="7" t="n">
        <f aca="false">IF(F10&lt;&gt;0,F10-K10," ")</f>
        <v>18</v>
      </c>
      <c r="M10" s="8" t="n">
        <f aca="false">IF((F10-K10)&lt;&gt;0,M$1-A10," ")</f>
        <v>78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18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46056</v>
      </c>
      <c r="B11" s="2" t="s">
        <v>83</v>
      </c>
      <c r="E11" s="5" t="s">
        <v>78</v>
      </c>
      <c r="F11" s="46" t="n">
        <v>180</v>
      </c>
      <c r="H11" s="6" t="n">
        <f aca="false">IF((F11&lt;&gt;0),F11-G11," ")</f>
        <v>180</v>
      </c>
      <c r="I11" s="5"/>
      <c r="L11" s="7" t="n">
        <f aca="false">IF(F11&lt;&gt;0,F11-K11," ")</f>
        <v>180</v>
      </c>
      <c r="M11" s="8" t="n">
        <f aca="false">IF((F11-K11)&lt;&gt;0,M$1-A11," ")</f>
        <v>76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180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46056</v>
      </c>
      <c r="B12" s="2" t="s">
        <v>84</v>
      </c>
      <c r="E12" s="5" t="s">
        <v>85</v>
      </c>
      <c r="F12" s="46" t="n">
        <v>22</v>
      </c>
      <c r="H12" s="6" t="n">
        <f aca="false">IF((F12&lt;&gt;0),F12-G12," ")</f>
        <v>22</v>
      </c>
      <c r="I12" s="5"/>
      <c r="L12" s="7" t="n">
        <f aca="false">IF(F12&lt;&gt;0,F12-K12," ")</f>
        <v>22</v>
      </c>
      <c r="M12" s="8" t="n">
        <f aca="false">IF((F12-K12)&lt;&gt;0,M$1-A12," ")</f>
        <v>76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22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46058</v>
      </c>
      <c r="B13" s="2" t="s">
        <v>86</v>
      </c>
      <c r="E13" s="5" t="s">
        <v>85</v>
      </c>
      <c r="F13" s="46" t="n">
        <v>24</v>
      </c>
      <c r="H13" s="6" t="n">
        <f aca="false">IF((F13&lt;&gt;0),F13-G13," ")</f>
        <v>24</v>
      </c>
      <c r="I13" s="5"/>
      <c r="L13" s="7" t="n">
        <f aca="false">IF(F13&lt;&gt;0,F13-K13," ")</f>
        <v>24</v>
      </c>
      <c r="M13" s="8" t="n">
        <f aca="false">IF((F13-K13)&lt;&gt;0,M$1-A13," ")</f>
        <v>74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24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46058</v>
      </c>
      <c r="B14" s="2" t="s">
        <v>87</v>
      </c>
      <c r="E14" s="5" t="s">
        <v>88</v>
      </c>
      <c r="F14" s="46" t="n">
        <v>180</v>
      </c>
      <c r="H14" s="6" t="n">
        <f aca="false">IF((F14&lt;&gt;0),F14-G14," ")</f>
        <v>180</v>
      </c>
      <c r="I14" s="5"/>
      <c r="L14" s="7" t="n">
        <f aca="false">IF(F14&lt;&gt;0,F14-K14," ")</f>
        <v>180</v>
      </c>
      <c r="M14" s="8" t="n">
        <f aca="false">IF((F14-K14)&lt;&gt;0,M$1-A14," ")</f>
        <v>74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n">
        <f aca="false">IF((E14="v"),H14," ")</f>
        <v>180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46058</v>
      </c>
      <c r="B15" s="2" t="s">
        <v>89</v>
      </c>
      <c r="E15" s="5" t="s">
        <v>78</v>
      </c>
      <c r="F15" s="46" t="n">
        <v>36</v>
      </c>
      <c r="H15" s="6" t="n">
        <f aca="false">IF((F15&lt;&gt;0),F15-G15," ")</f>
        <v>36</v>
      </c>
      <c r="I15" s="5"/>
      <c r="L15" s="7" t="n">
        <f aca="false">IF(F15&lt;&gt;0,F15-K15," ")</f>
        <v>36</v>
      </c>
      <c r="M15" s="8" t="n">
        <f aca="false">IF((F15-K15)&lt;&gt;0,M$1-A15," ")</f>
        <v>74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n">
        <f aca="false">IF((E15="o"),H15," ")</f>
        <v>36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46" t="str">
        <f aca="false">IF((E15="v"),H15," ")</f>
        <v> 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46061</v>
      </c>
      <c r="B16" s="2" t="s">
        <v>90</v>
      </c>
      <c r="E16" s="5" t="s">
        <v>91</v>
      </c>
      <c r="F16" s="46" t="n">
        <v>48</v>
      </c>
      <c r="H16" s="6" t="n">
        <f aca="false">IF((F16&lt;&gt;0),F16-G16," ")</f>
        <v>48</v>
      </c>
      <c r="I16" s="5"/>
      <c r="L16" s="7" t="n">
        <f aca="false">IF(F16&lt;&gt;0,F16-K16," ")</f>
        <v>48</v>
      </c>
      <c r="M16" s="8" t="n">
        <f aca="false">IF((F16-K16)&lt;&gt;0,M$1-A16," ")</f>
        <v>71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48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46063</v>
      </c>
      <c r="B17" s="2" t="s">
        <v>92</v>
      </c>
      <c r="E17" s="5" t="s">
        <v>85</v>
      </c>
      <c r="F17" s="46" t="n">
        <v>36</v>
      </c>
      <c r="H17" s="6" t="n">
        <f aca="false">IF((F17&lt;&gt;0),F17-G17," ")</f>
        <v>36</v>
      </c>
      <c r="I17" s="5"/>
      <c r="L17" s="7" t="n">
        <f aca="false">IF(F17&lt;&gt;0,F17-K17," ")</f>
        <v>36</v>
      </c>
      <c r="M17" s="8" t="n">
        <f aca="false">IF((F17-K17)&lt;&gt;0,M$1-A17," ")</f>
        <v>69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n">
        <f aca="false">IF((E17="u"),H17," ")</f>
        <v>36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46063</v>
      </c>
      <c r="B18" s="2" t="s">
        <v>124</v>
      </c>
      <c r="E18" s="5" t="s">
        <v>75</v>
      </c>
      <c r="F18" s="46" t="n">
        <v>120</v>
      </c>
      <c r="H18" s="6" t="n">
        <f aca="false">IF((F18&lt;&gt;0),F18-G18," ")</f>
        <v>120</v>
      </c>
      <c r="I18" s="5"/>
      <c r="L18" s="7" t="n">
        <f aca="false">IF(F18&lt;&gt;0,F18-K18," ")</f>
        <v>120</v>
      </c>
      <c r="M18" s="8" t="n">
        <f aca="false">IF((F18-K18)&lt;&gt;0,M$1-A18," ")</f>
        <v>69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n">
        <f aca="false">IF((E18="g"),H18," ")</f>
        <v>120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46065</v>
      </c>
      <c r="B19" s="2" t="s">
        <v>97</v>
      </c>
      <c r="E19" s="5" t="s">
        <v>88</v>
      </c>
      <c r="F19" s="46" t="n">
        <v>18</v>
      </c>
      <c r="H19" s="6" t="n">
        <f aca="false">IF((F19&lt;&gt;0),F19-G19," ")</f>
        <v>18</v>
      </c>
      <c r="I19" s="5"/>
      <c r="L19" s="7" t="n">
        <f aca="false">IF(F19&lt;&gt;0,F19-K19," ")</f>
        <v>18</v>
      </c>
      <c r="M19" s="8" t="n">
        <f aca="false">IF((F19-K19)&lt;&gt;0,M$1-A19," ")</f>
        <v>67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46" t="n">
        <f aca="false">IF((E19="v"),H19," ")</f>
        <v>18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46067</v>
      </c>
      <c r="B20" s="2" t="s">
        <v>98</v>
      </c>
      <c r="E20" s="5" t="s">
        <v>85</v>
      </c>
      <c r="F20" s="46" t="n">
        <v>24</v>
      </c>
      <c r="H20" s="6" t="n">
        <f aca="false">IF((F20&lt;&gt;0),F20-G20," ")</f>
        <v>24</v>
      </c>
      <c r="I20" s="5"/>
      <c r="L20" s="7" t="n">
        <f aca="false">IF(F20&lt;&gt;0,F20-K20," ")</f>
        <v>24</v>
      </c>
      <c r="M20" s="8" t="n">
        <f aca="false">IF((F20-K20)&lt;&gt;0,M$1-A20," ")</f>
        <v>65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n">
        <f aca="false">IF((E20="u"),H20," ")</f>
        <v>24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46067</v>
      </c>
      <c r="B21" s="2" t="s">
        <v>99</v>
      </c>
      <c r="E21" s="5" t="s">
        <v>91</v>
      </c>
      <c r="F21" s="46" t="n">
        <v>24</v>
      </c>
      <c r="H21" s="6" t="n">
        <f aca="false">IF((F21&lt;&gt;0),F21-G21," ")</f>
        <v>24</v>
      </c>
      <c r="I21" s="5"/>
      <c r="L21" s="7" t="n">
        <f aca="false">IF(F21&lt;&gt;0,F21-K21," ")</f>
        <v>24</v>
      </c>
      <c r="M21" s="8" t="n">
        <f aca="false">IF((F21-K21)&lt;&gt;0,M$1-A21," ")</f>
        <v>65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n">
        <f aca="false">IF((E21="h"),H21," ")</f>
        <v>24</v>
      </c>
      <c r="AC21" s="46" t="str">
        <f aca="false">IF((E21="v"),H21," ")</f>
        <v> 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46067</v>
      </c>
      <c r="B22" s="2" t="s">
        <v>100</v>
      </c>
      <c r="E22" s="5" t="s">
        <v>91</v>
      </c>
      <c r="F22" s="46" t="n">
        <v>12</v>
      </c>
      <c r="H22" s="6" t="n">
        <f aca="false">IF((F22&lt;&gt;0),F22-G22," ")</f>
        <v>12</v>
      </c>
      <c r="I22" s="5"/>
      <c r="L22" s="7" t="n">
        <f aca="false">IF(F22&lt;&gt;0,F22-K22," ")</f>
        <v>12</v>
      </c>
      <c r="M22" s="8" t="n">
        <f aca="false">IF((F22-K22)&lt;&gt;0,M$1-A22," ")</f>
        <v>65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12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46068</v>
      </c>
      <c r="B23" s="2" t="s">
        <v>20</v>
      </c>
      <c r="E23" s="5" t="s">
        <v>88</v>
      </c>
      <c r="F23" s="46" t="n">
        <v>150</v>
      </c>
      <c r="H23" s="6" t="n">
        <f aca="false">IF((F23&lt;&gt;0),F23-G23," ")</f>
        <v>150</v>
      </c>
      <c r="I23" s="5"/>
      <c r="L23" s="7" t="n">
        <f aca="false">IF(F23&lt;&gt;0,F23-K23," ")</f>
        <v>150</v>
      </c>
      <c r="M23" s="8" t="n">
        <f aca="false">IF((F23-K23)&lt;&gt;0,M$1-A23," ")</f>
        <v>64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46" t="n">
        <f aca="false">IF((E23="v"),H23," ")</f>
        <v>150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46068</v>
      </c>
      <c r="B24" s="2" t="s">
        <v>101</v>
      </c>
      <c r="E24" s="5" t="s">
        <v>75</v>
      </c>
      <c r="F24" s="46" t="n">
        <v>12</v>
      </c>
      <c r="H24" s="6" t="n">
        <f aca="false">IF((F24&lt;&gt;0),F24-G24," ")</f>
        <v>12</v>
      </c>
      <c r="I24" s="5"/>
      <c r="L24" s="7" t="n">
        <f aca="false">IF(F24&lt;&gt;0,F24-K24," ")</f>
        <v>12</v>
      </c>
      <c r="M24" s="8" t="n">
        <f aca="false">IF((F24-K24)&lt;&gt;0,M$1-A24," ")</f>
        <v>64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n">
        <f aca="false">IF((E24="g"),H24," ")</f>
        <v>12</v>
      </c>
      <c r="AB24" s="17" t="str">
        <f aca="false">IF((E24="h"),H24," ")</f>
        <v> 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46068</v>
      </c>
      <c r="B25" s="2" t="s">
        <v>145</v>
      </c>
      <c r="E25" s="5" t="s">
        <v>146</v>
      </c>
      <c r="F25" s="46" t="n">
        <v>500</v>
      </c>
      <c r="H25" s="6" t="n">
        <f aca="false">IF((F25&lt;&gt;0),F25-G25," ")</f>
        <v>500</v>
      </c>
      <c r="I25" s="5"/>
      <c r="L25" s="7" t="n">
        <f aca="false">IF(F25&lt;&gt;0,F25-K25," ")</f>
        <v>500</v>
      </c>
      <c r="M25" s="8" t="n">
        <f aca="false">IF((F25-K25)&lt;&gt;0,M$1-A25," ")</f>
        <v>64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n">
        <f aca="false">IF((E25="y"),H25," ")</f>
        <v>500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46071</v>
      </c>
      <c r="B26" s="2" t="s">
        <v>128</v>
      </c>
      <c r="E26" s="5" t="s">
        <v>96</v>
      </c>
      <c r="F26" s="46" t="n">
        <v>480</v>
      </c>
      <c r="H26" s="6" t="n">
        <f aca="false">IF((F26&lt;&gt;0),F26-G26," ")</f>
        <v>480</v>
      </c>
      <c r="I26" s="5"/>
      <c r="L26" s="7" t="n">
        <f aca="false">IF(F26&lt;&gt;0,F26-K26," ")</f>
        <v>480</v>
      </c>
      <c r="M26" s="8" t="n">
        <f aca="false">IF((F26-K26)&lt;&gt;0,M$1-A26," ")</f>
        <v>61</v>
      </c>
      <c r="N26" s="5"/>
      <c r="O26" s="17" t="n">
        <f aca="false">IF((E26="s"),H26," ")</f>
        <v>480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46071</v>
      </c>
      <c r="B27" s="2" t="s">
        <v>102</v>
      </c>
      <c r="E27" s="5" t="s">
        <v>88</v>
      </c>
      <c r="F27" s="46" t="n">
        <v>96</v>
      </c>
      <c r="H27" s="6" t="n">
        <f aca="false">IF((F27&lt;&gt;0),F27-G27," ")</f>
        <v>96</v>
      </c>
      <c r="I27" s="5"/>
      <c r="L27" s="7" t="n">
        <f aca="false">IF(F27&lt;&gt;0,F27-K27," ")</f>
        <v>96</v>
      </c>
      <c r="M27" s="8" t="n">
        <f aca="false">IF((F27-K27)&lt;&gt;0,M$1-A27," ")</f>
        <v>61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46" t="n">
        <f aca="false">IF((E27="v"),H27," ")</f>
        <v>96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46073</v>
      </c>
      <c r="B28" s="2" t="s">
        <v>103</v>
      </c>
      <c r="E28" s="5" t="s">
        <v>75</v>
      </c>
      <c r="F28" s="46" t="n">
        <v>60</v>
      </c>
      <c r="H28" s="6" t="n">
        <f aca="false">IF((F28&lt;&gt;0),F28-G28," ")</f>
        <v>60</v>
      </c>
      <c r="I28" s="5"/>
      <c r="L28" s="7" t="n">
        <f aca="false">IF(F28&lt;&gt;0,F28-K28," ")</f>
        <v>60</v>
      </c>
      <c r="M28" s="8" t="n">
        <f aca="false">IF((F28-K28)&lt;&gt;0,M$1-A28," ")</f>
        <v>59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60</v>
      </c>
      <c r="AB28" s="17" t="str">
        <f aca="false">IF((E28="h"),H28," ")</f>
        <v> 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46074</v>
      </c>
      <c r="B29" s="2" t="s">
        <v>106</v>
      </c>
      <c r="E29" s="5" t="s">
        <v>91</v>
      </c>
      <c r="F29" s="46" t="n">
        <v>8</v>
      </c>
      <c r="H29" s="6" t="n">
        <f aca="false">IF((F29&lt;&gt;0),F29-G29," ")</f>
        <v>8</v>
      </c>
      <c r="I29" s="5"/>
      <c r="L29" s="7" t="n">
        <f aca="false">IF(F29&lt;&gt;0,F29-K29," ")</f>
        <v>8</v>
      </c>
      <c r="M29" s="8" t="n">
        <f aca="false">IF((F29-K29)&lt;&gt;0,M$1-A29," ")</f>
        <v>58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n">
        <f aca="false">IF((E29="h"),H29," ")</f>
        <v>8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46075</v>
      </c>
      <c r="B30" s="2" t="s">
        <v>107</v>
      </c>
      <c r="E30" s="5" t="s">
        <v>85</v>
      </c>
      <c r="F30" s="46" t="n">
        <v>18</v>
      </c>
      <c r="H30" s="6" t="n">
        <f aca="false">IF((F30&lt;&gt;0),F30-G30," ")</f>
        <v>18</v>
      </c>
      <c r="I30" s="5"/>
      <c r="L30" s="7" t="n">
        <f aca="false">IF(F30&lt;&gt;0,F30-K30," ")</f>
        <v>18</v>
      </c>
      <c r="M30" s="8" t="n">
        <f aca="false">IF((F30-K30)&lt;&gt;0,M$1-A30," ")</f>
        <v>57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n">
        <f aca="false">IF((E30="u"),H30," ")</f>
        <v>18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46078</v>
      </c>
      <c r="B31" s="2" t="s">
        <v>129</v>
      </c>
      <c r="E31" s="5" t="s">
        <v>130</v>
      </c>
      <c r="F31" s="46" t="n">
        <v>420</v>
      </c>
      <c r="H31" s="6" t="n">
        <f aca="false">IF((F31&lt;&gt;0),F31-G31," ")</f>
        <v>420</v>
      </c>
      <c r="I31" s="5"/>
      <c r="L31" s="7" t="n">
        <f aca="false">IF(F31&lt;&gt;0,F31-K31," ")</f>
        <v>420</v>
      </c>
      <c r="M31" s="8" t="n">
        <f aca="false">IF((F31-K31)&lt;&gt;0,M$1-A31," ")</f>
        <v>54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n">
        <f aca="false">IF((E31="p"),H31," ")</f>
        <v>420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46078</v>
      </c>
      <c r="B32" s="2" t="s">
        <v>108</v>
      </c>
      <c r="E32" s="5" t="s">
        <v>85</v>
      </c>
      <c r="F32" s="46" t="n">
        <v>15</v>
      </c>
      <c r="H32" s="6" t="n">
        <f aca="false">IF((F32&lt;&gt;0),F32-G32," ")</f>
        <v>15</v>
      </c>
      <c r="I32" s="5"/>
      <c r="L32" s="7" t="n">
        <f aca="false">IF(F32&lt;&gt;0,F32-K32," ")</f>
        <v>15</v>
      </c>
      <c r="M32" s="8" t="n">
        <f aca="false">IF((F32-K32)&lt;&gt;0,M$1-A32," ")</f>
        <v>54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n">
        <f aca="false">IF((E32="u"),H32," ")</f>
        <v>15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46078</v>
      </c>
      <c r="B33" s="2" t="s">
        <v>109</v>
      </c>
      <c r="E33" s="5" t="s">
        <v>88</v>
      </c>
      <c r="F33" s="46" t="n">
        <v>49.5</v>
      </c>
      <c r="H33" s="6" t="n">
        <f aca="false">IF((F33&lt;&gt;0),F33-G33," ")</f>
        <v>49.5</v>
      </c>
      <c r="I33" s="5"/>
      <c r="L33" s="7" t="n">
        <f aca="false">IF(F33&lt;&gt;0,F33-K33," ")</f>
        <v>49.5</v>
      </c>
      <c r="M33" s="8" t="n">
        <f aca="false">IF((F33-K33)&lt;&gt;0,M$1-A33," ")</f>
        <v>54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n">
        <f aca="false">IF((E33="v"),H33," ")</f>
        <v>49.5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46081</v>
      </c>
      <c r="B34" s="2" t="s">
        <v>20</v>
      </c>
      <c r="E34" s="5" t="s">
        <v>88</v>
      </c>
      <c r="F34" s="46" t="n">
        <v>120</v>
      </c>
      <c r="H34" s="6" t="n">
        <f aca="false">IF((F34&lt;&gt;0),F34-G34," ")</f>
        <v>120</v>
      </c>
      <c r="I34" s="5"/>
      <c r="L34" s="7" t="n">
        <f aca="false">IF(F34&lt;&gt;0,F34-K34," ")</f>
        <v>120</v>
      </c>
      <c r="M34" s="8" t="n">
        <f aca="false">IF((F34-K34)&lt;&gt;0,M$1-A34," ")</f>
        <v>51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n">
        <f aca="false">IF((E34="v"),H34," ")</f>
        <v>120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/>
      <c r="E35" s="2"/>
      <c r="F35" s="46"/>
      <c r="H35" s="6" t="str">
        <f aca="false">IF((F35&lt;&gt;0),F35-G35," ")</f>
        <v> </v>
      </c>
      <c r="I35" s="5"/>
      <c r="L35" s="7" t="str">
        <f aca="false">IF(F35&lt;&gt;0,F35-K35," ")</f>
        <v> </v>
      </c>
      <c r="M35" s="8" t="str">
        <f aca="false">IF((F35-K35)&lt;&gt;0,M$1-A35," ")</f>
        <v> 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str">
        <f aca="false">IF((E35="v"),H35," ")</f>
        <v> 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/>
      <c r="E36" s="2"/>
      <c r="F36" s="46"/>
      <c r="H36" s="6" t="str">
        <f aca="false">IF((F36&lt;&gt;0),F36-G36," ")</f>
        <v> </v>
      </c>
      <c r="I36" s="5"/>
      <c r="L36" s="7" t="str">
        <f aca="false">IF(F36&lt;&gt;0,F36-K36," ")</f>
        <v> </v>
      </c>
      <c r="M36" s="8" t="str">
        <f aca="false">IF((F36-K36)&lt;&gt;0,M$1-A36," ")</f>
        <v> 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str">
        <f aca="false">IF((E36="v"),H36," ")</f>
        <v> 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/>
      <c r="E37" s="2"/>
      <c r="F37" s="46"/>
      <c r="H37" s="6" t="str">
        <f aca="false">IF((F37&lt;&gt;0),F37-G37," ")</f>
        <v> </v>
      </c>
      <c r="I37" s="5"/>
      <c r="L37" s="7" t="str">
        <f aca="false">IF(F37&lt;&gt;0,F37-K37," ")</f>
        <v> </v>
      </c>
      <c r="M37" s="8" t="str">
        <f aca="false">IF((F37-K37)&lt;&gt;0,M$1-A37," ")</f>
        <v> 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46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99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9978.25</v>
      </c>
      <c r="G1" s="12" t="n">
        <f aca="false">SUM(G5:G300)</f>
        <v>0</v>
      </c>
      <c r="H1" s="12" t="n">
        <f aca="false">SUM(H5:H300)</f>
        <v>9978.25</v>
      </c>
      <c r="I1" s="13"/>
      <c r="J1" s="14" t="s">
        <v>2</v>
      </c>
      <c r="K1" s="15" t="n">
        <f aca="false">SUM(K5:K300)</f>
        <v>0</v>
      </c>
      <c r="L1" s="15" t="n">
        <f aca="false">SUM(L5:L300)</f>
        <v>9978.25</v>
      </c>
      <c r="M1" s="16" t="n">
        <f aca="true">TODAY()</f>
        <v>46132</v>
      </c>
      <c r="N1" s="13"/>
      <c r="O1" s="12" t="n">
        <f aca="false">SUM(O5:O300)</f>
        <v>600</v>
      </c>
      <c r="P1" s="12" t="n">
        <f aca="false">SUM(P5:P300)</f>
        <v>0</v>
      </c>
      <c r="Q1" s="12" t="n">
        <f aca="false">SUM(Q5:Q300)</f>
        <v>249</v>
      </c>
      <c r="R1" s="12" t="n">
        <f aca="false">SUM(R5:R300)</f>
        <v>5000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180</v>
      </c>
      <c r="W1" s="12" t="n">
        <f aca="false">SUM(W5:W300)</f>
        <v>180</v>
      </c>
      <c r="X1" s="12" t="n">
        <f aca="false">SUM(X5:X300)</f>
        <v>144</v>
      </c>
      <c r="Y1" s="12" t="n">
        <f aca="false">SUM(Y5:Y300)</f>
        <v>115</v>
      </c>
      <c r="Z1" s="12" t="n">
        <f aca="false">SUM(Z5:Z300)</f>
        <v>480</v>
      </c>
      <c r="AA1" s="12" t="n">
        <f aca="false">SUM(AA5:AA300)</f>
        <v>153</v>
      </c>
      <c r="AB1" s="12" t="n">
        <f aca="false">SUM(AB5:AB300)</f>
        <v>92</v>
      </c>
      <c r="AC1" s="12" t="n">
        <f aca="false">SUM(AC5:AC300)</f>
        <v>638.25</v>
      </c>
      <c r="AD1" s="12" t="n">
        <f aca="false">SUM(AD5:AD300)</f>
        <v>0</v>
      </c>
      <c r="AE1" s="12" t="n">
        <f aca="false">SUM(AE5:AE300)</f>
        <v>180</v>
      </c>
      <c r="AF1" s="12" t="n">
        <f aca="false">SUM(AF5:AF300)</f>
        <v>767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IF([2]Mar!$G$4&gt;0,0,[2]Mar!$G$2)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46084</v>
      </c>
      <c r="B5" s="5" t="s">
        <v>16</v>
      </c>
      <c r="E5" s="5" t="s">
        <v>110</v>
      </c>
      <c r="F5" s="46" t="n">
        <v>300</v>
      </c>
      <c r="H5" s="6" t="n">
        <f aca="false">IF((F5&lt;&gt;0),F5-G5," ")</f>
        <v>300</v>
      </c>
      <c r="J5" s="6"/>
      <c r="K5" s="6"/>
      <c r="L5" s="7" t="n">
        <f aca="false">IF(F5&lt;&gt;0,F5-K5," ")</f>
        <v>300</v>
      </c>
      <c r="M5" s="8" t="n">
        <f aca="false">IF((F5-K5)&lt;&gt;0,M$1-A5," ")</f>
        <v>48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str">
        <f aca="false">IF((E5="r"),H5," ")</f>
        <v> 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n">
        <f aca="false">IF((E5="l"),H5," ")</f>
        <v>300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46084</v>
      </c>
      <c r="B6" s="2" t="s">
        <v>147</v>
      </c>
      <c r="E6" s="5" t="s">
        <v>148</v>
      </c>
      <c r="F6" s="46" t="n">
        <v>5000</v>
      </c>
      <c r="H6" s="6" t="n">
        <f aca="false">IF((F6&lt;&gt;0),F6-G6," ")</f>
        <v>5000</v>
      </c>
      <c r="I6" s="5"/>
      <c r="L6" s="7" t="n">
        <f aca="false">IF(F6&lt;&gt;0,F6-K6," ")</f>
        <v>5000</v>
      </c>
      <c r="M6" s="8" t="n">
        <f aca="false">IF((F6-K6)&lt;&gt;0,M$1-A6," ")</f>
        <v>48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n">
        <f aca="false">IF((E6="d"),H6," ")</f>
        <v>5000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str">
        <f aca="false">IF((E6="g"),H6," ")</f>
        <v> 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46084</v>
      </c>
      <c r="B7" s="2" t="s">
        <v>131</v>
      </c>
      <c r="E7" s="5" t="s">
        <v>110</v>
      </c>
      <c r="F7" s="46" t="n">
        <v>167</v>
      </c>
      <c r="H7" s="6" t="n">
        <f aca="false">IF((F7&lt;&gt;0),F7-G7," ")</f>
        <v>167</v>
      </c>
      <c r="I7" s="5"/>
      <c r="L7" s="7" t="n">
        <f aca="false">IF(F7&lt;&gt;0,F7-K7," ")</f>
        <v>167</v>
      </c>
      <c r="M7" s="8" t="n">
        <f aca="false">IF((F7-K7)&lt;&gt;0,M$1-A7," ")</f>
        <v>48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str">
        <f aca="false">IF((E7="g"),H7," ")</f>
        <v> 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n">
        <f aca="false">IF((E7="l"),H7," ")</f>
        <v>167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46082</v>
      </c>
      <c r="B8" s="2" t="s">
        <v>14</v>
      </c>
      <c r="E8" s="5" t="s">
        <v>73</v>
      </c>
      <c r="F8" s="46" t="n">
        <v>1200</v>
      </c>
      <c r="H8" s="6" t="n">
        <f aca="false">IF((F8&lt;&gt;0),F8-G8," ")</f>
        <v>1200</v>
      </c>
      <c r="I8" s="5"/>
      <c r="L8" s="7" t="n">
        <f aca="false">IF(F8&lt;&gt;0,F8-K8," ")</f>
        <v>1200</v>
      </c>
      <c r="M8" s="8" t="n">
        <f aca="false">IF((F8-K8)&lt;&gt;0,M$1-A8," ")</f>
        <v>50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str">
        <f aca="false">IF((E8="o"),H8," ")</f>
        <v> </v>
      </c>
      <c r="R8" s="17" t="str">
        <f aca="false">IF((E8="d"),H8," ")</f>
        <v> </v>
      </c>
      <c r="S8" s="17" t="str">
        <f aca="false">IF((E8="w"),H8," ")</f>
        <v> </v>
      </c>
      <c r="T8" s="17" t="n">
        <f aca="false">IF((E8="r"),H8," ")</f>
        <v>1200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46082</v>
      </c>
      <c r="B9" s="2" t="s">
        <v>74</v>
      </c>
      <c r="E9" s="5" t="s">
        <v>75</v>
      </c>
      <c r="F9" s="46" t="n">
        <v>30</v>
      </c>
      <c r="H9" s="6" t="n">
        <f aca="false">IF((F9&lt;&gt;0),F9-G9," ")</f>
        <v>30</v>
      </c>
      <c r="I9" s="5"/>
      <c r="L9" s="7" t="n">
        <f aca="false">IF(F9&lt;&gt;0,F9-K9," ")</f>
        <v>30</v>
      </c>
      <c r="M9" s="8" t="n">
        <f aca="false">IF((F9-K9)&lt;&gt;0,M$1-A9," ")</f>
        <v>50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str">
        <f aca="false">IF((E9="o"),H9," ")</f>
        <v> 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n">
        <f aca="false">IF((E9="g"),H9," ")</f>
        <v>30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46082</v>
      </c>
      <c r="B10" s="2" t="s">
        <v>76</v>
      </c>
      <c r="E10" s="5" t="s">
        <v>75</v>
      </c>
      <c r="F10" s="46" t="n">
        <v>15</v>
      </c>
      <c r="H10" s="6" t="n">
        <f aca="false">IF((F10&lt;&gt;0),F10-G10," ")</f>
        <v>15</v>
      </c>
      <c r="I10" s="5"/>
      <c r="L10" s="7" t="n">
        <f aca="false">IF(F10&lt;&gt;0,F10-K10," ")</f>
        <v>15</v>
      </c>
      <c r="M10" s="8" t="n">
        <f aca="false">IF((F10-K10)&lt;&gt;0,M$1-A10," ")</f>
        <v>50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15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46082</v>
      </c>
      <c r="B11" s="2" t="s">
        <v>77</v>
      </c>
      <c r="E11" s="5" t="s">
        <v>78</v>
      </c>
      <c r="F11" s="46" t="n">
        <v>45</v>
      </c>
      <c r="H11" s="6" t="n">
        <f aca="false">IF((F11&lt;&gt;0),F11-G11," ")</f>
        <v>45</v>
      </c>
      <c r="I11" s="5"/>
      <c r="L11" s="7" t="n">
        <f aca="false">IF(F11&lt;&gt;0,F11-K11," ")</f>
        <v>45</v>
      </c>
      <c r="M11" s="8" t="n">
        <f aca="false">IF((F11-K11)&lt;&gt;0,M$1-A11," ")</f>
        <v>50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45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46082</v>
      </c>
      <c r="B12" s="2" t="s">
        <v>81</v>
      </c>
      <c r="E12" s="5" t="s">
        <v>78</v>
      </c>
      <c r="F12" s="46" t="n">
        <v>24</v>
      </c>
      <c r="H12" s="6" t="n">
        <f aca="false">IF((F12&lt;&gt;0),F12-G12," ")</f>
        <v>24</v>
      </c>
      <c r="I12" s="5"/>
      <c r="L12" s="7" t="n">
        <f aca="false">IF(F12&lt;&gt;0,F12-K12," ")</f>
        <v>24</v>
      </c>
      <c r="M12" s="8" t="n">
        <f aca="false">IF((F12-K12)&lt;&gt;0,M$1-A12," ")</f>
        <v>50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n">
        <f aca="false">IF((E12="o"),H12," ")</f>
        <v>24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str">
        <f aca="false">IF((E12="u"),H12," ")</f>
        <v> 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46082</v>
      </c>
      <c r="B13" s="2" t="s">
        <v>82</v>
      </c>
      <c r="E13" s="5" t="s">
        <v>75</v>
      </c>
      <c r="F13" s="46" t="n">
        <v>18</v>
      </c>
      <c r="H13" s="6" t="n">
        <f aca="false">IF((F13&lt;&gt;0),F13-G13," ")</f>
        <v>18</v>
      </c>
      <c r="I13" s="5"/>
      <c r="L13" s="7" t="n">
        <f aca="false">IF(F13&lt;&gt;0,F13-K13," ")</f>
        <v>18</v>
      </c>
      <c r="M13" s="8" t="n">
        <f aca="false">IF((F13-K13)&lt;&gt;0,M$1-A13," ")</f>
        <v>50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str">
        <f aca="false">IF((E13="u"),H13," ")</f>
        <v> </v>
      </c>
      <c r="Z13" s="17" t="str">
        <f aca="false">IF((E13="a"),H13," ")</f>
        <v> </v>
      </c>
      <c r="AA13" s="17" t="n">
        <f aca="false">IF((E13="g"),H13," ")</f>
        <v>18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46084</v>
      </c>
      <c r="B14" s="2" t="s">
        <v>83</v>
      </c>
      <c r="E14" s="5" t="s">
        <v>78</v>
      </c>
      <c r="F14" s="46" t="n">
        <v>180</v>
      </c>
      <c r="H14" s="6" t="n">
        <f aca="false">IF((F14&lt;&gt;0),F14-G14," ")</f>
        <v>180</v>
      </c>
      <c r="I14" s="5"/>
      <c r="L14" s="7" t="n">
        <f aca="false">IF(F14&lt;&gt;0,F14-K14," ")</f>
        <v>180</v>
      </c>
      <c r="M14" s="8" t="n">
        <f aca="false">IF((F14-K14)&lt;&gt;0,M$1-A14," ")</f>
        <v>48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n">
        <f aca="false">IF((E14="o"),H14," ")</f>
        <v>180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str">
        <f aca="false">IF((E14="v"),H14," ")</f>
        <v> 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46084</v>
      </c>
      <c r="B15" s="2" t="s">
        <v>84</v>
      </c>
      <c r="E15" s="5" t="s">
        <v>85</v>
      </c>
      <c r="F15" s="46" t="n">
        <v>22</v>
      </c>
      <c r="H15" s="6" t="n">
        <f aca="false">IF((F15&lt;&gt;0),F15-G15," ")</f>
        <v>22</v>
      </c>
      <c r="I15" s="5"/>
      <c r="L15" s="7" t="n">
        <f aca="false">IF(F15&lt;&gt;0,F15-K15," ")</f>
        <v>22</v>
      </c>
      <c r="M15" s="8" t="n">
        <f aca="false">IF((F15-K15)&lt;&gt;0,M$1-A15," ")</f>
        <v>48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n">
        <f aca="false">IF((E15="u"),H15," ")</f>
        <v>22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46" t="str">
        <f aca="false">IF((E15="v"),H15," ")</f>
        <v> 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46086</v>
      </c>
      <c r="B16" s="2" t="s">
        <v>86</v>
      </c>
      <c r="E16" s="5" t="s">
        <v>85</v>
      </c>
      <c r="F16" s="46" t="n">
        <v>24</v>
      </c>
      <c r="H16" s="6" t="n">
        <f aca="false">IF((F16&lt;&gt;0),F16-G16," ")</f>
        <v>24</v>
      </c>
      <c r="I16" s="5"/>
      <c r="L16" s="7" t="n">
        <f aca="false">IF(F16&lt;&gt;0,F16-K16," ")</f>
        <v>24</v>
      </c>
      <c r="M16" s="8" t="n">
        <f aca="false">IF((F16-K16)&lt;&gt;0,M$1-A16," ")</f>
        <v>46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n">
        <f aca="false">IF((E16="u"),H16," ")</f>
        <v>24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46086</v>
      </c>
      <c r="B17" s="2" t="s">
        <v>134</v>
      </c>
      <c r="E17" s="5" t="s">
        <v>115</v>
      </c>
      <c r="F17" s="46" t="n">
        <v>480</v>
      </c>
      <c r="H17" s="6" t="n">
        <f aca="false">IF((F17&lt;&gt;0),F17-G17," ")</f>
        <v>480</v>
      </c>
      <c r="I17" s="5"/>
      <c r="L17" s="7" t="n">
        <f aca="false">IF(F17&lt;&gt;0,F17-K17," ")</f>
        <v>480</v>
      </c>
      <c r="M17" s="8" t="n">
        <f aca="false">IF((F17-K17)&lt;&gt;0,M$1-A17," ")</f>
        <v>46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n">
        <f aca="false">IF((E17="a"),H17," ")</f>
        <v>480</v>
      </c>
      <c r="AA17" s="17" t="str">
        <f aca="false">IF((E17="g"),H17," ")</f>
        <v> </v>
      </c>
      <c r="AB17" s="17" t="str">
        <f aca="false">IF((E17="h"),H17," ")</f>
        <v> 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46086</v>
      </c>
      <c r="B18" s="2" t="s">
        <v>87</v>
      </c>
      <c r="E18" s="5" t="s">
        <v>88</v>
      </c>
      <c r="F18" s="46" t="n">
        <v>180</v>
      </c>
      <c r="H18" s="6" t="n">
        <f aca="false">IF((F18&lt;&gt;0),F18-G18," ")</f>
        <v>180</v>
      </c>
      <c r="I18" s="5"/>
      <c r="L18" s="7" t="n">
        <f aca="false">IF(F18&lt;&gt;0,F18-K18," ")</f>
        <v>180</v>
      </c>
      <c r="M18" s="8" t="n">
        <f aca="false">IF((F18-K18)&lt;&gt;0,M$1-A18," ")</f>
        <v>46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n">
        <f aca="false">IF((E18="v"),H18," ")</f>
        <v>180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46089</v>
      </c>
      <c r="B19" s="2" t="s">
        <v>90</v>
      </c>
      <c r="E19" s="5" t="s">
        <v>91</v>
      </c>
      <c r="F19" s="46" t="n">
        <v>48</v>
      </c>
      <c r="H19" s="6" t="n">
        <f aca="false">IF((F19&lt;&gt;0),F19-G19," ")</f>
        <v>48</v>
      </c>
      <c r="I19" s="5"/>
      <c r="L19" s="7" t="n">
        <f aca="false">IF(F19&lt;&gt;0,F19-K19," ")</f>
        <v>48</v>
      </c>
      <c r="M19" s="8" t="n">
        <f aca="false">IF((F19-K19)&lt;&gt;0,M$1-A19," ")</f>
        <v>43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n">
        <f aca="false">IF((E19="h"),H19," ")</f>
        <v>48</v>
      </c>
      <c r="AC19" s="46" t="str">
        <f aca="false">IF((E19="v"),H19," ")</f>
        <v> 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46089</v>
      </c>
      <c r="B20" s="2" t="s">
        <v>112</v>
      </c>
      <c r="E20" s="5" t="s">
        <v>113</v>
      </c>
      <c r="F20" s="46" t="n">
        <v>180</v>
      </c>
      <c r="H20" s="6" t="n">
        <f aca="false">IF((F20&lt;&gt;0),F20-G20," ")</f>
        <v>180</v>
      </c>
      <c r="I20" s="5"/>
      <c r="L20" s="7" t="n">
        <f aca="false">IF(F20&lt;&gt;0,F20-K20," ")</f>
        <v>180</v>
      </c>
      <c r="M20" s="8" t="n">
        <f aca="false">IF((F20-K20)&lt;&gt;0,M$1-A20," ")</f>
        <v>43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n">
        <f aca="false">IF((E20="q"),H20," ")</f>
        <v>180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46091</v>
      </c>
      <c r="B21" s="2" t="s">
        <v>92</v>
      </c>
      <c r="E21" s="5" t="s">
        <v>85</v>
      </c>
      <c r="F21" s="46" t="n">
        <v>36</v>
      </c>
      <c r="H21" s="6" t="n">
        <f aca="false">IF((F21&lt;&gt;0),F21-G21," ")</f>
        <v>36</v>
      </c>
      <c r="I21" s="5"/>
      <c r="L21" s="7" t="n">
        <f aca="false">IF(F21&lt;&gt;0,F21-K21," ")</f>
        <v>36</v>
      </c>
      <c r="M21" s="8" t="n">
        <f aca="false">IF((F21-K21)&lt;&gt;0,M$1-A21," ")</f>
        <v>41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n">
        <f aca="false">IF((E21="u"),H21," ")</f>
        <v>36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46" t="str">
        <f aca="false">IF((E21="v"),H21," ")</f>
        <v> 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46091</v>
      </c>
      <c r="B22" s="2" t="s">
        <v>93</v>
      </c>
      <c r="E22" s="5" t="s">
        <v>94</v>
      </c>
      <c r="F22" s="46" t="n">
        <v>180</v>
      </c>
      <c r="H22" s="6" t="n">
        <f aca="false">IF((F22&lt;&gt;0),F22-G22," ")</f>
        <v>180</v>
      </c>
      <c r="I22" s="5"/>
      <c r="L22" s="7" t="n">
        <f aca="false">IF(F22&lt;&gt;0,F22-K22," ")</f>
        <v>180</v>
      </c>
      <c r="M22" s="8" t="n">
        <f aca="false">IF((F22-K22)&lt;&gt;0,M$1-A22," ")</f>
        <v>41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str">
        <f aca="false">IF((E22="h"),H22," ")</f>
        <v> </v>
      </c>
      <c r="AC22" s="46" t="str">
        <f aca="false">IF((E22="v"),H22," ")</f>
        <v> </v>
      </c>
      <c r="AD22" s="46" t="str">
        <f aca="false">IF((E22="n"),H22," ")</f>
        <v> </v>
      </c>
      <c r="AE22" s="17" t="n">
        <f aca="false">IF((E22="f"),H22," ")</f>
        <v>180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46091</v>
      </c>
      <c r="B23" s="2" t="s">
        <v>95</v>
      </c>
      <c r="E23" s="5" t="s">
        <v>96</v>
      </c>
      <c r="F23" s="46" t="n">
        <v>600</v>
      </c>
      <c r="H23" s="6" t="n">
        <f aca="false">IF((F23&lt;&gt;0),F23-G23," ")</f>
        <v>600</v>
      </c>
      <c r="I23" s="5"/>
      <c r="L23" s="7" t="n">
        <f aca="false">IF(F23&lt;&gt;0,F23-K23," ")</f>
        <v>600</v>
      </c>
      <c r="M23" s="8" t="n">
        <f aca="false">IF((F23-K23)&lt;&gt;0,M$1-A23," ")</f>
        <v>41</v>
      </c>
      <c r="N23" s="5"/>
      <c r="O23" s="17" t="n">
        <f aca="false">IF((E23="s"),H23," ")</f>
        <v>600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46093</v>
      </c>
      <c r="B24" s="2" t="s">
        <v>97</v>
      </c>
      <c r="E24" s="5" t="s">
        <v>88</v>
      </c>
      <c r="F24" s="46" t="n">
        <v>18</v>
      </c>
      <c r="H24" s="6" t="n">
        <f aca="false">IF((F24&lt;&gt;0),F24-G24," ")</f>
        <v>18</v>
      </c>
      <c r="I24" s="5"/>
      <c r="L24" s="7" t="n">
        <f aca="false">IF(F24&lt;&gt;0,F24-K24," ")</f>
        <v>18</v>
      </c>
      <c r="M24" s="8" t="n">
        <f aca="false">IF((F24-K24)&lt;&gt;0,M$1-A24," ")</f>
        <v>39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46" t="n">
        <f aca="false">IF((E24="v"),H24," ")</f>
        <v>18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46095</v>
      </c>
      <c r="B25" s="2" t="s">
        <v>99</v>
      </c>
      <c r="E25" s="5" t="s">
        <v>91</v>
      </c>
      <c r="F25" s="46" t="n">
        <v>24</v>
      </c>
      <c r="H25" s="6" t="n">
        <f aca="false">IF((F25&lt;&gt;0),F25-G25," ")</f>
        <v>24</v>
      </c>
      <c r="I25" s="5"/>
      <c r="L25" s="7" t="n">
        <f aca="false">IF(F25&lt;&gt;0,F25-K25," ")</f>
        <v>24</v>
      </c>
      <c r="M25" s="8" t="n">
        <f aca="false">IF((F25-K25)&lt;&gt;0,M$1-A25," ")</f>
        <v>37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n">
        <f aca="false">IF((E25="h"),H25," ")</f>
        <v>24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46095</v>
      </c>
      <c r="B26" s="2" t="s">
        <v>100</v>
      </c>
      <c r="E26" s="5" t="s">
        <v>91</v>
      </c>
      <c r="F26" s="46" t="n">
        <v>12</v>
      </c>
      <c r="H26" s="6" t="n">
        <f aca="false">IF((F26&lt;&gt;0),F26-G26," ")</f>
        <v>12</v>
      </c>
      <c r="I26" s="5"/>
      <c r="L26" s="7" t="n">
        <f aca="false">IF(F26&lt;&gt;0,F26-K26," ")</f>
        <v>12</v>
      </c>
      <c r="M26" s="8" t="n">
        <f aca="false">IF((F26-K26)&lt;&gt;0,M$1-A26," ")</f>
        <v>37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n">
        <f aca="false">IF((E26="h"),H26," ")</f>
        <v>12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46096</v>
      </c>
      <c r="B27" s="2" t="s">
        <v>20</v>
      </c>
      <c r="E27" s="5" t="s">
        <v>88</v>
      </c>
      <c r="F27" s="46" t="n">
        <v>150</v>
      </c>
      <c r="H27" s="6" t="n">
        <f aca="false">IF((F27&lt;&gt;0),F27-G27," ")</f>
        <v>150</v>
      </c>
      <c r="I27" s="5"/>
      <c r="L27" s="7" t="n">
        <f aca="false">IF(F27&lt;&gt;0,F27-K27," ")</f>
        <v>150</v>
      </c>
      <c r="M27" s="8" t="n">
        <f aca="false">IF((F27-K27)&lt;&gt;0,M$1-A27," ")</f>
        <v>36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46" t="n">
        <f aca="false">IF((E27="v"),H27," ")</f>
        <v>150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46096</v>
      </c>
      <c r="B28" s="2" t="s">
        <v>101</v>
      </c>
      <c r="E28" s="5" t="s">
        <v>75</v>
      </c>
      <c r="F28" s="46" t="n">
        <v>12</v>
      </c>
      <c r="H28" s="6" t="n">
        <f aca="false">IF((F28&lt;&gt;0),F28-G28," ")</f>
        <v>12</v>
      </c>
      <c r="I28" s="5"/>
      <c r="L28" s="7" t="n">
        <f aca="false">IF(F28&lt;&gt;0,F28-K28," ")</f>
        <v>12</v>
      </c>
      <c r="M28" s="8" t="n">
        <f aca="false">IF((F28-K28)&lt;&gt;0,M$1-A28," ")</f>
        <v>36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12</v>
      </c>
      <c r="AB28" s="17" t="str">
        <f aca="false">IF((E28="h"),H28," ")</f>
        <v> 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46097</v>
      </c>
      <c r="B29" s="2" t="s">
        <v>119</v>
      </c>
      <c r="E29" s="5" t="s">
        <v>75</v>
      </c>
      <c r="F29" s="46" t="n">
        <v>18</v>
      </c>
      <c r="H29" s="6" t="n">
        <f aca="false">IF((F29&lt;&gt;0),F29-G29," ")</f>
        <v>18</v>
      </c>
      <c r="I29" s="5"/>
      <c r="L29" s="7" t="n">
        <f aca="false">IF(F29&lt;&gt;0,F29-K29," ")</f>
        <v>18</v>
      </c>
      <c r="M29" s="8" t="n">
        <f aca="false">IF((F29-K29)&lt;&gt;0,M$1-A29," ")</f>
        <v>35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n">
        <f aca="false">IF((E29="g"),H29," ")</f>
        <v>18</v>
      </c>
      <c r="AB29" s="17" t="str">
        <f aca="false">IF((E29="h"),H29," ")</f>
        <v> 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46099</v>
      </c>
      <c r="B30" s="2" t="s">
        <v>102</v>
      </c>
      <c r="E30" s="5" t="s">
        <v>88</v>
      </c>
      <c r="F30" s="46" t="n">
        <v>96</v>
      </c>
      <c r="H30" s="6" t="n">
        <f aca="false">IF((F30&lt;&gt;0),F30-G30," ")</f>
        <v>96</v>
      </c>
      <c r="I30" s="5"/>
      <c r="L30" s="7" t="n">
        <f aca="false">IF(F30&lt;&gt;0,F30-K30," ")</f>
        <v>96</v>
      </c>
      <c r="M30" s="8" t="n">
        <f aca="false">IF((F30-K30)&lt;&gt;0,M$1-A30," ")</f>
        <v>33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46" t="n">
        <f aca="false">IF((E30="v"),H30," ")</f>
        <v>96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46101</v>
      </c>
      <c r="B31" s="2" t="s">
        <v>103</v>
      </c>
      <c r="E31" s="5" t="s">
        <v>75</v>
      </c>
      <c r="F31" s="46" t="n">
        <v>60</v>
      </c>
      <c r="H31" s="6" t="n">
        <f aca="false">IF((F31&lt;&gt;0),F31-G31," ")</f>
        <v>60</v>
      </c>
      <c r="I31" s="5"/>
      <c r="L31" s="7" t="n">
        <f aca="false">IF(F31&lt;&gt;0,F31-K31," ")</f>
        <v>60</v>
      </c>
      <c r="M31" s="8" t="n">
        <f aca="false">IF((F31-K31)&lt;&gt;0,M$1-A31," ")</f>
        <v>31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n">
        <f aca="false">IF((E31="g"),H31," ")</f>
        <v>60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46101</v>
      </c>
      <c r="B32" s="2" t="s">
        <v>137</v>
      </c>
      <c r="E32" s="5" t="s">
        <v>121</v>
      </c>
      <c r="F32" s="46" t="n">
        <v>180</v>
      </c>
      <c r="H32" s="6" t="n">
        <f aca="false">IF((F32&lt;&gt;0),F32-G32," ")</f>
        <v>180</v>
      </c>
      <c r="I32" s="5"/>
      <c r="L32" s="7" t="n">
        <f aca="false">IF(F32&lt;&gt;0,F32-K32," ")</f>
        <v>180</v>
      </c>
      <c r="M32" s="8" t="n">
        <f aca="false">IF((F32-K32)&lt;&gt;0,M$1-A32," ")</f>
        <v>31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n">
        <f aca="false">IF((E32="t"),H32," ")</f>
        <v>180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46101</v>
      </c>
      <c r="B33" s="2" t="s">
        <v>104</v>
      </c>
      <c r="E33" s="5" t="s">
        <v>105</v>
      </c>
      <c r="F33" s="46" t="n">
        <v>144</v>
      </c>
      <c r="H33" s="6" t="n">
        <f aca="false">IF((F33&lt;&gt;0),F33-G33," ")</f>
        <v>144</v>
      </c>
      <c r="I33" s="5"/>
      <c r="L33" s="7" t="n">
        <f aca="false">IF(F33&lt;&gt;0,F33-K33," ")</f>
        <v>144</v>
      </c>
      <c r="M33" s="8" t="n">
        <f aca="false">IF((F33-K33)&lt;&gt;0,M$1-A33," ")</f>
        <v>31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n">
        <f aca="false">IF((E33="m"),H33," ")</f>
        <v>144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str">
        <f aca="false">IF((E33="v"),H33," ")</f>
        <v> 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46102</v>
      </c>
      <c r="B34" s="2" t="s">
        <v>106</v>
      </c>
      <c r="E34" s="5" t="s">
        <v>91</v>
      </c>
      <c r="F34" s="46" t="n">
        <v>8</v>
      </c>
      <c r="H34" s="6" t="n">
        <f aca="false">IF((F34&lt;&gt;0),F34-G34," ")</f>
        <v>8</v>
      </c>
      <c r="I34" s="5"/>
      <c r="L34" s="7" t="n">
        <f aca="false">IF(F34&lt;&gt;0,F34-K34," ")</f>
        <v>8</v>
      </c>
      <c r="M34" s="8" t="n">
        <f aca="false">IF((F34-K34)&lt;&gt;0,M$1-A34," ")</f>
        <v>30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n">
        <f aca="false">IF((E34="h"),H34," ")</f>
        <v>8</v>
      </c>
      <c r="AC34" s="46" t="str">
        <f aca="false">IF((E34="v"),H34," ")</f>
        <v> 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46103</v>
      </c>
      <c r="B35" s="2" t="s">
        <v>107</v>
      </c>
      <c r="E35" s="5" t="s">
        <v>85</v>
      </c>
      <c r="F35" s="46" t="n">
        <v>18</v>
      </c>
      <c r="H35" s="6" t="n">
        <f aca="false">IF((F35&lt;&gt;0),F35-G35," ")</f>
        <v>18</v>
      </c>
      <c r="I35" s="5"/>
      <c r="L35" s="7" t="n">
        <f aca="false">IF(F35&lt;&gt;0,F35-K35," ")</f>
        <v>18</v>
      </c>
      <c r="M35" s="8" t="n">
        <f aca="false">IF((F35-K35)&lt;&gt;0,M$1-A35," ")</f>
        <v>29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n">
        <f aca="false">IF((E35="u"),H35," ")</f>
        <v>18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str">
        <f aca="false">IF((E35="v"),H35," ")</f>
        <v> 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46103</v>
      </c>
      <c r="B36" s="2" t="s">
        <v>123</v>
      </c>
      <c r="E36" s="5" t="s">
        <v>88</v>
      </c>
      <c r="F36" s="46" t="n">
        <v>36</v>
      </c>
      <c r="H36" s="6" t="n">
        <f aca="false">IF((F36&lt;&gt;0),F36-G36," ")</f>
        <v>36</v>
      </c>
      <c r="I36" s="5"/>
      <c r="L36" s="7" t="n">
        <f aca="false">IF(F36&lt;&gt;0,F36-K36," ")</f>
        <v>36</v>
      </c>
      <c r="M36" s="8" t="n">
        <f aca="false">IF((F36-K36)&lt;&gt;0,M$1-A36," ")</f>
        <v>29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n">
        <f aca="false">IF((E36="v"),H36," ")</f>
        <v>36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46106</v>
      </c>
      <c r="B37" s="2" t="s">
        <v>108</v>
      </c>
      <c r="E37" s="5" t="s">
        <v>85</v>
      </c>
      <c r="F37" s="46" t="n">
        <v>15</v>
      </c>
      <c r="H37" s="6" t="n">
        <f aca="false">IF((F37&lt;&gt;0),F37-G37," ")</f>
        <v>15</v>
      </c>
      <c r="I37" s="5"/>
      <c r="L37" s="7" t="n">
        <f aca="false">IF(F37&lt;&gt;0,F37-K37," ")</f>
        <v>15</v>
      </c>
      <c r="M37" s="8" t="n">
        <f aca="false">IF((F37-K37)&lt;&gt;0,M$1-A37," ")</f>
        <v>26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n">
        <f aca="false">IF((E37="u"),H37," ")</f>
        <v>15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 t="n">
        <v>46106</v>
      </c>
      <c r="B38" s="2" t="s">
        <v>109</v>
      </c>
      <c r="E38" s="5" t="s">
        <v>88</v>
      </c>
      <c r="F38" s="46" t="n">
        <v>38.25</v>
      </c>
      <c r="H38" s="6" t="n">
        <f aca="false">IF((F38&lt;&gt;0),F38-G38," ")</f>
        <v>38.25</v>
      </c>
      <c r="I38" s="5"/>
      <c r="L38" s="7" t="n">
        <f aca="false">IF(F38&lt;&gt;0,F38-K38," ")</f>
        <v>38.25</v>
      </c>
      <c r="M38" s="8" t="n">
        <f aca="false">IF((F38-K38)&lt;&gt;0,M$1-A38," ")</f>
        <v>26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n">
        <f aca="false">IF((E38="v"),H38," ")</f>
        <v>38.25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 t="n">
        <v>46109</v>
      </c>
      <c r="B39" s="2" t="s">
        <v>20</v>
      </c>
      <c r="E39" s="5" t="s">
        <v>88</v>
      </c>
      <c r="F39" s="46" t="n">
        <v>120</v>
      </c>
      <c r="H39" s="6" t="n">
        <f aca="false">IF((F39&lt;&gt;0),F39-G39," ")</f>
        <v>120</v>
      </c>
      <c r="I39" s="5"/>
      <c r="L39" s="7" t="n">
        <f aca="false">IF(F39&lt;&gt;0,F39-K39," ")</f>
        <v>120</v>
      </c>
      <c r="M39" s="8" t="n">
        <f aca="false">IF((F39-K39)&lt;&gt;0,M$1-A39," ")</f>
        <v>23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n">
        <f aca="false">IF((E39="v"),H39," ")</f>
        <v>120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 t="n">
        <v>46112</v>
      </c>
      <c r="B40" s="2" t="s">
        <v>16</v>
      </c>
      <c r="E40" s="5" t="s">
        <v>110</v>
      </c>
      <c r="F40" s="46" t="n">
        <v>300</v>
      </c>
      <c r="H40" s="6" t="n">
        <f aca="false">IF((F40&lt;&gt;0),F40-G40," ")</f>
        <v>300</v>
      </c>
      <c r="I40" s="5"/>
      <c r="L40" s="7" t="n">
        <f aca="false">IF(F40&lt;&gt;0,F40-K40," ")</f>
        <v>300</v>
      </c>
      <c r="M40" s="8" t="n">
        <f aca="false">IF((F40-K40)&lt;&gt;0,M$1-A40," ")</f>
        <v>20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n">
        <f aca="false">IF((E40="l"),H40," ")</f>
        <v>300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4396.5</v>
      </c>
      <c r="G1" s="12" t="n">
        <f aca="false">SUM(G5:G300)</f>
        <v>0</v>
      </c>
      <c r="H1" s="12" t="n">
        <f aca="false">SUM(H5:H300)</f>
        <v>4396.5</v>
      </c>
      <c r="I1" s="13"/>
      <c r="J1" s="14" t="s">
        <v>2</v>
      </c>
      <c r="K1" s="15" t="n">
        <f aca="false">SUM(K5:K300)</f>
        <v>0</v>
      </c>
      <c r="L1" s="15" t="n">
        <f aca="false">SUM(L5:L300)</f>
        <v>4396.5</v>
      </c>
      <c r="M1" s="16" t="n">
        <f aca="true">TODAY()</f>
        <v>46132</v>
      </c>
      <c r="N1" s="13"/>
      <c r="O1" s="12" t="n">
        <f aca="false">SUM(O5:O300)</f>
        <v>660</v>
      </c>
      <c r="P1" s="12" t="n">
        <f aca="false">SUM(P5:P300)</f>
        <v>0</v>
      </c>
      <c r="Q1" s="12" t="n">
        <f aca="false">SUM(Q5:Q300)</f>
        <v>285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0</v>
      </c>
      <c r="W1" s="12" t="n">
        <f aca="false">SUM(W5:W300)</f>
        <v>360</v>
      </c>
      <c r="X1" s="12" t="n">
        <f aca="false">SUM(X5:X300)</f>
        <v>360</v>
      </c>
      <c r="Y1" s="12" t="n">
        <f aca="false">SUM(Y5:Y300)</f>
        <v>133</v>
      </c>
      <c r="Z1" s="12" t="n">
        <f aca="false">SUM(Z5:Z300)</f>
        <v>0</v>
      </c>
      <c r="AA1" s="12" t="n">
        <f aca="false">SUM(AA5:AA300)</f>
        <v>135</v>
      </c>
      <c r="AB1" s="12" t="n">
        <f aca="false">SUM(AB5:AB300)</f>
        <v>368</v>
      </c>
      <c r="AC1" s="12" t="n">
        <f aca="false">SUM(AC5:AC300)</f>
        <v>595.5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300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IF([2]Apr!$G$4&gt;0,0,[2]Apr!$G$2)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46113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19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46113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19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46113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19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46113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19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46113</v>
      </c>
      <c r="B9" s="2" t="s">
        <v>81</v>
      </c>
      <c r="E9" s="5" t="s">
        <v>78</v>
      </c>
      <c r="F9" s="46" t="n">
        <v>24</v>
      </c>
      <c r="H9" s="6" t="n">
        <f aca="false">IF((F9&lt;&gt;0),F9-G9," ")</f>
        <v>24</v>
      </c>
      <c r="I9" s="5"/>
      <c r="L9" s="7" t="n">
        <f aca="false">IF(F9&lt;&gt;0,F9-K9," ")</f>
        <v>24</v>
      </c>
      <c r="M9" s="8" t="n">
        <f aca="false">IF((F9-K9)&lt;&gt;0,M$1-A9," ")</f>
        <v>19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24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46113</v>
      </c>
      <c r="B10" s="2" t="s">
        <v>82</v>
      </c>
      <c r="E10" s="5" t="s">
        <v>75</v>
      </c>
      <c r="F10" s="46" t="n">
        <v>18</v>
      </c>
      <c r="H10" s="6" t="n">
        <f aca="false">IF((F10&lt;&gt;0),F10-G10," ")</f>
        <v>18</v>
      </c>
      <c r="I10" s="5"/>
      <c r="L10" s="7" t="n">
        <f aca="false">IF(F10&lt;&gt;0,F10-K10," ")</f>
        <v>18</v>
      </c>
      <c r="M10" s="8" t="n">
        <f aca="false">IF((F10-K10)&lt;&gt;0,M$1-A10," ")</f>
        <v>19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18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46115</v>
      </c>
      <c r="B11" s="2" t="s">
        <v>83</v>
      </c>
      <c r="E11" s="5" t="s">
        <v>78</v>
      </c>
      <c r="F11" s="46" t="n">
        <v>180</v>
      </c>
      <c r="H11" s="6" t="n">
        <f aca="false">IF((F11&lt;&gt;0),F11-G11," ")</f>
        <v>180</v>
      </c>
      <c r="I11" s="5"/>
      <c r="L11" s="7" t="n">
        <f aca="false">IF(F11&lt;&gt;0,F11-K11," ")</f>
        <v>180</v>
      </c>
      <c r="M11" s="8" t="n">
        <f aca="false">IF((F11-K11)&lt;&gt;0,M$1-A11," ")</f>
        <v>17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180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46115</v>
      </c>
      <c r="B12" s="2" t="s">
        <v>84</v>
      </c>
      <c r="E12" s="5" t="s">
        <v>85</v>
      </c>
      <c r="F12" s="46" t="n">
        <v>22</v>
      </c>
      <c r="H12" s="6" t="n">
        <f aca="false">IF((F12&lt;&gt;0),F12-G12," ")</f>
        <v>22</v>
      </c>
      <c r="I12" s="5"/>
      <c r="L12" s="7" t="n">
        <f aca="false">IF(F12&lt;&gt;0,F12-K12," ")</f>
        <v>22</v>
      </c>
      <c r="M12" s="8" t="n">
        <f aca="false">IF((F12-K12)&lt;&gt;0,M$1-A12," ")</f>
        <v>17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22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46117</v>
      </c>
      <c r="B13" s="2" t="s">
        <v>86</v>
      </c>
      <c r="E13" s="5" t="s">
        <v>85</v>
      </c>
      <c r="F13" s="46" t="n">
        <v>24</v>
      </c>
      <c r="H13" s="6" t="n">
        <f aca="false">IF((F13&lt;&gt;0),F13-G13," ")</f>
        <v>24</v>
      </c>
      <c r="I13" s="5"/>
      <c r="L13" s="7" t="n">
        <f aca="false">IF(F13&lt;&gt;0,F13-K13," ")</f>
        <v>24</v>
      </c>
      <c r="M13" s="8" t="n">
        <f aca="false">IF((F13-K13)&lt;&gt;0,M$1-A13," ")</f>
        <v>15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24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46117</v>
      </c>
      <c r="B14" s="2" t="s">
        <v>87</v>
      </c>
      <c r="E14" s="5" t="s">
        <v>88</v>
      </c>
      <c r="F14" s="46" t="n">
        <v>180</v>
      </c>
      <c r="H14" s="6" t="n">
        <f aca="false">IF((F14&lt;&gt;0),F14-G14," ")</f>
        <v>180</v>
      </c>
      <c r="I14" s="5"/>
      <c r="L14" s="7" t="n">
        <f aca="false">IF(F14&lt;&gt;0,F14-K14," ")</f>
        <v>180</v>
      </c>
      <c r="M14" s="8" t="n">
        <f aca="false">IF((F14-K14)&lt;&gt;0,M$1-A14," ")</f>
        <v>15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n">
        <f aca="false">IF((E14="v"),H14," ")</f>
        <v>180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46117</v>
      </c>
      <c r="B15" s="2" t="s">
        <v>89</v>
      </c>
      <c r="E15" s="5" t="s">
        <v>78</v>
      </c>
      <c r="F15" s="46" t="n">
        <v>36</v>
      </c>
      <c r="H15" s="6" t="n">
        <f aca="false">IF((F15&lt;&gt;0),F15-G15," ")</f>
        <v>36</v>
      </c>
      <c r="I15" s="5"/>
      <c r="L15" s="7" t="n">
        <f aca="false">IF(F15&lt;&gt;0,F15-K15," ")</f>
        <v>36</v>
      </c>
      <c r="M15" s="8" t="n">
        <f aca="false">IF((F15-K15)&lt;&gt;0,M$1-A15," ")</f>
        <v>15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n">
        <f aca="false">IF((E15="o"),H15," ")</f>
        <v>36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46" t="str">
        <f aca="false">IF((E15="v"),H15," ")</f>
        <v> 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46118</v>
      </c>
      <c r="B16" s="2" t="s">
        <v>111</v>
      </c>
      <c r="E16" s="5" t="s">
        <v>91</v>
      </c>
      <c r="F16" s="46" t="n">
        <v>36</v>
      </c>
      <c r="H16" s="6" t="n">
        <f aca="false">IF((F16&lt;&gt;0),F16-G16," ")</f>
        <v>36</v>
      </c>
      <c r="I16" s="5"/>
      <c r="L16" s="7" t="n">
        <f aca="false">IF(F16&lt;&gt;0,F16-K16," ")</f>
        <v>36</v>
      </c>
      <c r="M16" s="8" t="n">
        <f aca="false">IF((F16-K16)&lt;&gt;0,M$1-A16," ")</f>
        <v>14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36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46120</v>
      </c>
      <c r="B17" s="2" t="s">
        <v>90</v>
      </c>
      <c r="E17" s="5" t="s">
        <v>91</v>
      </c>
      <c r="F17" s="46" t="n">
        <v>48</v>
      </c>
      <c r="H17" s="6" t="n">
        <f aca="false">IF((F17&lt;&gt;0),F17-G17," ")</f>
        <v>48</v>
      </c>
      <c r="I17" s="5"/>
      <c r="L17" s="7" t="n">
        <f aca="false">IF(F17&lt;&gt;0,F17-K17," ")</f>
        <v>48</v>
      </c>
      <c r="M17" s="8" t="n">
        <f aca="false">IF((F17-K17)&lt;&gt;0,M$1-A17," ")</f>
        <v>12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48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46122</v>
      </c>
      <c r="B18" s="2" t="s">
        <v>92</v>
      </c>
      <c r="E18" s="5" t="s">
        <v>85</v>
      </c>
      <c r="F18" s="46" t="n">
        <v>36</v>
      </c>
      <c r="H18" s="6" t="n">
        <f aca="false">IF((F18&lt;&gt;0),F18-G18," ")</f>
        <v>36</v>
      </c>
      <c r="I18" s="5"/>
      <c r="L18" s="7" t="n">
        <f aca="false">IF(F18&lt;&gt;0,F18-K18," ")</f>
        <v>36</v>
      </c>
      <c r="M18" s="8" t="n">
        <f aca="false">IF((F18-K18)&lt;&gt;0,M$1-A18," ")</f>
        <v>10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36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46124</v>
      </c>
      <c r="B19" s="2" t="s">
        <v>97</v>
      </c>
      <c r="E19" s="5" t="s">
        <v>88</v>
      </c>
      <c r="F19" s="46" t="n">
        <v>18</v>
      </c>
      <c r="H19" s="6" t="n">
        <f aca="false">IF((F19&lt;&gt;0),F19-G19," ")</f>
        <v>18</v>
      </c>
      <c r="I19" s="5"/>
      <c r="L19" s="7" t="n">
        <f aca="false">IF(F19&lt;&gt;0,F19-K19," ")</f>
        <v>18</v>
      </c>
      <c r="M19" s="8" t="n">
        <f aca="false">IF((F19-K19)&lt;&gt;0,M$1-A19," ")</f>
        <v>8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46" t="n">
        <f aca="false">IF((E19="v"),H19," ")</f>
        <v>18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46124</v>
      </c>
      <c r="B20" s="2" t="s">
        <v>135</v>
      </c>
      <c r="E20" s="5" t="s">
        <v>113</v>
      </c>
      <c r="F20" s="46" t="n">
        <v>360</v>
      </c>
      <c r="H20" s="6" t="n">
        <f aca="false">IF((F20&lt;&gt;0),F20-G20," ")</f>
        <v>360</v>
      </c>
      <c r="I20" s="5"/>
      <c r="L20" s="7" t="n">
        <f aca="false">IF(F20&lt;&gt;0,F20-K20," ")</f>
        <v>360</v>
      </c>
      <c r="M20" s="8" t="n">
        <f aca="false">IF((F20-K20)&lt;&gt;0,M$1-A20," ")</f>
        <v>8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n">
        <f aca="false">IF((E20="q"),H20," ")</f>
        <v>360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46126</v>
      </c>
      <c r="B21" s="2" t="s">
        <v>98</v>
      </c>
      <c r="E21" s="5" t="s">
        <v>85</v>
      </c>
      <c r="F21" s="46" t="n">
        <v>18</v>
      </c>
      <c r="H21" s="6" t="n">
        <f aca="false">IF((F21&lt;&gt;0),F21-G21," ")</f>
        <v>18</v>
      </c>
      <c r="I21" s="5"/>
      <c r="L21" s="7" t="n">
        <f aca="false">IF(F21&lt;&gt;0,F21-K21," ")</f>
        <v>18</v>
      </c>
      <c r="M21" s="8" t="n">
        <f aca="false">IF((F21-K21)&lt;&gt;0,M$1-A21," ")</f>
        <v>6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n">
        <f aca="false">IF((E21="u"),H21," ")</f>
        <v>18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46" t="str">
        <f aca="false">IF((E21="v"),H21," ")</f>
        <v> 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46126</v>
      </c>
      <c r="B22" s="2" t="s">
        <v>99</v>
      </c>
      <c r="E22" s="5" t="s">
        <v>91</v>
      </c>
      <c r="F22" s="46" t="n">
        <v>24</v>
      </c>
      <c r="H22" s="6" t="n">
        <f aca="false">IF((F22&lt;&gt;0),F22-G22," ")</f>
        <v>24</v>
      </c>
      <c r="I22" s="5"/>
      <c r="L22" s="7" t="n">
        <f aca="false">IF(F22&lt;&gt;0,F22-K22," ")</f>
        <v>24</v>
      </c>
      <c r="M22" s="8" t="n">
        <f aca="false">IF((F22-K22)&lt;&gt;0,M$1-A22," ")</f>
        <v>6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24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46126</v>
      </c>
      <c r="B23" s="2" t="s">
        <v>100</v>
      </c>
      <c r="E23" s="5" t="s">
        <v>91</v>
      </c>
      <c r="F23" s="46" t="n">
        <v>12</v>
      </c>
      <c r="H23" s="6" t="n">
        <f aca="false">IF((F23&lt;&gt;0),F23-G23," ")</f>
        <v>12</v>
      </c>
      <c r="I23" s="5"/>
      <c r="L23" s="7" t="n">
        <f aca="false">IF(F23&lt;&gt;0,F23-K23," ")</f>
        <v>12</v>
      </c>
      <c r="M23" s="8" t="n">
        <f aca="false">IF((F23-K23)&lt;&gt;0,M$1-A23," ")</f>
        <v>6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n">
        <f aca="false">IF((E23="h"),H23," ")</f>
        <v>12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46127</v>
      </c>
      <c r="B24" s="2" t="s">
        <v>20</v>
      </c>
      <c r="E24" s="5" t="s">
        <v>88</v>
      </c>
      <c r="F24" s="46" t="n">
        <v>150</v>
      </c>
      <c r="H24" s="6" t="n">
        <f aca="false">IF((F24&lt;&gt;0),F24-G24," ")</f>
        <v>150</v>
      </c>
      <c r="I24" s="5"/>
      <c r="L24" s="7" t="n">
        <f aca="false">IF(F24&lt;&gt;0,F24-K24," ")</f>
        <v>150</v>
      </c>
      <c r="M24" s="8" t="n">
        <f aca="false">IF((F24-K24)&lt;&gt;0,M$1-A24," ")</f>
        <v>5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46" t="n">
        <f aca="false">IF((E24="v"),H24," ")</f>
        <v>150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46127</v>
      </c>
      <c r="B25" s="2" t="s">
        <v>101</v>
      </c>
      <c r="E25" s="5" t="s">
        <v>75</v>
      </c>
      <c r="F25" s="46" t="n">
        <v>12</v>
      </c>
      <c r="H25" s="6" t="n">
        <f aca="false">IF((F25&lt;&gt;0),F25-G25," ")</f>
        <v>12</v>
      </c>
      <c r="I25" s="5"/>
      <c r="L25" s="7" t="n">
        <f aca="false">IF(F25&lt;&gt;0,F25-K25," ")</f>
        <v>12</v>
      </c>
      <c r="M25" s="8" t="n">
        <f aca="false">IF((F25-K25)&lt;&gt;0,M$1-A25," ")</f>
        <v>5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n">
        <f aca="false">IF((E25="g"),H25," ")</f>
        <v>12</v>
      </c>
      <c r="AB25" s="17" t="str">
        <f aca="false">IF((E25="h"),H25," ")</f>
        <v> 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46127</v>
      </c>
      <c r="B26" s="2" t="s">
        <v>116</v>
      </c>
      <c r="E26" s="5" t="s">
        <v>96</v>
      </c>
      <c r="F26" s="46" t="n">
        <v>420</v>
      </c>
      <c r="H26" s="6" t="n">
        <f aca="false">IF((F26&lt;&gt;0),F26-G26," ")</f>
        <v>420</v>
      </c>
      <c r="I26" s="5"/>
      <c r="L26" s="7" t="n">
        <f aca="false">IF(F26&lt;&gt;0,F26-K26," ")</f>
        <v>420</v>
      </c>
      <c r="M26" s="8" t="n">
        <f aca="false">IF((F26-K26)&lt;&gt;0,M$1-A26," ")</f>
        <v>5</v>
      </c>
      <c r="N26" s="5"/>
      <c r="O26" s="17" t="n">
        <f aca="false">IF((E26="s"),H26," ")</f>
        <v>420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46130</v>
      </c>
      <c r="B27" s="2" t="s">
        <v>138</v>
      </c>
      <c r="E27" s="5" t="s">
        <v>105</v>
      </c>
      <c r="F27" s="46" t="n">
        <v>360</v>
      </c>
      <c r="H27" s="6" t="n">
        <f aca="false">IF((F27&lt;&gt;0),F27-G27," ")</f>
        <v>360</v>
      </c>
      <c r="I27" s="5"/>
      <c r="L27" s="7" t="n">
        <f aca="false">IF(F27&lt;&gt;0,F27-K27," ")</f>
        <v>360</v>
      </c>
      <c r="M27" s="8" t="n">
        <f aca="false">IF((F27-K27)&lt;&gt;0,M$1-A27," ")</f>
        <v>2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n">
        <f aca="false">IF((E27="m"),H27," ")</f>
        <v>360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46" t="str">
        <f aca="false">IF((E27="v"),H27," ")</f>
        <v> 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46130</v>
      </c>
      <c r="B28" s="2" t="s">
        <v>127</v>
      </c>
      <c r="E28" s="5" t="s">
        <v>91</v>
      </c>
      <c r="F28" s="46" t="n">
        <v>240</v>
      </c>
      <c r="H28" s="6" t="n">
        <f aca="false">IF((F28&lt;&gt;0),F28-G28," ")</f>
        <v>240</v>
      </c>
      <c r="I28" s="5"/>
      <c r="L28" s="7" t="n">
        <f aca="false">IF(F28&lt;&gt;0,F28-K28," ")</f>
        <v>240</v>
      </c>
      <c r="M28" s="8" t="n">
        <f aca="false">IF((F28-K28)&lt;&gt;0,M$1-A28," ")</f>
        <v>2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str">
        <f aca="false">IF((E28="g"),H28," ")</f>
        <v> </v>
      </c>
      <c r="AB28" s="17" t="n">
        <f aca="false">IF((E28="h"),H28," ")</f>
        <v>240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46130</v>
      </c>
      <c r="B29" s="2" t="s">
        <v>102</v>
      </c>
      <c r="E29" s="5" t="s">
        <v>88</v>
      </c>
      <c r="F29" s="46" t="n">
        <v>96</v>
      </c>
      <c r="H29" s="6" t="n">
        <f aca="false">IF((F29&lt;&gt;0),F29-G29," ")</f>
        <v>96</v>
      </c>
      <c r="I29" s="5"/>
      <c r="L29" s="7" t="n">
        <f aca="false">IF(F29&lt;&gt;0,F29-K29," ")</f>
        <v>96</v>
      </c>
      <c r="M29" s="8" t="n">
        <f aca="false">IF((F29-K29)&lt;&gt;0,M$1-A29," ")</f>
        <v>2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46" t="n">
        <f aca="false">IF((E29="v"),H29," ")</f>
        <v>96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46132</v>
      </c>
      <c r="B30" s="2" t="s">
        <v>103</v>
      </c>
      <c r="E30" s="5" t="s">
        <v>75</v>
      </c>
      <c r="F30" s="46" t="n">
        <v>60</v>
      </c>
      <c r="H30" s="6" t="n">
        <f aca="false">IF((F30&lt;&gt;0),F30-G30," ")</f>
        <v>60</v>
      </c>
      <c r="I30" s="5"/>
      <c r="L30" s="7" t="n">
        <f aca="false">IF(F30&lt;&gt;0,F30-K30," ")</f>
        <v>60</v>
      </c>
      <c r="M30" s="8" t="n">
        <f aca="false">IF((F30-K30)&lt;&gt;0,M$1-A30," ")</f>
        <v>0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n">
        <f aca="false">IF((E30="g"),H30," ")</f>
        <v>60</v>
      </c>
      <c r="AB30" s="17" t="str">
        <f aca="false">IF((E30="h"),H30," ")</f>
        <v> 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46132</v>
      </c>
      <c r="B31" s="2" t="s">
        <v>122</v>
      </c>
      <c r="E31" s="5" t="s">
        <v>96</v>
      </c>
      <c r="F31" s="46" t="n">
        <v>240</v>
      </c>
      <c r="H31" s="6" t="n">
        <f aca="false">IF((F31&lt;&gt;0),F31-G31," ")</f>
        <v>240</v>
      </c>
      <c r="I31" s="5"/>
      <c r="L31" s="7" t="n">
        <f aca="false">IF(F31&lt;&gt;0,F31-K31," ")</f>
        <v>240</v>
      </c>
      <c r="M31" s="8" t="n">
        <f aca="false">IF((F31-K31)&lt;&gt;0,M$1-A31," ")</f>
        <v>0</v>
      </c>
      <c r="N31" s="5"/>
      <c r="O31" s="17" t="n">
        <f aca="false">IF((E31="s"),H31," ")</f>
        <v>240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46133</v>
      </c>
      <c r="B32" s="2" t="s">
        <v>106</v>
      </c>
      <c r="E32" s="5" t="s">
        <v>91</v>
      </c>
      <c r="F32" s="46" t="n">
        <v>8</v>
      </c>
      <c r="H32" s="6" t="n">
        <f aca="false">IF((F32&lt;&gt;0),F32-G32," ")</f>
        <v>8</v>
      </c>
      <c r="I32" s="5"/>
      <c r="L32" s="7" t="n">
        <f aca="false">IF(F32&lt;&gt;0,F32-K32," ")</f>
        <v>8</v>
      </c>
      <c r="M32" s="8" t="n">
        <f aca="false">IF((F32-K32)&lt;&gt;0,M$1-A32," ")</f>
        <v>-1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n">
        <f aca="false">IF((E32="h"),H32," ")</f>
        <v>8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46134</v>
      </c>
      <c r="B33" s="2" t="s">
        <v>107</v>
      </c>
      <c r="E33" s="5" t="s">
        <v>85</v>
      </c>
      <c r="F33" s="46" t="n">
        <v>18</v>
      </c>
      <c r="H33" s="6" t="n">
        <f aca="false">IF((F33&lt;&gt;0),F33-G33," ")</f>
        <v>18</v>
      </c>
      <c r="I33" s="5"/>
      <c r="L33" s="7" t="n">
        <f aca="false">IF(F33&lt;&gt;0,F33-K33," ")</f>
        <v>18</v>
      </c>
      <c r="M33" s="8" t="n">
        <f aca="false">IF((F33-K33)&lt;&gt;0,M$1-A33," ")</f>
        <v>-2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n">
        <f aca="false">IF((E33="u"),H33," ")</f>
        <v>18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str">
        <f aca="false">IF((E33="v"),H33," ")</f>
        <v> 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46137</v>
      </c>
      <c r="B34" s="2" t="s">
        <v>108</v>
      </c>
      <c r="E34" s="5" t="s">
        <v>85</v>
      </c>
      <c r="F34" s="46" t="n">
        <v>15</v>
      </c>
      <c r="H34" s="6" t="n">
        <f aca="false">IF((F34&lt;&gt;0),F34-G34," ")</f>
        <v>15</v>
      </c>
      <c r="I34" s="5"/>
      <c r="L34" s="7" t="n">
        <f aca="false">IF(F34&lt;&gt;0,F34-K34," ")</f>
        <v>15</v>
      </c>
      <c r="M34" s="8" t="n">
        <f aca="false">IF((F34-K34)&lt;&gt;0,M$1-A34," ")</f>
        <v>-5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n">
        <f aca="false">IF((E34="u"),H34," ")</f>
        <v>15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str">
        <f aca="false">IF((E34="v"),H34," ")</f>
        <v> 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46137</v>
      </c>
      <c r="B35" s="2" t="s">
        <v>109</v>
      </c>
      <c r="E35" s="5" t="s">
        <v>88</v>
      </c>
      <c r="F35" s="46" t="n">
        <v>31.5</v>
      </c>
      <c r="H35" s="6" t="n">
        <f aca="false">IF((F35&lt;&gt;0),F35-G35," ")</f>
        <v>31.5</v>
      </c>
      <c r="I35" s="5"/>
      <c r="L35" s="7" t="n">
        <f aca="false">IF(F35&lt;&gt;0,F35-K35," ")</f>
        <v>31.5</v>
      </c>
      <c r="M35" s="8" t="n">
        <f aca="false">IF((F35-K35)&lt;&gt;0,M$1-A35," ")</f>
        <v>-5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n">
        <f aca="false">IF((E35="v"),H35," ")</f>
        <v>31.5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46140</v>
      </c>
      <c r="B36" s="2" t="s">
        <v>16</v>
      </c>
      <c r="E36" s="5" t="s">
        <v>110</v>
      </c>
      <c r="F36" s="46" t="n">
        <v>300</v>
      </c>
      <c r="H36" s="6" t="n">
        <f aca="false">IF((F36&lt;&gt;0),F36-G36," ")</f>
        <v>300</v>
      </c>
      <c r="I36" s="5"/>
      <c r="L36" s="7" t="n">
        <f aca="false">IF(F36&lt;&gt;0,F36-K36," ")</f>
        <v>300</v>
      </c>
      <c r="M36" s="8" t="n">
        <f aca="false">IF((F36-K36)&lt;&gt;0,M$1-A36," ")</f>
        <v>-8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str">
        <f aca="false">IF((E36="v"),H36," ")</f>
        <v> </v>
      </c>
      <c r="AD36" s="46" t="str">
        <f aca="false">IF((E36="n"),H36," ")</f>
        <v> </v>
      </c>
      <c r="AE36" s="17" t="str">
        <f aca="false">IF((E36="f"),H36," ")</f>
        <v> </v>
      </c>
      <c r="AF36" s="17" t="n">
        <f aca="false">IF((E36="l"),H36," ")</f>
        <v>300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46140</v>
      </c>
      <c r="B37" s="2" t="s">
        <v>20</v>
      </c>
      <c r="E37" s="5" t="s">
        <v>88</v>
      </c>
      <c r="F37" s="46" t="n">
        <v>120</v>
      </c>
      <c r="H37" s="6" t="n">
        <f aca="false">IF((F37&lt;&gt;0),F37-G37," ")</f>
        <v>120</v>
      </c>
      <c r="I37" s="5"/>
      <c r="L37" s="7" t="n">
        <f aca="false">IF(F37&lt;&gt;0,F37-K37," ")</f>
        <v>120</v>
      </c>
      <c r="M37" s="8" t="n">
        <f aca="false">IF((F37-K37)&lt;&gt;0,M$1-A37," ")</f>
        <v>-8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n">
        <f aca="false">IF((E37="v"),H37," ")</f>
        <v>120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46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3726.5</v>
      </c>
      <c r="G1" s="12" t="n">
        <f aca="false">SUM(G5:G300)</f>
        <v>0</v>
      </c>
      <c r="H1" s="12" t="n">
        <f aca="false">SUM(H5:H300)</f>
        <v>3726.5</v>
      </c>
      <c r="I1" s="13"/>
      <c r="J1" s="14" t="s">
        <v>2</v>
      </c>
      <c r="K1" s="15" t="n">
        <f aca="false">SUM(K5:K300)</f>
        <v>0</v>
      </c>
      <c r="L1" s="15" t="n">
        <f aca="false">SUM(L5:L300)</f>
        <v>3726.5</v>
      </c>
      <c r="M1" s="16" t="n">
        <f aca="true">TODAY()</f>
        <v>46132</v>
      </c>
      <c r="N1" s="13"/>
      <c r="O1" s="12" t="n">
        <f aca="false">SUM(O5:O300)</f>
        <v>300</v>
      </c>
      <c r="P1" s="12" t="n">
        <f aca="false">SUM(P5:P300)</f>
        <v>0</v>
      </c>
      <c r="Q1" s="12" t="n">
        <f aca="false">SUM(Q5:Q300)</f>
        <v>249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360</v>
      </c>
      <c r="V1" s="12" t="n">
        <f aca="false">SUM(V5:V300)</f>
        <v>144</v>
      </c>
      <c r="W1" s="12" t="n">
        <f aca="false">SUM(W5:W300)</f>
        <v>0</v>
      </c>
      <c r="X1" s="12" t="n">
        <f aca="false">SUM(X5:X300)</f>
        <v>0</v>
      </c>
      <c r="Y1" s="12" t="n">
        <f aca="false">SUM(Y5:Y300)</f>
        <v>115</v>
      </c>
      <c r="Z1" s="12" t="n">
        <f aca="false">SUM(Z5:Z300)</f>
        <v>0</v>
      </c>
      <c r="AA1" s="12" t="n">
        <f aca="false">SUM(AA5:AA300)</f>
        <v>159</v>
      </c>
      <c r="AB1" s="12" t="n">
        <f aca="false">SUM(AB5:AB300)</f>
        <v>92</v>
      </c>
      <c r="AC1" s="12" t="n">
        <f aca="false">SUM(AC5:AC300)</f>
        <v>682.5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425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IF([2]May!$G$4&gt;0,0,[2]May!$G$2)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51" t="n">
        <f aca="false">Jun!AI1+Jul!AI1+Aug!AI1+Sep!AI1+Oct!AI1+Nov!AI1+Dec!AI1+Jan!AI1+Feb!AI1+Mar!AI1+Apr!AI1+May!AI1</f>
        <v>39000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51" t="s">
        <v>42</v>
      </c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46143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-11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46143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-11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46143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-11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46143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-11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46143</v>
      </c>
      <c r="B9" s="2" t="s">
        <v>81</v>
      </c>
      <c r="E9" s="5" t="s">
        <v>78</v>
      </c>
      <c r="F9" s="46" t="n">
        <v>24</v>
      </c>
      <c r="H9" s="6" t="n">
        <f aca="false">IF((F9&lt;&gt;0),F9-G9," ")</f>
        <v>24</v>
      </c>
      <c r="I9" s="5"/>
      <c r="L9" s="7" t="n">
        <f aca="false">IF(F9&lt;&gt;0,F9-K9," ")</f>
        <v>24</v>
      </c>
      <c r="M9" s="8" t="n">
        <f aca="false">IF((F9-K9)&lt;&gt;0,M$1-A9," ")</f>
        <v>-11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24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46143</v>
      </c>
      <c r="B10" s="2" t="s">
        <v>82</v>
      </c>
      <c r="E10" s="5" t="s">
        <v>75</v>
      </c>
      <c r="F10" s="46" t="n">
        <v>18</v>
      </c>
      <c r="H10" s="6" t="n">
        <f aca="false">IF((F10&lt;&gt;0),F10-G10," ")</f>
        <v>18</v>
      </c>
      <c r="I10" s="5"/>
      <c r="L10" s="7" t="n">
        <f aca="false">IF(F10&lt;&gt;0,F10-K10," ")</f>
        <v>18</v>
      </c>
      <c r="M10" s="8" t="n">
        <f aca="false">IF((F10-K10)&lt;&gt;0,M$1-A10," ")</f>
        <v>-11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18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46145</v>
      </c>
      <c r="B11" s="2" t="s">
        <v>83</v>
      </c>
      <c r="E11" s="5" t="s">
        <v>78</v>
      </c>
      <c r="F11" s="46" t="n">
        <v>180</v>
      </c>
      <c r="H11" s="6" t="n">
        <f aca="false">IF((F11&lt;&gt;0),F11-G11," ")</f>
        <v>180</v>
      </c>
      <c r="I11" s="5"/>
      <c r="L11" s="7" t="n">
        <f aca="false">IF(F11&lt;&gt;0,F11-K11," ")</f>
        <v>180</v>
      </c>
      <c r="M11" s="8" t="n">
        <f aca="false">IF((F11-K11)&lt;&gt;0,M$1-A11," ")</f>
        <v>-13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180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46145</v>
      </c>
      <c r="B12" s="2" t="s">
        <v>84</v>
      </c>
      <c r="E12" s="5" t="s">
        <v>85</v>
      </c>
      <c r="F12" s="46" t="n">
        <v>22</v>
      </c>
      <c r="H12" s="6" t="n">
        <f aca="false">IF((F12&lt;&gt;0),F12-G12," ")</f>
        <v>22</v>
      </c>
      <c r="I12" s="5"/>
      <c r="L12" s="7" t="n">
        <f aca="false">IF(F12&lt;&gt;0,F12-K12," ")</f>
        <v>22</v>
      </c>
      <c r="M12" s="8" t="n">
        <f aca="false">IF((F12-K12)&lt;&gt;0,M$1-A12," ")</f>
        <v>-13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22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46147</v>
      </c>
      <c r="B13" s="2" t="s">
        <v>86</v>
      </c>
      <c r="E13" s="5" t="s">
        <v>85</v>
      </c>
      <c r="F13" s="46" t="n">
        <v>24</v>
      </c>
      <c r="H13" s="6" t="n">
        <f aca="false">IF((F13&lt;&gt;0),F13-G13," ")</f>
        <v>24</v>
      </c>
      <c r="I13" s="5"/>
      <c r="L13" s="7" t="n">
        <f aca="false">IF(F13&lt;&gt;0,F13-K13," ")</f>
        <v>24</v>
      </c>
      <c r="M13" s="8" t="n">
        <f aca="false">IF((F13-K13)&lt;&gt;0,M$1-A13," ")</f>
        <v>-15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24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46147</v>
      </c>
      <c r="B14" s="2" t="s">
        <v>87</v>
      </c>
      <c r="E14" s="5" t="s">
        <v>88</v>
      </c>
      <c r="F14" s="46" t="n">
        <v>180</v>
      </c>
      <c r="H14" s="6" t="n">
        <f aca="false">IF((F14&lt;&gt;0),F14-G14," ")</f>
        <v>180</v>
      </c>
      <c r="I14" s="5"/>
      <c r="L14" s="7" t="n">
        <f aca="false">IF(F14&lt;&gt;0,F14-K14," ")</f>
        <v>180</v>
      </c>
      <c r="M14" s="8" t="n">
        <f aca="false">IF((F14-K14)&lt;&gt;0,M$1-A14," ")</f>
        <v>-15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n">
        <f aca="false">IF((E14="v"),H14," ")</f>
        <v>180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46150</v>
      </c>
      <c r="B15" s="2" t="s">
        <v>90</v>
      </c>
      <c r="E15" s="5" t="s">
        <v>91</v>
      </c>
      <c r="F15" s="46" t="n">
        <v>48</v>
      </c>
      <c r="H15" s="6" t="n">
        <f aca="false">IF((F15&lt;&gt;0),F15-G15," ")</f>
        <v>48</v>
      </c>
      <c r="I15" s="5"/>
      <c r="L15" s="7" t="n">
        <f aca="false">IF(F15&lt;&gt;0,F15-K15," ")</f>
        <v>48</v>
      </c>
      <c r="M15" s="8" t="n">
        <f aca="false">IF((F15-K15)&lt;&gt;0,M$1-A15," ")</f>
        <v>-18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n">
        <f aca="false">IF((E15="h"),H15," ")</f>
        <v>48</v>
      </c>
      <c r="AC15" s="46" t="str">
        <f aca="false">IF((E15="v"),H15," ")</f>
        <v> 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46152</v>
      </c>
      <c r="B16" s="2" t="s">
        <v>92</v>
      </c>
      <c r="E16" s="5" t="s">
        <v>85</v>
      </c>
      <c r="F16" s="46" t="n">
        <v>36</v>
      </c>
      <c r="H16" s="6" t="n">
        <f aca="false">IF((F16&lt;&gt;0),F16-G16," ")</f>
        <v>36</v>
      </c>
      <c r="I16" s="5"/>
      <c r="L16" s="7" t="n">
        <f aca="false">IF(F16&lt;&gt;0,F16-K16," ")</f>
        <v>36</v>
      </c>
      <c r="M16" s="8" t="n">
        <f aca="false">IF((F16-K16)&lt;&gt;0,M$1-A16," ")</f>
        <v>-20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n">
        <f aca="false">IF((E16="u"),H16," ")</f>
        <v>36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46152</v>
      </c>
      <c r="B17" s="2" t="s">
        <v>101</v>
      </c>
      <c r="E17" s="5" t="s">
        <v>121</v>
      </c>
      <c r="F17" s="46" t="n">
        <v>144</v>
      </c>
      <c r="H17" s="6" t="n">
        <f aca="false">IF((F17&lt;&gt;0),F17-G17," ")</f>
        <v>144</v>
      </c>
      <c r="I17" s="5"/>
      <c r="L17" s="7" t="n">
        <f aca="false">IF(F17&lt;&gt;0,F17-K17," ")</f>
        <v>144</v>
      </c>
      <c r="M17" s="8" t="n">
        <f aca="false">IF((F17-K17)&lt;&gt;0,M$1-A17," ")</f>
        <v>-20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n">
        <f aca="false">IF((E17="t"),H17," ")</f>
        <v>144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46154</v>
      </c>
      <c r="B18" s="2" t="s">
        <v>97</v>
      </c>
      <c r="E18" s="5" t="s">
        <v>88</v>
      </c>
      <c r="F18" s="46" t="n">
        <v>18</v>
      </c>
      <c r="H18" s="6" t="n">
        <f aca="false">IF((F18&lt;&gt;0),F18-G18," ")</f>
        <v>18</v>
      </c>
      <c r="I18" s="5"/>
      <c r="L18" s="7" t="n">
        <f aca="false">IF(F18&lt;&gt;0,F18-K18," ")</f>
        <v>18</v>
      </c>
      <c r="M18" s="8" t="n">
        <f aca="false">IF((F18-K18)&lt;&gt;0,M$1-A18," ")</f>
        <v>-22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n">
        <f aca="false">IF((E18="v"),H18," ")</f>
        <v>18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46156</v>
      </c>
      <c r="B19" s="2" t="s">
        <v>99</v>
      </c>
      <c r="E19" s="5" t="s">
        <v>91</v>
      </c>
      <c r="F19" s="46" t="n">
        <v>24</v>
      </c>
      <c r="H19" s="6" t="n">
        <f aca="false">IF((F19&lt;&gt;0),F19-G19," ")</f>
        <v>24</v>
      </c>
      <c r="I19" s="5"/>
      <c r="L19" s="7" t="n">
        <f aca="false">IF(F19&lt;&gt;0,F19-K19," ")</f>
        <v>24</v>
      </c>
      <c r="M19" s="8" t="n">
        <f aca="false">IF((F19-K19)&lt;&gt;0,M$1-A19," ")</f>
        <v>-24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n">
        <f aca="false">IF((E19="h"),H19," ")</f>
        <v>24</v>
      </c>
      <c r="AC19" s="46" t="str">
        <f aca="false">IF((E19="v"),H19," ")</f>
        <v> 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46156</v>
      </c>
      <c r="B20" s="2" t="s">
        <v>100</v>
      </c>
      <c r="E20" s="5" t="s">
        <v>91</v>
      </c>
      <c r="F20" s="46" t="n">
        <v>12</v>
      </c>
      <c r="H20" s="6" t="n">
        <f aca="false">IF((F20&lt;&gt;0),F20-G20," ")</f>
        <v>12</v>
      </c>
      <c r="I20" s="5"/>
      <c r="L20" s="7" t="n">
        <f aca="false">IF(F20&lt;&gt;0,F20-K20," ")</f>
        <v>12</v>
      </c>
      <c r="M20" s="8" t="n">
        <f aca="false">IF((F20-K20)&lt;&gt;0,M$1-A20," ")</f>
        <v>-24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n">
        <f aca="false">IF((E20="h"),H20," ")</f>
        <v>12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46157</v>
      </c>
      <c r="B21" s="2" t="s">
        <v>20</v>
      </c>
      <c r="E21" s="5" t="s">
        <v>88</v>
      </c>
      <c r="F21" s="46" t="n">
        <v>150</v>
      </c>
      <c r="H21" s="6" t="n">
        <f aca="false">IF((F21&lt;&gt;0),F21-G21," ")</f>
        <v>150</v>
      </c>
      <c r="I21" s="5"/>
      <c r="L21" s="7" t="n">
        <f aca="false">IF(F21&lt;&gt;0,F21-K21," ")</f>
        <v>150</v>
      </c>
      <c r="M21" s="8" t="n">
        <f aca="false">IF((F21-K21)&lt;&gt;0,M$1-A21," ")</f>
        <v>-25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46" t="n">
        <f aca="false">IF((E21="v"),H21," ")</f>
        <v>150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46157</v>
      </c>
      <c r="B22" s="2" t="s">
        <v>101</v>
      </c>
      <c r="E22" s="5" t="s">
        <v>75</v>
      </c>
      <c r="F22" s="46" t="n">
        <v>12</v>
      </c>
      <c r="H22" s="6" t="n">
        <f aca="false">IF((F22&lt;&gt;0),F22-G22," ")</f>
        <v>12</v>
      </c>
      <c r="I22" s="5"/>
      <c r="L22" s="7" t="n">
        <f aca="false">IF(F22&lt;&gt;0,F22-K22," ")</f>
        <v>12</v>
      </c>
      <c r="M22" s="8" t="n">
        <f aca="false">IF((F22-K22)&lt;&gt;0,M$1-A22," ")</f>
        <v>-25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n">
        <f aca="false">IF((E22="g"),H22," ")</f>
        <v>12</v>
      </c>
      <c r="AB22" s="17" t="str">
        <f aca="false">IF((E22="h"),H22," ")</f>
        <v> 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46158</v>
      </c>
      <c r="B23" s="2" t="s">
        <v>119</v>
      </c>
      <c r="E23" s="5" t="s">
        <v>75</v>
      </c>
      <c r="F23" s="46" t="n">
        <v>24</v>
      </c>
      <c r="H23" s="6" t="n">
        <f aca="false">IF((F23&lt;&gt;0),F23-G23," ")</f>
        <v>24</v>
      </c>
      <c r="I23" s="5"/>
      <c r="L23" s="7" t="n">
        <f aca="false">IF(F23&lt;&gt;0,F23-K23," ")</f>
        <v>24</v>
      </c>
      <c r="M23" s="8" t="n">
        <f aca="false">IF((F23-K23)&lt;&gt;0,M$1-A23," ")</f>
        <v>-26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n">
        <f aca="false">IF((E23="g"),H23," ")</f>
        <v>24</v>
      </c>
      <c r="AB23" s="17" t="str">
        <f aca="false">IF((E23="h"),H23," ")</f>
        <v> 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46160</v>
      </c>
      <c r="B24" s="2" t="s">
        <v>128</v>
      </c>
      <c r="E24" s="5" t="s">
        <v>96</v>
      </c>
      <c r="F24" s="46" t="n">
        <v>300</v>
      </c>
      <c r="H24" s="6" t="n">
        <f aca="false">IF((F24&lt;&gt;0),F24-G24," ")</f>
        <v>300</v>
      </c>
      <c r="I24" s="5"/>
      <c r="L24" s="7" t="n">
        <f aca="false">IF(F24&lt;&gt;0,F24-K24," ")</f>
        <v>300</v>
      </c>
      <c r="M24" s="8" t="n">
        <f aca="false">IF((F24-K24)&lt;&gt;0,M$1-A24," ")</f>
        <v>-28</v>
      </c>
      <c r="N24" s="5"/>
      <c r="O24" s="17" t="n">
        <f aca="false">IF((E24="s"),H24," ")</f>
        <v>300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46160</v>
      </c>
      <c r="B25" s="2" t="s">
        <v>102</v>
      </c>
      <c r="E25" s="5" t="s">
        <v>88</v>
      </c>
      <c r="F25" s="46" t="n">
        <v>96</v>
      </c>
      <c r="H25" s="6" t="n">
        <f aca="false">IF((F25&lt;&gt;0),F25-G25," ")</f>
        <v>96</v>
      </c>
      <c r="I25" s="5"/>
      <c r="L25" s="7" t="n">
        <f aca="false">IF(F25&lt;&gt;0,F25-K25," ")</f>
        <v>96</v>
      </c>
      <c r="M25" s="8" t="n">
        <f aca="false">IF((F25-K25)&lt;&gt;0,M$1-A25," ")</f>
        <v>-28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46" t="n">
        <f aca="false">IF((E25="v"),H25," ")</f>
        <v>96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46162</v>
      </c>
      <c r="B26" s="2" t="s">
        <v>103</v>
      </c>
      <c r="E26" s="5" t="s">
        <v>75</v>
      </c>
      <c r="F26" s="46" t="n">
        <v>60</v>
      </c>
      <c r="H26" s="6" t="n">
        <f aca="false">IF((F26&lt;&gt;0),F26-G26," ")</f>
        <v>60</v>
      </c>
      <c r="I26" s="5"/>
      <c r="L26" s="7" t="n">
        <f aca="false">IF(F26&lt;&gt;0,F26-K26," ")</f>
        <v>60</v>
      </c>
      <c r="M26" s="8" t="n">
        <f aca="false">IF((F26-K26)&lt;&gt;0,M$1-A26," ")</f>
        <v>-30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n">
        <f aca="false">IF((E26="g"),H26," ")</f>
        <v>60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46163</v>
      </c>
      <c r="B27" s="2" t="s">
        <v>106</v>
      </c>
      <c r="E27" s="5" t="s">
        <v>91</v>
      </c>
      <c r="F27" s="46" t="n">
        <v>8</v>
      </c>
      <c r="H27" s="6" t="n">
        <f aca="false">IF((F27&lt;&gt;0),F27-G27," ")</f>
        <v>8</v>
      </c>
      <c r="I27" s="5"/>
      <c r="L27" s="7" t="n">
        <f aca="false">IF(F27&lt;&gt;0,F27-K27," ")</f>
        <v>8</v>
      </c>
      <c r="M27" s="8" t="n">
        <f aca="false">IF((F27-K27)&lt;&gt;0,M$1-A27," ")</f>
        <v>-31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n">
        <f aca="false">IF((E27="h"),H27," ")</f>
        <v>8</v>
      </c>
      <c r="AC27" s="46" t="str">
        <f aca="false">IF((E27="v"),H27," ")</f>
        <v> 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46164</v>
      </c>
      <c r="B28" s="2" t="s">
        <v>107</v>
      </c>
      <c r="E28" s="5" t="s">
        <v>85</v>
      </c>
      <c r="F28" s="46" t="n">
        <v>18</v>
      </c>
      <c r="H28" s="6" t="n">
        <f aca="false">IF((F28&lt;&gt;0),F28-G28," ")</f>
        <v>18</v>
      </c>
      <c r="I28" s="5"/>
      <c r="L28" s="7" t="n">
        <f aca="false">IF(F28&lt;&gt;0,F28-K28," ")</f>
        <v>18</v>
      </c>
      <c r="M28" s="8" t="n">
        <f aca="false">IF((F28-K28)&lt;&gt;0,M$1-A28," ")</f>
        <v>-32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n">
        <f aca="false">IF((E28="u"),H28," ")</f>
        <v>18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46164</v>
      </c>
      <c r="B29" s="2" t="s">
        <v>123</v>
      </c>
      <c r="E29" s="5" t="s">
        <v>88</v>
      </c>
      <c r="F29" s="46" t="n">
        <v>60</v>
      </c>
      <c r="H29" s="6" t="n">
        <f aca="false">IF((F29&lt;&gt;0),F29-G29," ")</f>
        <v>60</v>
      </c>
      <c r="I29" s="5"/>
      <c r="L29" s="7" t="n">
        <f aca="false">IF(F29&lt;&gt;0,F29-K29," ")</f>
        <v>60</v>
      </c>
      <c r="M29" s="8" t="n">
        <f aca="false">IF((F29-K29)&lt;&gt;0,M$1-A29," ")</f>
        <v>-32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46" t="n">
        <f aca="false">IF((E29="v"),H29," ")</f>
        <v>60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46167</v>
      </c>
      <c r="B30" s="2" t="s">
        <v>129</v>
      </c>
      <c r="E30" s="5" t="s">
        <v>130</v>
      </c>
      <c r="F30" s="46" t="n">
        <v>360</v>
      </c>
      <c r="H30" s="6" t="n">
        <f aca="false">IF((F30&lt;&gt;0),F30-G30," ")</f>
        <v>360</v>
      </c>
      <c r="I30" s="5"/>
      <c r="L30" s="7" t="n">
        <f aca="false">IF(F30&lt;&gt;0,F30-K30," ")</f>
        <v>360</v>
      </c>
      <c r="M30" s="8" t="n">
        <f aca="false">IF((F30-K30)&lt;&gt;0,M$1-A30," ")</f>
        <v>-35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n">
        <f aca="false">IF((E30="p"),H30," ")</f>
        <v>360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46167</v>
      </c>
      <c r="B31" s="2" t="s">
        <v>108</v>
      </c>
      <c r="E31" s="5" t="s">
        <v>85</v>
      </c>
      <c r="F31" s="46" t="n">
        <v>15</v>
      </c>
      <c r="H31" s="6" t="n">
        <f aca="false">IF((F31&lt;&gt;0),F31-G31," ")</f>
        <v>15</v>
      </c>
      <c r="I31" s="5"/>
      <c r="L31" s="7" t="n">
        <f aca="false">IF(F31&lt;&gt;0,F31-K31," ")</f>
        <v>15</v>
      </c>
      <c r="M31" s="8" t="n">
        <f aca="false">IF((F31-K31)&lt;&gt;0,M$1-A31," ")</f>
        <v>-35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n">
        <f aca="false">IF((E31="u"),H31," ")</f>
        <v>15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46167</v>
      </c>
      <c r="B32" s="2" t="s">
        <v>109</v>
      </c>
      <c r="E32" s="5" t="s">
        <v>88</v>
      </c>
      <c r="F32" s="46" t="n">
        <v>58.5</v>
      </c>
      <c r="H32" s="6" t="n">
        <f aca="false">IF((F32&lt;&gt;0),F32-G32," ")</f>
        <v>58.5</v>
      </c>
      <c r="I32" s="5"/>
      <c r="L32" s="7" t="n">
        <f aca="false">IF(F32&lt;&gt;0,F32-K32," ")</f>
        <v>58.5</v>
      </c>
      <c r="M32" s="8" t="n">
        <f aca="false">IF((F32-K32)&lt;&gt;0,M$1-A32," ")</f>
        <v>-35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n">
        <f aca="false">IF((E32="v"),H32," ")</f>
        <v>58.5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46170</v>
      </c>
      <c r="B33" s="2" t="s">
        <v>20</v>
      </c>
      <c r="E33" s="5" t="s">
        <v>88</v>
      </c>
      <c r="F33" s="46" t="n">
        <v>120</v>
      </c>
      <c r="H33" s="6" t="n">
        <f aca="false">IF((F33&lt;&gt;0),F33-G33," ")</f>
        <v>120</v>
      </c>
      <c r="I33" s="5"/>
      <c r="L33" s="7" t="n">
        <f aca="false">IF(F33&lt;&gt;0,F33-K33," ")</f>
        <v>120</v>
      </c>
      <c r="M33" s="8" t="n">
        <f aca="false">IF((F33-K33)&lt;&gt;0,M$1-A33," ")</f>
        <v>-38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n">
        <f aca="false">IF((E33="v"),H33," ")</f>
        <v>120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46173</v>
      </c>
      <c r="B34" s="2" t="s">
        <v>16</v>
      </c>
      <c r="E34" s="5" t="s">
        <v>110</v>
      </c>
      <c r="F34" s="46" t="n">
        <v>300</v>
      </c>
      <c r="H34" s="6" t="n">
        <f aca="false">IF((F34&lt;&gt;0),F34-G34," ")</f>
        <v>300</v>
      </c>
      <c r="I34" s="5"/>
      <c r="L34" s="7" t="n">
        <f aca="false">IF(F34&lt;&gt;0,F34-K34," ")</f>
        <v>300</v>
      </c>
      <c r="M34" s="8" t="n">
        <f aca="false">IF((F34-K34)&lt;&gt;0,M$1-A34," ")</f>
        <v>-41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str">
        <f aca="false">IF((E34="v"),H34," ")</f>
        <v> </v>
      </c>
      <c r="AD34" s="46" t="str">
        <f aca="false">IF((E34="n"),H34," ")</f>
        <v> </v>
      </c>
      <c r="AE34" s="17" t="str">
        <f aca="false">IF((E34="f"),H34," ")</f>
        <v> </v>
      </c>
      <c r="AF34" s="17" t="n">
        <f aca="false">IF((E34="l"),H34," ")</f>
        <v>300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46173</v>
      </c>
      <c r="B35" s="2" t="s">
        <v>131</v>
      </c>
      <c r="E35" s="5" t="s">
        <v>110</v>
      </c>
      <c r="F35" s="46" t="n">
        <v>125</v>
      </c>
      <c r="H35" s="6" t="n">
        <f aca="false">IF((F35&lt;&gt;0),F35-G35," ")</f>
        <v>125</v>
      </c>
      <c r="I35" s="5"/>
      <c r="L35" s="7" t="n">
        <f aca="false">IF(F35&lt;&gt;0,F35-K35," ")</f>
        <v>125</v>
      </c>
      <c r="M35" s="8" t="n">
        <f aca="false">IF((F35-K35)&lt;&gt;0,M$1-A35," ")</f>
        <v>-41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str">
        <f aca="false">IF((E35="v"),H35," ")</f>
        <v> </v>
      </c>
      <c r="AD35" s="46" t="str">
        <f aca="false">IF((E35="n"),H35," ")</f>
        <v> </v>
      </c>
      <c r="AE35" s="17" t="str">
        <f aca="false">IF((E35="f"),H35," ")</f>
        <v> </v>
      </c>
      <c r="AF35" s="17" t="n">
        <f aca="false">IF((E35="l"),H35," ")</f>
        <v>125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/>
      <c r="E36" s="2"/>
      <c r="F36" s="46"/>
      <c r="H36" s="6" t="str">
        <f aca="false">IF((F36&lt;&gt;0),F36-G36," ")</f>
        <v> </v>
      </c>
      <c r="I36" s="5"/>
      <c r="L36" s="7" t="str">
        <f aca="false">IF(F36&lt;&gt;0,F36-K36," ")</f>
        <v> </v>
      </c>
      <c r="M36" s="8" t="str">
        <f aca="false">IF((F36-K36)&lt;&gt;0,M$1-A36," ")</f>
        <v> 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str">
        <f aca="false">IF((E36="v"),H36," ")</f>
        <v> 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/>
      <c r="E37" s="2"/>
      <c r="F37" s="46"/>
      <c r="H37" s="6" t="str">
        <f aca="false">IF((F37&lt;&gt;0),F37-G37," ")</f>
        <v> </v>
      </c>
      <c r="I37" s="5"/>
      <c r="L37" s="7" t="str">
        <f aca="false">IF(F37&lt;&gt;0,F37-K37," ")</f>
        <v> </v>
      </c>
      <c r="M37" s="8" t="str">
        <f aca="false">IF((F37-K37)&lt;&gt;0,M$1-A37," ")</f>
        <v> 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46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6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9.66"/>
    <col collapsed="false" customWidth="true" hidden="false" outlineLevel="0" max="3" min="3" style="3" width="11.66"/>
    <col collapsed="false" customWidth="true" hidden="false" outlineLevel="0" max="4" min="4" style="4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false" hidden="false" outlineLevel="0" max="257" min="14" style="2" width="9.15"/>
  </cols>
  <sheetData>
    <row r="1" s="17" customFormat="true" ht="12.75" hidden="false" customHeight="true" outlineLevel="0" collapsed="false">
      <c r="A1" s="9" t="s">
        <v>149</v>
      </c>
      <c r="B1" s="9"/>
      <c r="C1" s="10" t="n">
        <f aca="false">-SUM([1]TrialBalance!$EJ$28:$EJ$31)</f>
        <v>-0</v>
      </c>
      <c r="D1" s="11" t="s">
        <v>1</v>
      </c>
      <c r="E1" s="11"/>
      <c r="F1" s="12" t="n">
        <f aca="false">SUM(F2:F200)</f>
        <v>0</v>
      </c>
      <c r="G1" s="12" t="e">
        <f aca="false">SUM(G5:G300)</f>
        <v>#N/A</v>
      </c>
      <c r="H1" s="12" t="n">
        <f aca="false">SUM(H2:H200)</f>
        <v>1710</v>
      </c>
      <c r="I1" s="13"/>
      <c r="J1" s="14" t="s">
        <v>2</v>
      </c>
      <c r="K1" s="15" t="n">
        <f aca="false">SUM(K5:K200)</f>
        <v>0</v>
      </c>
      <c r="L1" s="15" t="n">
        <f aca="false">SUM(L5:L200)</f>
        <v>0</v>
      </c>
      <c r="M1" s="16" t="n">
        <f aca="true">TODAY()</f>
        <v>46132</v>
      </c>
    </row>
    <row r="2" s="17" customFormat="true" ht="13.5" hidden="false" customHeight="true" outlineLevel="0" collapsed="false">
      <c r="A2" s="18" t="s">
        <v>3</v>
      </c>
      <c r="B2" s="19" t="s">
        <v>4</v>
      </c>
      <c r="C2" s="20" t="s">
        <v>5</v>
      </c>
      <c r="D2" s="21" t="s">
        <v>6</v>
      </c>
      <c r="E2" s="21"/>
      <c r="F2" s="19" t="s">
        <v>7</v>
      </c>
      <c r="G2" s="22" t="n">
        <f aca="false">IF([2]Apr!$G$4&gt;0,0,[2]Apr!$G$2)</f>
        <v>20</v>
      </c>
      <c r="H2" s="19" t="s">
        <v>8</v>
      </c>
      <c r="I2" s="13"/>
      <c r="J2" s="14"/>
      <c r="K2" s="23" t="s">
        <v>9</v>
      </c>
      <c r="L2" s="23"/>
      <c r="M2" s="23"/>
    </row>
    <row r="3" s="26" customFormat="true" ht="34.5" hidden="false" customHeight="true" outlineLevel="0" collapsed="false">
      <c r="A3" s="18"/>
      <c r="B3" s="18"/>
      <c r="C3" s="18"/>
      <c r="D3" s="18"/>
      <c r="E3" s="18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</row>
    <row r="4" s="27" customFormat="true" ht="12.75" hidden="false" customHeight="true" outlineLevel="0" collapsed="false">
      <c r="A4" s="18"/>
      <c r="B4" s="18"/>
      <c r="C4" s="18"/>
      <c r="D4" s="18"/>
      <c r="E4" s="18"/>
      <c r="F4" s="19"/>
      <c r="G4" s="19"/>
      <c r="H4" s="19"/>
      <c r="I4" s="13"/>
      <c r="J4" s="14"/>
      <c r="K4" s="24"/>
      <c r="L4" s="24"/>
      <c r="M4" s="24"/>
    </row>
    <row r="5" s="5" customFormat="true" ht="12" hidden="false" customHeight="false" outlineLevel="0" collapsed="false">
      <c r="A5" s="28"/>
      <c r="B5" s="5" t="s">
        <v>14</v>
      </c>
      <c r="C5" s="29" t="s">
        <v>150</v>
      </c>
      <c r="H5" s="6" t="n">
        <v>1200</v>
      </c>
      <c r="J5" s="6"/>
      <c r="K5" s="6"/>
      <c r="L5" s="7" t="str">
        <f aca="false">IF(F5&lt;&gt;0,F5-K5," ")</f>
        <v> </v>
      </c>
      <c r="M5" s="8" t="str">
        <f aca="false">IF((F5-K5)&lt;&gt;0,M$1-A5," ")</f>
        <v> </v>
      </c>
    </row>
    <row r="6" customFormat="false" ht="12" hidden="false" customHeight="false" outlineLevel="0" collapsed="false">
      <c r="A6" s="28"/>
      <c r="B6" s="2" t="s">
        <v>16</v>
      </c>
      <c r="C6" s="3" t="s">
        <v>151</v>
      </c>
      <c r="E6" s="2"/>
      <c r="G6" s="6" t="str">
        <f aca="false">IF(F6&lt;&gt;0,F6*G$2/(100+G$2)," ")</f>
        <v> </v>
      </c>
      <c r="H6" s="6" t="n">
        <v>300</v>
      </c>
      <c r="L6" s="7" t="str">
        <f aca="false">IF(F6&lt;&gt;0,F6-K6," ")</f>
        <v> </v>
      </c>
      <c r="M6" s="8" t="str">
        <f aca="false">IF((F6-K6)&lt;&gt;0,M$1-A6," ")</f>
        <v> </v>
      </c>
    </row>
    <row r="7" customFormat="false" ht="12" hidden="false" customHeight="false" outlineLevel="0" collapsed="false">
      <c r="A7" s="28"/>
      <c r="B7" s="2" t="s">
        <v>103</v>
      </c>
      <c r="C7" s="3" t="s">
        <v>152</v>
      </c>
      <c r="E7" s="2"/>
      <c r="G7" s="6" t="str">
        <f aca="false">IF(F7&lt;&gt;0,F7*G$2/(100+G$2)," ")</f>
        <v> </v>
      </c>
      <c r="H7" s="6" t="n">
        <v>60</v>
      </c>
      <c r="L7" s="7" t="str">
        <f aca="false">IF(F7&lt;&gt;0,F7-K7," ")</f>
        <v> </v>
      </c>
      <c r="M7" s="8" t="str">
        <f aca="false">IF((F7-K7)&lt;&gt;0,M$1-A7," ")</f>
        <v> </v>
      </c>
    </row>
    <row r="8" customFormat="false" ht="12" hidden="false" customHeight="false" outlineLevel="0" collapsed="false">
      <c r="A8" s="28"/>
      <c r="B8" s="2" t="s">
        <v>20</v>
      </c>
      <c r="C8" s="3" t="s">
        <v>153</v>
      </c>
      <c r="E8" s="2"/>
      <c r="G8" s="6" t="str">
        <f aca="false">IF(F8&lt;&gt;0,F8*G$2/(100+G$2)," ")</f>
        <v> </v>
      </c>
      <c r="H8" s="6" t="n">
        <v>150</v>
      </c>
      <c r="L8" s="7" t="str">
        <f aca="false">IF(F8&lt;&gt;0,F8-K8," ")</f>
        <v> </v>
      </c>
      <c r="M8" s="8" t="str">
        <f aca="false">IF((F8-K8)&lt;&gt;0,M$1-A8," ")</f>
        <v> </v>
      </c>
    </row>
    <row r="9" customFormat="false" ht="12" hidden="false" customHeight="false" outlineLevel="0" collapsed="false">
      <c r="A9" s="28"/>
      <c r="E9" s="2"/>
      <c r="G9" s="6" t="str">
        <f aca="false">IF(F9&lt;&gt;0,F9*G$2/(100+G$2)," ")</f>
        <v> </v>
      </c>
      <c r="L9" s="7" t="str">
        <f aca="false">IF(F9&lt;&gt;0,F9-K9," ")</f>
        <v> </v>
      </c>
      <c r="M9" s="8" t="str">
        <f aca="false">IF((F9-K9)&lt;&gt;0,M$1-A9," ")</f>
        <v> </v>
      </c>
    </row>
    <row r="10" customFormat="false" ht="12" hidden="false" customHeight="false" outlineLevel="0" collapsed="false">
      <c r="A10" s="28"/>
      <c r="E10" s="2"/>
      <c r="G10" s="6" t="str">
        <f aca="false">IF(F10&lt;&gt;0,F10*G$2/(100+G$2)," ")</f>
        <v> </v>
      </c>
      <c r="L10" s="7" t="str">
        <f aca="false">IF(F10&lt;&gt;0,F10-K10," ")</f>
        <v> </v>
      </c>
      <c r="M10" s="8" t="str">
        <f aca="false">IF((F10-K10)&lt;&gt;0,M$1-A10," ")</f>
        <v> </v>
      </c>
    </row>
    <row r="11" customFormat="false" ht="12" hidden="false" customHeight="false" outlineLevel="0" collapsed="false">
      <c r="A11" s="28"/>
      <c r="E11" s="2"/>
      <c r="G11" s="6" t="str">
        <f aca="false">IF(F11&lt;&gt;0,F11*G$2/(100+G$2)," ")</f>
        <v> </v>
      </c>
      <c r="L11" s="7" t="str">
        <f aca="false">IF(F11&lt;&gt;0,F11-K11," ")</f>
        <v> </v>
      </c>
      <c r="M11" s="8" t="str">
        <f aca="false">IF((F11-K11)&lt;&gt;0,M$1-A11," ")</f>
        <v> </v>
      </c>
    </row>
    <row r="12" customFormat="false" ht="12" hidden="false" customHeight="false" outlineLevel="0" collapsed="false">
      <c r="A12" s="28"/>
      <c r="E12" s="2"/>
      <c r="G12" s="6" t="str">
        <f aca="false">IF(F12&lt;&gt;0,F12*G$2/(100+G$2)," ")</f>
        <v> </v>
      </c>
      <c r="L12" s="7" t="str">
        <f aca="false">IF(F12&lt;&gt;0,F12-K12," ")</f>
        <v> </v>
      </c>
      <c r="M12" s="8" t="str">
        <f aca="false">IF((F12-K12)&lt;&gt;0,M$1-A12," ")</f>
        <v> </v>
      </c>
    </row>
    <row r="13" customFormat="false" ht="12" hidden="false" customHeight="false" outlineLevel="0" collapsed="false">
      <c r="A13" s="28"/>
      <c r="E13" s="2"/>
      <c r="G13" s="6" t="str">
        <f aca="false">IF(F13&lt;&gt;0,F13*G$2/(100+G$2)," ")</f>
        <v> </v>
      </c>
      <c r="L13" s="7" t="str">
        <f aca="false">IF(F13&lt;&gt;0,F13-K13," ")</f>
        <v> </v>
      </c>
      <c r="M13" s="8" t="str">
        <f aca="false">IF((F13-K13)&lt;&gt;0,M$1-A13," ")</f>
        <v> </v>
      </c>
    </row>
    <row r="14" customFormat="false" ht="12" hidden="false" customHeight="false" outlineLevel="0" collapsed="false">
      <c r="A14" s="28"/>
      <c r="E14" s="2"/>
      <c r="G14" s="6" t="str">
        <f aca="false">IF(F14&lt;&gt;0,F14*G$2/(100+G$2),"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</row>
    <row r="15" customFormat="false" ht="12" hidden="false" customHeight="false" outlineLevel="0" collapsed="false">
      <c r="A15" s="28"/>
      <c r="E15" s="2"/>
      <c r="G15" s="6" t="str">
        <f aca="false">IF(F15&lt;&gt;0,F15*G$2/(100+G$2),"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</row>
    <row r="16" customFormat="false" ht="12" hidden="false" customHeight="false" outlineLevel="0" collapsed="false">
      <c r="A16" s="28"/>
      <c r="E16" s="2"/>
      <c r="G16" s="6" t="str">
        <f aca="false">IF(F16&lt;&gt;0,F16*G$2/(100+G$2),"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</row>
    <row r="17" customFormat="false" ht="12" hidden="false" customHeight="false" outlineLevel="0" collapsed="false">
      <c r="A17" s="28"/>
      <c r="E17" s="2"/>
      <c r="G17" s="6" t="str">
        <f aca="false">IF(F17&lt;&gt;0,F17*G$2/(100+G$2),"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</row>
    <row r="18" customFormat="false" ht="12" hidden="false" customHeight="false" outlineLevel="0" collapsed="false">
      <c r="A18" s="28"/>
      <c r="E18" s="2"/>
      <c r="G18" s="6" t="str">
        <f aca="false">IF(F18&lt;&gt;0,F18*G$2/(100+G$2),"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</row>
    <row r="19" customFormat="false" ht="12" hidden="false" customHeight="false" outlineLevel="0" collapsed="false">
      <c r="A19" s="28"/>
      <c r="E19" s="2"/>
      <c r="G19" s="6" t="str">
        <f aca="false">IF(F19&lt;&gt;0,F19*G$2/(100+G$2),"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</row>
    <row r="20" customFormat="false" ht="12" hidden="false" customHeight="false" outlineLevel="0" collapsed="false">
      <c r="A20" s="28"/>
      <c r="E20" s="2"/>
      <c r="G20" s="6" t="str">
        <f aca="false">IF(F20&lt;&gt;0,F20*G$2/(100+G$2),"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</row>
    <row r="21" customFormat="false" ht="12" hidden="false" customHeight="false" outlineLevel="0" collapsed="false">
      <c r="A21" s="28"/>
      <c r="E21" s="2"/>
      <c r="G21" s="6" t="str">
        <f aca="false">IF(F21&lt;&gt;0,F21*G$2/(100+G$2),"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</row>
    <row r="22" customFormat="false" ht="12" hidden="false" customHeight="false" outlineLevel="0" collapsed="false">
      <c r="A22" s="28"/>
      <c r="D22" s="2"/>
      <c r="E22" s="2"/>
      <c r="G22" s="6" t="str">
        <f aca="false">IF(F22&lt;&gt;0,F22*G$2/(100+G$2),"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</row>
    <row r="23" customFormat="false" ht="12" hidden="false" customHeight="false" outlineLevel="0" collapsed="false">
      <c r="A23" s="28"/>
      <c r="D23" s="30"/>
      <c r="E23" s="2"/>
      <c r="G23" s="6" t="str">
        <f aca="false">IF(F23&lt;&gt;0,F23*G$2/(100+G$2),"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</row>
    <row r="24" customFormat="false" ht="12" hidden="false" customHeight="false" outlineLevel="0" collapsed="false">
      <c r="A24" s="28"/>
      <c r="E24" s="2"/>
      <c r="G24" s="6" t="str">
        <f aca="false">IF(F24&lt;&gt;0,F24*G$2/(100+G$2),"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</row>
    <row r="25" customFormat="false" ht="12" hidden="false" customHeight="false" outlineLevel="0" collapsed="false">
      <c r="A25" s="28"/>
      <c r="E25" s="2"/>
      <c r="G25" s="6" t="str">
        <f aca="false">IF(F25&lt;&gt;0,F25*G$2/(100+G$2),"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</row>
    <row r="26" customFormat="false" ht="12" hidden="false" customHeight="false" outlineLevel="0" collapsed="false">
      <c r="A26" s="28"/>
      <c r="E26" s="2"/>
      <c r="G26" s="6" t="str">
        <f aca="false">IF(F26&lt;&gt;0,F26*G$2/(100+G$2),"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</row>
    <row r="27" customFormat="false" ht="12" hidden="false" customHeight="false" outlineLevel="0" collapsed="false">
      <c r="A27" s="28"/>
      <c r="E27" s="2"/>
      <c r="G27" s="6" t="str">
        <f aca="false">IF(F27&lt;&gt;0,F27*G$2/(100+G$2),"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</row>
    <row r="28" customFormat="false" ht="12" hidden="false" customHeight="false" outlineLevel="0" collapsed="false">
      <c r="A28" s="28"/>
      <c r="E28" s="2"/>
      <c r="G28" s="6" t="str">
        <f aca="false">IF(F28&lt;&gt;0,F28*G$2/(100+G$2),"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</row>
    <row r="29" customFormat="false" ht="12" hidden="false" customHeight="false" outlineLevel="0" collapsed="false">
      <c r="A29" s="28"/>
      <c r="E29" s="2"/>
      <c r="G29" s="6" t="str">
        <f aca="false">IF(F29&lt;&gt;0,F29*G$2/(100+G$2),"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</row>
    <row r="30" customFormat="false" ht="12" hidden="false" customHeight="false" outlineLevel="0" collapsed="false">
      <c r="A30" s="28"/>
      <c r="E30" s="2"/>
      <c r="G30" s="6" t="str">
        <f aca="false">IF(F30&lt;&gt;0,F30*G$2/(100+G$2),"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</row>
    <row r="31" customFormat="false" ht="12" hidden="false" customHeight="false" outlineLevel="0" collapsed="false">
      <c r="A31" s="28"/>
      <c r="E31" s="2"/>
      <c r="G31" s="6" t="str">
        <f aca="false">IF(F31&lt;&gt;0,F31*G$2/(100+G$2),"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</row>
    <row r="32" customFormat="false" ht="12" hidden="false" customHeight="false" outlineLevel="0" collapsed="false">
      <c r="A32" s="28"/>
      <c r="E32" s="2"/>
      <c r="G32" s="6" t="str">
        <f aca="false">IF(F32&lt;&gt;0,F32*G$2/(100+G$2),"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</row>
    <row r="33" customFormat="false" ht="12" hidden="false" customHeight="false" outlineLevel="0" collapsed="false">
      <c r="A33" s="28"/>
      <c r="E33" s="2"/>
      <c r="G33" s="6" t="str">
        <f aca="false">IF(F33&lt;&gt;0,F33*G$2/(100+G$2),"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</row>
    <row r="34" customFormat="false" ht="12" hidden="false" customHeight="false" outlineLevel="0" collapsed="false">
      <c r="A34" s="28"/>
      <c r="E34" s="2"/>
      <c r="G34" s="6" t="str">
        <f aca="false">IF(F34&lt;&gt;0,F34*G$2/(100+G$2),"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</row>
    <row r="35" customFormat="false" ht="12" hidden="false" customHeight="false" outlineLevel="0" collapsed="false">
      <c r="A35" s="28"/>
      <c r="E35" s="2"/>
      <c r="G35" s="6" t="str">
        <f aca="false">IF(F35&lt;&gt;0,F35*G$2/(100+G$2),"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</row>
    <row r="36" customFormat="false" ht="12" hidden="false" customHeight="false" outlineLevel="0" collapsed="false">
      <c r="A36" s="28"/>
      <c r="E36" s="2"/>
      <c r="G36" s="6" t="str">
        <f aca="false">IF(F36&lt;&gt;0,F36*G$2/(100+G$2),"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</row>
    <row r="37" customFormat="false" ht="12" hidden="false" customHeight="false" outlineLevel="0" collapsed="false">
      <c r="A37" s="28"/>
      <c r="E37" s="2"/>
      <c r="G37" s="6" t="str">
        <f aca="false">IF(F37&lt;&gt;0,F37*G$2/(100+G$2),"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</row>
    <row r="38" customFormat="false" ht="12" hidden="false" customHeight="false" outlineLevel="0" collapsed="false">
      <c r="A38" s="28"/>
      <c r="E38" s="2"/>
      <c r="G38" s="6" t="str">
        <f aca="false">IF(F38&lt;&gt;0,F38*G$2/(100+G$2),"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</row>
    <row r="39" customFormat="false" ht="12" hidden="false" customHeight="false" outlineLevel="0" collapsed="false">
      <c r="A39" s="28"/>
      <c r="E39" s="2"/>
      <c r="G39" s="6" t="str">
        <f aca="false">IF(F39&lt;&gt;0,F39*G$2/(100+G$2),"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</row>
    <row r="40" customFormat="false" ht="12" hidden="false" customHeight="false" outlineLevel="0" collapsed="false">
      <c r="A40" s="28"/>
      <c r="E40" s="2"/>
      <c r="G40" s="6" t="str">
        <f aca="false">IF(F40&lt;&gt;0,F40*G$2/(100+G$2),"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</row>
    <row r="41" customFormat="false" ht="12" hidden="false" customHeight="false" outlineLevel="0" collapsed="false">
      <c r="A41" s="28"/>
      <c r="E41" s="2"/>
      <c r="G41" s="6" t="str">
        <f aca="false">IF(F41&lt;&gt;0,F41*G$2/(100+G$2),"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</row>
    <row r="42" customFormat="false" ht="12" hidden="false" customHeight="false" outlineLevel="0" collapsed="false">
      <c r="A42" s="28"/>
      <c r="E42" s="2"/>
      <c r="G42" s="6" t="str">
        <f aca="false">IF(F42&lt;&gt;0,F42*G$2/(100+G$2),"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</row>
    <row r="43" customFormat="false" ht="12" hidden="false" customHeight="false" outlineLevel="0" collapsed="false">
      <c r="A43" s="28"/>
      <c r="E43" s="2"/>
      <c r="G43" s="6" t="str">
        <f aca="false">IF(F43&lt;&gt;0,F43*G$2/(100+G$2),"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</row>
    <row r="44" customFormat="false" ht="12" hidden="false" customHeight="false" outlineLevel="0" collapsed="false">
      <c r="A44" s="28"/>
      <c r="E44" s="2"/>
      <c r="G44" s="6" t="str">
        <f aca="false">IF(F44&lt;&gt;0,F44*G$2/(100+G$2),"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</row>
    <row r="45" customFormat="false" ht="12" hidden="false" customHeight="false" outlineLevel="0" collapsed="false">
      <c r="A45" s="28"/>
      <c r="E45" s="2"/>
      <c r="G45" s="6" t="str">
        <f aca="false">IF(F45&lt;&gt;0,F45*G$2/(100+G$2),"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</row>
    <row r="46" customFormat="false" ht="12" hidden="false" customHeight="false" outlineLevel="0" collapsed="false">
      <c r="A46" s="28"/>
      <c r="E46" s="2"/>
      <c r="G46" s="6" t="str">
        <f aca="false">IF(F46&lt;&gt;0,F46*G$2/(100+G$2),"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</row>
    <row r="47" customFormat="false" ht="12" hidden="false" customHeight="false" outlineLevel="0" collapsed="false">
      <c r="A47" s="28"/>
      <c r="E47" s="2"/>
      <c r="G47" s="6" t="str">
        <f aca="false">IF(F47&lt;&gt;0,F47*G$2/(100+G$2),"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</row>
    <row r="48" customFormat="false" ht="12" hidden="false" customHeight="false" outlineLevel="0" collapsed="false">
      <c r="A48" s="28"/>
      <c r="E48" s="2"/>
      <c r="G48" s="6" t="str">
        <f aca="false">IF(F48&lt;&gt;0,F48*G$2/(100+G$2),"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</row>
    <row r="49" customFormat="false" ht="12" hidden="false" customHeight="false" outlineLevel="0" collapsed="false">
      <c r="A49" s="28"/>
      <c r="E49" s="2"/>
      <c r="G49" s="6" t="str">
        <f aca="false">IF(F49&lt;&gt;0,F49*G$2/(100+G$2),"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</row>
    <row r="50" customFormat="false" ht="12" hidden="false" customHeight="false" outlineLevel="0" collapsed="false">
      <c r="A50" s="28"/>
      <c r="E50" s="2"/>
      <c r="G50" s="6" t="str">
        <f aca="false">IF(F50&lt;&gt;0,F50*G$2/(100+G$2),"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</row>
    <row r="51" customFormat="false" ht="12" hidden="false" customHeight="false" outlineLevel="0" collapsed="false">
      <c r="A51" s="28"/>
      <c r="E51" s="2"/>
      <c r="G51" s="6" t="str">
        <f aca="false">IF(F51&lt;&gt;0,F51*G$2/(100+G$2),"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</row>
    <row r="52" customFormat="false" ht="12" hidden="false" customHeight="false" outlineLevel="0" collapsed="false">
      <c r="A52" s="28"/>
      <c r="E52" s="2"/>
      <c r="G52" s="6" t="str">
        <f aca="false">IF(F52&lt;&gt;0,F52*G$2/(100+G$2),"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</row>
    <row r="53" customFormat="false" ht="12" hidden="false" customHeight="false" outlineLevel="0" collapsed="false">
      <c r="A53" s="28"/>
      <c r="E53" s="2"/>
      <c r="G53" s="6" t="str">
        <f aca="false">IF(F53&lt;&gt;0,F53*G$2/(100+G$2),"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</row>
    <row r="54" customFormat="false" ht="12" hidden="false" customHeight="false" outlineLevel="0" collapsed="false">
      <c r="A54" s="28"/>
      <c r="E54" s="2"/>
      <c r="G54" s="6" t="str">
        <f aca="false">IF(F54&lt;&gt;0,F54*G$2/(100+G$2),"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</row>
    <row r="55" customFormat="false" ht="12" hidden="false" customHeight="false" outlineLevel="0" collapsed="false">
      <c r="A55" s="28"/>
      <c r="E55" s="2"/>
      <c r="G55" s="6" t="str">
        <f aca="false">IF(F55&lt;&gt;0,F55*G$2/(100+G$2),"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</row>
    <row r="56" customFormat="false" ht="12" hidden="false" customHeight="false" outlineLevel="0" collapsed="false">
      <c r="A56" s="28"/>
      <c r="E56" s="2"/>
      <c r="G56" s="6" t="str">
        <f aca="false">IF(F56&lt;&gt;0,F56*G$2/(100+G$2),"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</row>
    <row r="57" customFormat="false" ht="12" hidden="false" customHeight="false" outlineLevel="0" collapsed="false">
      <c r="A57" s="28"/>
      <c r="E57" s="2"/>
      <c r="G57" s="6" t="str">
        <f aca="false">IF(F57&lt;&gt;0,F57*G$2/(100+G$2),"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</row>
    <row r="58" customFormat="false" ht="12" hidden="false" customHeight="false" outlineLevel="0" collapsed="false">
      <c r="A58" s="28"/>
      <c r="E58" s="2"/>
      <c r="G58" s="6" t="str">
        <f aca="false">IF(F58&lt;&gt;0,F58*G$2/(100+G$2),"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</row>
    <row r="59" customFormat="false" ht="12" hidden="false" customHeight="false" outlineLevel="0" collapsed="false">
      <c r="A59" s="28"/>
      <c r="E59" s="2"/>
      <c r="G59" s="6" t="str">
        <f aca="false">IF(F59&lt;&gt;0,F59*G$2/(100+G$2),"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</row>
    <row r="60" customFormat="false" ht="12" hidden="false" customHeight="false" outlineLevel="0" collapsed="false">
      <c r="A60" s="28"/>
      <c r="E60" s="2"/>
      <c r="G60" s="6" t="str">
        <f aca="false">IF(F60&lt;&gt;0,F60*G$2/(100+G$2),"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</row>
    <row r="61" customFormat="false" ht="12" hidden="false" customHeight="false" outlineLevel="0" collapsed="false">
      <c r="A61" s="28"/>
      <c r="E61" s="2"/>
      <c r="G61" s="6" t="str">
        <f aca="false">IF(F61&lt;&gt;0,F61*G$2/(100+G$2),"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</row>
    <row r="62" customFormat="false" ht="12" hidden="false" customHeight="false" outlineLevel="0" collapsed="false">
      <c r="A62" s="28"/>
      <c r="E62" s="2"/>
      <c r="G62" s="6" t="str">
        <f aca="false">IF(F62&lt;&gt;0,F62*G$2/(100+G$2),"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</row>
    <row r="63" customFormat="false" ht="12" hidden="false" customHeight="false" outlineLevel="0" collapsed="false">
      <c r="A63" s="28"/>
      <c r="E63" s="2"/>
      <c r="G63" s="6" t="str">
        <f aca="false">IF(F63&lt;&gt;0,F63*G$2/(100+G$2),"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</row>
    <row r="64" customFormat="false" ht="12" hidden="false" customHeight="false" outlineLevel="0" collapsed="false">
      <c r="A64" s="28"/>
      <c r="E64" s="2"/>
      <c r="G64" s="6" t="str">
        <f aca="false">IF(F64&lt;&gt;0,F64*G$2/(100+G$2),"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</row>
    <row r="65" customFormat="false" ht="12" hidden="false" customHeight="false" outlineLevel="0" collapsed="false">
      <c r="A65" s="28"/>
      <c r="E65" s="2"/>
      <c r="G65" s="6" t="str">
        <f aca="false">IF(F65&lt;&gt;0,F65*G$2/(100+G$2),"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</row>
    <row r="66" customFormat="false" ht="12" hidden="false" customHeight="false" outlineLevel="0" collapsed="false">
      <c r="A66" s="28"/>
      <c r="E66" s="2"/>
      <c r="G66" s="6" t="str">
        <f aca="false">IF(F66&lt;&gt;0,F66*G$2/(100+G$2),"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</row>
    <row r="67" customFormat="false" ht="12" hidden="false" customHeight="false" outlineLevel="0" collapsed="false">
      <c r="A67" s="28"/>
      <c r="E67" s="2"/>
      <c r="G67" s="6" t="str">
        <f aca="false">IF(F67&lt;&gt;0,F67*G$2/(100+G$2),"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</row>
    <row r="68" customFormat="false" ht="12" hidden="false" customHeight="false" outlineLevel="0" collapsed="false">
      <c r="A68" s="28"/>
      <c r="E68" s="2"/>
      <c r="G68" s="6" t="str">
        <f aca="false">IF(F68&lt;&gt;0,F68*G$2/(100+G$2),"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</row>
    <row r="69" customFormat="false" ht="12" hidden="false" customHeight="false" outlineLevel="0" collapsed="false">
      <c r="A69" s="28"/>
      <c r="E69" s="2"/>
      <c r="G69" s="6" t="str">
        <f aca="false">IF(F69&lt;&gt;0,F69*G$2/(100+G$2),"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</row>
    <row r="70" customFormat="false" ht="12" hidden="false" customHeight="false" outlineLevel="0" collapsed="false">
      <c r="A70" s="28"/>
      <c r="E70" s="2"/>
      <c r="G70" s="6" t="str">
        <f aca="false">IF(F70&lt;&gt;0,F70*G$2/(100+G$2),"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</row>
    <row r="71" customFormat="false" ht="12" hidden="false" customHeight="false" outlineLevel="0" collapsed="false">
      <c r="A71" s="28"/>
      <c r="E71" s="2"/>
      <c r="G71" s="6" t="str">
        <f aca="false">IF(F71&lt;&gt;0,F71*G$2/(100+G$2)," ")</f>
        <v> </v>
      </c>
      <c r="H71" s="6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</row>
    <row r="72" customFormat="false" ht="12" hidden="false" customHeight="false" outlineLevel="0" collapsed="false">
      <c r="A72" s="28"/>
      <c r="E72" s="2"/>
      <c r="G72" s="6" t="str">
        <f aca="false">IF(F72&lt;&gt;0,F72*G$2/(100+G$2)," ")</f>
        <v> </v>
      </c>
      <c r="H72" s="6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</row>
    <row r="73" customFormat="false" ht="12" hidden="false" customHeight="false" outlineLevel="0" collapsed="false">
      <c r="A73" s="28"/>
      <c r="E73" s="2"/>
      <c r="G73" s="6" t="str">
        <f aca="false">IF(F73&lt;&gt;0,F73*G$2/(100+G$2)," ")</f>
        <v> </v>
      </c>
      <c r="H73" s="6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</row>
    <row r="74" customFormat="false" ht="12" hidden="false" customHeight="false" outlineLevel="0" collapsed="false">
      <c r="A74" s="28"/>
      <c r="E74" s="2"/>
      <c r="G74" s="6" t="str">
        <f aca="false">IF(F74&lt;&gt;0,F74*G$2/(100+G$2)," ")</f>
        <v> </v>
      </c>
      <c r="H74" s="6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</row>
    <row r="75" customFormat="false" ht="12" hidden="false" customHeight="false" outlineLevel="0" collapsed="false">
      <c r="A75" s="28"/>
      <c r="E75" s="2"/>
      <c r="G75" s="6" t="str">
        <f aca="false">IF(F75&lt;&gt;0,F75*G$2/(100+G$2)," ")</f>
        <v> </v>
      </c>
      <c r="H75" s="6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</row>
    <row r="76" customFormat="false" ht="12" hidden="false" customHeight="false" outlineLevel="0" collapsed="false">
      <c r="A76" s="28"/>
      <c r="E76" s="2"/>
      <c r="G76" s="6" t="str">
        <f aca="false">IF(F76&lt;&gt;0,F76*G$2/(100+G$2)," ")</f>
        <v> </v>
      </c>
      <c r="H76" s="6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</row>
    <row r="77" customFormat="false" ht="12" hidden="false" customHeight="false" outlineLevel="0" collapsed="false">
      <c r="A77" s="28"/>
      <c r="E77" s="2"/>
      <c r="G77" s="6" t="str">
        <f aca="false">IF(F77&lt;&gt;0,F77*G$2/(100+G$2)," ")</f>
        <v> </v>
      </c>
      <c r="H77" s="6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</row>
    <row r="78" customFormat="false" ht="12" hidden="false" customHeight="false" outlineLevel="0" collapsed="false">
      <c r="A78" s="28"/>
      <c r="E78" s="2"/>
      <c r="G78" s="6" t="str">
        <f aca="false">IF(F78&lt;&gt;0,F78*G$2/(100+G$2)," ")</f>
        <v> </v>
      </c>
      <c r="H78" s="6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</row>
    <row r="79" customFormat="false" ht="12" hidden="false" customHeight="false" outlineLevel="0" collapsed="false">
      <c r="A79" s="28"/>
      <c r="E79" s="2"/>
      <c r="G79" s="6" t="str">
        <f aca="false">IF(F79&lt;&gt;0,F79*G$2/(100+G$2)," ")</f>
        <v> </v>
      </c>
      <c r="H79" s="6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</row>
    <row r="80" customFormat="false" ht="12" hidden="false" customHeight="false" outlineLevel="0" collapsed="false">
      <c r="A80" s="28"/>
      <c r="E80" s="2"/>
      <c r="G80" s="6" t="str">
        <f aca="false">IF(F80&lt;&gt;0,F80*G$2/(100+G$2)," ")</f>
        <v> </v>
      </c>
      <c r="H80" s="6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</row>
    <row r="81" customFormat="false" ht="12" hidden="false" customHeight="false" outlineLevel="0" collapsed="false">
      <c r="A81" s="28"/>
      <c r="E81" s="2"/>
      <c r="G81" s="6" t="str">
        <f aca="false">IF(F81&lt;&gt;0,F81*G$2/(100+G$2)," ")</f>
        <v> </v>
      </c>
      <c r="H81" s="6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</row>
    <row r="82" customFormat="false" ht="12" hidden="false" customHeight="false" outlineLevel="0" collapsed="false">
      <c r="A82" s="28"/>
      <c r="E82" s="2"/>
      <c r="G82" s="6" t="str">
        <f aca="false">IF(F82&lt;&gt;0,F82*G$2/(100+G$2)," ")</f>
        <v> </v>
      </c>
      <c r="H82" s="6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</row>
    <row r="83" customFormat="false" ht="12" hidden="false" customHeight="false" outlineLevel="0" collapsed="false">
      <c r="A83" s="28"/>
      <c r="E83" s="2"/>
      <c r="G83" s="6" t="str">
        <f aca="false">IF(F83&lt;&gt;0,F83*G$2/(100+G$2)," ")</f>
        <v> </v>
      </c>
      <c r="H83" s="6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</row>
    <row r="84" customFormat="false" ht="12" hidden="false" customHeight="false" outlineLevel="0" collapsed="false">
      <c r="A84" s="28"/>
      <c r="E84" s="2"/>
      <c r="G84" s="6" t="str">
        <f aca="false">IF(F84&lt;&gt;0,F84*G$2/(100+G$2)," ")</f>
        <v> </v>
      </c>
      <c r="H84" s="6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</row>
    <row r="85" customFormat="false" ht="12" hidden="false" customHeight="false" outlineLevel="0" collapsed="false">
      <c r="A85" s="28"/>
      <c r="E85" s="2"/>
      <c r="G85" s="6" t="str">
        <f aca="false">IF(F85&lt;&gt;0,F85*G$2/(100+G$2)," ")</f>
        <v> </v>
      </c>
      <c r="H85" s="6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</row>
    <row r="86" customFormat="false" ht="12" hidden="false" customHeight="false" outlineLevel="0" collapsed="false">
      <c r="A86" s="28"/>
      <c r="E86" s="2"/>
      <c r="G86" s="6" t="str">
        <f aca="false">IF(F86&lt;&gt;0,F86*G$2/(100+G$2)," ")</f>
        <v> </v>
      </c>
      <c r="H86" s="6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</row>
    <row r="87" customFormat="false" ht="12" hidden="false" customHeight="false" outlineLevel="0" collapsed="false">
      <c r="A87" s="28"/>
      <c r="E87" s="2"/>
      <c r="G87" s="6" t="str">
        <f aca="false">IF(F87&lt;&gt;0,F87*G$2/(100+G$2)," ")</f>
        <v> </v>
      </c>
      <c r="H87" s="6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</row>
    <row r="88" customFormat="false" ht="12" hidden="false" customHeight="false" outlineLevel="0" collapsed="false">
      <c r="A88" s="28"/>
      <c r="E88" s="2"/>
      <c r="G88" s="6" t="str">
        <f aca="false">IF(F88&lt;&gt;0,F88*G$2/(100+G$2)," ")</f>
        <v> </v>
      </c>
      <c r="H88" s="6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</row>
    <row r="89" customFormat="false" ht="12" hidden="false" customHeight="false" outlineLevel="0" collapsed="false">
      <c r="A89" s="28"/>
      <c r="E89" s="2"/>
      <c r="G89" s="6" t="str">
        <f aca="false">IF(F89&lt;&gt;0,F89*G$2/(100+G$2)," ")</f>
        <v> </v>
      </c>
      <c r="H89" s="6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</row>
    <row r="90" customFormat="false" ht="12" hidden="false" customHeight="false" outlineLevel="0" collapsed="false">
      <c r="A90" s="28"/>
      <c r="E90" s="2"/>
      <c r="G90" s="6" t="str">
        <f aca="false">IF(F90&lt;&gt;0,F90*G$2/(100+G$2)," ")</f>
        <v> </v>
      </c>
      <c r="H90" s="6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</row>
    <row r="91" customFormat="false" ht="12" hidden="false" customHeight="false" outlineLevel="0" collapsed="false">
      <c r="A91" s="28"/>
      <c r="E91" s="2"/>
      <c r="G91" s="6" t="str">
        <f aca="false">IF(F91&lt;&gt;0,F91*G$2/(100+G$2)," ")</f>
        <v> </v>
      </c>
      <c r="H91" s="6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</row>
    <row r="92" customFormat="false" ht="12" hidden="false" customHeight="false" outlineLevel="0" collapsed="false">
      <c r="A92" s="28"/>
      <c r="E92" s="2"/>
      <c r="G92" s="6" t="str">
        <f aca="false">IF(F92&lt;&gt;0,F92*G$2/(100+G$2)," ")</f>
        <v> </v>
      </c>
      <c r="H92" s="6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</row>
    <row r="93" customFormat="false" ht="12" hidden="false" customHeight="false" outlineLevel="0" collapsed="false">
      <c r="A93" s="28"/>
      <c r="E93" s="2"/>
      <c r="G93" s="6" t="str">
        <f aca="false">IF(F93&lt;&gt;0,F93*G$2/(100+G$2)," ")</f>
        <v> </v>
      </c>
      <c r="H93" s="6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</row>
    <row r="94" customFormat="false" ht="12" hidden="false" customHeight="false" outlineLevel="0" collapsed="false">
      <c r="A94" s="28"/>
      <c r="E94" s="2"/>
      <c r="G94" s="6" t="str">
        <f aca="false">IF(F94&lt;&gt;0,F94*G$2/(100+G$2)," ")</f>
        <v> </v>
      </c>
      <c r="H94" s="6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</row>
    <row r="95" customFormat="false" ht="12" hidden="false" customHeight="false" outlineLevel="0" collapsed="false">
      <c r="A95" s="28"/>
      <c r="E95" s="2"/>
      <c r="G95" s="6" t="str">
        <f aca="false">IF(F95&lt;&gt;0,F95*G$2/(100+G$2)," ")</f>
        <v> </v>
      </c>
      <c r="H95" s="6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</row>
    <row r="96" customFormat="false" ht="12" hidden="false" customHeight="false" outlineLevel="0" collapsed="false">
      <c r="A96" s="28"/>
      <c r="E96" s="2"/>
      <c r="G96" s="6" t="str">
        <f aca="false">IF(F96&lt;&gt;0,F96*G$2/(100+G$2)," ")</f>
        <v> </v>
      </c>
      <c r="H96" s="6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</row>
    <row r="97" customFormat="false" ht="12" hidden="false" customHeight="false" outlineLevel="0" collapsed="false">
      <c r="A97" s="28"/>
      <c r="E97" s="2"/>
      <c r="G97" s="6" t="str">
        <f aca="false">IF(F97&lt;&gt;0,F97*G$2/(100+G$2)," ")</f>
        <v> </v>
      </c>
      <c r="H97" s="6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</row>
    <row r="98" customFormat="false" ht="12" hidden="false" customHeight="false" outlineLevel="0" collapsed="false">
      <c r="A98" s="28"/>
      <c r="E98" s="2"/>
      <c r="G98" s="6" t="str">
        <f aca="false">IF(F98&lt;&gt;0,F98*G$2/(100+G$2)," ")</f>
        <v> </v>
      </c>
      <c r="H98" s="6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</row>
    <row r="99" customFormat="false" ht="12" hidden="false" customHeight="false" outlineLevel="0" collapsed="false">
      <c r="A99" s="28"/>
      <c r="E99" s="2"/>
      <c r="G99" s="6" t="str">
        <f aca="false">IF(F99&lt;&gt;0,F99*G$2/(100+G$2)," ")</f>
        <v> </v>
      </c>
      <c r="H99" s="6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</row>
    <row r="100" customFormat="false" ht="12" hidden="false" customHeight="false" outlineLevel="0" collapsed="false">
      <c r="A100" s="28"/>
      <c r="E100" s="2"/>
      <c r="G100" s="6" t="str">
        <f aca="false">IF(F100&lt;&gt;0,F100*G$2/(100+G$2)," ")</f>
        <v> </v>
      </c>
      <c r="H100" s="6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</row>
    <row r="101" customFormat="false" ht="12" hidden="false" customHeight="false" outlineLevel="0" collapsed="false">
      <c r="A101" s="28"/>
      <c r="E101" s="2"/>
      <c r="G101" s="6" t="str">
        <f aca="false">IF(F101&lt;&gt;0,F101*G$2/(100+G$2)," ")</f>
        <v> </v>
      </c>
      <c r="H101" s="6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</row>
    <row r="102" customFormat="false" ht="12" hidden="false" customHeight="false" outlineLevel="0" collapsed="false">
      <c r="A102" s="28"/>
      <c r="E102" s="2"/>
      <c r="G102" s="6" t="str">
        <f aca="false">IF(F102&lt;&gt;0,F102*G$2/(100+G$2)," ")</f>
        <v> </v>
      </c>
      <c r="H102" s="6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</row>
    <row r="103" customFormat="false" ht="12" hidden="false" customHeight="false" outlineLevel="0" collapsed="false">
      <c r="A103" s="28"/>
      <c r="E103" s="2"/>
      <c r="G103" s="6" t="str">
        <f aca="false">IF(F103&lt;&gt;0,F103*G$2/(100+G$2)," ")</f>
        <v> </v>
      </c>
      <c r="H103" s="6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</row>
    <row r="104" customFormat="false" ht="12" hidden="false" customHeight="false" outlineLevel="0" collapsed="false">
      <c r="A104" s="28"/>
      <c r="E104" s="2"/>
      <c r="G104" s="6" t="str">
        <f aca="false">IF(F104&lt;&gt;0,F104*G$2/(100+G$2)," ")</f>
        <v> </v>
      </c>
      <c r="H104" s="6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</row>
    <row r="105" customFormat="false" ht="12" hidden="false" customHeight="false" outlineLevel="0" collapsed="false">
      <c r="A105" s="28"/>
      <c r="E105" s="2"/>
      <c r="G105" s="6" t="str">
        <f aca="false">IF(F105&lt;&gt;0,F105*G$2/(100+G$2)," ")</f>
        <v> </v>
      </c>
      <c r="H105" s="6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</row>
    <row r="106" customFormat="false" ht="12" hidden="false" customHeight="false" outlineLevel="0" collapsed="false">
      <c r="A106" s="28"/>
      <c r="E106" s="2"/>
      <c r="G106" s="6" t="str">
        <f aca="false">IF(F106&lt;&gt;0,F106*G$2/(100+G$2)," ")</f>
        <v> </v>
      </c>
      <c r="H106" s="6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</row>
    <row r="107" customFormat="false" ht="12" hidden="false" customHeight="false" outlineLevel="0" collapsed="false">
      <c r="A107" s="28"/>
      <c r="E107" s="2"/>
      <c r="G107" s="6" t="str">
        <f aca="false">IF(F107&lt;&gt;0,F107*G$2/(100+G$2)," ")</f>
        <v> </v>
      </c>
      <c r="H107" s="6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</row>
    <row r="108" customFormat="false" ht="12" hidden="false" customHeight="false" outlineLevel="0" collapsed="false">
      <c r="A108" s="28"/>
      <c r="E108" s="2"/>
      <c r="G108" s="6" t="str">
        <f aca="false">IF(F108&lt;&gt;0,F108*G$2/(100+G$2)," ")</f>
        <v> </v>
      </c>
      <c r="H108" s="6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</row>
    <row r="109" customFormat="false" ht="12" hidden="false" customHeight="false" outlineLevel="0" collapsed="false">
      <c r="A109" s="28"/>
      <c r="E109" s="2"/>
      <c r="G109" s="6" t="str">
        <f aca="false">IF(F109&lt;&gt;0,F109*G$2/(100+G$2)," ")</f>
        <v> </v>
      </c>
      <c r="H109" s="6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</row>
    <row r="110" customFormat="false" ht="12" hidden="false" customHeight="false" outlineLevel="0" collapsed="false">
      <c r="A110" s="28"/>
      <c r="E110" s="2"/>
      <c r="G110" s="6" t="str">
        <f aca="false">IF(F110&lt;&gt;0,F110*G$2/(100+G$2)," ")</f>
        <v> </v>
      </c>
      <c r="H110" s="6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</row>
    <row r="111" customFormat="false" ht="12" hidden="false" customHeight="false" outlineLevel="0" collapsed="false">
      <c r="A111" s="28"/>
      <c r="E111" s="2"/>
      <c r="G111" s="6" t="str">
        <f aca="false">IF(F111&lt;&gt;0,F111*G$2/(100+G$2)," ")</f>
        <v> </v>
      </c>
      <c r="H111" s="6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</row>
    <row r="112" customFormat="false" ht="12" hidden="false" customHeight="false" outlineLevel="0" collapsed="false">
      <c r="A112" s="28"/>
      <c r="E112" s="2"/>
      <c r="G112" s="6" t="str">
        <f aca="false">IF(F112&lt;&gt;0,F112*G$2/(100+G$2)," ")</f>
        <v> </v>
      </c>
      <c r="H112" s="6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</row>
    <row r="113" customFormat="false" ht="12" hidden="false" customHeight="false" outlineLevel="0" collapsed="false">
      <c r="A113" s="28"/>
      <c r="E113" s="2"/>
      <c r="G113" s="6" t="str">
        <f aca="false">IF(F113&lt;&gt;0,F113*G$2/(100+G$2)," ")</f>
        <v> </v>
      </c>
      <c r="H113" s="6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</row>
    <row r="114" customFormat="false" ht="12" hidden="false" customHeight="false" outlineLevel="0" collapsed="false">
      <c r="A114" s="28"/>
      <c r="E114" s="2"/>
      <c r="G114" s="6" t="str">
        <f aca="false">IF(F114&lt;&gt;0,F114*G$2/(100+G$2)," ")</f>
        <v> </v>
      </c>
      <c r="H114" s="6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</row>
    <row r="115" customFormat="false" ht="12" hidden="false" customHeight="false" outlineLevel="0" collapsed="false">
      <c r="A115" s="28"/>
      <c r="E115" s="2"/>
      <c r="G115" s="6" t="str">
        <f aca="false">IF(F115&lt;&gt;0,F115*G$2/(100+G$2)," ")</f>
        <v> </v>
      </c>
      <c r="H115" s="6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</row>
    <row r="116" customFormat="false" ht="12" hidden="false" customHeight="false" outlineLevel="0" collapsed="false">
      <c r="A116" s="28"/>
      <c r="E116" s="2"/>
      <c r="G116" s="6" t="str">
        <f aca="false">IF(F116&lt;&gt;0,F116*G$2/(100+G$2)," ")</f>
        <v> </v>
      </c>
      <c r="H116" s="6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</row>
    <row r="117" customFormat="false" ht="12" hidden="false" customHeight="false" outlineLevel="0" collapsed="false">
      <c r="A117" s="28"/>
      <c r="E117" s="2"/>
      <c r="G117" s="6" t="str">
        <f aca="false">IF(F117&lt;&gt;0,F117*G$2/(100+G$2)," ")</f>
        <v> </v>
      </c>
      <c r="H117" s="6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</row>
    <row r="118" customFormat="false" ht="12" hidden="false" customHeight="false" outlineLevel="0" collapsed="false">
      <c r="A118" s="28"/>
      <c r="E118" s="2"/>
      <c r="G118" s="6" t="str">
        <f aca="false">IF(F118&lt;&gt;0,F118*G$2/(100+G$2)," ")</f>
        <v> </v>
      </c>
      <c r="H118" s="6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</row>
    <row r="119" customFormat="false" ht="12" hidden="false" customHeight="false" outlineLevel="0" collapsed="false">
      <c r="A119" s="28"/>
      <c r="E119" s="2"/>
      <c r="G119" s="6" t="str">
        <f aca="false">IF(F119&lt;&gt;0,F119*G$2/(100+G$2)," ")</f>
        <v> </v>
      </c>
      <c r="H119" s="6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</row>
    <row r="120" customFormat="false" ht="12" hidden="false" customHeight="false" outlineLevel="0" collapsed="false">
      <c r="A120" s="28"/>
      <c r="E120" s="2"/>
      <c r="G120" s="6" t="str">
        <f aca="false">IF(F120&lt;&gt;0,F120*G$2/(100+G$2)," ")</f>
        <v> </v>
      </c>
      <c r="H120" s="6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</row>
    <row r="121" customFormat="false" ht="12" hidden="false" customHeight="false" outlineLevel="0" collapsed="false">
      <c r="A121" s="28"/>
      <c r="E121" s="2"/>
      <c r="G121" s="6" t="str">
        <f aca="false">IF(F121&lt;&gt;0,F121*G$2/(100+G$2)," ")</f>
        <v> </v>
      </c>
      <c r="H121" s="6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</row>
    <row r="122" customFormat="false" ht="12" hidden="false" customHeight="false" outlineLevel="0" collapsed="false">
      <c r="A122" s="28"/>
      <c r="E122" s="2"/>
      <c r="G122" s="6" t="str">
        <f aca="false">IF(F122&lt;&gt;0,F122*G$2/(100+G$2)," ")</f>
        <v> </v>
      </c>
      <c r="H122" s="6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</row>
    <row r="123" customFormat="false" ht="12" hidden="false" customHeight="false" outlineLevel="0" collapsed="false">
      <c r="A123" s="28"/>
      <c r="E123" s="2"/>
      <c r="G123" s="6" t="str">
        <f aca="false">IF(F123&lt;&gt;0,F123*G$2/(100+G$2)," ")</f>
        <v> </v>
      </c>
      <c r="H123" s="6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</row>
    <row r="124" customFormat="false" ht="12" hidden="false" customHeight="false" outlineLevel="0" collapsed="false">
      <c r="A124" s="28"/>
      <c r="E124" s="2"/>
      <c r="G124" s="6" t="str">
        <f aca="false">IF(F124&lt;&gt;0,F124*G$2/(100+G$2)," ")</f>
        <v> </v>
      </c>
      <c r="H124" s="6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</row>
    <row r="125" customFormat="false" ht="12" hidden="false" customHeight="false" outlineLevel="0" collapsed="false">
      <c r="A125" s="28"/>
      <c r="E125" s="2"/>
      <c r="G125" s="6" t="str">
        <f aca="false">IF(F125&lt;&gt;0,F125*G$2/(100+G$2)," ")</f>
        <v> </v>
      </c>
      <c r="H125" s="6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</row>
    <row r="126" customFormat="false" ht="12" hidden="false" customHeight="false" outlineLevel="0" collapsed="false">
      <c r="A126" s="28"/>
      <c r="E126" s="2"/>
      <c r="G126" s="6" t="str">
        <f aca="false">IF(F126&lt;&gt;0,F126*G$2/(100+G$2)," ")</f>
        <v> </v>
      </c>
      <c r="H126" s="6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</row>
    <row r="127" customFormat="false" ht="12" hidden="false" customHeight="false" outlineLevel="0" collapsed="false">
      <c r="A127" s="28"/>
      <c r="E127" s="2"/>
      <c r="G127" s="6" t="str">
        <f aca="false">IF(F127&lt;&gt;0,F127*G$2/(100+G$2)," ")</f>
        <v> </v>
      </c>
      <c r="H127" s="6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</row>
    <row r="128" customFormat="false" ht="12" hidden="false" customHeight="false" outlineLevel="0" collapsed="false">
      <c r="A128" s="28"/>
      <c r="E128" s="2"/>
      <c r="G128" s="6" t="str">
        <f aca="false">IF(F128&lt;&gt;0,F128*G$2/(100+G$2)," ")</f>
        <v> </v>
      </c>
      <c r="H128" s="6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</row>
    <row r="129" customFormat="false" ht="12" hidden="false" customHeight="false" outlineLevel="0" collapsed="false">
      <c r="A129" s="28"/>
      <c r="E129" s="2"/>
      <c r="G129" s="6" t="str">
        <f aca="false">IF(F129&lt;&gt;0,F129*G$2/(100+G$2)," ")</f>
        <v> </v>
      </c>
      <c r="H129" s="6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</row>
    <row r="130" customFormat="false" ht="12" hidden="false" customHeight="false" outlineLevel="0" collapsed="false">
      <c r="A130" s="28"/>
      <c r="E130" s="2"/>
      <c r="G130" s="6" t="str">
        <f aca="false">IF(F130&lt;&gt;0,F130*G$2/(100+G$2)," ")</f>
        <v> </v>
      </c>
      <c r="H130" s="6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</row>
    <row r="131" customFormat="false" ht="12" hidden="false" customHeight="false" outlineLevel="0" collapsed="false">
      <c r="A131" s="28"/>
      <c r="E131" s="2"/>
      <c r="G131" s="6" t="str">
        <f aca="false">IF(F131&lt;&gt;0,F131*G$2/(100+G$2)," ")</f>
        <v> </v>
      </c>
      <c r="H131" s="6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</row>
    <row r="132" customFormat="false" ht="12" hidden="false" customHeight="false" outlineLevel="0" collapsed="false">
      <c r="A132" s="28"/>
      <c r="E132" s="2"/>
      <c r="G132" s="6" t="str">
        <f aca="false">IF(F132&lt;&gt;0,F132*G$2/(100+G$2)," ")</f>
        <v> </v>
      </c>
      <c r="H132" s="6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</row>
    <row r="133" customFormat="false" ht="12" hidden="false" customHeight="false" outlineLevel="0" collapsed="false">
      <c r="A133" s="28"/>
      <c r="E133" s="2"/>
      <c r="G133" s="6" t="str">
        <f aca="false">IF(F133&lt;&gt;0,F133*G$2/(100+G$2)," ")</f>
        <v> </v>
      </c>
      <c r="H133" s="6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</row>
    <row r="134" customFormat="false" ht="12" hidden="false" customHeight="false" outlineLevel="0" collapsed="false">
      <c r="A134" s="28"/>
      <c r="E134" s="2"/>
      <c r="G134" s="6" t="str">
        <f aca="false">IF(F134&lt;&gt;0,F134*G$2/(100+G$2)," ")</f>
        <v> </v>
      </c>
      <c r="H134" s="6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</row>
    <row r="135" customFormat="false" ht="12" hidden="false" customHeight="false" outlineLevel="0" collapsed="false">
      <c r="A135" s="28"/>
      <c r="E135" s="2"/>
      <c r="G135" s="6" t="str">
        <f aca="false">IF(F135&lt;&gt;0,F135*G$2/(100+G$2)," ")</f>
        <v> </v>
      </c>
      <c r="H135" s="6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</row>
    <row r="136" customFormat="false" ht="12" hidden="false" customHeight="false" outlineLevel="0" collapsed="false">
      <c r="A136" s="28"/>
      <c r="E136" s="2"/>
      <c r="G136" s="6" t="str">
        <f aca="false">IF(F136&lt;&gt;0,F136*G$2/(100+G$2)," ")</f>
        <v> </v>
      </c>
      <c r="H136" s="6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</row>
    <row r="137" customFormat="false" ht="12" hidden="false" customHeight="false" outlineLevel="0" collapsed="false">
      <c r="A137" s="28"/>
      <c r="E137" s="2"/>
      <c r="G137" s="6" t="str">
        <f aca="false">IF(F137&lt;&gt;0,F137*G$2/(100+G$2)," ")</f>
        <v> </v>
      </c>
      <c r="H137" s="6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</row>
    <row r="138" customFormat="false" ht="12" hidden="false" customHeight="false" outlineLevel="0" collapsed="false">
      <c r="A138" s="28"/>
      <c r="E138" s="2"/>
      <c r="G138" s="6" t="str">
        <f aca="false">IF(F138&lt;&gt;0,F138*G$2/(100+G$2)," ")</f>
        <v> </v>
      </c>
      <c r="H138" s="6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</row>
    <row r="139" customFormat="false" ht="12" hidden="false" customHeight="false" outlineLevel="0" collapsed="false">
      <c r="A139" s="28"/>
      <c r="E139" s="2"/>
      <c r="G139" s="6" t="str">
        <f aca="false">IF(F139&lt;&gt;0,F139*G$2/(100+G$2)," ")</f>
        <v> </v>
      </c>
      <c r="H139" s="6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</row>
    <row r="140" customFormat="false" ht="12" hidden="false" customHeight="false" outlineLevel="0" collapsed="false">
      <c r="A140" s="28"/>
      <c r="E140" s="2"/>
      <c r="G140" s="6" t="str">
        <f aca="false">IF(F140&lt;&gt;0,F140*G$2/(100+G$2)," ")</f>
        <v> </v>
      </c>
      <c r="H140" s="6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</row>
    <row r="141" customFormat="false" ht="12" hidden="false" customHeight="false" outlineLevel="0" collapsed="false">
      <c r="A141" s="28"/>
      <c r="E141" s="2"/>
      <c r="G141" s="6" t="str">
        <f aca="false">IF(F141&lt;&gt;0,F141*G$2/(100+G$2)," ")</f>
        <v> </v>
      </c>
      <c r="H141" s="6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</row>
    <row r="142" customFormat="false" ht="12" hidden="false" customHeight="false" outlineLevel="0" collapsed="false">
      <c r="A142" s="28"/>
      <c r="E142" s="2"/>
      <c r="G142" s="6" t="str">
        <f aca="false">IF(F142&lt;&gt;0,F142*G$2/(100+G$2)," ")</f>
        <v> </v>
      </c>
      <c r="H142" s="6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</row>
    <row r="143" customFormat="false" ht="12" hidden="false" customHeight="false" outlineLevel="0" collapsed="false">
      <c r="A143" s="28"/>
      <c r="E143" s="2"/>
      <c r="G143" s="6" t="str">
        <f aca="false">IF(F143&lt;&gt;0,F143*G$2/(100+G$2)," ")</f>
        <v> </v>
      </c>
      <c r="H143" s="6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</row>
    <row r="144" customFormat="false" ht="12" hidden="false" customHeight="false" outlineLevel="0" collapsed="false">
      <c r="A144" s="28"/>
      <c r="E144" s="2"/>
      <c r="G144" s="6" t="str">
        <f aca="false">IF(F144&lt;&gt;0,F144*G$2/(100+G$2)," ")</f>
        <v> </v>
      </c>
      <c r="H144" s="6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</row>
    <row r="145" customFormat="false" ht="12" hidden="false" customHeight="false" outlineLevel="0" collapsed="false">
      <c r="A145" s="28"/>
      <c r="E145" s="2"/>
      <c r="G145" s="6" t="str">
        <f aca="false">IF(F145&lt;&gt;0,F145*G$2/(100+G$2)," ")</f>
        <v> </v>
      </c>
      <c r="H145" s="6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</row>
    <row r="146" customFormat="false" ht="12" hidden="false" customHeight="false" outlineLevel="0" collapsed="false">
      <c r="A146" s="28"/>
      <c r="E146" s="2"/>
      <c r="G146" s="6" t="str">
        <f aca="false">IF(F146&lt;&gt;0,F146*G$2/(100+G$2)," ")</f>
        <v> </v>
      </c>
      <c r="H146" s="6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</row>
    <row r="147" customFormat="false" ht="12" hidden="false" customHeight="false" outlineLevel="0" collapsed="false">
      <c r="A147" s="28"/>
      <c r="E147" s="2"/>
      <c r="G147" s="6" t="str">
        <f aca="false">IF(F147&lt;&gt;0,F147*G$2/(100+G$2)," ")</f>
        <v> </v>
      </c>
      <c r="H147" s="6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</row>
    <row r="148" customFormat="false" ht="12" hidden="false" customHeight="false" outlineLevel="0" collapsed="false">
      <c r="A148" s="28"/>
      <c r="E148" s="2"/>
      <c r="G148" s="6" t="str">
        <f aca="false">IF(F148&lt;&gt;0,F148*G$2/(100+G$2)," ")</f>
        <v> </v>
      </c>
      <c r="H148" s="6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</row>
    <row r="149" customFormat="false" ht="12" hidden="false" customHeight="false" outlineLevel="0" collapsed="false">
      <c r="A149" s="28"/>
      <c r="E149" s="2"/>
      <c r="G149" s="6" t="str">
        <f aca="false">IF(F149&lt;&gt;0,F149*G$2/(100+G$2)," ")</f>
        <v> </v>
      </c>
      <c r="H149" s="6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</row>
    <row r="150" customFormat="false" ht="12" hidden="false" customHeight="false" outlineLevel="0" collapsed="false">
      <c r="A150" s="28"/>
      <c r="E150" s="2"/>
      <c r="G150" s="6" t="str">
        <f aca="false">IF(F150&lt;&gt;0,F150*G$2/(100+G$2)," ")</f>
        <v> </v>
      </c>
      <c r="H150" s="6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</row>
    <row r="151" customFormat="false" ht="12" hidden="false" customHeight="false" outlineLevel="0" collapsed="false">
      <c r="A151" s="28"/>
      <c r="E151" s="2"/>
      <c r="G151" s="6" t="str">
        <f aca="false">IF(F151&lt;&gt;0,F151*G$2/(100+G$2)," ")</f>
        <v> </v>
      </c>
      <c r="H151" s="6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</row>
    <row r="152" customFormat="false" ht="12" hidden="false" customHeight="false" outlineLevel="0" collapsed="false">
      <c r="A152" s="28"/>
      <c r="E152" s="2"/>
      <c r="G152" s="6" t="str">
        <f aca="false">IF(F152&lt;&gt;0,F152*G$2/(100+G$2)," ")</f>
        <v> </v>
      </c>
      <c r="H152" s="6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</row>
    <row r="153" customFormat="false" ht="12" hidden="false" customHeight="false" outlineLevel="0" collapsed="false">
      <c r="A153" s="28"/>
      <c r="E153" s="2"/>
      <c r="G153" s="6" t="str">
        <f aca="false">IF(F153&lt;&gt;0,F153*G$2/(100+G$2)," ")</f>
        <v> </v>
      </c>
      <c r="H153" s="6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</row>
    <row r="154" customFormat="false" ht="12" hidden="false" customHeight="false" outlineLevel="0" collapsed="false">
      <c r="A154" s="28"/>
      <c r="E154" s="2"/>
      <c r="G154" s="6" t="str">
        <f aca="false">IF(F154&lt;&gt;0,F154*G$2/(100+G$2)," ")</f>
        <v> </v>
      </c>
      <c r="H154" s="6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</row>
    <row r="155" customFormat="false" ht="12" hidden="false" customHeight="false" outlineLevel="0" collapsed="false">
      <c r="A155" s="28"/>
      <c r="E155" s="2"/>
      <c r="G155" s="6" t="str">
        <f aca="false">IF(F155&lt;&gt;0,F155*G$2/(100+G$2)," ")</f>
        <v> </v>
      </c>
      <c r="H155" s="6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</row>
    <row r="156" customFormat="false" ht="12" hidden="false" customHeight="false" outlineLevel="0" collapsed="false">
      <c r="A156" s="28"/>
      <c r="E156" s="2"/>
      <c r="G156" s="6" t="str">
        <f aca="false">IF(F156&lt;&gt;0,F156*G$2/(100+G$2)," ")</f>
        <v> </v>
      </c>
      <c r="H156" s="6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</row>
    <row r="157" customFormat="false" ht="12" hidden="false" customHeight="false" outlineLevel="0" collapsed="false">
      <c r="A157" s="28"/>
      <c r="E157" s="2"/>
      <c r="G157" s="6" t="str">
        <f aca="false">IF(F157&lt;&gt;0,F157*G$2/(100+G$2)," ")</f>
        <v> </v>
      </c>
      <c r="H157" s="6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</row>
    <row r="158" customFormat="false" ht="12" hidden="false" customHeight="false" outlineLevel="0" collapsed="false">
      <c r="A158" s="28"/>
      <c r="E158" s="2"/>
      <c r="G158" s="6" t="str">
        <f aca="false">IF(F158&lt;&gt;0,F158*G$2/(100+G$2)," ")</f>
        <v> </v>
      </c>
      <c r="H158" s="6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</row>
    <row r="159" customFormat="false" ht="12" hidden="false" customHeight="false" outlineLevel="0" collapsed="false">
      <c r="A159" s="28"/>
      <c r="E159" s="2"/>
      <c r="G159" s="6" t="str">
        <f aca="false">IF(F159&lt;&gt;0,F159*G$2/(100+G$2)," ")</f>
        <v> </v>
      </c>
      <c r="H159" s="6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</row>
    <row r="160" customFormat="false" ht="12" hidden="false" customHeight="false" outlineLevel="0" collapsed="false">
      <c r="A160" s="28"/>
      <c r="E160" s="2"/>
      <c r="G160" s="6" t="str">
        <f aca="false">IF(F160&lt;&gt;0,F160*G$2/(100+G$2)," ")</f>
        <v> </v>
      </c>
      <c r="H160" s="6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</row>
    <row r="161" customFormat="false" ht="12" hidden="false" customHeight="false" outlineLevel="0" collapsed="false">
      <c r="A161" s="28"/>
      <c r="E161" s="2"/>
      <c r="G161" s="6" t="str">
        <f aca="false">IF(F161&lt;&gt;0,F161*G$2/(100+G$2)," ")</f>
        <v> </v>
      </c>
      <c r="H161" s="6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</row>
    <row r="162" customFormat="false" ht="12" hidden="false" customHeight="false" outlineLevel="0" collapsed="false">
      <c r="A162" s="28"/>
      <c r="E162" s="2"/>
      <c r="G162" s="6" t="str">
        <f aca="false">IF(F162&lt;&gt;0,F162*G$2/(100+G$2)," ")</f>
        <v> </v>
      </c>
      <c r="H162" s="6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</row>
    <row r="163" customFormat="false" ht="12" hidden="false" customHeight="false" outlineLevel="0" collapsed="false">
      <c r="A163" s="28"/>
      <c r="E163" s="2"/>
      <c r="G163" s="6" t="str">
        <f aca="false">IF(F163&lt;&gt;0,F163*G$2/(100+G$2)," ")</f>
        <v> </v>
      </c>
      <c r="H163" s="6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</row>
    <row r="164" customFormat="false" ht="12" hidden="false" customHeight="false" outlineLevel="0" collapsed="false">
      <c r="A164" s="28"/>
      <c r="E164" s="2"/>
      <c r="G164" s="6" t="str">
        <f aca="false">IF(F164&lt;&gt;0,F164*G$2/(100+G$2)," ")</f>
        <v> </v>
      </c>
      <c r="H164" s="6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</row>
    <row r="165" customFormat="false" ht="12" hidden="false" customHeight="false" outlineLevel="0" collapsed="false">
      <c r="A165" s="28"/>
      <c r="E165" s="2"/>
      <c r="G165" s="6" t="str">
        <f aca="false">IF(F165&lt;&gt;0,F165*G$2/(100+G$2)," ")</f>
        <v> </v>
      </c>
      <c r="H165" s="6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</row>
    <row r="166" customFormat="false" ht="12" hidden="false" customHeight="false" outlineLevel="0" collapsed="false">
      <c r="A166" s="28"/>
      <c r="E166" s="2"/>
      <c r="G166" s="6" t="str">
        <f aca="false">IF(F166&lt;&gt;0,F166*G$2/(100+G$2)," ")</f>
        <v> </v>
      </c>
      <c r="H166" s="6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</row>
    <row r="167" customFormat="false" ht="12" hidden="false" customHeight="false" outlineLevel="0" collapsed="false">
      <c r="A167" s="28"/>
      <c r="E167" s="2"/>
      <c r="G167" s="6" t="str">
        <f aca="false">IF(F167&lt;&gt;0,F167*G$2/(100+G$2)," ")</f>
        <v> </v>
      </c>
      <c r="H167" s="6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</row>
    <row r="168" customFormat="false" ht="12" hidden="false" customHeight="false" outlineLevel="0" collapsed="false">
      <c r="A168" s="28"/>
      <c r="E168" s="2"/>
      <c r="G168" s="6" t="str">
        <f aca="false">IF(F168&lt;&gt;0,F168*G$2/(100+G$2)," ")</f>
        <v> </v>
      </c>
      <c r="H168" s="6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</row>
    <row r="169" customFormat="false" ht="12" hidden="false" customHeight="false" outlineLevel="0" collapsed="false">
      <c r="A169" s="28"/>
      <c r="E169" s="2"/>
      <c r="G169" s="6" t="str">
        <f aca="false">IF(F169&lt;&gt;0,F169*G$2/(100+G$2)," ")</f>
        <v> </v>
      </c>
      <c r="H169" s="6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</row>
    <row r="170" customFormat="false" ht="12" hidden="false" customHeight="false" outlineLevel="0" collapsed="false">
      <c r="A170" s="28"/>
      <c r="E170" s="2"/>
      <c r="G170" s="6" t="str">
        <f aca="false">IF(F170&lt;&gt;0,F170*G$2/(100+G$2)," ")</f>
        <v> </v>
      </c>
      <c r="H170" s="6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</row>
    <row r="171" customFormat="false" ht="12" hidden="false" customHeight="false" outlineLevel="0" collapsed="false">
      <c r="A171" s="28"/>
      <c r="E171" s="2"/>
      <c r="G171" s="6" t="str">
        <f aca="false">IF(F171&lt;&gt;0,F171*G$2/(100+G$2)," ")</f>
        <v> </v>
      </c>
      <c r="H171" s="6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</row>
    <row r="172" customFormat="false" ht="12" hidden="false" customHeight="false" outlineLevel="0" collapsed="false">
      <c r="A172" s="28"/>
      <c r="E172" s="2"/>
      <c r="G172" s="6" t="str">
        <f aca="false">IF(F172&lt;&gt;0,F172*G$2/(100+G$2)," ")</f>
        <v> </v>
      </c>
      <c r="H172" s="6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</row>
    <row r="173" customFormat="false" ht="12" hidden="false" customHeight="false" outlineLevel="0" collapsed="false">
      <c r="A173" s="28"/>
      <c r="E173" s="2"/>
      <c r="G173" s="6" t="str">
        <f aca="false">IF(F173&lt;&gt;0,F173*G$2/(100+G$2)," ")</f>
        <v> </v>
      </c>
      <c r="H173" s="6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</row>
    <row r="174" customFormat="false" ht="12" hidden="false" customHeight="false" outlineLevel="0" collapsed="false">
      <c r="A174" s="28"/>
      <c r="E174" s="2"/>
      <c r="G174" s="6" t="str">
        <f aca="false">IF(F174&lt;&gt;0,F174*G$2/(100+G$2)," ")</f>
        <v> </v>
      </c>
      <c r="H174" s="6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</row>
    <row r="175" customFormat="false" ht="12" hidden="false" customHeight="false" outlineLevel="0" collapsed="false">
      <c r="A175" s="28"/>
      <c r="E175" s="2"/>
      <c r="G175" s="6" t="str">
        <f aca="false">IF(F175&lt;&gt;0,F175*G$2/(100+G$2)," ")</f>
        <v> </v>
      </c>
      <c r="H175" s="6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</row>
    <row r="176" customFormat="false" ht="12" hidden="false" customHeight="false" outlineLevel="0" collapsed="false">
      <c r="A176" s="28"/>
      <c r="E176" s="2"/>
      <c r="G176" s="6" t="str">
        <f aca="false">IF(F176&lt;&gt;0,F176*G$2/(100+G$2)," ")</f>
        <v> </v>
      </c>
      <c r="H176" s="6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</row>
    <row r="177" customFormat="false" ht="12" hidden="false" customHeight="false" outlineLevel="0" collapsed="false">
      <c r="A177" s="28"/>
      <c r="E177" s="2"/>
      <c r="G177" s="6" t="str">
        <f aca="false">IF(F177&lt;&gt;0,F177*G$2/(100+G$2)," ")</f>
        <v> </v>
      </c>
      <c r="H177" s="6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</row>
    <row r="178" customFormat="false" ht="12" hidden="false" customHeight="false" outlineLevel="0" collapsed="false">
      <c r="A178" s="28"/>
      <c r="E178" s="2"/>
      <c r="G178" s="6" t="str">
        <f aca="false">IF(F178&lt;&gt;0,F178*G$2/(100+G$2)," ")</f>
        <v> </v>
      </c>
      <c r="H178" s="6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</row>
    <row r="179" customFormat="false" ht="12" hidden="false" customHeight="false" outlineLevel="0" collapsed="false">
      <c r="A179" s="28"/>
      <c r="E179" s="2"/>
      <c r="G179" s="6" t="str">
        <f aca="false">IF(F179&lt;&gt;0,F179*G$2/(100+G$2)," ")</f>
        <v> </v>
      </c>
      <c r="H179" s="6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</row>
    <row r="180" customFormat="false" ht="12" hidden="false" customHeight="false" outlineLevel="0" collapsed="false">
      <c r="A180" s="28"/>
      <c r="E180" s="2"/>
      <c r="G180" s="6" t="str">
        <f aca="false">IF(F180&lt;&gt;0,F180*G$2/(100+G$2)," ")</f>
        <v> </v>
      </c>
      <c r="H180" s="6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</row>
    <row r="181" customFormat="false" ht="12" hidden="false" customHeight="false" outlineLevel="0" collapsed="false">
      <c r="A181" s="28"/>
      <c r="E181" s="2"/>
      <c r="G181" s="6" t="str">
        <f aca="false">IF(F181&lt;&gt;0,F181*G$2/(100+G$2)," ")</f>
        <v> </v>
      </c>
      <c r="H181" s="6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</row>
    <row r="182" customFormat="false" ht="12" hidden="false" customHeight="false" outlineLevel="0" collapsed="false">
      <c r="A182" s="28"/>
      <c r="E182" s="2"/>
      <c r="G182" s="6" t="str">
        <f aca="false">IF(F182&lt;&gt;0,F182*G$2/(100+G$2)," ")</f>
        <v> </v>
      </c>
      <c r="H182" s="6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</row>
    <row r="183" customFormat="false" ht="12" hidden="false" customHeight="false" outlineLevel="0" collapsed="false">
      <c r="A183" s="28"/>
      <c r="E183" s="2"/>
      <c r="G183" s="6" t="str">
        <f aca="false">IF(F183&lt;&gt;0,F183*G$2/(100+G$2)," ")</f>
        <v> </v>
      </c>
      <c r="H183" s="6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</row>
    <row r="184" customFormat="false" ht="12" hidden="false" customHeight="false" outlineLevel="0" collapsed="false">
      <c r="A184" s="28"/>
      <c r="E184" s="2"/>
      <c r="G184" s="6" t="str">
        <f aca="false">IF(F184&lt;&gt;0,F184*G$2/(100+G$2)," ")</f>
        <v> </v>
      </c>
      <c r="H184" s="6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</row>
    <row r="185" customFormat="false" ht="12" hidden="false" customHeight="false" outlineLevel="0" collapsed="false">
      <c r="A185" s="28"/>
      <c r="E185" s="2"/>
      <c r="G185" s="6" t="str">
        <f aca="false">IF(F185&lt;&gt;0,F185*G$2/(100+G$2)," ")</f>
        <v> </v>
      </c>
      <c r="H185" s="6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</row>
    <row r="186" customFormat="false" ht="12" hidden="false" customHeight="false" outlineLevel="0" collapsed="false">
      <c r="A186" s="28"/>
      <c r="E186" s="2"/>
      <c r="G186" s="6" t="str">
        <f aca="false">IF(F186&lt;&gt;0,F186*G$2/(100+G$2)," ")</f>
        <v> </v>
      </c>
      <c r="H186" s="6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</row>
    <row r="187" customFormat="false" ht="12" hidden="false" customHeight="false" outlineLevel="0" collapsed="false">
      <c r="A187" s="28"/>
      <c r="E187" s="2"/>
      <c r="G187" s="6" t="str">
        <f aca="false">IF(F187&lt;&gt;0,F187*G$2/(100+G$2)," ")</f>
        <v> </v>
      </c>
      <c r="H187" s="6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</row>
    <row r="188" customFormat="false" ht="12" hidden="false" customHeight="false" outlineLevel="0" collapsed="false">
      <c r="A188" s="28"/>
      <c r="E188" s="2"/>
      <c r="G188" s="6" t="str">
        <f aca="false">IF(F188&lt;&gt;0,F188*G$2/(100+G$2)," ")</f>
        <v> </v>
      </c>
      <c r="H188" s="6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</row>
    <row r="189" customFormat="false" ht="12" hidden="false" customHeight="false" outlineLevel="0" collapsed="false">
      <c r="A189" s="28"/>
      <c r="E189" s="2"/>
      <c r="G189" s="6" t="str">
        <f aca="false">IF(F189&lt;&gt;0,F189*G$2/(100+G$2)," ")</f>
        <v> </v>
      </c>
      <c r="H189" s="6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</row>
    <row r="190" customFormat="false" ht="12" hidden="false" customHeight="false" outlineLevel="0" collapsed="false">
      <c r="A190" s="28"/>
      <c r="E190" s="2"/>
      <c r="G190" s="6" t="str">
        <f aca="false">IF(F190&lt;&gt;0,F190*G$2/(100+G$2)," ")</f>
        <v> </v>
      </c>
      <c r="H190" s="6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</row>
    <row r="191" customFormat="false" ht="12" hidden="false" customHeight="false" outlineLevel="0" collapsed="false">
      <c r="A191" s="28"/>
      <c r="E191" s="2"/>
      <c r="G191" s="6" t="str">
        <f aca="false">IF(F191&lt;&gt;0,F191*G$2/(100+G$2)," ")</f>
        <v> </v>
      </c>
      <c r="H191" s="6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</row>
    <row r="192" customFormat="false" ht="12" hidden="false" customHeight="false" outlineLevel="0" collapsed="false">
      <c r="A192" s="28"/>
      <c r="E192" s="2"/>
      <c r="G192" s="6" t="str">
        <f aca="false">IF(F192&lt;&gt;0,F192*G$2/(100+G$2)," ")</f>
        <v> </v>
      </c>
      <c r="H192" s="6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</row>
    <row r="193" customFormat="false" ht="12" hidden="false" customHeight="false" outlineLevel="0" collapsed="false">
      <c r="A193" s="28"/>
      <c r="E193" s="2"/>
      <c r="G193" s="6" t="str">
        <f aca="false">IF(F193&lt;&gt;0,F193*G$2/(100+G$2)," ")</f>
        <v> </v>
      </c>
      <c r="H193" s="6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</row>
    <row r="194" customFormat="false" ht="12" hidden="false" customHeight="false" outlineLevel="0" collapsed="false">
      <c r="A194" s="28"/>
      <c r="E194" s="2"/>
      <c r="G194" s="6" t="str">
        <f aca="false">IF(F194&lt;&gt;0,F194*G$2/(100+G$2)," ")</f>
        <v> </v>
      </c>
      <c r="H194" s="6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</row>
    <row r="195" customFormat="false" ht="12" hidden="false" customHeight="false" outlineLevel="0" collapsed="false">
      <c r="A195" s="28"/>
      <c r="E195" s="2"/>
      <c r="G195" s="6" t="str">
        <f aca="false">IF(F195&lt;&gt;0,F195*G$2/(100+G$2)," ")</f>
        <v> </v>
      </c>
      <c r="H195" s="6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</row>
    <row r="196" customFormat="false" ht="12" hidden="false" customHeight="false" outlineLevel="0" collapsed="false">
      <c r="A196" s="28"/>
      <c r="E196" s="2"/>
      <c r="G196" s="6" t="str">
        <f aca="false">IF(F196&lt;&gt;0,F196*G$2/(100+G$2)," ")</f>
        <v> </v>
      </c>
      <c r="H196" s="6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</row>
    <row r="197" customFormat="false" ht="12" hidden="false" customHeight="false" outlineLevel="0" collapsed="false">
      <c r="A197" s="28"/>
      <c r="E197" s="2"/>
      <c r="G197" s="6" t="str">
        <f aca="false">IF(F197&lt;&gt;0,F197*G$2/(100+G$2)," ")</f>
        <v> </v>
      </c>
      <c r="H197" s="6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</row>
    <row r="198" customFormat="false" ht="12" hidden="false" customHeight="false" outlineLevel="0" collapsed="false">
      <c r="A198" s="28"/>
      <c r="E198" s="2"/>
      <c r="G198" s="6" t="str">
        <f aca="false">IF(F198&lt;&gt;0,F198*G$2/(100+G$2)," ")</f>
        <v> </v>
      </c>
      <c r="H198" s="6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</row>
    <row r="199" customFormat="false" ht="12" hidden="false" customHeight="false" outlineLevel="0" collapsed="false">
      <c r="A199" s="28"/>
      <c r="E199" s="2"/>
      <c r="G199" s="6" t="str">
        <f aca="false">IF(F199&lt;&gt;0,F199*G$2/(100+G$2)," ")</f>
        <v> </v>
      </c>
      <c r="H199" s="6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</row>
    <row r="200" customFormat="false" ht="12" hidden="false" customHeight="false" outlineLevel="0" collapsed="false">
      <c r="A200" s="31"/>
      <c r="B200" s="32"/>
      <c r="C200" s="33"/>
      <c r="D200" s="34"/>
      <c r="E200" s="32"/>
      <c r="F200" s="35"/>
      <c r="G200" s="35" t="str">
        <f aca="false">IF(F200&lt;&gt;0,F200*G$2/(100+G$2)," ")</f>
        <v> </v>
      </c>
      <c r="H200" s="35" t="str">
        <f aca="false">IF((F200&lt;&gt;0),F200-G200," ")</f>
        <v> </v>
      </c>
      <c r="J200" s="35"/>
      <c r="K200" s="35"/>
      <c r="L200" s="36" t="str">
        <f aca="false">IF(F200&lt;&gt;0,F200-K200," ")</f>
        <v> </v>
      </c>
      <c r="M200" s="37" t="str">
        <f aca="false">IF((F200-K200)&lt;&gt;0,M$1-A200," ")</f>
        <v> </v>
      </c>
    </row>
    <row r="201" customFormat="false" ht="12" hidden="false" customHeight="false" outlineLevel="0" collapsed="false">
      <c r="G201" s="6" t="e">
        <f aca="false">NA()</f>
        <v>#N/A</v>
      </c>
    </row>
  </sheetData>
  <mergeCells count="16">
    <mergeCell ref="A1:B1"/>
    <mergeCell ref="D1:E1"/>
    <mergeCell ref="I1:I4"/>
    <mergeCell ref="J1:J4"/>
    <mergeCell ref="A2:A4"/>
    <mergeCell ref="B2:B4"/>
    <mergeCell ref="C2:C4"/>
    <mergeCell ref="D2:D4"/>
    <mergeCell ref="E2:E4"/>
    <mergeCell ref="F2:F4"/>
    <mergeCell ref="H2:H4"/>
    <mergeCell ref="K2:M2"/>
    <mergeCell ref="G3:G4"/>
    <mergeCell ref="K3:K4"/>
    <mergeCell ref="L3:L4"/>
    <mergeCell ref="M3:M4"/>
  </mergeCells>
  <dataValidations count="1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00" type="date">
      <formula1>38353</formula1>
      <formula2>53327</formula2>
    </dataValidation>
  </dataValidations>
  <printOptions headings="false" gridLines="false" gridLinesSet="true" horizontalCentered="true" verticalCentered="true"/>
  <pageMargins left="0.157638888888889" right="0.0784722222222222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&amp;C&amp;"Arial,Bold"&amp;11CLOSING CREDITORS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2005-11-20T10:44:15Z</dcterms:created>
  <dc:creator>Terry Cartwright</dc:creator>
  <dc:description/>
  <dc:language>en-US</dc:language>
  <cp:lastModifiedBy>Cartwright, Antony</cp:lastModifiedBy>
  <cp:lastPrinted>2007-03-02T12:17:48Z</cp:lastPrinted>
  <dcterms:modified xsi:type="dcterms:W3CDTF">2025-04-03T23:05:38Z</dcterms:modified>
  <cp:revision>0</cp:revision>
  <dc:subject/>
  <dc:title>0607 Purchases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