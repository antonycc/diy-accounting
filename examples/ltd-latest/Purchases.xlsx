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Creditors" sheetId="1" state="visible" r:id="rId3"/>
    <sheet name="Jun" sheetId="2" state="visible" r:id="rId4"/>
    <sheet name="Jul" sheetId="3" state="visible" r:id="rId5"/>
    <sheet name="Aug" sheetId="4" state="visible" r:id="rId6"/>
    <sheet name="Sep" sheetId="5" state="visible" r:id="rId7"/>
    <sheet name="Oct" sheetId="6" state="visible" r:id="rId8"/>
    <sheet name="Nov" sheetId="7" state="visible" r:id="rId9"/>
    <sheet name="Dec" sheetId="8" state="visible" r:id="rId10"/>
    <sheet name="Jan" sheetId="9" state="visible" r:id="rId11"/>
    <sheet name="Feb" sheetId="10" state="visible" r:id="rId12"/>
    <sheet name="Mar" sheetId="11" state="visible" r:id="rId13"/>
    <sheet name="Apr" sheetId="12" state="visible" r:id="rId14"/>
    <sheet name="May" sheetId="13" state="visible" r:id="rId15"/>
    <sheet name="ClosingCreditors" sheetId="14" state="visible" r:id="rId16"/>
  </sheets>
  <externalReferences>
    <externalReference r:id="rId17"/>
    <externalReference r:id="rId18"/>
  </externalReferences>
  <definedNames>
    <definedName function="false" hidden="false" localSheetId="13" name="_xlnm.Print_Area" vbProcedure="false">ClosingCreditors!$A$1:$M$75</definedName>
    <definedName function="false" hidden="false" localSheetId="13" name="_xlnm.Print_Titles" vbProcedure="false">ClosingCreditors!$1:$4</definedName>
    <definedName function="false" hidden="false" localSheetId="0" name="_xlnm.Print_Area" vbProcedure="false">OpeningCreditors!$A$1:$M$75</definedName>
    <definedName function="false" hidden="false" localSheetId="0" name="_xlnm.Print_Titles" vbProcedure="false">OpeningCreditors!$1:$4</definedName>
    <definedName function="false" hidden="false" localSheetId="0" name="_xlnm_Print_Area" vbProcedure="false">OpeningCreditors!$A$1:$M$75</definedName>
    <definedName function="false" hidden="false" localSheetId="0" name="_xlnm_Print_Titles" vbProcedure="false">OpeningCreditors!$1:$4</definedName>
    <definedName function="false" hidden="false" localSheetId="1" name="_xlnm_Print_Area" vbProcedure="false">Apr!$A$1:$AL$75</definedName>
    <definedName function="false" hidden="false" localSheetId="1" name="_xlnm_Print_Titles" vbProcedure="false">(Apr!$A:$C,Apr!$1:$4)</definedName>
    <definedName function="false" hidden="false" localSheetId="2" name="_xlnm_Print_Area" vbProcedure="false">May!$A$1:$AL$75</definedName>
    <definedName function="false" hidden="false" localSheetId="2" name="_xlnm_Print_Titles" vbProcedure="false">(May!$A:$C,May!$1:$4)</definedName>
    <definedName function="false" hidden="false" localSheetId="3" name="_xlnm_Print_Area" vbProcedure="false">Jun!$A$1:$AL$75</definedName>
    <definedName function="false" hidden="false" localSheetId="3" name="_xlnm_Print_Titles" vbProcedure="false">(Jun!$A:$C,Jun!$1:$4)</definedName>
    <definedName function="false" hidden="false" localSheetId="4" name="_xlnm_Print_Area" vbProcedure="false">Jul!$A$1:$AL$75</definedName>
    <definedName function="false" hidden="false" localSheetId="4" name="_xlnm_Print_Titles" vbProcedure="false">(Jul!$A:$C,Jul!$1:$4)</definedName>
    <definedName function="false" hidden="false" localSheetId="5" name="_xlnm_Print_Area" vbProcedure="false">Aug!$A$1:$AL$75</definedName>
    <definedName function="false" hidden="false" localSheetId="5" name="_xlnm_Print_Titles" vbProcedure="false">(Aug!$A:$C,Aug!$1:$4)</definedName>
    <definedName function="false" hidden="false" localSheetId="6" name="_xlnm_Print_Area" vbProcedure="false">Sep!$A$1:$AL$75</definedName>
    <definedName function="false" hidden="false" localSheetId="6" name="_xlnm_Print_Titles" vbProcedure="false">(Sep!$A:$C,Sep!$1:$4)</definedName>
    <definedName function="false" hidden="false" localSheetId="7" name="_xlnm_Print_Area" vbProcedure="false">Oct!$A$1:$AL$75</definedName>
    <definedName function="false" hidden="false" localSheetId="7" name="_xlnm_Print_Titles" vbProcedure="false">(Oct!$A:$C,Oct!$1:$4)</definedName>
    <definedName function="false" hidden="false" localSheetId="8" name="_xlnm_Print_Area" vbProcedure="false">Nov!$A$1:$AL$75</definedName>
    <definedName function="false" hidden="false" localSheetId="8" name="_xlnm_Print_Titles" vbProcedure="false">(Nov!$A:$C,Nov!$1:$4)</definedName>
    <definedName function="false" hidden="false" localSheetId="9" name="_xlnm_Print_Area" vbProcedure="false">Dec!$A$1:$AL$75</definedName>
    <definedName function="false" hidden="false" localSheetId="9" name="_xlnm_Print_Titles" vbProcedure="false">(Dec!$A:$C,Dec!$1:$4)</definedName>
    <definedName function="false" hidden="false" localSheetId="10" name="_xlnm_Print_Area" vbProcedure="false">Jan!$A$1:$AL$75</definedName>
    <definedName function="false" hidden="false" localSheetId="10" name="_xlnm_Print_Titles" vbProcedure="false">(Jan!$A:$C,Jan!$1:$4)</definedName>
    <definedName function="false" hidden="false" localSheetId="11" name="_xlnm_Print_Area" vbProcedure="false">Feb!$A$1:$AL$75</definedName>
    <definedName function="false" hidden="false" localSheetId="11" name="_xlnm_Print_Titles" vbProcedure="false">(Feb!$A:$C,Feb!$1:$4)</definedName>
    <definedName function="false" hidden="false" localSheetId="12" name="_xlnm_Print_Area" vbProcedure="false">Mar!$A$1:$AL$75</definedName>
    <definedName function="false" hidden="false" localSheetId="12" name="_xlnm_Print_Titles" vbProcedure="false">(Mar!$A:$C,Mar!$1:$4)</definedName>
    <definedName function="false" hidden="false" localSheetId="13" name="_xlnm_Print_Area" vbProcedure="false">ClosingCreditors!$A$1:$M$75</definedName>
    <definedName function="false" hidden="false" localSheetId="13" name="_xlnm_Print_Titles" vbProcedure="false">ClosingCreditors!$1:$4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<sst xmlns="http://schemas.openxmlformats.org/spreadsheetml/2006/main" count="1586" uniqueCount="154">
  <si>
    <t xml:space="preserve">Opening Creditors Balance</t>
  </si>
  <si>
    <t xml:space="preserve">Total in C1 should equal F1</t>
  </si>
  <si>
    <t xml:space="preserve">For your information only. Enter How Paid e.g. Cash, Cheque etc.,</t>
  </si>
  <si>
    <t xml:space="preserve">Purchase Date</t>
  </si>
  <si>
    <t xml:space="preserve">Supplier Name</t>
  </si>
  <si>
    <t xml:space="preserve">Purchase Invoice Number or Reference</t>
  </si>
  <si>
    <t xml:space="preserve">Purchase Description</t>
  </si>
  <si>
    <t xml:space="preserve">Total Purchase Value incl Vat</t>
  </si>
  <si>
    <t xml:space="preserve">Purchases           Net of Vat</t>
  </si>
  <si>
    <t xml:space="preserve">Payments Made to Creditors</t>
  </si>
  <si>
    <t xml:space="preserve">Vat Input</t>
  </si>
  <si>
    <t xml:space="preserve">Actual Amount Paid</t>
  </si>
  <si>
    <t xml:space="preserve">Purchases not yet paid</t>
  </si>
  <si>
    <t xml:space="preserve">Purchases Days Outstanding</t>
  </si>
  <si>
    <t xml:space="preserve">WorkSpace Ltd</t>
  </si>
  <si>
    <t xml:space="preserve">WS-2403</t>
  </si>
  <si>
    <t xml:space="preserve">Smith &amp; Co</t>
  </si>
  <si>
    <t xml:space="preserve">SC-2403</t>
  </si>
  <si>
    <t xml:space="preserve">TechParts Ltd</t>
  </si>
  <si>
    <t xml:space="preserve">TP-2403</t>
  </si>
  <si>
    <t xml:space="preserve">Shell</t>
  </si>
  <si>
    <t xml:space="preserve">SH-2403</t>
  </si>
  <si>
    <t xml:space="preserve">Check Total</t>
  </si>
  <si>
    <t xml:space="preserve">Total for Month</t>
  </si>
  <si>
    <t xml:space="preserve">  Enter Expense Code Letter</t>
  </si>
  <si>
    <t xml:space="preserve">Purchases Cost of Sales</t>
  </si>
  <si>
    <t xml:space="preserve"> Directors Wages         Non Paye</t>
  </si>
  <si>
    <t xml:space="preserve">Employee Wages        Non Paye</t>
  </si>
  <si>
    <t xml:space="preserve">Premises </t>
  </si>
  <si>
    <t xml:space="preserve">Distribution Transport Costs</t>
  </si>
  <si>
    <t xml:space="preserve">Equipment Tools &amp; Plant Hire</t>
  </si>
  <si>
    <t xml:space="preserve">Repairs &amp; Maintenance</t>
  </si>
  <si>
    <t xml:space="preserve">Consumable Materials</t>
  </si>
  <si>
    <t xml:space="preserve">Advertising &amp;  Promotion</t>
  </si>
  <si>
    <t xml:space="preserve">Telephone Postage &amp; Stationery</t>
  </si>
  <si>
    <t xml:space="preserve">Travel &amp; Hotel Expenses</t>
  </si>
  <si>
    <t xml:space="preserve">Motor Vehicle Expenses</t>
  </si>
  <si>
    <t xml:space="preserve">Insurance Costs</t>
  </si>
  <si>
    <t xml:space="preserve">Leasing Charges</t>
  </si>
  <si>
    <t xml:space="preserve">Legal &amp; Professional</t>
  </si>
  <si>
    <t xml:space="preserve">Charitable Donations</t>
  </si>
  <si>
    <t xml:space="preserve">Goodwill</t>
  </si>
  <si>
    <t xml:space="preserve">Fixed Asset Purchases</t>
  </si>
  <si>
    <t xml:space="preserve">Contractors </t>
  </si>
  <si>
    <t xml:space="preserve">Direct Materials</t>
  </si>
  <si>
    <t xml:space="preserve">Sub Contractors</t>
  </si>
  <si>
    <t xml:space="preserve">Other Direct Costs</t>
  </si>
  <si>
    <t xml:space="preserve">Rent &amp; Rates</t>
  </si>
  <si>
    <t xml:space="preserve">Light &amp; Heating</t>
  </si>
  <si>
    <t xml:space="preserve">CIS Certificates</t>
  </si>
  <si>
    <t xml:space="preserve">S</t>
  </si>
  <si>
    <t xml:space="preserve">C</t>
  </si>
  <si>
    <t xml:space="preserve">O</t>
  </si>
  <si>
    <t xml:space="preserve">D</t>
  </si>
  <si>
    <t xml:space="preserve">W</t>
  </si>
  <si>
    <t xml:space="preserve">R</t>
  </si>
  <si>
    <t xml:space="preserve">P</t>
  </si>
  <si>
    <t xml:space="preserve">T</t>
  </si>
  <si>
    <t xml:space="preserve">Q</t>
  </si>
  <si>
    <t xml:space="preserve">M</t>
  </si>
  <si>
    <t xml:space="preserve">U</t>
  </si>
  <si>
    <t xml:space="preserve">A</t>
  </si>
  <si>
    <t xml:space="preserve">G</t>
  </si>
  <si>
    <t xml:space="preserve">H</t>
  </si>
  <si>
    <t xml:space="preserve">V</t>
  </si>
  <si>
    <t xml:space="preserve">N</t>
  </si>
  <si>
    <t xml:space="preserve">F</t>
  </si>
  <si>
    <t xml:space="preserve">L</t>
  </si>
  <si>
    <t xml:space="preserve">Y</t>
  </si>
  <si>
    <t xml:space="preserve">Z</t>
  </si>
  <si>
    <t xml:space="preserve">FA</t>
  </si>
  <si>
    <t xml:space="preserve">Tax Paid</t>
  </si>
  <si>
    <t xml:space="preserve">Certificate No</t>
  </si>
  <si>
    <t xml:space="preserve">r</t>
  </si>
  <si>
    <t xml:space="preserve">Microsoft</t>
  </si>
  <si>
    <t xml:space="preserve">g</t>
  </si>
  <si>
    <t xml:space="preserve">Slack</t>
  </si>
  <si>
    <t xml:space="preserve">GitHub</t>
  </si>
  <si>
    <t xml:space="preserve">o</t>
  </si>
  <si>
    <t xml:space="preserve">Hiscox</t>
  </si>
  <si>
    <t xml:space="preserve">n</t>
  </si>
  <si>
    <t xml:space="preserve">Cloudflare</t>
  </si>
  <si>
    <t xml:space="preserve">Zoom</t>
  </si>
  <si>
    <t xml:space="preserve">AWS</t>
  </si>
  <si>
    <t xml:space="preserve">Argos</t>
  </si>
  <si>
    <t xml:space="preserve">u</t>
  </si>
  <si>
    <t xml:space="preserve">Ryman</t>
  </si>
  <si>
    <t xml:space="preserve">BP</t>
  </si>
  <si>
    <t xml:space="preserve">v</t>
  </si>
  <si>
    <t xml:space="preserve">DigitalOcean</t>
  </si>
  <si>
    <t xml:space="preserve">National Rail</t>
  </si>
  <si>
    <t xml:space="preserve">h</t>
  </si>
  <si>
    <t xml:space="preserve">Amazon</t>
  </si>
  <si>
    <t xml:space="preserve">Xerox</t>
  </si>
  <si>
    <t xml:space="preserve">f</t>
  </si>
  <si>
    <t xml:space="preserve">TechParts</t>
  </si>
  <si>
    <t xml:space="preserve">s</t>
  </si>
  <si>
    <t xml:space="preserve">NCP</t>
  </si>
  <si>
    <t xml:space="preserve">Toolstation</t>
  </si>
  <si>
    <t xml:space="preserve">Uber</t>
  </si>
  <si>
    <t xml:space="preserve">Costa Coffee</t>
  </si>
  <si>
    <t xml:space="preserve">Royal Mail</t>
  </si>
  <si>
    <t xml:space="preserve">Jet</t>
  </si>
  <si>
    <t xml:space="preserve">BT Business</t>
  </si>
  <si>
    <t xml:space="preserve">Office Maintenance Ltd</t>
  </si>
  <si>
    <t xml:space="preserve">m</t>
  </si>
  <si>
    <t xml:space="preserve">Greggs</t>
  </si>
  <si>
    <t xml:space="preserve">Screwfix</t>
  </si>
  <si>
    <t xml:space="preserve">Wilko</t>
  </si>
  <si>
    <t xml:space="preserve">Mileage claim</t>
  </si>
  <si>
    <t xml:space="preserve">l</t>
  </si>
  <si>
    <t xml:space="preserve">Trainline</t>
  </si>
  <si>
    <t xml:space="preserve">Hilti</t>
  </si>
  <si>
    <t xml:space="preserve">q</t>
  </si>
  <si>
    <t xml:space="preserve">Google Ads</t>
  </si>
  <si>
    <t xml:space="preserve">a</t>
  </si>
  <si>
    <t xml:space="preserve">ComponentsDirect</t>
  </si>
  <si>
    <t xml:space="preserve">Dell</t>
  </si>
  <si>
    <t xml:space="preserve">fa</t>
  </si>
  <si>
    <t xml:space="preserve">WHSmith</t>
  </si>
  <si>
    <t xml:space="preserve">ParcelForce</t>
  </si>
  <si>
    <t xml:space="preserve">t</t>
  </si>
  <si>
    <t xml:space="preserve">CableCo</t>
  </si>
  <si>
    <t xml:space="preserve">Halfords</t>
  </si>
  <si>
    <t xml:space="preserve">Vistaprint</t>
  </si>
  <si>
    <t xml:space="preserve">BuildTech Solutions</t>
  </si>
  <si>
    <t xml:space="preserve">c</t>
  </si>
  <si>
    <t xml:space="preserve">Premier Inn</t>
  </si>
  <si>
    <t xml:space="preserve">ElectroParts</t>
  </si>
  <si>
    <t xml:space="preserve">EnergySupply</t>
  </si>
  <si>
    <t xml:space="preserve">p</t>
  </si>
  <si>
    <t xml:space="preserve">Directors loan</t>
  </si>
  <si>
    <t xml:space="preserve">J. Smith Consulting</t>
  </si>
  <si>
    <t xml:space="preserve">z</t>
  </si>
  <si>
    <t xml:space="preserve">LinkedIn</t>
  </si>
  <si>
    <t xml:space="preserve">ToolHire</t>
  </si>
  <si>
    <t xml:space="preserve">IKEA</t>
  </si>
  <si>
    <t xml:space="preserve">DHL</t>
  </si>
  <si>
    <t xml:space="preserve">PC Repair Shop</t>
  </si>
  <si>
    <t xml:space="preserve">Casual worker</t>
  </si>
  <si>
    <t xml:space="preserve">w</t>
  </si>
  <si>
    <t xml:space="preserve">Jones Solicitors</t>
  </si>
  <si>
    <t xml:space="preserve">Simply Business</t>
  </si>
  <si>
    <t xml:space="preserve">TechExpo</t>
  </si>
  <si>
    <t xml:space="preserve">Ford</t>
  </si>
  <si>
    <t xml:space="preserve">Code Club UK</t>
  </si>
  <si>
    <t xml:space="preserve">y</t>
  </si>
  <si>
    <t xml:space="preserve">Director</t>
  </si>
  <si>
    <t xml:space="preserve">d</t>
  </si>
  <si>
    <t xml:space="preserve">Closing Creditors Balance</t>
  </si>
  <si>
    <t xml:space="preserve">WS-2603</t>
  </si>
  <si>
    <t xml:space="preserve">SC-2603</t>
  </si>
  <si>
    <t xml:space="preserve">BT-2603</t>
  </si>
  <si>
    <t xml:space="preserve">SH-2603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</si>
</sst>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\-mmm\-yy"/>
    <numFmt numFmtId="166" formatCode="#,##0"/>
    <numFmt numFmtId="167" formatCode="#,##0.00_ ;[RED]\-#,##0.00\ "/>
    <numFmt numFmtId="168" formatCode="0_ ;[RED]\-0\ "/>
    <numFmt numFmtId="169" formatCode="0"/>
    <numFmt numFmtId="170" formatCode="#,##0.00"/>
    <numFmt numFmtId="171" formatCode="#,##0.0_ ;[RED]\-#,##0.0\ "/>
    <numFmt numFmtId="172" formatCode="0.00"/>
    <numFmt numFmtId="173" formatCode="General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FF0000"/>
      <name val="Times New Roman"/>
      <family val="1"/>
      <charset val="1"/>
    </font>
    <font>
      <b val="true"/>
      <sz val="9"/>
      <name val="Times New Roman"/>
      <family val="1"/>
      <charset val="1"/>
    </font>
    <font>
      <i val="true"/>
      <sz val="9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9"/>
      <name val="Arial"/>
      <family val="2"/>
      <charset val="1"/>
    </font>
    <font>
      <b val="true"/>
      <sz val="9"/>
      <color rgb="FF000000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FF"/>
        <bgColor rgb="FFC0F0F0"/>
      </patternFill>
    </fill>
    <fill>
      <patternFill patternType="solid">
        <fgColor rgb="FFC0F0F0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0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externalLink" Target="externalLinks/externalLink2.xml"/><Relationship Id="rId1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nancialaccount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Sale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</row>
        <row r="28">
          <cell r="EJ28">
            <v>0</v>
          </cell>
        </row>
        <row r="29">
          <cell r="D29">
            <v>0</v>
          </cell>
        </row>
        <row r="29">
          <cell r="EJ29">
            <v>0</v>
          </cell>
        </row>
        <row r="30">
          <cell r="D30">
            <v>0</v>
          </cell>
        </row>
        <row r="30">
          <cell r="EJ30">
            <v>0</v>
          </cell>
        </row>
        <row r="31">
          <cell r="D31">
            <v>0</v>
          </cell>
        </row>
        <row r="31"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9.66"/>
    <col collapsed="false" customWidth="true" hidden="false" outlineLevel="0" max="3" min="3" style="3" width="11.66"/>
    <col collapsed="false" customWidth="true" hidden="false" outlineLevel="0" max="4" min="4" style="4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false" hidden="false" outlineLevel="0" max="257" min="14" style="2" width="9.15"/>
  </cols>
  <sheetData>
    <row r="1" s="17" customFormat="true" ht="12.75" hidden="false" customHeight="true" outlineLevel="0" collapsed="false">
      <c r="A1" s="9" t="s">
        <v>0</v>
      </c>
      <c r="B1" s="9"/>
      <c r="C1" s="10" t="n">
        <f aca="false">-SUM([1]TrialBalance!$D$28:$D$31)</f>
        <v>-0</v>
      </c>
      <c r="D1" s="11" t="s">
        <v>1</v>
      </c>
      <c r="E1" s="11"/>
      <c r="F1" s="12" t="n">
        <f aca="false">SUM(F2:F200)</f>
        <v>0</v>
      </c>
      <c r="G1" s="12" t="e">
        <f aca="false">SUM(G5:G300)</f>
        <v>#N/A</v>
      </c>
      <c r="H1" s="12" t="n">
        <f aca="false">SUM(H2:H200)</f>
        <v>2220</v>
      </c>
      <c r="I1" s="13"/>
      <c r="J1" s="14" t="s">
        <v>2</v>
      </c>
      <c r="K1" s="15" t="n">
        <f aca="false">SUM(K5:K200)</f>
        <v>0</v>
      </c>
      <c r="L1" s="15" t="n">
        <f aca="false">SUM(L5:L200)</f>
        <v>0</v>
      </c>
      <c r="M1" s="16" t="n">
        <f aca="true">TODAY()</f>
        <v>46137</v>
      </c>
    </row>
    <row r="2" s="17" customFormat="true" ht="13.5" hidden="false" customHeight="true" outlineLevel="0" collapsed="false">
      <c r="A2" s="18" t="s">
        <v>3</v>
      </c>
      <c r="B2" s="19" t="s">
        <v>4</v>
      </c>
      <c r="C2" s="20" t="s">
        <v>5</v>
      </c>
      <c r="D2" s="21" t="s">
        <v>6</v>
      </c>
      <c r="E2" s="21"/>
      <c r="F2" s="19" t="s">
        <v>7</v>
      </c>
      <c r="G2" s="22" t="n">
        <f aca="false">IF([2]Jun!$G$4&gt;0,0,[2]Jun!$G$2)</f>
        <v>20</v>
      </c>
      <c r="H2" s="19" t="s">
        <v>8</v>
      </c>
      <c r="I2" s="13"/>
      <c r="J2" s="14"/>
      <c r="K2" s="23" t="s">
        <v>9</v>
      </c>
      <c r="L2" s="23"/>
      <c r="M2" s="23"/>
    </row>
    <row r="3" s="26" customFormat="true" ht="34.5" hidden="false" customHeight="true" outlineLevel="0" collapsed="false">
      <c r="A3" s="18"/>
      <c r="B3" s="18"/>
      <c r="C3" s="18"/>
      <c r="D3" s="18"/>
      <c r="E3" s="18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</row>
    <row r="4" s="27" customFormat="true" ht="12.75" hidden="false" customHeight="true" outlineLevel="0" collapsed="false">
      <c r="A4" s="18"/>
      <c r="B4" s="18"/>
      <c r="C4" s="18"/>
      <c r="D4" s="18"/>
      <c r="E4" s="18"/>
      <c r="F4" s="19"/>
      <c r="G4" s="19"/>
      <c r="H4" s="19"/>
      <c r="I4" s="13"/>
      <c r="J4" s="14"/>
      <c r="K4" s="24"/>
      <c r="L4" s="24"/>
      <c r="M4" s="24"/>
    </row>
    <row r="5" s="5" customFormat="true" ht="12" hidden="false" customHeight="false" outlineLevel="0" collapsed="false">
      <c r="A5" s="28"/>
      <c r="B5" s="5" t="s">
        <v>14</v>
      </c>
      <c r="C5" s="29" t="s">
        <v>15</v>
      </c>
      <c r="H5" s="6" t="n">
        <v>1200</v>
      </c>
      <c r="J5" s="6"/>
      <c r="K5" s="6"/>
      <c r="L5" s="7" t="str">
        <f aca="false">IF(F5&lt;&gt;0,F5-K5," ")</f>
        <v> </v>
      </c>
      <c r="M5" s="8" t="str">
        <f aca="false">IF((F5-K5)&lt;&gt;0,M$1-A5," ")</f>
        <v> </v>
      </c>
    </row>
    <row r="6" customFormat="false" ht="12" hidden="false" customHeight="false" outlineLevel="0" collapsed="false">
      <c r="A6" s="28"/>
      <c r="B6" s="2" t="s">
        <v>16</v>
      </c>
      <c r="C6" s="3" t="s">
        <v>17</v>
      </c>
      <c r="E6" s="2"/>
      <c r="G6" s="6" t="str">
        <f aca="false">IF(F6&lt;&gt;0,F6*G$2/(100+G$2)," ")</f>
        <v> </v>
      </c>
      <c r="H6" s="6" t="n">
        <v>300</v>
      </c>
      <c r="L6" s="7" t="str">
        <f aca="false">IF(F6&lt;&gt;0,F6-K6," ")</f>
        <v> </v>
      </c>
      <c r="M6" s="8" t="str">
        <f aca="false">IF((F6-K6)&lt;&gt;0,M$1-A6," ")</f>
        <v> </v>
      </c>
    </row>
    <row r="7" customFormat="false" ht="12" hidden="false" customHeight="false" outlineLevel="0" collapsed="false">
      <c r="A7" s="28"/>
      <c r="B7" s="2" t="s">
        <v>18</v>
      </c>
      <c r="C7" s="3" t="s">
        <v>19</v>
      </c>
      <c r="E7" s="2"/>
      <c r="G7" s="6" t="str">
        <f aca="false">IF(F7&lt;&gt;0,F7*G$2/(100+G$2)," ")</f>
        <v> </v>
      </c>
      <c r="H7" s="6" t="n">
        <v>600</v>
      </c>
      <c r="L7" s="7" t="str">
        <f aca="false">IF(F7&lt;&gt;0,F7-K7," ")</f>
        <v> </v>
      </c>
      <c r="M7" s="8" t="str">
        <f aca="false">IF((F7-K7)&lt;&gt;0,M$1-A7," ")</f>
        <v> </v>
      </c>
    </row>
    <row r="8" customFormat="false" ht="12" hidden="false" customHeight="false" outlineLevel="0" collapsed="false">
      <c r="A8" s="28"/>
      <c r="B8" s="2" t="s">
        <v>20</v>
      </c>
      <c r="C8" s="3" t="s">
        <v>21</v>
      </c>
      <c r="E8" s="2"/>
      <c r="G8" s="6" t="str">
        <f aca="false">IF(F8&lt;&gt;0,F8*G$2/(100+G$2)," ")</f>
        <v> </v>
      </c>
      <c r="H8" s="6" t="n">
        <v>120</v>
      </c>
      <c r="L8" s="7" t="str">
        <f aca="false">IF(F8&lt;&gt;0,F8-K8," ")</f>
        <v> </v>
      </c>
      <c r="M8" s="8" t="str">
        <f aca="false">IF((F8-K8)&lt;&gt;0,M$1-A8," ")</f>
        <v> </v>
      </c>
    </row>
    <row r="9" customFormat="false" ht="12" hidden="false" customHeight="false" outlineLevel="0" collapsed="false">
      <c r="A9" s="28"/>
      <c r="E9" s="2"/>
      <c r="G9" s="6" t="str">
        <f aca="false">IF(F9&lt;&gt;0,F9*G$2/(100+G$2)," ")</f>
        <v> </v>
      </c>
      <c r="L9" s="7" t="str">
        <f aca="false">IF(F9&lt;&gt;0,F9-K9," ")</f>
        <v> </v>
      </c>
      <c r="M9" s="8" t="str">
        <f aca="false">IF((F9-K9)&lt;&gt;0,M$1-A9," ")</f>
        <v> </v>
      </c>
    </row>
    <row r="10" customFormat="false" ht="12" hidden="false" customHeight="false" outlineLevel="0" collapsed="false">
      <c r="A10" s="28"/>
      <c r="E10" s="2"/>
      <c r="G10" s="6" t="str">
        <f aca="false">IF(F10&lt;&gt;0,F10*G$2/(100+G$2)," ")</f>
        <v> </v>
      </c>
      <c r="L10" s="7" t="str">
        <f aca="false">IF(F10&lt;&gt;0,F10-K10," ")</f>
        <v> </v>
      </c>
      <c r="M10" s="8" t="str">
        <f aca="false">IF((F10-K10)&lt;&gt;0,M$1-A10," ")</f>
        <v> </v>
      </c>
    </row>
    <row r="11" customFormat="false" ht="12" hidden="false" customHeight="false" outlineLevel="0" collapsed="false">
      <c r="A11" s="28"/>
      <c r="E11" s="2"/>
      <c r="G11" s="6" t="str">
        <f aca="false">IF(F11&lt;&gt;0,F11*G$2/(100+G$2)," ")</f>
        <v> </v>
      </c>
      <c r="L11" s="7" t="str">
        <f aca="false">IF(F11&lt;&gt;0,F11-K11," ")</f>
        <v> </v>
      </c>
      <c r="M11" s="8" t="str">
        <f aca="false">IF((F11-K11)&lt;&gt;0,M$1-A11," ")</f>
        <v> </v>
      </c>
    </row>
    <row r="12" customFormat="false" ht="12" hidden="false" customHeight="false" outlineLevel="0" collapsed="false">
      <c r="A12" s="28"/>
      <c r="E12" s="2"/>
      <c r="G12" s="6" t="str">
        <f aca="false">IF(F12&lt;&gt;0,F12*G$2/(100+G$2)," ")</f>
        <v> </v>
      </c>
      <c r="L12" s="7" t="str">
        <f aca="false">IF(F12&lt;&gt;0,F12-K12," ")</f>
        <v> </v>
      </c>
      <c r="M12" s="8" t="str">
        <f aca="false">IF((F12-K12)&lt;&gt;0,M$1-A12," ")</f>
        <v> </v>
      </c>
    </row>
    <row r="13" customFormat="false" ht="12" hidden="false" customHeight="false" outlineLevel="0" collapsed="false">
      <c r="A13" s="28"/>
      <c r="E13" s="2"/>
      <c r="G13" s="6" t="str">
        <f aca="false">IF(F13&lt;&gt;0,F13*G$2/(100+G$2)," ")</f>
        <v> </v>
      </c>
      <c r="L13" s="7" t="str">
        <f aca="false">IF(F13&lt;&gt;0,F13-K13," ")</f>
        <v> </v>
      </c>
      <c r="M13" s="8" t="str">
        <f aca="false">IF((F13-K13)&lt;&gt;0,M$1-A13," ")</f>
        <v> </v>
      </c>
    </row>
    <row r="14" customFormat="false" ht="12" hidden="false" customHeight="false" outlineLevel="0" collapsed="false">
      <c r="A14" s="28"/>
      <c r="E14" s="2"/>
      <c r="G14" s="6" t="str">
        <f aca="false">IF(F14&lt;&gt;0,F14*G$2/(100+G$2),"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</row>
    <row r="15" customFormat="false" ht="12" hidden="false" customHeight="false" outlineLevel="0" collapsed="false">
      <c r="A15" s="28"/>
      <c r="E15" s="2"/>
      <c r="G15" s="6" t="str">
        <f aca="false">IF(F15&lt;&gt;0,F15*G$2/(100+G$2),"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</row>
    <row r="16" customFormat="false" ht="12" hidden="false" customHeight="false" outlineLevel="0" collapsed="false">
      <c r="A16" s="28"/>
      <c r="E16" s="2"/>
      <c r="G16" s="6" t="str">
        <f aca="false">IF(F16&lt;&gt;0,F16*G$2/(100+G$2),"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</row>
    <row r="17" customFormat="false" ht="12" hidden="false" customHeight="false" outlineLevel="0" collapsed="false">
      <c r="A17" s="28"/>
      <c r="E17" s="2"/>
      <c r="G17" s="6" t="str">
        <f aca="false">IF(F17&lt;&gt;0,F17*G$2/(100+G$2),"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</row>
    <row r="18" customFormat="false" ht="12" hidden="false" customHeight="false" outlineLevel="0" collapsed="false">
      <c r="A18" s="28"/>
      <c r="E18" s="2"/>
      <c r="G18" s="6" t="str">
        <f aca="false">IF(F18&lt;&gt;0,F18*G$2/(100+G$2),"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</row>
    <row r="19" customFormat="false" ht="12" hidden="false" customHeight="false" outlineLevel="0" collapsed="false">
      <c r="A19" s="28"/>
      <c r="E19" s="2"/>
      <c r="G19" s="6" t="str">
        <f aca="false">IF(F19&lt;&gt;0,F19*G$2/(100+G$2),"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</row>
    <row r="20" customFormat="false" ht="12" hidden="false" customHeight="false" outlineLevel="0" collapsed="false">
      <c r="A20" s="28"/>
      <c r="E20" s="2"/>
      <c r="G20" s="6" t="str">
        <f aca="false">IF(F20&lt;&gt;0,F20*G$2/(100+G$2),"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</row>
    <row r="21" customFormat="false" ht="12" hidden="false" customHeight="false" outlineLevel="0" collapsed="false">
      <c r="A21" s="28"/>
      <c r="E21" s="2"/>
      <c r="G21" s="6" t="str">
        <f aca="false">IF(F21&lt;&gt;0,F21*G$2/(100+G$2),"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</row>
    <row r="22" customFormat="false" ht="12" hidden="false" customHeight="false" outlineLevel="0" collapsed="false">
      <c r="A22" s="28"/>
      <c r="D22" s="2"/>
      <c r="E22" s="2"/>
      <c r="G22" s="6" t="str">
        <f aca="false">IF(F22&lt;&gt;0,F22*G$2/(100+G$2),"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</row>
    <row r="23" customFormat="false" ht="12" hidden="false" customHeight="false" outlineLevel="0" collapsed="false">
      <c r="A23" s="28"/>
      <c r="D23" s="30"/>
      <c r="E23" s="2"/>
      <c r="G23" s="6" t="str">
        <f aca="false">IF(F23&lt;&gt;0,F23*G$2/(100+G$2),"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</row>
    <row r="24" customFormat="false" ht="12" hidden="false" customHeight="false" outlineLevel="0" collapsed="false">
      <c r="A24" s="28"/>
      <c r="E24" s="2"/>
      <c r="G24" s="6" t="str">
        <f aca="false">IF(F24&lt;&gt;0,F24*G$2/(100+G$2),"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</row>
    <row r="25" customFormat="false" ht="12" hidden="false" customHeight="false" outlineLevel="0" collapsed="false">
      <c r="A25" s="28"/>
      <c r="E25" s="2"/>
      <c r="G25" s="6" t="str">
        <f aca="false">IF(F25&lt;&gt;0,F25*G$2/(100+G$2),"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</row>
    <row r="26" customFormat="false" ht="12" hidden="false" customHeight="false" outlineLevel="0" collapsed="false">
      <c r="A26" s="28"/>
      <c r="E26" s="2"/>
      <c r="G26" s="6" t="str">
        <f aca="false">IF(F26&lt;&gt;0,F26*G$2/(100+G$2),"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</row>
    <row r="27" customFormat="false" ht="12" hidden="false" customHeight="false" outlineLevel="0" collapsed="false">
      <c r="A27" s="28"/>
      <c r="E27" s="2"/>
      <c r="G27" s="6" t="str">
        <f aca="false">IF(F27&lt;&gt;0,F27*G$2/(100+G$2),"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</row>
    <row r="28" customFormat="false" ht="12" hidden="false" customHeight="false" outlineLevel="0" collapsed="false">
      <c r="A28" s="28"/>
      <c r="E28" s="2"/>
      <c r="G28" s="6" t="str">
        <f aca="false">IF(F28&lt;&gt;0,F28*G$2/(100+G$2),"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</row>
    <row r="29" customFormat="false" ht="12" hidden="false" customHeight="false" outlineLevel="0" collapsed="false">
      <c r="A29" s="28"/>
      <c r="E29" s="2"/>
      <c r="G29" s="6" t="str">
        <f aca="false">IF(F29&lt;&gt;0,F29*G$2/(100+G$2),"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</row>
    <row r="30" customFormat="false" ht="12" hidden="false" customHeight="false" outlineLevel="0" collapsed="false">
      <c r="A30" s="28"/>
      <c r="E30" s="2"/>
      <c r="G30" s="6" t="str">
        <f aca="false">IF(F30&lt;&gt;0,F30*G$2/(100+G$2),"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</row>
    <row r="31" customFormat="false" ht="12" hidden="false" customHeight="false" outlineLevel="0" collapsed="false">
      <c r="A31" s="28"/>
      <c r="E31" s="2"/>
      <c r="G31" s="6" t="str">
        <f aca="false">IF(F31&lt;&gt;0,F31*G$2/(100+G$2),"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</row>
    <row r="32" customFormat="false" ht="12" hidden="false" customHeight="false" outlineLevel="0" collapsed="false">
      <c r="A32" s="28"/>
      <c r="E32" s="2"/>
      <c r="G32" s="6" t="str">
        <f aca="false">IF(F32&lt;&gt;0,F32*G$2/(100+G$2),"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</row>
    <row r="33" customFormat="false" ht="12" hidden="false" customHeight="false" outlineLevel="0" collapsed="false">
      <c r="A33" s="28"/>
      <c r="E33" s="2"/>
      <c r="G33" s="6" t="str">
        <f aca="false">IF(F33&lt;&gt;0,F33*G$2/(100+G$2),"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</row>
    <row r="34" customFormat="false" ht="12" hidden="false" customHeight="false" outlineLevel="0" collapsed="false">
      <c r="A34" s="28"/>
      <c r="E34" s="2"/>
      <c r="G34" s="6" t="str">
        <f aca="false">IF(F34&lt;&gt;0,F34*G$2/(100+G$2),"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</row>
    <row r="35" customFormat="false" ht="12" hidden="false" customHeight="false" outlineLevel="0" collapsed="false">
      <c r="A35" s="28"/>
      <c r="E35" s="2"/>
      <c r="G35" s="6" t="str">
        <f aca="false">IF(F35&lt;&gt;0,F35*G$2/(100+G$2),"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</row>
    <row r="36" customFormat="false" ht="12" hidden="false" customHeight="false" outlineLevel="0" collapsed="false">
      <c r="A36" s="28"/>
      <c r="E36" s="2"/>
      <c r="G36" s="6" t="str">
        <f aca="false">IF(F36&lt;&gt;0,F36*G$2/(100+G$2),"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</row>
    <row r="37" customFormat="false" ht="12" hidden="false" customHeight="false" outlineLevel="0" collapsed="false">
      <c r="A37" s="28"/>
      <c r="E37" s="2"/>
      <c r="G37" s="6" t="str">
        <f aca="false">IF(F37&lt;&gt;0,F37*G$2/(100+G$2),"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</row>
    <row r="38" customFormat="false" ht="12" hidden="false" customHeight="false" outlineLevel="0" collapsed="false">
      <c r="A38" s="28"/>
      <c r="E38" s="2"/>
      <c r="G38" s="6" t="str">
        <f aca="false">IF(F38&lt;&gt;0,F38*G$2/(100+G$2),"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</row>
    <row r="39" customFormat="false" ht="12" hidden="false" customHeight="false" outlineLevel="0" collapsed="false">
      <c r="A39" s="28"/>
      <c r="E39" s="2"/>
      <c r="G39" s="6" t="str">
        <f aca="false">IF(F39&lt;&gt;0,F39*G$2/(100+G$2),"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</row>
    <row r="40" customFormat="false" ht="12" hidden="false" customHeight="false" outlineLevel="0" collapsed="false">
      <c r="A40" s="28"/>
      <c r="E40" s="2"/>
      <c r="G40" s="6" t="str">
        <f aca="false">IF(F40&lt;&gt;0,F40*G$2/(100+G$2),"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</row>
    <row r="41" customFormat="false" ht="12" hidden="false" customHeight="false" outlineLevel="0" collapsed="false">
      <c r="A41" s="28"/>
      <c r="E41" s="2"/>
      <c r="G41" s="6" t="str">
        <f aca="false">IF(F41&lt;&gt;0,F41*G$2/(100+G$2),"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</row>
    <row r="42" customFormat="false" ht="12" hidden="false" customHeight="false" outlineLevel="0" collapsed="false">
      <c r="A42" s="28"/>
      <c r="E42" s="2"/>
      <c r="G42" s="6" t="str">
        <f aca="false">IF(F42&lt;&gt;0,F42*G$2/(100+G$2),"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</row>
    <row r="43" customFormat="false" ht="12" hidden="false" customHeight="false" outlineLevel="0" collapsed="false">
      <c r="A43" s="28"/>
      <c r="E43" s="2"/>
      <c r="G43" s="6" t="str">
        <f aca="false">IF(F43&lt;&gt;0,F43*G$2/(100+G$2),"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</row>
    <row r="44" customFormat="false" ht="12" hidden="false" customHeight="false" outlineLevel="0" collapsed="false">
      <c r="A44" s="28"/>
      <c r="E44" s="2"/>
      <c r="G44" s="6" t="str">
        <f aca="false">IF(F44&lt;&gt;0,F44*G$2/(100+G$2),"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</row>
    <row r="45" customFormat="false" ht="12" hidden="false" customHeight="false" outlineLevel="0" collapsed="false">
      <c r="A45" s="28"/>
      <c r="E45" s="2"/>
      <c r="G45" s="6" t="str">
        <f aca="false">IF(F45&lt;&gt;0,F45*G$2/(100+G$2),"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</row>
    <row r="46" customFormat="false" ht="12" hidden="false" customHeight="false" outlineLevel="0" collapsed="false">
      <c r="A46" s="28"/>
      <c r="E46" s="2"/>
      <c r="G46" s="6" t="str">
        <f aca="false">IF(F46&lt;&gt;0,F46*G$2/(100+G$2),"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</row>
    <row r="47" customFormat="false" ht="12" hidden="false" customHeight="false" outlineLevel="0" collapsed="false">
      <c r="A47" s="28"/>
      <c r="E47" s="2"/>
      <c r="G47" s="6" t="str">
        <f aca="false">IF(F47&lt;&gt;0,F47*G$2/(100+G$2),"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</row>
    <row r="48" customFormat="false" ht="12" hidden="false" customHeight="false" outlineLevel="0" collapsed="false">
      <c r="A48" s="28"/>
      <c r="E48" s="2"/>
      <c r="G48" s="6" t="str">
        <f aca="false">IF(F48&lt;&gt;0,F48*G$2/(100+G$2),"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</row>
    <row r="49" customFormat="false" ht="12" hidden="false" customHeight="false" outlineLevel="0" collapsed="false">
      <c r="A49" s="28"/>
      <c r="E49" s="2"/>
      <c r="G49" s="6" t="str">
        <f aca="false">IF(F49&lt;&gt;0,F49*G$2/(100+G$2),"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</row>
    <row r="50" customFormat="false" ht="12" hidden="false" customHeight="false" outlineLevel="0" collapsed="false">
      <c r="A50" s="28"/>
      <c r="E50" s="2"/>
      <c r="G50" s="6" t="str">
        <f aca="false">IF(F50&lt;&gt;0,F50*G$2/(100+G$2),"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</row>
    <row r="51" customFormat="false" ht="12" hidden="false" customHeight="false" outlineLevel="0" collapsed="false">
      <c r="A51" s="28"/>
      <c r="E51" s="2"/>
      <c r="G51" s="6" t="str">
        <f aca="false">IF(F51&lt;&gt;0,F51*G$2/(100+G$2),"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</row>
    <row r="52" customFormat="false" ht="12" hidden="false" customHeight="false" outlineLevel="0" collapsed="false">
      <c r="A52" s="28"/>
      <c r="E52" s="2"/>
      <c r="G52" s="6" t="str">
        <f aca="false">IF(F52&lt;&gt;0,F52*G$2/(100+G$2),"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</row>
    <row r="53" customFormat="false" ht="12" hidden="false" customHeight="false" outlineLevel="0" collapsed="false">
      <c r="A53" s="28"/>
      <c r="E53" s="2"/>
      <c r="G53" s="6" t="str">
        <f aca="false">IF(F53&lt;&gt;0,F53*G$2/(100+G$2),"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</row>
    <row r="54" customFormat="false" ht="12" hidden="false" customHeight="false" outlineLevel="0" collapsed="false">
      <c r="A54" s="28"/>
      <c r="E54" s="2"/>
      <c r="G54" s="6" t="str">
        <f aca="false">IF(F54&lt;&gt;0,F54*G$2/(100+G$2),"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</row>
    <row r="55" customFormat="false" ht="12" hidden="false" customHeight="false" outlineLevel="0" collapsed="false">
      <c r="A55" s="28"/>
      <c r="E55" s="2"/>
      <c r="G55" s="6" t="str">
        <f aca="false">IF(F55&lt;&gt;0,F55*G$2/(100+G$2),"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</row>
    <row r="56" customFormat="false" ht="12" hidden="false" customHeight="false" outlineLevel="0" collapsed="false">
      <c r="A56" s="28"/>
      <c r="E56" s="2"/>
      <c r="G56" s="6" t="str">
        <f aca="false">IF(F56&lt;&gt;0,F56*G$2/(100+G$2),"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</row>
    <row r="57" customFormat="false" ht="12" hidden="false" customHeight="false" outlineLevel="0" collapsed="false">
      <c r="A57" s="28"/>
      <c r="E57" s="2"/>
      <c r="G57" s="6" t="str">
        <f aca="false">IF(F57&lt;&gt;0,F57*G$2/(100+G$2),"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</row>
    <row r="58" customFormat="false" ht="12" hidden="false" customHeight="false" outlineLevel="0" collapsed="false">
      <c r="A58" s="28"/>
      <c r="E58" s="2"/>
      <c r="G58" s="6" t="str">
        <f aca="false">IF(F58&lt;&gt;0,F58*G$2/(100+G$2),"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</row>
    <row r="59" customFormat="false" ht="12" hidden="false" customHeight="false" outlineLevel="0" collapsed="false">
      <c r="A59" s="28"/>
      <c r="E59" s="2"/>
      <c r="G59" s="6" t="str">
        <f aca="false">IF(F59&lt;&gt;0,F59*G$2/(100+G$2),"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</row>
    <row r="60" customFormat="false" ht="12" hidden="false" customHeight="false" outlineLevel="0" collapsed="false">
      <c r="A60" s="28"/>
      <c r="E60" s="2"/>
      <c r="G60" s="6" t="str">
        <f aca="false">IF(F60&lt;&gt;0,F60*G$2/(100+G$2),"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</row>
    <row r="61" customFormat="false" ht="12" hidden="false" customHeight="false" outlineLevel="0" collapsed="false">
      <c r="A61" s="28"/>
      <c r="E61" s="2"/>
      <c r="G61" s="6" t="str">
        <f aca="false">IF(F61&lt;&gt;0,F61*G$2/(100+G$2),"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</row>
    <row r="62" customFormat="false" ht="12" hidden="false" customHeight="false" outlineLevel="0" collapsed="false">
      <c r="A62" s="28"/>
      <c r="E62" s="2"/>
      <c r="G62" s="6" t="str">
        <f aca="false">IF(F62&lt;&gt;0,F62*G$2/(100+G$2),"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</row>
    <row r="63" customFormat="false" ht="12" hidden="false" customHeight="false" outlineLevel="0" collapsed="false">
      <c r="A63" s="28"/>
      <c r="E63" s="2"/>
      <c r="G63" s="6" t="str">
        <f aca="false">IF(F63&lt;&gt;0,F63*G$2/(100+G$2),"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</row>
    <row r="64" customFormat="false" ht="12" hidden="false" customHeight="false" outlineLevel="0" collapsed="false">
      <c r="A64" s="28"/>
      <c r="E64" s="2"/>
      <c r="G64" s="6" t="str">
        <f aca="false">IF(F64&lt;&gt;0,F64*G$2/(100+G$2),"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</row>
    <row r="65" customFormat="false" ht="12" hidden="false" customHeight="false" outlineLevel="0" collapsed="false">
      <c r="A65" s="28"/>
      <c r="E65" s="2"/>
      <c r="G65" s="6" t="str">
        <f aca="false">IF(F65&lt;&gt;0,F65*G$2/(100+G$2),"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</row>
    <row r="66" customFormat="false" ht="12" hidden="false" customHeight="false" outlineLevel="0" collapsed="false">
      <c r="A66" s="28"/>
      <c r="E66" s="2"/>
      <c r="G66" s="6" t="str">
        <f aca="false">IF(F66&lt;&gt;0,F66*G$2/(100+G$2),"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</row>
    <row r="67" customFormat="false" ht="12" hidden="false" customHeight="false" outlineLevel="0" collapsed="false">
      <c r="A67" s="28"/>
      <c r="E67" s="2"/>
      <c r="G67" s="6" t="str">
        <f aca="false">IF(F67&lt;&gt;0,F67*G$2/(100+G$2),"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</row>
    <row r="68" customFormat="false" ht="12" hidden="false" customHeight="false" outlineLevel="0" collapsed="false">
      <c r="A68" s="28"/>
      <c r="E68" s="2"/>
      <c r="G68" s="6" t="str">
        <f aca="false">IF(F68&lt;&gt;0,F68*G$2/(100+G$2),"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</row>
    <row r="69" customFormat="false" ht="12" hidden="false" customHeight="false" outlineLevel="0" collapsed="false">
      <c r="A69" s="28"/>
      <c r="E69" s="2"/>
      <c r="G69" s="6" t="str">
        <f aca="false">IF(F69&lt;&gt;0,F69*G$2/(100+G$2),"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</row>
    <row r="70" customFormat="false" ht="12" hidden="false" customHeight="false" outlineLevel="0" collapsed="false">
      <c r="A70" s="28"/>
      <c r="E70" s="2"/>
      <c r="G70" s="6" t="str">
        <f aca="false">IF(F70&lt;&gt;0,F70*G$2/(100+G$2),"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</row>
    <row r="71" customFormat="false" ht="12" hidden="false" customHeight="false" outlineLevel="0" collapsed="false">
      <c r="A71" s="28"/>
      <c r="E71" s="2"/>
      <c r="G71" s="6" t="str">
        <f aca="false">IF(F71&lt;&gt;0,F71*G$2/(100+G$2)," ")</f>
        <v> </v>
      </c>
      <c r="H71" s="6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</row>
    <row r="72" customFormat="false" ht="12" hidden="false" customHeight="false" outlineLevel="0" collapsed="false">
      <c r="A72" s="28"/>
      <c r="E72" s="2"/>
      <c r="G72" s="6" t="str">
        <f aca="false">IF(F72&lt;&gt;0,F72*G$2/(100+G$2)," ")</f>
        <v> </v>
      </c>
      <c r="H72" s="6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</row>
    <row r="73" customFormat="false" ht="12" hidden="false" customHeight="false" outlineLevel="0" collapsed="false">
      <c r="A73" s="28"/>
      <c r="E73" s="2"/>
      <c r="G73" s="6" t="str">
        <f aca="false">IF(F73&lt;&gt;0,F73*G$2/(100+G$2)," ")</f>
        <v> </v>
      </c>
      <c r="H73" s="6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</row>
    <row r="74" customFormat="false" ht="12" hidden="false" customHeight="false" outlineLevel="0" collapsed="false">
      <c r="A74" s="28"/>
      <c r="E74" s="2"/>
      <c r="G74" s="6" t="str">
        <f aca="false">IF(F74&lt;&gt;0,F74*G$2/(100+G$2)," ")</f>
        <v> </v>
      </c>
      <c r="H74" s="6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</row>
    <row r="75" customFormat="false" ht="12" hidden="false" customHeight="false" outlineLevel="0" collapsed="false">
      <c r="A75" s="28"/>
      <c r="E75" s="2"/>
      <c r="G75" s="6" t="str">
        <f aca="false">IF(F75&lt;&gt;0,F75*G$2/(100+G$2)," ")</f>
        <v> </v>
      </c>
      <c r="H75" s="6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</row>
    <row r="76" customFormat="false" ht="12" hidden="false" customHeight="false" outlineLevel="0" collapsed="false">
      <c r="A76" s="28"/>
      <c r="E76" s="2"/>
      <c r="G76" s="6" t="str">
        <f aca="false">IF(F76&lt;&gt;0,F76*G$2/(100+G$2)," ")</f>
        <v> </v>
      </c>
      <c r="H76" s="6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</row>
    <row r="77" customFormat="false" ht="12" hidden="false" customHeight="false" outlineLevel="0" collapsed="false">
      <c r="A77" s="28"/>
      <c r="E77" s="2"/>
      <c r="G77" s="6" t="str">
        <f aca="false">IF(F77&lt;&gt;0,F77*G$2/(100+G$2)," ")</f>
        <v> </v>
      </c>
      <c r="H77" s="6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</row>
    <row r="78" customFormat="false" ht="12" hidden="false" customHeight="false" outlineLevel="0" collapsed="false">
      <c r="A78" s="28"/>
      <c r="E78" s="2"/>
      <c r="G78" s="6" t="str">
        <f aca="false">IF(F78&lt;&gt;0,F78*G$2/(100+G$2)," ")</f>
        <v> </v>
      </c>
      <c r="H78" s="6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</row>
    <row r="79" customFormat="false" ht="12" hidden="false" customHeight="false" outlineLevel="0" collapsed="false">
      <c r="A79" s="28"/>
      <c r="E79" s="2"/>
      <c r="G79" s="6" t="str">
        <f aca="false">IF(F79&lt;&gt;0,F79*G$2/(100+G$2)," ")</f>
        <v> </v>
      </c>
      <c r="H79" s="6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</row>
    <row r="80" customFormat="false" ht="12" hidden="false" customHeight="false" outlineLevel="0" collapsed="false">
      <c r="A80" s="28"/>
      <c r="E80" s="2"/>
      <c r="G80" s="6" t="str">
        <f aca="false">IF(F80&lt;&gt;0,F80*G$2/(100+G$2)," ")</f>
        <v> </v>
      </c>
      <c r="H80" s="6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</row>
    <row r="81" customFormat="false" ht="12" hidden="false" customHeight="false" outlineLevel="0" collapsed="false">
      <c r="A81" s="28"/>
      <c r="E81" s="2"/>
      <c r="G81" s="6" t="str">
        <f aca="false">IF(F81&lt;&gt;0,F81*G$2/(100+G$2)," ")</f>
        <v> </v>
      </c>
      <c r="H81" s="6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</row>
    <row r="82" customFormat="false" ht="12" hidden="false" customHeight="false" outlineLevel="0" collapsed="false">
      <c r="A82" s="28"/>
      <c r="E82" s="2"/>
      <c r="G82" s="6" t="str">
        <f aca="false">IF(F82&lt;&gt;0,F82*G$2/(100+G$2)," ")</f>
        <v> </v>
      </c>
      <c r="H82" s="6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</row>
    <row r="83" customFormat="false" ht="12" hidden="false" customHeight="false" outlineLevel="0" collapsed="false">
      <c r="A83" s="28"/>
      <c r="E83" s="2"/>
      <c r="G83" s="6" t="str">
        <f aca="false">IF(F83&lt;&gt;0,F83*G$2/(100+G$2)," ")</f>
        <v> </v>
      </c>
      <c r="H83" s="6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</row>
    <row r="84" customFormat="false" ht="12" hidden="false" customHeight="false" outlineLevel="0" collapsed="false">
      <c r="A84" s="28"/>
      <c r="E84" s="2"/>
      <c r="G84" s="6" t="str">
        <f aca="false">IF(F84&lt;&gt;0,F84*G$2/(100+G$2)," ")</f>
        <v> </v>
      </c>
      <c r="H84" s="6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</row>
    <row r="85" customFormat="false" ht="12" hidden="false" customHeight="false" outlineLevel="0" collapsed="false">
      <c r="A85" s="28"/>
      <c r="E85" s="2"/>
      <c r="G85" s="6" t="str">
        <f aca="false">IF(F85&lt;&gt;0,F85*G$2/(100+G$2)," ")</f>
        <v> </v>
      </c>
      <c r="H85" s="6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</row>
    <row r="86" customFormat="false" ht="12" hidden="false" customHeight="false" outlineLevel="0" collapsed="false">
      <c r="A86" s="28"/>
      <c r="E86" s="2"/>
      <c r="G86" s="6" t="str">
        <f aca="false">IF(F86&lt;&gt;0,F86*G$2/(100+G$2)," ")</f>
        <v> </v>
      </c>
      <c r="H86" s="6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</row>
    <row r="87" customFormat="false" ht="12" hidden="false" customHeight="false" outlineLevel="0" collapsed="false">
      <c r="A87" s="28"/>
      <c r="E87" s="2"/>
      <c r="G87" s="6" t="str">
        <f aca="false">IF(F87&lt;&gt;0,F87*G$2/(100+G$2)," ")</f>
        <v> </v>
      </c>
      <c r="H87" s="6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</row>
    <row r="88" customFormat="false" ht="12" hidden="false" customHeight="false" outlineLevel="0" collapsed="false">
      <c r="A88" s="28"/>
      <c r="E88" s="2"/>
      <c r="G88" s="6" t="str">
        <f aca="false">IF(F88&lt;&gt;0,F88*G$2/(100+G$2)," ")</f>
        <v> </v>
      </c>
      <c r="H88" s="6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</row>
    <row r="89" customFormat="false" ht="12" hidden="false" customHeight="false" outlineLevel="0" collapsed="false">
      <c r="A89" s="28"/>
      <c r="E89" s="2"/>
      <c r="G89" s="6" t="str">
        <f aca="false">IF(F89&lt;&gt;0,F89*G$2/(100+G$2)," ")</f>
        <v> </v>
      </c>
      <c r="H89" s="6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</row>
    <row r="90" customFormat="false" ht="12" hidden="false" customHeight="false" outlineLevel="0" collapsed="false">
      <c r="A90" s="28"/>
      <c r="E90" s="2"/>
      <c r="G90" s="6" t="str">
        <f aca="false">IF(F90&lt;&gt;0,F90*G$2/(100+G$2)," ")</f>
        <v> </v>
      </c>
      <c r="H90" s="6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</row>
    <row r="91" customFormat="false" ht="12" hidden="false" customHeight="false" outlineLevel="0" collapsed="false">
      <c r="A91" s="28"/>
      <c r="E91" s="2"/>
      <c r="G91" s="6" t="str">
        <f aca="false">IF(F91&lt;&gt;0,F91*G$2/(100+G$2)," ")</f>
        <v> </v>
      </c>
      <c r="H91" s="6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</row>
    <row r="92" customFormat="false" ht="12" hidden="false" customHeight="false" outlineLevel="0" collapsed="false">
      <c r="A92" s="28"/>
      <c r="E92" s="2"/>
      <c r="G92" s="6" t="str">
        <f aca="false">IF(F92&lt;&gt;0,F92*G$2/(100+G$2)," ")</f>
        <v> </v>
      </c>
      <c r="H92" s="6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</row>
    <row r="93" customFormat="false" ht="12" hidden="false" customHeight="false" outlineLevel="0" collapsed="false">
      <c r="A93" s="28"/>
      <c r="E93" s="2"/>
      <c r="G93" s="6" t="str">
        <f aca="false">IF(F93&lt;&gt;0,F93*G$2/(100+G$2)," ")</f>
        <v> </v>
      </c>
      <c r="H93" s="6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</row>
    <row r="94" customFormat="false" ht="12" hidden="false" customHeight="false" outlineLevel="0" collapsed="false">
      <c r="A94" s="28"/>
      <c r="E94" s="2"/>
      <c r="G94" s="6" t="str">
        <f aca="false">IF(F94&lt;&gt;0,F94*G$2/(100+G$2)," ")</f>
        <v> </v>
      </c>
      <c r="H94" s="6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</row>
    <row r="95" customFormat="false" ht="12" hidden="false" customHeight="false" outlineLevel="0" collapsed="false">
      <c r="A95" s="28"/>
      <c r="E95" s="2"/>
      <c r="G95" s="6" t="str">
        <f aca="false">IF(F95&lt;&gt;0,F95*G$2/(100+G$2)," ")</f>
        <v> </v>
      </c>
      <c r="H95" s="6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</row>
    <row r="96" customFormat="false" ht="12" hidden="false" customHeight="false" outlineLevel="0" collapsed="false">
      <c r="A96" s="28"/>
      <c r="E96" s="2"/>
      <c r="G96" s="6" t="str">
        <f aca="false">IF(F96&lt;&gt;0,F96*G$2/(100+G$2)," ")</f>
        <v> </v>
      </c>
      <c r="H96" s="6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</row>
    <row r="97" customFormat="false" ht="12" hidden="false" customHeight="false" outlineLevel="0" collapsed="false">
      <c r="A97" s="28"/>
      <c r="E97" s="2"/>
      <c r="G97" s="6" t="str">
        <f aca="false">IF(F97&lt;&gt;0,F97*G$2/(100+G$2)," ")</f>
        <v> </v>
      </c>
      <c r="H97" s="6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</row>
    <row r="98" customFormat="false" ht="12" hidden="false" customHeight="false" outlineLevel="0" collapsed="false">
      <c r="A98" s="28"/>
      <c r="E98" s="2"/>
      <c r="G98" s="6" t="str">
        <f aca="false">IF(F98&lt;&gt;0,F98*G$2/(100+G$2)," ")</f>
        <v> </v>
      </c>
      <c r="H98" s="6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</row>
    <row r="99" customFormat="false" ht="12" hidden="false" customHeight="false" outlineLevel="0" collapsed="false">
      <c r="A99" s="28"/>
      <c r="E99" s="2"/>
      <c r="G99" s="6" t="str">
        <f aca="false">IF(F99&lt;&gt;0,F99*G$2/(100+G$2)," ")</f>
        <v> </v>
      </c>
      <c r="H99" s="6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</row>
    <row r="100" customFormat="false" ht="12" hidden="false" customHeight="false" outlineLevel="0" collapsed="false">
      <c r="A100" s="28"/>
      <c r="E100" s="2"/>
      <c r="G100" s="6" t="str">
        <f aca="false">IF(F100&lt;&gt;0,F100*G$2/(100+G$2)," ")</f>
        <v> </v>
      </c>
      <c r="H100" s="6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</row>
    <row r="101" customFormat="false" ht="12" hidden="false" customHeight="false" outlineLevel="0" collapsed="false">
      <c r="A101" s="28"/>
      <c r="E101" s="2"/>
      <c r="G101" s="6" t="str">
        <f aca="false">IF(F101&lt;&gt;0,F101*G$2/(100+G$2)," ")</f>
        <v> </v>
      </c>
      <c r="H101" s="6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</row>
    <row r="102" customFormat="false" ht="12" hidden="false" customHeight="false" outlineLevel="0" collapsed="false">
      <c r="A102" s="28"/>
      <c r="E102" s="2"/>
      <c r="G102" s="6" t="str">
        <f aca="false">IF(F102&lt;&gt;0,F102*G$2/(100+G$2)," ")</f>
        <v> </v>
      </c>
      <c r="H102" s="6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</row>
    <row r="103" customFormat="false" ht="12" hidden="false" customHeight="false" outlineLevel="0" collapsed="false">
      <c r="A103" s="28"/>
      <c r="E103" s="2"/>
      <c r="G103" s="6" t="str">
        <f aca="false">IF(F103&lt;&gt;0,F103*G$2/(100+G$2)," ")</f>
        <v> </v>
      </c>
      <c r="H103" s="6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</row>
    <row r="104" customFormat="false" ht="12" hidden="false" customHeight="false" outlineLevel="0" collapsed="false">
      <c r="A104" s="28"/>
      <c r="E104" s="2"/>
      <c r="G104" s="6" t="str">
        <f aca="false">IF(F104&lt;&gt;0,F104*G$2/(100+G$2)," ")</f>
        <v> </v>
      </c>
      <c r="H104" s="6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</row>
    <row r="105" customFormat="false" ht="12" hidden="false" customHeight="false" outlineLevel="0" collapsed="false">
      <c r="A105" s="28"/>
      <c r="E105" s="2"/>
      <c r="G105" s="6" t="str">
        <f aca="false">IF(F105&lt;&gt;0,F105*G$2/(100+G$2)," ")</f>
        <v> </v>
      </c>
      <c r="H105" s="6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</row>
    <row r="106" customFormat="false" ht="12" hidden="false" customHeight="false" outlineLevel="0" collapsed="false">
      <c r="A106" s="28"/>
      <c r="E106" s="2"/>
      <c r="G106" s="6" t="str">
        <f aca="false">IF(F106&lt;&gt;0,F106*G$2/(100+G$2)," ")</f>
        <v> </v>
      </c>
      <c r="H106" s="6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</row>
    <row r="107" customFormat="false" ht="12" hidden="false" customHeight="false" outlineLevel="0" collapsed="false">
      <c r="A107" s="28"/>
      <c r="E107" s="2"/>
      <c r="G107" s="6" t="str">
        <f aca="false">IF(F107&lt;&gt;0,F107*G$2/(100+G$2)," ")</f>
        <v> </v>
      </c>
      <c r="H107" s="6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</row>
    <row r="108" customFormat="false" ht="12" hidden="false" customHeight="false" outlineLevel="0" collapsed="false">
      <c r="A108" s="28"/>
      <c r="E108" s="2"/>
      <c r="G108" s="6" t="str">
        <f aca="false">IF(F108&lt;&gt;0,F108*G$2/(100+G$2)," ")</f>
        <v> </v>
      </c>
      <c r="H108" s="6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</row>
    <row r="109" customFormat="false" ht="12" hidden="false" customHeight="false" outlineLevel="0" collapsed="false">
      <c r="A109" s="28"/>
      <c r="E109" s="2"/>
      <c r="G109" s="6" t="str">
        <f aca="false">IF(F109&lt;&gt;0,F109*G$2/(100+G$2)," ")</f>
        <v> </v>
      </c>
      <c r="H109" s="6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</row>
    <row r="110" customFormat="false" ht="12" hidden="false" customHeight="false" outlineLevel="0" collapsed="false">
      <c r="A110" s="28"/>
      <c r="E110" s="2"/>
      <c r="G110" s="6" t="str">
        <f aca="false">IF(F110&lt;&gt;0,F110*G$2/(100+G$2)," ")</f>
        <v> </v>
      </c>
      <c r="H110" s="6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</row>
    <row r="111" customFormat="false" ht="12" hidden="false" customHeight="false" outlineLevel="0" collapsed="false">
      <c r="A111" s="28"/>
      <c r="E111" s="2"/>
      <c r="G111" s="6" t="str">
        <f aca="false">IF(F111&lt;&gt;0,F111*G$2/(100+G$2)," ")</f>
        <v> </v>
      </c>
      <c r="H111" s="6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</row>
    <row r="112" customFormat="false" ht="12" hidden="false" customHeight="false" outlineLevel="0" collapsed="false">
      <c r="A112" s="28"/>
      <c r="E112" s="2"/>
      <c r="G112" s="6" t="str">
        <f aca="false">IF(F112&lt;&gt;0,F112*G$2/(100+G$2)," ")</f>
        <v> </v>
      </c>
      <c r="H112" s="6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</row>
    <row r="113" customFormat="false" ht="12" hidden="false" customHeight="false" outlineLevel="0" collapsed="false">
      <c r="A113" s="28"/>
      <c r="E113" s="2"/>
      <c r="G113" s="6" t="str">
        <f aca="false">IF(F113&lt;&gt;0,F113*G$2/(100+G$2)," ")</f>
        <v> </v>
      </c>
      <c r="H113" s="6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</row>
    <row r="114" customFormat="false" ht="12" hidden="false" customHeight="false" outlineLevel="0" collapsed="false">
      <c r="A114" s="28"/>
      <c r="E114" s="2"/>
      <c r="G114" s="6" t="str">
        <f aca="false">IF(F114&lt;&gt;0,F114*G$2/(100+G$2)," ")</f>
        <v> </v>
      </c>
      <c r="H114" s="6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</row>
    <row r="115" customFormat="false" ht="12" hidden="false" customHeight="false" outlineLevel="0" collapsed="false">
      <c r="A115" s="28"/>
      <c r="E115" s="2"/>
      <c r="G115" s="6" t="str">
        <f aca="false">IF(F115&lt;&gt;0,F115*G$2/(100+G$2)," ")</f>
        <v> </v>
      </c>
      <c r="H115" s="6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</row>
    <row r="116" customFormat="false" ht="12" hidden="false" customHeight="false" outlineLevel="0" collapsed="false">
      <c r="A116" s="28"/>
      <c r="E116" s="2"/>
      <c r="G116" s="6" t="str">
        <f aca="false">IF(F116&lt;&gt;0,F116*G$2/(100+G$2)," ")</f>
        <v> </v>
      </c>
      <c r="H116" s="6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</row>
    <row r="117" customFormat="false" ht="12" hidden="false" customHeight="false" outlineLevel="0" collapsed="false">
      <c r="A117" s="28"/>
      <c r="E117" s="2"/>
      <c r="G117" s="6" t="str">
        <f aca="false">IF(F117&lt;&gt;0,F117*G$2/(100+G$2)," ")</f>
        <v> </v>
      </c>
      <c r="H117" s="6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</row>
    <row r="118" customFormat="false" ht="12" hidden="false" customHeight="false" outlineLevel="0" collapsed="false">
      <c r="A118" s="28"/>
      <c r="E118" s="2"/>
      <c r="G118" s="6" t="str">
        <f aca="false">IF(F118&lt;&gt;0,F118*G$2/(100+G$2)," ")</f>
        <v> </v>
      </c>
      <c r="H118" s="6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</row>
    <row r="119" customFormat="false" ht="12" hidden="false" customHeight="false" outlineLevel="0" collapsed="false">
      <c r="A119" s="28"/>
      <c r="E119" s="2"/>
      <c r="G119" s="6" t="str">
        <f aca="false">IF(F119&lt;&gt;0,F119*G$2/(100+G$2)," ")</f>
        <v> </v>
      </c>
      <c r="H119" s="6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</row>
    <row r="120" customFormat="false" ht="12" hidden="false" customHeight="false" outlineLevel="0" collapsed="false">
      <c r="A120" s="28"/>
      <c r="E120" s="2"/>
      <c r="G120" s="6" t="str">
        <f aca="false">IF(F120&lt;&gt;0,F120*G$2/(100+G$2)," ")</f>
        <v> </v>
      </c>
      <c r="H120" s="6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</row>
    <row r="121" customFormat="false" ht="12" hidden="false" customHeight="false" outlineLevel="0" collapsed="false">
      <c r="A121" s="28"/>
      <c r="E121" s="2"/>
      <c r="G121" s="6" t="str">
        <f aca="false">IF(F121&lt;&gt;0,F121*G$2/(100+G$2)," ")</f>
        <v> </v>
      </c>
      <c r="H121" s="6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</row>
    <row r="122" customFormat="false" ht="12" hidden="false" customHeight="false" outlineLevel="0" collapsed="false">
      <c r="A122" s="28"/>
      <c r="E122" s="2"/>
      <c r="G122" s="6" t="str">
        <f aca="false">IF(F122&lt;&gt;0,F122*G$2/(100+G$2)," ")</f>
        <v> </v>
      </c>
      <c r="H122" s="6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</row>
    <row r="123" customFormat="false" ht="12" hidden="false" customHeight="false" outlineLevel="0" collapsed="false">
      <c r="A123" s="28"/>
      <c r="E123" s="2"/>
      <c r="G123" s="6" t="str">
        <f aca="false">IF(F123&lt;&gt;0,F123*G$2/(100+G$2)," ")</f>
        <v> </v>
      </c>
      <c r="H123" s="6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</row>
    <row r="124" customFormat="false" ht="12" hidden="false" customHeight="false" outlineLevel="0" collapsed="false">
      <c r="A124" s="28"/>
      <c r="E124" s="2"/>
      <c r="G124" s="6" t="str">
        <f aca="false">IF(F124&lt;&gt;0,F124*G$2/(100+G$2)," ")</f>
        <v> </v>
      </c>
      <c r="H124" s="6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</row>
    <row r="125" customFormat="false" ht="12" hidden="false" customHeight="false" outlineLevel="0" collapsed="false">
      <c r="A125" s="28"/>
      <c r="E125" s="2"/>
      <c r="G125" s="6" t="str">
        <f aca="false">IF(F125&lt;&gt;0,F125*G$2/(100+G$2)," ")</f>
        <v> </v>
      </c>
      <c r="H125" s="6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</row>
    <row r="126" customFormat="false" ht="12" hidden="false" customHeight="false" outlineLevel="0" collapsed="false">
      <c r="A126" s="28"/>
      <c r="E126" s="2"/>
      <c r="G126" s="6" t="str">
        <f aca="false">IF(F126&lt;&gt;0,F126*G$2/(100+G$2)," ")</f>
        <v> </v>
      </c>
      <c r="H126" s="6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</row>
    <row r="127" customFormat="false" ht="12" hidden="false" customHeight="false" outlineLevel="0" collapsed="false">
      <c r="A127" s="28"/>
      <c r="E127" s="2"/>
      <c r="G127" s="6" t="str">
        <f aca="false">IF(F127&lt;&gt;0,F127*G$2/(100+G$2)," ")</f>
        <v> </v>
      </c>
      <c r="H127" s="6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</row>
    <row r="128" customFormat="false" ht="12" hidden="false" customHeight="false" outlineLevel="0" collapsed="false">
      <c r="A128" s="28"/>
      <c r="E128" s="2"/>
      <c r="G128" s="6" t="str">
        <f aca="false">IF(F128&lt;&gt;0,F128*G$2/(100+G$2)," ")</f>
        <v> </v>
      </c>
      <c r="H128" s="6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</row>
    <row r="129" customFormat="false" ht="12" hidden="false" customHeight="false" outlineLevel="0" collapsed="false">
      <c r="A129" s="28"/>
      <c r="E129" s="2"/>
      <c r="G129" s="6" t="str">
        <f aca="false">IF(F129&lt;&gt;0,F129*G$2/(100+G$2)," ")</f>
        <v> </v>
      </c>
      <c r="H129" s="6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</row>
    <row r="130" customFormat="false" ht="12" hidden="false" customHeight="false" outlineLevel="0" collapsed="false">
      <c r="A130" s="28"/>
      <c r="E130" s="2"/>
      <c r="G130" s="6" t="str">
        <f aca="false">IF(F130&lt;&gt;0,F130*G$2/(100+G$2)," ")</f>
        <v> </v>
      </c>
      <c r="H130" s="6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</row>
    <row r="131" customFormat="false" ht="12" hidden="false" customHeight="false" outlineLevel="0" collapsed="false">
      <c r="A131" s="28"/>
      <c r="E131" s="2"/>
      <c r="G131" s="6" t="str">
        <f aca="false">IF(F131&lt;&gt;0,F131*G$2/(100+G$2)," ")</f>
        <v> </v>
      </c>
      <c r="H131" s="6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</row>
    <row r="132" customFormat="false" ht="12" hidden="false" customHeight="false" outlineLevel="0" collapsed="false">
      <c r="A132" s="28"/>
      <c r="E132" s="2"/>
      <c r="G132" s="6" t="str">
        <f aca="false">IF(F132&lt;&gt;0,F132*G$2/(100+G$2)," ")</f>
        <v> </v>
      </c>
      <c r="H132" s="6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</row>
    <row r="133" customFormat="false" ht="12" hidden="false" customHeight="false" outlineLevel="0" collapsed="false">
      <c r="A133" s="28"/>
      <c r="E133" s="2"/>
      <c r="G133" s="6" t="str">
        <f aca="false">IF(F133&lt;&gt;0,F133*G$2/(100+G$2)," ")</f>
        <v> </v>
      </c>
      <c r="H133" s="6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</row>
    <row r="134" customFormat="false" ht="12" hidden="false" customHeight="false" outlineLevel="0" collapsed="false">
      <c r="A134" s="28"/>
      <c r="E134" s="2"/>
      <c r="G134" s="6" t="str">
        <f aca="false">IF(F134&lt;&gt;0,F134*G$2/(100+G$2)," ")</f>
        <v> </v>
      </c>
      <c r="H134" s="6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</row>
    <row r="135" customFormat="false" ht="12" hidden="false" customHeight="false" outlineLevel="0" collapsed="false">
      <c r="A135" s="28"/>
      <c r="E135" s="2"/>
      <c r="G135" s="6" t="str">
        <f aca="false">IF(F135&lt;&gt;0,F135*G$2/(100+G$2)," ")</f>
        <v> </v>
      </c>
      <c r="H135" s="6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</row>
    <row r="136" customFormat="false" ht="12" hidden="false" customHeight="false" outlineLevel="0" collapsed="false">
      <c r="A136" s="28"/>
      <c r="E136" s="2"/>
      <c r="G136" s="6" t="str">
        <f aca="false">IF(F136&lt;&gt;0,F136*G$2/(100+G$2)," ")</f>
        <v> </v>
      </c>
      <c r="H136" s="6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</row>
    <row r="137" customFormat="false" ht="12" hidden="false" customHeight="false" outlineLevel="0" collapsed="false">
      <c r="A137" s="28"/>
      <c r="E137" s="2"/>
      <c r="G137" s="6" t="str">
        <f aca="false">IF(F137&lt;&gt;0,F137*G$2/(100+G$2)," ")</f>
        <v> </v>
      </c>
      <c r="H137" s="6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</row>
    <row r="138" customFormat="false" ht="12" hidden="false" customHeight="false" outlineLevel="0" collapsed="false">
      <c r="A138" s="28"/>
      <c r="E138" s="2"/>
      <c r="G138" s="6" t="str">
        <f aca="false">IF(F138&lt;&gt;0,F138*G$2/(100+G$2)," ")</f>
        <v> </v>
      </c>
      <c r="H138" s="6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</row>
    <row r="139" customFormat="false" ht="12" hidden="false" customHeight="false" outlineLevel="0" collapsed="false">
      <c r="A139" s="28"/>
      <c r="E139" s="2"/>
      <c r="G139" s="6" t="str">
        <f aca="false">IF(F139&lt;&gt;0,F139*G$2/(100+G$2)," ")</f>
        <v> </v>
      </c>
      <c r="H139" s="6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</row>
    <row r="140" customFormat="false" ht="12" hidden="false" customHeight="false" outlineLevel="0" collapsed="false">
      <c r="A140" s="28"/>
      <c r="E140" s="2"/>
      <c r="G140" s="6" t="str">
        <f aca="false">IF(F140&lt;&gt;0,F140*G$2/(100+G$2)," ")</f>
        <v> </v>
      </c>
      <c r="H140" s="6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</row>
    <row r="141" customFormat="false" ht="12" hidden="false" customHeight="false" outlineLevel="0" collapsed="false">
      <c r="A141" s="28"/>
      <c r="E141" s="2"/>
      <c r="G141" s="6" t="str">
        <f aca="false">IF(F141&lt;&gt;0,F141*G$2/(100+G$2)," ")</f>
        <v> </v>
      </c>
      <c r="H141" s="6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</row>
    <row r="142" customFormat="false" ht="12" hidden="false" customHeight="false" outlineLevel="0" collapsed="false">
      <c r="A142" s="28"/>
      <c r="E142" s="2"/>
      <c r="G142" s="6" t="str">
        <f aca="false">IF(F142&lt;&gt;0,F142*G$2/(100+G$2)," ")</f>
        <v> </v>
      </c>
      <c r="H142" s="6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</row>
    <row r="143" customFormat="false" ht="12" hidden="false" customHeight="false" outlineLevel="0" collapsed="false">
      <c r="A143" s="28"/>
      <c r="E143" s="2"/>
      <c r="G143" s="6" t="str">
        <f aca="false">IF(F143&lt;&gt;0,F143*G$2/(100+G$2)," ")</f>
        <v> </v>
      </c>
      <c r="H143" s="6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</row>
    <row r="144" customFormat="false" ht="12" hidden="false" customHeight="false" outlineLevel="0" collapsed="false">
      <c r="A144" s="28"/>
      <c r="E144" s="2"/>
      <c r="G144" s="6" t="str">
        <f aca="false">IF(F144&lt;&gt;0,F144*G$2/(100+G$2)," ")</f>
        <v> </v>
      </c>
      <c r="H144" s="6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</row>
    <row r="145" customFormat="false" ht="12" hidden="false" customHeight="false" outlineLevel="0" collapsed="false">
      <c r="A145" s="28"/>
      <c r="E145" s="2"/>
      <c r="G145" s="6" t="str">
        <f aca="false">IF(F145&lt;&gt;0,F145*G$2/(100+G$2)," ")</f>
        <v> </v>
      </c>
      <c r="H145" s="6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</row>
    <row r="146" customFormat="false" ht="12" hidden="false" customHeight="false" outlineLevel="0" collapsed="false">
      <c r="A146" s="28"/>
      <c r="E146" s="2"/>
      <c r="G146" s="6" t="str">
        <f aca="false">IF(F146&lt;&gt;0,F146*G$2/(100+G$2)," ")</f>
        <v> </v>
      </c>
      <c r="H146" s="6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</row>
    <row r="147" customFormat="false" ht="12" hidden="false" customHeight="false" outlineLevel="0" collapsed="false">
      <c r="A147" s="28"/>
      <c r="E147" s="2"/>
      <c r="G147" s="6" t="str">
        <f aca="false">IF(F147&lt;&gt;0,F147*G$2/(100+G$2)," ")</f>
        <v> </v>
      </c>
      <c r="H147" s="6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</row>
    <row r="148" customFormat="false" ht="12" hidden="false" customHeight="false" outlineLevel="0" collapsed="false">
      <c r="A148" s="28"/>
      <c r="E148" s="2"/>
      <c r="G148" s="6" t="str">
        <f aca="false">IF(F148&lt;&gt;0,F148*G$2/(100+G$2)," ")</f>
        <v> </v>
      </c>
      <c r="H148" s="6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</row>
    <row r="149" customFormat="false" ht="12" hidden="false" customHeight="false" outlineLevel="0" collapsed="false">
      <c r="A149" s="28"/>
      <c r="E149" s="2"/>
      <c r="G149" s="6" t="str">
        <f aca="false">IF(F149&lt;&gt;0,F149*G$2/(100+G$2)," ")</f>
        <v> </v>
      </c>
      <c r="H149" s="6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</row>
    <row r="150" customFormat="false" ht="12" hidden="false" customHeight="false" outlineLevel="0" collapsed="false">
      <c r="A150" s="28"/>
      <c r="E150" s="2"/>
      <c r="G150" s="6" t="str">
        <f aca="false">IF(F150&lt;&gt;0,F150*G$2/(100+G$2)," ")</f>
        <v> </v>
      </c>
      <c r="H150" s="6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</row>
    <row r="151" customFormat="false" ht="12" hidden="false" customHeight="false" outlineLevel="0" collapsed="false">
      <c r="A151" s="28"/>
      <c r="E151" s="2"/>
      <c r="G151" s="6" t="str">
        <f aca="false">IF(F151&lt;&gt;0,F151*G$2/(100+G$2)," ")</f>
        <v> </v>
      </c>
      <c r="H151" s="6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</row>
    <row r="152" customFormat="false" ht="12" hidden="false" customHeight="false" outlineLevel="0" collapsed="false">
      <c r="A152" s="28"/>
      <c r="E152" s="2"/>
      <c r="G152" s="6" t="str">
        <f aca="false">IF(F152&lt;&gt;0,F152*G$2/(100+G$2)," ")</f>
        <v> </v>
      </c>
      <c r="H152" s="6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</row>
    <row r="153" customFormat="false" ht="12" hidden="false" customHeight="false" outlineLevel="0" collapsed="false">
      <c r="A153" s="28"/>
      <c r="E153" s="2"/>
      <c r="G153" s="6" t="str">
        <f aca="false">IF(F153&lt;&gt;0,F153*G$2/(100+G$2)," ")</f>
        <v> </v>
      </c>
      <c r="H153" s="6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</row>
    <row r="154" customFormat="false" ht="12" hidden="false" customHeight="false" outlineLevel="0" collapsed="false">
      <c r="A154" s="28"/>
      <c r="E154" s="2"/>
      <c r="G154" s="6" t="str">
        <f aca="false">IF(F154&lt;&gt;0,F154*G$2/(100+G$2)," ")</f>
        <v> </v>
      </c>
      <c r="H154" s="6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</row>
    <row r="155" customFormat="false" ht="12" hidden="false" customHeight="false" outlineLevel="0" collapsed="false">
      <c r="A155" s="28"/>
      <c r="E155" s="2"/>
      <c r="G155" s="6" t="str">
        <f aca="false">IF(F155&lt;&gt;0,F155*G$2/(100+G$2)," ")</f>
        <v> </v>
      </c>
      <c r="H155" s="6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</row>
    <row r="156" customFormat="false" ht="12" hidden="false" customHeight="false" outlineLevel="0" collapsed="false">
      <c r="A156" s="28"/>
      <c r="E156" s="2"/>
      <c r="G156" s="6" t="str">
        <f aca="false">IF(F156&lt;&gt;0,F156*G$2/(100+G$2)," ")</f>
        <v> </v>
      </c>
      <c r="H156" s="6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</row>
    <row r="157" customFormat="false" ht="12" hidden="false" customHeight="false" outlineLevel="0" collapsed="false">
      <c r="A157" s="28"/>
      <c r="E157" s="2"/>
      <c r="G157" s="6" t="str">
        <f aca="false">IF(F157&lt;&gt;0,F157*G$2/(100+G$2)," ")</f>
        <v> </v>
      </c>
      <c r="H157" s="6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</row>
    <row r="158" customFormat="false" ht="12" hidden="false" customHeight="false" outlineLevel="0" collapsed="false">
      <c r="A158" s="28"/>
      <c r="E158" s="2"/>
      <c r="G158" s="6" t="str">
        <f aca="false">IF(F158&lt;&gt;0,F158*G$2/(100+G$2)," ")</f>
        <v> </v>
      </c>
      <c r="H158" s="6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</row>
    <row r="159" customFormat="false" ht="12" hidden="false" customHeight="false" outlineLevel="0" collapsed="false">
      <c r="A159" s="28"/>
      <c r="E159" s="2"/>
      <c r="G159" s="6" t="str">
        <f aca="false">IF(F159&lt;&gt;0,F159*G$2/(100+G$2)," ")</f>
        <v> </v>
      </c>
      <c r="H159" s="6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</row>
    <row r="160" customFormat="false" ht="12" hidden="false" customHeight="false" outlineLevel="0" collapsed="false">
      <c r="A160" s="28"/>
      <c r="E160" s="2"/>
      <c r="G160" s="6" t="str">
        <f aca="false">IF(F160&lt;&gt;0,F160*G$2/(100+G$2)," ")</f>
        <v> </v>
      </c>
      <c r="H160" s="6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</row>
    <row r="161" customFormat="false" ht="12" hidden="false" customHeight="false" outlineLevel="0" collapsed="false">
      <c r="A161" s="28"/>
      <c r="E161" s="2"/>
      <c r="G161" s="6" t="str">
        <f aca="false">IF(F161&lt;&gt;0,F161*G$2/(100+G$2)," ")</f>
        <v> </v>
      </c>
      <c r="H161" s="6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</row>
    <row r="162" customFormat="false" ht="12" hidden="false" customHeight="false" outlineLevel="0" collapsed="false">
      <c r="A162" s="28"/>
      <c r="E162" s="2"/>
      <c r="G162" s="6" t="str">
        <f aca="false">IF(F162&lt;&gt;0,F162*G$2/(100+G$2)," ")</f>
        <v> </v>
      </c>
      <c r="H162" s="6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</row>
    <row r="163" customFormat="false" ht="12" hidden="false" customHeight="false" outlineLevel="0" collapsed="false">
      <c r="A163" s="28"/>
      <c r="E163" s="2"/>
      <c r="G163" s="6" t="str">
        <f aca="false">IF(F163&lt;&gt;0,F163*G$2/(100+G$2)," ")</f>
        <v> </v>
      </c>
      <c r="H163" s="6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</row>
    <row r="164" customFormat="false" ht="12" hidden="false" customHeight="false" outlineLevel="0" collapsed="false">
      <c r="A164" s="28"/>
      <c r="E164" s="2"/>
      <c r="G164" s="6" t="str">
        <f aca="false">IF(F164&lt;&gt;0,F164*G$2/(100+G$2)," ")</f>
        <v> </v>
      </c>
      <c r="H164" s="6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</row>
    <row r="165" customFormat="false" ht="12" hidden="false" customHeight="false" outlineLevel="0" collapsed="false">
      <c r="A165" s="28"/>
      <c r="E165" s="2"/>
      <c r="G165" s="6" t="str">
        <f aca="false">IF(F165&lt;&gt;0,F165*G$2/(100+G$2)," ")</f>
        <v> </v>
      </c>
      <c r="H165" s="6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</row>
    <row r="166" customFormat="false" ht="12" hidden="false" customHeight="false" outlineLevel="0" collapsed="false">
      <c r="A166" s="28"/>
      <c r="E166" s="2"/>
      <c r="G166" s="6" t="str">
        <f aca="false">IF(F166&lt;&gt;0,F166*G$2/(100+G$2)," ")</f>
        <v> </v>
      </c>
      <c r="H166" s="6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</row>
    <row r="167" customFormat="false" ht="12" hidden="false" customHeight="false" outlineLevel="0" collapsed="false">
      <c r="A167" s="28"/>
      <c r="E167" s="2"/>
      <c r="G167" s="6" t="str">
        <f aca="false">IF(F167&lt;&gt;0,F167*G$2/(100+G$2)," ")</f>
        <v> </v>
      </c>
      <c r="H167" s="6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</row>
    <row r="168" customFormat="false" ht="12" hidden="false" customHeight="false" outlineLevel="0" collapsed="false">
      <c r="A168" s="28"/>
      <c r="E168" s="2"/>
      <c r="G168" s="6" t="str">
        <f aca="false">IF(F168&lt;&gt;0,F168*G$2/(100+G$2)," ")</f>
        <v> </v>
      </c>
      <c r="H168" s="6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</row>
    <row r="169" customFormat="false" ht="12" hidden="false" customHeight="false" outlineLevel="0" collapsed="false">
      <c r="A169" s="28"/>
      <c r="E169" s="2"/>
      <c r="G169" s="6" t="str">
        <f aca="false">IF(F169&lt;&gt;0,F169*G$2/(100+G$2)," ")</f>
        <v> </v>
      </c>
      <c r="H169" s="6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</row>
    <row r="170" customFormat="false" ht="12" hidden="false" customHeight="false" outlineLevel="0" collapsed="false">
      <c r="A170" s="28"/>
      <c r="E170" s="2"/>
      <c r="G170" s="6" t="str">
        <f aca="false">IF(F170&lt;&gt;0,F170*G$2/(100+G$2)," ")</f>
        <v> </v>
      </c>
      <c r="H170" s="6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</row>
    <row r="171" customFormat="false" ht="12" hidden="false" customHeight="false" outlineLevel="0" collapsed="false">
      <c r="A171" s="28"/>
      <c r="E171" s="2"/>
      <c r="G171" s="6" t="str">
        <f aca="false">IF(F171&lt;&gt;0,F171*G$2/(100+G$2)," ")</f>
        <v> </v>
      </c>
      <c r="H171" s="6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</row>
    <row r="172" customFormat="false" ht="12" hidden="false" customHeight="false" outlineLevel="0" collapsed="false">
      <c r="A172" s="28"/>
      <c r="E172" s="2"/>
      <c r="G172" s="6" t="str">
        <f aca="false">IF(F172&lt;&gt;0,F172*G$2/(100+G$2)," ")</f>
        <v> </v>
      </c>
      <c r="H172" s="6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</row>
    <row r="173" customFormat="false" ht="12" hidden="false" customHeight="false" outlineLevel="0" collapsed="false">
      <c r="A173" s="28"/>
      <c r="E173" s="2"/>
      <c r="G173" s="6" t="str">
        <f aca="false">IF(F173&lt;&gt;0,F173*G$2/(100+G$2)," ")</f>
        <v> </v>
      </c>
      <c r="H173" s="6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</row>
    <row r="174" customFormat="false" ht="12" hidden="false" customHeight="false" outlineLevel="0" collapsed="false">
      <c r="A174" s="28"/>
      <c r="E174" s="2"/>
      <c r="G174" s="6" t="str">
        <f aca="false">IF(F174&lt;&gt;0,F174*G$2/(100+G$2)," ")</f>
        <v> </v>
      </c>
      <c r="H174" s="6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</row>
    <row r="175" customFormat="false" ht="12" hidden="false" customHeight="false" outlineLevel="0" collapsed="false">
      <c r="A175" s="28"/>
      <c r="E175" s="2"/>
      <c r="G175" s="6" t="str">
        <f aca="false">IF(F175&lt;&gt;0,F175*G$2/(100+G$2)," ")</f>
        <v> </v>
      </c>
      <c r="H175" s="6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</row>
    <row r="176" customFormat="false" ht="12" hidden="false" customHeight="false" outlineLevel="0" collapsed="false">
      <c r="A176" s="28"/>
      <c r="E176" s="2"/>
      <c r="G176" s="6" t="str">
        <f aca="false">IF(F176&lt;&gt;0,F176*G$2/(100+G$2)," ")</f>
        <v> </v>
      </c>
      <c r="H176" s="6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</row>
    <row r="177" customFormat="false" ht="12" hidden="false" customHeight="false" outlineLevel="0" collapsed="false">
      <c r="A177" s="28"/>
      <c r="E177" s="2"/>
      <c r="G177" s="6" t="str">
        <f aca="false">IF(F177&lt;&gt;0,F177*G$2/(100+G$2)," ")</f>
        <v> </v>
      </c>
      <c r="H177" s="6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</row>
    <row r="178" customFormat="false" ht="12" hidden="false" customHeight="false" outlineLevel="0" collapsed="false">
      <c r="A178" s="28"/>
      <c r="E178" s="2"/>
      <c r="G178" s="6" t="str">
        <f aca="false">IF(F178&lt;&gt;0,F178*G$2/(100+G$2)," ")</f>
        <v> </v>
      </c>
      <c r="H178" s="6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</row>
    <row r="179" customFormat="false" ht="12" hidden="false" customHeight="false" outlineLevel="0" collapsed="false">
      <c r="A179" s="28"/>
      <c r="E179" s="2"/>
      <c r="G179" s="6" t="str">
        <f aca="false">IF(F179&lt;&gt;0,F179*G$2/(100+G$2)," ")</f>
        <v> </v>
      </c>
      <c r="H179" s="6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</row>
    <row r="180" customFormat="false" ht="12" hidden="false" customHeight="false" outlineLevel="0" collapsed="false">
      <c r="A180" s="28"/>
      <c r="E180" s="2"/>
      <c r="G180" s="6" t="str">
        <f aca="false">IF(F180&lt;&gt;0,F180*G$2/(100+G$2)," ")</f>
        <v> </v>
      </c>
      <c r="H180" s="6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</row>
    <row r="181" customFormat="false" ht="12" hidden="false" customHeight="false" outlineLevel="0" collapsed="false">
      <c r="A181" s="28"/>
      <c r="E181" s="2"/>
      <c r="G181" s="6" t="str">
        <f aca="false">IF(F181&lt;&gt;0,F181*G$2/(100+G$2)," ")</f>
        <v> </v>
      </c>
      <c r="H181" s="6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</row>
    <row r="182" customFormat="false" ht="12" hidden="false" customHeight="false" outlineLevel="0" collapsed="false">
      <c r="A182" s="28"/>
      <c r="E182" s="2"/>
      <c r="G182" s="6" t="str">
        <f aca="false">IF(F182&lt;&gt;0,F182*G$2/(100+G$2)," ")</f>
        <v> </v>
      </c>
      <c r="H182" s="6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</row>
    <row r="183" customFormat="false" ht="12" hidden="false" customHeight="false" outlineLevel="0" collapsed="false">
      <c r="A183" s="28"/>
      <c r="E183" s="2"/>
      <c r="G183" s="6" t="str">
        <f aca="false">IF(F183&lt;&gt;0,F183*G$2/(100+G$2)," ")</f>
        <v> </v>
      </c>
      <c r="H183" s="6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</row>
    <row r="184" customFormat="false" ht="12" hidden="false" customHeight="false" outlineLevel="0" collapsed="false">
      <c r="A184" s="28"/>
      <c r="E184" s="2"/>
      <c r="G184" s="6" t="str">
        <f aca="false">IF(F184&lt;&gt;0,F184*G$2/(100+G$2)," ")</f>
        <v> </v>
      </c>
      <c r="H184" s="6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</row>
    <row r="185" customFormat="false" ht="12" hidden="false" customHeight="false" outlineLevel="0" collapsed="false">
      <c r="A185" s="28"/>
      <c r="E185" s="2"/>
      <c r="G185" s="6" t="str">
        <f aca="false">IF(F185&lt;&gt;0,F185*G$2/(100+G$2)," ")</f>
        <v> </v>
      </c>
      <c r="H185" s="6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</row>
    <row r="186" customFormat="false" ht="12" hidden="false" customHeight="false" outlineLevel="0" collapsed="false">
      <c r="A186" s="28"/>
      <c r="E186" s="2"/>
      <c r="G186" s="6" t="str">
        <f aca="false">IF(F186&lt;&gt;0,F186*G$2/(100+G$2)," ")</f>
        <v> </v>
      </c>
      <c r="H186" s="6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</row>
    <row r="187" customFormat="false" ht="12" hidden="false" customHeight="false" outlineLevel="0" collapsed="false">
      <c r="A187" s="28"/>
      <c r="E187" s="2"/>
      <c r="G187" s="6" t="str">
        <f aca="false">IF(F187&lt;&gt;0,F187*G$2/(100+G$2)," ")</f>
        <v> </v>
      </c>
      <c r="H187" s="6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</row>
    <row r="188" customFormat="false" ht="12" hidden="false" customHeight="false" outlineLevel="0" collapsed="false">
      <c r="A188" s="28"/>
      <c r="E188" s="2"/>
      <c r="G188" s="6" t="str">
        <f aca="false">IF(F188&lt;&gt;0,F188*G$2/(100+G$2)," ")</f>
        <v> </v>
      </c>
      <c r="H188" s="6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</row>
    <row r="189" customFormat="false" ht="12" hidden="false" customHeight="false" outlineLevel="0" collapsed="false">
      <c r="A189" s="28"/>
      <c r="E189" s="2"/>
      <c r="G189" s="6" t="str">
        <f aca="false">IF(F189&lt;&gt;0,F189*G$2/(100+G$2)," ")</f>
        <v> </v>
      </c>
      <c r="H189" s="6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</row>
    <row r="190" customFormat="false" ht="12" hidden="false" customHeight="false" outlineLevel="0" collapsed="false">
      <c r="A190" s="28"/>
      <c r="E190" s="2"/>
      <c r="G190" s="6" t="str">
        <f aca="false">IF(F190&lt;&gt;0,F190*G$2/(100+G$2)," ")</f>
        <v> </v>
      </c>
      <c r="H190" s="6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</row>
    <row r="191" customFormat="false" ht="12" hidden="false" customHeight="false" outlineLevel="0" collapsed="false">
      <c r="A191" s="28"/>
      <c r="E191" s="2"/>
      <c r="G191" s="6" t="str">
        <f aca="false">IF(F191&lt;&gt;0,F191*G$2/(100+G$2)," ")</f>
        <v> </v>
      </c>
      <c r="H191" s="6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</row>
    <row r="192" customFormat="false" ht="12" hidden="false" customHeight="false" outlineLevel="0" collapsed="false">
      <c r="A192" s="28"/>
      <c r="E192" s="2"/>
      <c r="G192" s="6" t="str">
        <f aca="false">IF(F192&lt;&gt;0,F192*G$2/(100+G$2)," ")</f>
        <v> </v>
      </c>
      <c r="H192" s="6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</row>
    <row r="193" customFormat="false" ht="12" hidden="false" customHeight="false" outlineLevel="0" collapsed="false">
      <c r="A193" s="28"/>
      <c r="E193" s="2"/>
      <c r="G193" s="6" t="str">
        <f aca="false">IF(F193&lt;&gt;0,F193*G$2/(100+G$2)," ")</f>
        <v> </v>
      </c>
      <c r="H193" s="6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</row>
    <row r="194" customFormat="false" ht="12" hidden="false" customHeight="false" outlineLevel="0" collapsed="false">
      <c r="A194" s="28"/>
      <c r="E194" s="2"/>
      <c r="G194" s="6" t="str">
        <f aca="false">IF(F194&lt;&gt;0,F194*G$2/(100+G$2)," ")</f>
        <v> </v>
      </c>
      <c r="H194" s="6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</row>
    <row r="195" customFormat="false" ht="12" hidden="false" customHeight="false" outlineLevel="0" collapsed="false">
      <c r="A195" s="28"/>
      <c r="E195" s="2"/>
      <c r="G195" s="6" t="str">
        <f aca="false">IF(F195&lt;&gt;0,F195*G$2/(100+G$2)," ")</f>
        <v> </v>
      </c>
      <c r="H195" s="6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</row>
    <row r="196" customFormat="false" ht="12" hidden="false" customHeight="false" outlineLevel="0" collapsed="false">
      <c r="A196" s="28"/>
      <c r="E196" s="2"/>
      <c r="G196" s="6" t="str">
        <f aca="false">IF(F196&lt;&gt;0,F196*G$2/(100+G$2)," ")</f>
        <v> </v>
      </c>
      <c r="H196" s="6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</row>
    <row r="197" customFormat="false" ht="12" hidden="false" customHeight="false" outlineLevel="0" collapsed="false">
      <c r="A197" s="28"/>
      <c r="E197" s="2"/>
      <c r="G197" s="6" t="str">
        <f aca="false">IF(F197&lt;&gt;0,F197*G$2/(100+G$2)," ")</f>
        <v> </v>
      </c>
      <c r="H197" s="6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</row>
    <row r="198" customFormat="false" ht="12" hidden="false" customHeight="false" outlineLevel="0" collapsed="false">
      <c r="A198" s="28"/>
      <c r="E198" s="2"/>
      <c r="G198" s="6" t="str">
        <f aca="false">IF(F198&lt;&gt;0,F198*G$2/(100+G$2)," ")</f>
        <v> </v>
      </c>
      <c r="H198" s="6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</row>
    <row r="199" customFormat="false" ht="12" hidden="false" customHeight="false" outlineLevel="0" collapsed="false">
      <c r="A199" s="28"/>
      <c r="E199" s="2"/>
      <c r="G199" s="6" t="str">
        <f aca="false">IF(F199&lt;&gt;0,F199*G$2/(100+G$2)," ")</f>
        <v> </v>
      </c>
      <c r="H199" s="6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</row>
    <row r="200" customFormat="false" ht="12" hidden="false" customHeight="false" outlineLevel="0" collapsed="false">
      <c r="A200" s="31"/>
      <c r="B200" s="32"/>
      <c r="C200" s="33"/>
      <c r="D200" s="34"/>
      <c r="E200" s="32"/>
      <c r="F200" s="35"/>
      <c r="G200" s="35" t="str">
        <f aca="false">IF(F200&lt;&gt;0,F200*G$2/(100+G$2)," ")</f>
        <v> </v>
      </c>
      <c r="H200" s="35" t="str">
        <f aca="false">IF((F200&lt;&gt;0),F200-G200," ")</f>
        <v> </v>
      </c>
      <c r="J200" s="35"/>
      <c r="K200" s="35"/>
      <c r="L200" s="36" t="str">
        <f aca="false">IF(F200&lt;&gt;0,F200-K200," ")</f>
        <v> </v>
      </c>
      <c r="M200" s="37" t="str">
        <f aca="false">IF((F200-K200)&lt;&gt;0,M$1-A200," ")</f>
        <v> </v>
      </c>
    </row>
    <row r="201" customFormat="false" ht="12" hidden="false" customHeight="false" outlineLevel="0" collapsed="false">
      <c r="G201" s="6" t="e">
        <f aca="false">NA()</f>
        <v>#N/A</v>
      </c>
    </row>
  </sheetData>
  <mergeCells count="16">
    <mergeCell ref="A1:B1"/>
    <mergeCell ref="D1:E1"/>
    <mergeCell ref="I1:I4"/>
    <mergeCell ref="J1:J4"/>
    <mergeCell ref="A2:A4"/>
    <mergeCell ref="B2:B4"/>
    <mergeCell ref="C2:C4"/>
    <mergeCell ref="D2:D4"/>
    <mergeCell ref="E2:E4"/>
    <mergeCell ref="F2:F4"/>
    <mergeCell ref="H2:H4"/>
    <mergeCell ref="K2:M2"/>
    <mergeCell ref="G3:G4"/>
    <mergeCell ref="K3:K4"/>
    <mergeCell ref="L3:L4"/>
    <mergeCell ref="M3:M4"/>
  </mergeCells>
  <dataValidations count="1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00" type="date">
      <formula1>38353</formula1>
      <formula2>53327</formula2>
    </dataValidation>
  </dataValidations>
  <printOptions headings="false" gridLines="false" gridLinesSet="true" horizontalCentered="true" verticalCentered="true"/>
  <pageMargins left="0.157638888888889" right="0.157638888888889" top="0.590277777777778" bottom="0.590277777777778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8" width="10.5"/>
    <col collapsed="false" customWidth="true" hidden="false" outlineLevel="0" max="35" min="31" style="17" width="10.5"/>
    <col collapsed="false" customWidth="true" hidden="false" outlineLevel="0" max="36" min="36" style="17" width="0.82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s="17" customFormat="true" ht="12.75" hidden="false" customHeight="true" outlineLevel="0" collapsed="false">
      <c r="A1" s="39" t="n">
        <f aca="false">F1-G1-SUM(O1:AI1)</f>
        <v>0</v>
      </c>
      <c r="B1" s="40" t="s">
        <v>22</v>
      </c>
      <c r="C1" s="20" t="s">
        <v>5</v>
      </c>
      <c r="D1" s="41" t="s">
        <v>23</v>
      </c>
      <c r="E1" s="41"/>
      <c r="F1" s="12" t="n">
        <f aca="false">SUM(F5:F300)</f>
        <v>5111.25</v>
      </c>
      <c r="G1" s="12" t="n">
        <f aca="false">SUM(G5:G300)</f>
        <v>0</v>
      </c>
      <c r="H1" s="12" t="n">
        <f aca="false">SUM(H5:H300)</f>
        <v>5111.25</v>
      </c>
      <c r="I1" s="13"/>
      <c r="J1" s="14" t="s">
        <v>2</v>
      </c>
      <c r="K1" s="15" t="n">
        <f aca="false">SUM(K5:K300)</f>
        <v>0</v>
      </c>
      <c r="L1" s="15" t="n">
        <f aca="false">SUM(L5:L300)</f>
        <v>5111.25</v>
      </c>
      <c r="M1" s="16" t="n">
        <f aca="true">TODAY()</f>
        <v>46137</v>
      </c>
      <c r="N1" s="13"/>
      <c r="O1" s="12" t="n">
        <f aca="false">SUM(O5:O300)</f>
        <v>600</v>
      </c>
      <c r="P1" s="12" t="n">
        <f aca="false">SUM(P5:P300)</f>
        <v>0</v>
      </c>
      <c r="Q1" s="12" t="n">
        <f aca="false">SUM(Q5:Q300)</f>
        <v>285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1200</v>
      </c>
      <c r="U1" s="12" t="n">
        <f aca="false">SUM(U5:U300)</f>
        <v>0</v>
      </c>
      <c r="V1" s="12" t="n">
        <f aca="false">SUM(V5:V300)</f>
        <v>0</v>
      </c>
      <c r="W1" s="12" t="n">
        <f aca="false">SUM(W5:W300)</f>
        <v>0</v>
      </c>
      <c r="X1" s="12" t="n">
        <f aca="false">SUM(X5:X300)</f>
        <v>120</v>
      </c>
      <c r="Y1" s="12" t="n">
        <f aca="false">SUM(Y5:Y300)</f>
        <v>157</v>
      </c>
      <c r="Z1" s="12" t="n">
        <f aca="false">SUM(Z5:Z300)</f>
        <v>0</v>
      </c>
      <c r="AA1" s="12" t="n">
        <f aca="false">SUM(AA5:AA300)</f>
        <v>135</v>
      </c>
      <c r="AB1" s="12" t="n">
        <f aca="false">SUM(AB5:AB300)</f>
        <v>92</v>
      </c>
      <c r="AC1" s="12" t="n">
        <f aca="false">SUM(AC5:AC300)</f>
        <v>602.25</v>
      </c>
      <c r="AD1" s="12" t="n">
        <f aca="false">SUM(AD5:AD300)</f>
        <v>1440</v>
      </c>
      <c r="AE1" s="12" t="n">
        <f aca="false">SUM(AE5:AE300)</f>
        <v>180</v>
      </c>
      <c r="AF1" s="12" t="n">
        <f aca="false">SUM(AF5:AF300)</f>
        <v>300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0</v>
      </c>
      <c r="AJ1" s="42"/>
      <c r="AK1" s="12" t="n">
        <f aca="false">SUM(AK5:AK300)</f>
        <v>0</v>
      </c>
      <c r="AL1" s="43"/>
    </row>
    <row r="2" s="17" customFormat="tru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IF([2]Jun!$G$4&gt;0,0,[2]Jun!$G$2)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42"/>
      <c r="AK2" s="19" t="s">
        <v>43</v>
      </c>
      <c r="AL2" s="19"/>
    </row>
    <row r="3" s="26" customFormat="tru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44</v>
      </c>
      <c r="P3" s="21" t="s">
        <v>45</v>
      </c>
      <c r="Q3" s="21" t="s">
        <v>46</v>
      </c>
      <c r="R3" s="19"/>
      <c r="S3" s="19"/>
      <c r="T3" s="21" t="s">
        <v>47</v>
      </c>
      <c r="U3" s="21" t="s">
        <v>48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42"/>
      <c r="AK3" s="19" t="s">
        <v>49</v>
      </c>
      <c r="AL3" s="19"/>
    </row>
    <row r="4" s="27" customFormat="tru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50</v>
      </c>
      <c r="P4" s="44" t="s">
        <v>51</v>
      </c>
      <c r="Q4" s="44" t="s">
        <v>52</v>
      </c>
      <c r="R4" s="44" t="s">
        <v>53</v>
      </c>
      <c r="S4" s="44" t="s">
        <v>54</v>
      </c>
      <c r="T4" s="44" t="s">
        <v>55</v>
      </c>
      <c r="U4" s="44" t="s">
        <v>56</v>
      </c>
      <c r="V4" s="44" t="s">
        <v>57</v>
      </c>
      <c r="W4" s="44" t="s">
        <v>58</v>
      </c>
      <c r="X4" s="44" t="s">
        <v>59</v>
      </c>
      <c r="Y4" s="44" t="s">
        <v>60</v>
      </c>
      <c r="Z4" s="44" t="s">
        <v>61</v>
      </c>
      <c r="AA4" s="44" t="s">
        <v>62</v>
      </c>
      <c r="AB4" s="44" t="s">
        <v>63</v>
      </c>
      <c r="AC4" s="45" t="s">
        <v>64</v>
      </c>
      <c r="AD4" s="45" t="s">
        <v>65</v>
      </c>
      <c r="AE4" s="44" t="s">
        <v>66</v>
      </c>
      <c r="AF4" s="44" t="s">
        <v>67</v>
      </c>
      <c r="AG4" s="44" t="s">
        <v>68</v>
      </c>
      <c r="AH4" s="44" t="s">
        <v>69</v>
      </c>
      <c r="AI4" s="44" t="s">
        <v>70</v>
      </c>
      <c r="AJ4" s="42"/>
      <c r="AK4" s="19" t="s">
        <v>71</v>
      </c>
      <c r="AL4" s="19" t="s">
        <v>72</v>
      </c>
    </row>
    <row r="5" s="5" customFormat="true" ht="12" hidden="false" customHeight="false" outlineLevel="0" collapsed="false">
      <c r="A5" s="28" t="n">
        <v>45809</v>
      </c>
      <c r="B5" s="5" t="s">
        <v>14</v>
      </c>
      <c r="E5" s="5" t="s">
        <v>73</v>
      </c>
      <c r="F5" s="46" t="n">
        <v>1200</v>
      </c>
      <c r="H5" s="6" t="n">
        <f aca="false">IF((F5&lt;&gt;0),F5-G5," ")</f>
        <v>1200</v>
      </c>
      <c r="J5" s="6"/>
      <c r="K5" s="6"/>
      <c r="L5" s="7" t="n">
        <f aca="false">IF(F5&lt;&gt;0,F5-K5," ")</f>
        <v>1200</v>
      </c>
      <c r="M5" s="8" t="n">
        <f aca="false">IF((F5-K5)&lt;&gt;0,M$1-A5," ")</f>
        <v>328</v>
      </c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1200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46" t="str">
        <f aca="false">IF((E5="v"),H5," ")</f>
        <v> </v>
      </c>
      <c r="AD5" s="46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/>
      <c r="AK5" s="17"/>
      <c r="AL5" s="17"/>
    </row>
    <row r="6" customFormat="false" ht="12" hidden="false" customHeight="false" outlineLevel="0" collapsed="false">
      <c r="A6" s="28" t="n">
        <v>45809</v>
      </c>
      <c r="B6" s="2" t="s">
        <v>74</v>
      </c>
      <c r="E6" s="5" t="s">
        <v>75</v>
      </c>
      <c r="F6" s="46" t="n">
        <v>30</v>
      </c>
      <c r="H6" s="6" t="n">
        <f aca="false">IF((F6&lt;&gt;0),F6-G6," ")</f>
        <v>30</v>
      </c>
      <c r="I6" s="5"/>
      <c r="L6" s="7" t="n">
        <f aca="false">IF(F6&lt;&gt;0,F6-K6," ")</f>
        <v>30</v>
      </c>
      <c r="M6" s="8" t="n">
        <f aca="false">IF((F6-K6)&lt;&gt;0,M$1-A6," ")</f>
        <v>328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30</v>
      </c>
      <c r="AB6" s="17" t="str">
        <f aca="false">IF((E6="h"),H6," ")</f>
        <v> </v>
      </c>
      <c r="AC6" s="46" t="str">
        <f aca="false">IF((E6="v"),H6," ")</f>
        <v> </v>
      </c>
      <c r="AD6" s="46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</row>
    <row r="7" customFormat="false" ht="12" hidden="false" customHeight="false" outlineLevel="0" collapsed="false">
      <c r="A7" s="28" t="n">
        <v>45809</v>
      </c>
      <c r="B7" s="2" t="s">
        <v>76</v>
      </c>
      <c r="E7" s="5" t="s">
        <v>75</v>
      </c>
      <c r="F7" s="46" t="n">
        <v>15</v>
      </c>
      <c r="H7" s="6" t="n">
        <f aca="false">IF((F7&lt;&gt;0),F7-G7," ")</f>
        <v>15</v>
      </c>
      <c r="I7" s="5"/>
      <c r="L7" s="7" t="n">
        <f aca="false">IF(F7&lt;&gt;0,F7-K7," ")</f>
        <v>15</v>
      </c>
      <c r="M7" s="8" t="n">
        <f aca="false">IF((F7-K7)&lt;&gt;0,M$1-A7," ")</f>
        <v>328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15</v>
      </c>
      <c r="AB7" s="17" t="str">
        <f aca="false">IF((E7="h"),H7," ")</f>
        <v> </v>
      </c>
      <c r="AC7" s="46" t="str">
        <f aca="false">IF((E7="v"),H7," ")</f>
        <v> </v>
      </c>
      <c r="AD7" s="46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</row>
    <row r="8" customFormat="false" ht="12" hidden="false" customHeight="false" outlineLevel="0" collapsed="false">
      <c r="A8" s="28" t="n">
        <v>45809</v>
      </c>
      <c r="B8" s="2" t="s">
        <v>77</v>
      </c>
      <c r="E8" s="5" t="s">
        <v>78</v>
      </c>
      <c r="F8" s="46" t="n">
        <v>45</v>
      </c>
      <c r="H8" s="6" t="n">
        <f aca="false">IF((F8&lt;&gt;0),F8-G8," ")</f>
        <v>45</v>
      </c>
      <c r="I8" s="5"/>
      <c r="L8" s="7" t="n">
        <f aca="false">IF(F8&lt;&gt;0,F8-K8," ")</f>
        <v>45</v>
      </c>
      <c r="M8" s="8" t="n">
        <f aca="false">IF((F8-K8)&lt;&gt;0,M$1-A8," ")</f>
        <v>328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45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46" t="str">
        <f aca="false">IF((E8="v"),H8," ")</f>
        <v> </v>
      </c>
      <c r="AD8" s="46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</row>
    <row r="9" customFormat="false" ht="12" hidden="false" customHeight="false" outlineLevel="0" collapsed="false">
      <c r="A9" s="28" t="n">
        <v>45809</v>
      </c>
      <c r="B9" s="2" t="s">
        <v>79</v>
      </c>
      <c r="E9" s="5" t="s">
        <v>80</v>
      </c>
      <c r="F9" s="46" t="n">
        <v>1440</v>
      </c>
      <c r="H9" s="6" t="n">
        <f aca="false">IF((F9&lt;&gt;0),F9-G9," ")</f>
        <v>1440</v>
      </c>
      <c r="I9" s="5"/>
      <c r="L9" s="7" t="n">
        <f aca="false">IF(F9&lt;&gt;0,F9-K9," ")</f>
        <v>1440</v>
      </c>
      <c r="M9" s="8" t="n">
        <f aca="false">IF((F9-K9)&lt;&gt;0,M$1-A9," ")</f>
        <v>328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str">
        <f aca="false">IF((E9="o"),H9," ")</f>
        <v> 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46" t="str">
        <f aca="false">IF((E9="v"),H9," ")</f>
        <v> </v>
      </c>
      <c r="AD9" s="46" t="n">
        <f aca="false">IF((E9="n"),H9," ")</f>
        <v>1440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</row>
    <row r="10" customFormat="false" ht="12" hidden="false" customHeight="false" outlineLevel="0" collapsed="false">
      <c r="A10" s="28" t="n">
        <v>45809</v>
      </c>
      <c r="B10" s="2" t="s">
        <v>81</v>
      </c>
      <c r="E10" s="5" t="s">
        <v>78</v>
      </c>
      <c r="F10" s="46" t="n">
        <v>24</v>
      </c>
      <c r="H10" s="6" t="n">
        <f aca="false">IF((F10&lt;&gt;0),F10-G10," ")</f>
        <v>24</v>
      </c>
      <c r="I10" s="5"/>
      <c r="L10" s="7" t="n">
        <f aca="false">IF(F10&lt;&gt;0,F10-K10," ")</f>
        <v>24</v>
      </c>
      <c r="M10" s="8" t="n">
        <f aca="false">IF((F10-K10)&lt;&gt;0,M$1-A10," ")</f>
        <v>328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n">
        <f aca="false">IF((E10="o"),H10," ")</f>
        <v>24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str">
        <f aca="false">IF((E10="g"),H10," ")</f>
        <v> </v>
      </c>
      <c r="AB10" s="17" t="str">
        <f aca="false">IF((E10="h"),H10," ")</f>
        <v> </v>
      </c>
      <c r="AC10" s="46" t="str">
        <f aca="false">IF((E10="v"),H10," ")</f>
        <v> </v>
      </c>
      <c r="AD10" s="46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</row>
    <row r="11" customFormat="false" ht="12" hidden="false" customHeight="false" outlineLevel="0" collapsed="false">
      <c r="A11" s="28" t="n">
        <v>45809</v>
      </c>
      <c r="B11" s="2" t="s">
        <v>82</v>
      </c>
      <c r="E11" s="5" t="s">
        <v>75</v>
      </c>
      <c r="F11" s="46" t="n">
        <v>18</v>
      </c>
      <c r="H11" s="6" t="n">
        <f aca="false">IF((F11&lt;&gt;0),F11-G11," ")</f>
        <v>18</v>
      </c>
      <c r="I11" s="5"/>
      <c r="L11" s="7" t="n">
        <f aca="false">IF(F11&lt;&gt;0,F11-K11," ")</f>
        <v>18</v>
      </c>
      <c r="M11" s="8" t="n">
        <f aca="false">IF((F11-K11)&lt;&gt;0,M$1-A11," ")</f>
        <v>328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str">
        <f aca="false">IF((E11="o"),H11," ")</f>
        <v> 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n">
        <f aca="false">IF((E11="g"),H11," ")</f>
        <v>18</v>
      </c>
      <c r="AB11" s="17" t="str">
        <f aca="false">IF((E11="h"),H11," ")</f>
        <v> </v>
      </c>
      <c r="AC11" s="46" t="str">
        <f aca="false">IF((E11="v"),H11," ")</f>
        <v> </v>
      </c>
      <c r="AD11" s="46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</row>
    <row r="12" customFormat="false" ht="12" hidden="false" customHeight="false" outlineLevel="0" collapsed="false">
      <c r="A12" s="28" t="n">
        <v>45811</v>
      </c>
      <c r="B12" s="2" t="s">
        <v>83</v>
      </c>
      <c r="E12" s="5" t="s">
        <v>78</v>
      </c>
      <c r="F12" s="46" t="n">
        <v>180</v>
      </c>
      <c r="H12" s="6" t="n">
        <f aca="false">IF((F12&lt;&gt;0),F12-G12," ")</f>
        <v>180</v>
      </c>
      <c r="I12" s="5"/>
      <c r="L12" s="7" t="n">
        <f aca="false">IF(F12&lt;&gt;0,F12-K12," ")</f>
        <v>180</v>
      </c>
      <c r="M12" s="8" t="n">
        <f aca="false">IF((F12-K12)&lt;&gt;0,M$1-A12," ")</f>
        <v>326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n">
        <f aca="false">IF((E12="o"),H12," ")</f>
        <v>180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str">
        <f aca="false">IF((E12="u"),H12," ")</f>
        <v> 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46" t="str">
        <f aca="false">IF((E12="v"),H12," ")</f>
        <v> </v>
      </c>
      <c r="AD12" s="46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</row>
    <row r="13" customFormat="false" ht="12" hidden="false" customHeight="false" outlineLevel="0" collapsed="false">
      <c r="A13" s="28" t="n">
        <v>45811</v>
      </c>
      <c r="B13" s="2" t="s">
        <v>84</v>
      </c>
      <c r="E13" s="5" t="s">
        <v>85</v>
      </c>
      <c r="F13" s="46" t="n">
        <v>22</v>
      </c>
      <c r="H13" s="6" t="n">
        <f aca="false">IF((F13&lt;&gt;0),F13-G13," ")</f>
        <v>22</v>
      </c>
      <c r="I13" s="5"/>
      <c r="L13" s="7" t="n">
        <f aca="false">IF(F13&lt;&gt;0,F13-K13," ")</f>
        <v>22</v>
      </c>
      <c r="M13" s="8" t="n">
        <f aca="false">IF((F13-K13)&lt;&gt;0,M$1-A13," ")</f>
        <v>326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22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46" t="str">
        <f aca="false">IF((E13="v"),H13," ")</f>
        <v> </v>
      </c>
      <c r="AD13" s="46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</row>
    <row r="14" customFormat="false" ht="12" hidden="false" customHeight="false" outlineLevel="0" collapsed="false">
      <c r="A14" s="28" t="n">
        <v>45813</v>
      </c>
      <c r="B14" s="2" t="s">
        <v>86</v>
      </c>
      <c r="E14" s="5" t="s">
        <v>85</v>
      </c>
      <c r="F14" s="46" t="n">
        <v>24</v>
      </c>
      <c r="H14" s="6" t="n">
        <f aca="false">IF((F14&lt;&gt;0),F14-G14," ")</f>
        <v>24</v>
      </c>
      <c r="I14" s="5"/>
      <c r="L14" s="7" t="n">
        <f aca="false">IF(F14&lt;&gt;0,F14-K14," ")</f>
        <v>24</v>
      </c>
      <c r="M14" s="8" t="n">
        <f aca="false">IF((F14-K14)&lt;&gt;0,M$1-A14," ")</f>
        <v>324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n">
        <f aca="false">IF((E14="u"),H14," ")</f>
        <v>24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46" t="str">
        <f aca="false">IF((E14="v"),H14," ")</f>
        <v> </v>
      </c>
      <c r="AD14" s="46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</row>
    <row r="15" customFormat="false" ht="12" hidden="false" customHeight="false" outlineLevel="0" collapsed="false">
      <c r="A15" s="28" t="n">
        <v>45813</v>
      </c>
      <c r="B15" s="2" t="s">
        <v>87</v>
      </c>
      <c r="E15" s="5" t="s">
        <v>88</v>
      </c>
      <c r="F15" s="46" t="n">
        <v>180</v>
      </c>
      <c r="H15" s="6" t="n">
        <f aca="false">IF((F15&lt;&gt;0),F15-G15," ")</f>
        <v>180</v>
      </c>
      <c r="I15" s="5"/>
      <c r="L15" s="7" t="n">
        <f aca="false">IF(F15&lt;&gt;0,F15-K15," ")</f>
        <v>180</v>
      </c>
      <c r="M15" s="8" t="n">
        <f aca="false">IF((F15-K15)&lt;&gt;0,M$1-A15," ")</f>
        <v>324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str">
        <f aca="false">IF((E15="o"),H15," ")</f>
        <v> 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str">
        <f aca="false">IF((E15="h"),H15," ")</f>
        <v> </v>
      </c>
      <c r="AC15" s="46" t="n">
        <f aca="false">IF((E15="v"),H15," ")</f>
        <v>180</v>
      </c>
      <c r="AD15" s="46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</row>
    <row r="16" customFormat="false" ht="12" hidden="false" customHeight="false" outlineLevel="0" collapsed="false">
      <c r="A16" s="28" t="n">
        <v>45813</v>
      </c>
      <c r="B16" s="2" t="s">
        <v>89</v>
      </c>
      <c r="E16" s="5" t="s">
        <v>78</v>
      </c>
      <c r="F16" s="46" t="n">
        <v>36</v>
      </c>
      <c r="H16" s="6" t="n">
        <f aca="false">IF((F16&lt;&gt;0),F16-G16," ")</f>
        <v>36</v>
      </c>
      <c r="I16" s="5"/>
      <c r="L16" s="7" t="n">
        <f aca="false">IF(F16&lt;&gt;0,F16-K16," ")</f>
        <v>36</v>
      </c>
      <c r="M16" s="8" t="n">
        <f aca="false">IF((F16-K16)&lt;&gt;0,M$1-A16," ")</f>
        <v>324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n">
        <f aca="false">IF((E16="o"),H16," ")</f>
        <v>36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str">
        <f aca="false">IF((E16="h"),H16," ")</f>
        <v> </v>
      </c>
      <c r="AC16" s="46" t="str">
        <f aca="false">IF((E16="v"),H16," ")</f>
        <v> </v>
      </c>
      <c r="AD16" s="46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</row>
    <row r="17" customFormat="false" ht="12" hidden="false" customHeight="false" outlineLevel="0" collapsed="false">
      <c r="A17" s="28" t="n">
        <v>45816</v>
      </c>
      <c r="B17" s="2" t="s">
        <v>90</v>
      </c>
      <c r="E17" s="5" t="s">
        <v>91</v>
      </c>
      <c r="F17" s="46" t="n">
        <v>48</v>
      </c>
      <c r="H17" s="6" t="n">
        <f aca="false">IF((F17&lt;&gt;0),F17-G17," ")</f>
        <v>48</v>
      </c>
      <c r="I17" s="5"/>
      <c r="L17" s="7" t="n">
        <f aca="false">IF(F17&lt;&gt;0,F17-K17," ")</f>
        <v>48</v>
      </c>
      <c r="M17" s="8" t="n">
        <f aca="false">IF((F17-K17)&lt;&gt;0,M$1-A17," ")</f>
        <v>321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str">
        <f aca="false">IF((E17="u"),H17," ")</f>
        <v> </v>
      </c>
      <c r="Z17" s="17" t="str">
        <f aca="false">IF((E17="a"),H17," ")</f>
        <v> </v>
      </c>
      <c r="AA17" s="17" t="str">
        <f aca="false">IF((E17="g"),H17," ")</f>
        <v> </v>
      </c>
      <c r="AB17" s="17" t="n">
        <f aca="false">IF((E17="h"),H17," ")</f>
        <v>48</v>
      </c>
      <c r="AC17" s="46" t="str">
        <f aca="false">IF((E17="v"),H17," ")</f>
        <v> </v>
      </c>
      <c r="AD17" s="46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</row>
    <row r="18" customFormat="false" ht="12" hidden="false" customHeight="false" outlineLevel="0" collapsed="false">
      <c r="A18" s="28" t="n">
        <v>45818</v>
      </c>
      <c r="B18" s="2" t="s">
        <v>92</v>
      </c>
      <c r="E18" s="5" t="s">
        <v>85</v>
      </c>
      <c r="F18" s="46" t="n">
        <v>36</v>
      </c>
      <c r="H18" s="6" t="n">
        <f aca="false">IF((F18&lt;&gt;0),F18-G18," ")</f>
        <v>36</v>
      </c>
      <c r="I18" s="5"/>
      <c r="L18" s="7" t="n">
        <f aca="false">IF(F18&lt;&gt;0,F18-K18," ")</f>
        <v>36</v>
      </c>
      <c r="M18" s="8" t="n">
        <f aca="false">IF((F18-K18)&lt;&gt;0,M$1-A18," ")</f>
        <v>319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n">
        <f aca="false">IF((E18="u"),H18," ")</f>
        <v>36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46" t="str">
        <f aca="false">IF((E18="v"),H18," ")</f>
        <v> </v>
      </c>
      <c r="AD18" s="46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</row>
    <row r="19" customFormat="false" ht="12" hidden="false" customHeight="false" outlineLevel="0" collapsed="false">
      <c r="A19" s="28" t="n">
        <v>45818</v>
      </c>
      <c r="B19" s="2" t="s">
        <v>93</v>
      </c>
      <c r="E19" s="5" t="s">
        <v>94</v>
      </c>
      <c r="F19" s="46" t="n">
        <v>180</v>
      </c>
      <c r="H19" s="6" t="n">
        <f aca="false">IF((F19&lt;&gt;0),F19-G19," ")</f>
        <v>180</v>
      </c>
      <c r="I19" s="5"/>
      <c r="L19" s="7" t="n">
        <f aca="false">IF(F19&lt;&gt;0,F19-K19," ")</f>
        <v>180</v>
      </c>
      <c r="M19" s="8" t="n">
        <f aca="false">IF((F19-K19)&lt;&gt;0,M$1-A19," ")</f>
        <v>319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str">
        <f aca="false">IF((E19="h"),H19," ")</f>
        <v> </v>
      </c>
      <c r="AC19" s="46" t="str">
        <f aca="false">IF((E19="v"),H19," ")</f>
        <v> </v>
      </c>
      <c r="AD19" s="46" t="str">
        <f aca="false">IF((E19="n"),H19," ")</f>
        <v> </v>
      </c>
      <c r="AE19" s="17" t="n">
        <f aca="false">IF((E19="f"),H19," ")</f>
        <v>180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</row>
    <row r="20" customFormat="false" ht="12" hidden="false" customHeight="false" outlineLevel="0" collapsed="false">
      <c r="A20" s="28" t="n">
        <v>45818</v>
      </c>
      <c r="B20" s="2" t="s">
        <v>95</v>
      </c>
      <c r="E20" s="5" t="s">
        <v>96</v>
      </c>
      <c r="F20" s="46" t="n">
        <v>600</v>
      </c>
      <c r="H20" s="6" t="n">
        <f aca="false">IF((F20&lt;&gt;0),F20-G20," ")</f>
        <v>600</v>
      </c>
      <c r="I20" s="5"/>
      <c r="L20" s="7" t="n">
        <f aca="false">IF(F20&lt;&gt;0,F20-K20," ")</f>
        <v>600</v>
      </c>
      <c r="M20" s="8" t="n">
        <f aca="false">IF((F20-K20)&lt;&gt;0,M$1-A20," ")</f>
        <v>319</v>
      </c>
      <c r="N20" s="5"/>
      <c r="O20" s="17" t="n">
        <f aca="false">IF((E20="s"),H20," ")</f>
        <v>600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46" t="str">
        <f aca="false">IF((E20="v"),H20," ")</f>
        <v> </v>
      </c>
      <c r="AD20" s="46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</row>
    <row r="21" customFormat="false" ht="12" hidden="false" customHeight="false" outlineLevel="0" collapsed="false">
      <c r="A21" s="28" t="n">
        <v>45820</v>
      </c>
      <c r="B21" s="2" t="s">
        <v>97</v>
      </c>
      <c r="E21" s="5" t="s">
        <v>88</v>
      </c>
      <c r="F21" s="46" t="n">
        <v>18</v>
      </c>
      <c r="H21" s="6" t="n">
        <f aca="false">IF((F21&lt;&gt;0),F21-G21," ")</f>
        <v>18</v>
      </c>
      <c r="I21" s="5"/>
      <c r="L21" s="7" t="n">
        <f aca="false">IF(F21&lt;&gt;0,F21-K21," ")</f>
        <v>18</v>
      </c>
      <c r="M21" s="8" t="n">
        <f aca="false">IF((F21-K21)&lt;&gt;0,M$1-A21," ")</f>
        <v>317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str">
        <f aca="false">IF((E21="h"),H21," ")</f>
        <v> </v>
      </c>
      <c r="AC21" s="46" t="n">
        <f aca="false">IF((E21="v"),H21," ")</f>
        <v>18</v>
      </c>
      <c r="AD21" s="46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</row>
    <row r="22" customFormat="false" ht="12" hidden="false" customHeight="false" outlineLevel="0" collapsed="false">
      <c r="A22" s="28" t="n">
        <v>45822</v>
      </c>
      <c r="B22" s="2" t="s">
        <v>98</v>
      </c>
      <c r="E22" s="5" t="s">
        <v>85</v>
      </c>
      <c r="F22" s="46" t="n">
        <v>42</v>
      </c>
      <c r="H22" s="6" t="n">
        <f aca="false">IF((F22&lt;&gt;0),F22-G22," ")</f>
        <v>42</v>
      </c>
      <c r="I22" s="5"/>
      <c r="L22" s="7" t="n">
        <f aca="false">IF(F22&lt;&gt;0,F22-K22," ")</f>
        <v>42</v>
      </c>
      <c r="M22" s="8" t="n">
        <f aca="false">IF((F22-K22)&lt;&gt;0,M$1-A22," ")</f>
        <v>315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n">
        <f aca="false">IF((E22="u"),H22," ")</f>
        <v>42</v>
      </c>
      <c r="Z22" s="17" t="str">
        <f aca="false">IF((E22="a"),H22," ")</f>
        <v> </v>
      </c>
      <c r="AA22" s="17" t="str">
        <f aca="false">IF((E22="g"),H22," ")</f>
        <v> </v>
      </c>
      <c r="AB22" s="17" t="str">
        <f aca="false">IF((E22="h"),H22," ")</f>
        <v> </v>
      </c>
      <c r="AC22" s="46" t="str">
        <f aca="false">IF((E22="v"),H22," ")</f>
        <v> </v>
      </c>
      <c r="AD22" s="46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</row>
    <row r="23" customFormat="false" ht="12" hidden="false" customHeight="false" outlineLevel="0" collapsed="false">
      <c r="A23" s="28" t="n">
        <v>45822</v>
      </c>
      <c r="B23" s="2" t="s">
        <v>99</v>
      </c>
      <c r="E23" s="5" t="s">
        <v>91</v>
      </c>
      <c r="F23" s="46" t="n">
        <v>24</v>
      </c>
      <c r="H23" s="6" t="n">
        <f aca="false">IF((F23&lt;&gt;0),F23-G23," ")</f>
        <v>24</v>
      </c>
      <c r="I23" s="5"/>
      <c r="L23" s="7" t="n">
        <f aca="false">IF(F23&lt;&gt;0,F23-K23," ")</f>
        <v>24</v>
      </c>
      <c r="M23" s="8" t="n">
        <f aca="false">IF((F23-K23)&lt;&gt;0,M$1-A23," ")</f>
        <v>315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n">
        <f aca="false">IF((E23="h"),H23," ")</f>
        <v>24</v>
      </c>
      <c r="AC23" s="46" t="str">
        <f aca="false">IF((E23="v"),H23," ")</f>
        <v> </v>
      </c>
      <c r="AD23" s="46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</row>
    <row r="24" customFormat="false" ht="12" hidden="false" customHeight="false" outlineLevel="0" collapsed="false">
      <c r="A24" s="28" t="n">
        <v>45822</v>
      </c>
      <c r="B24" s="2" t="s">
        <v>100</v>
      </c>
      <c r="E24" s="5" t="s">
        <v>91</v>
      </c>
      <c r="F24" s="46" t="n">
        <v>12</v>
      </c>
      <c r="H24" s="6" t="n">
        <f aca="false">IF((F24&lt;&gt;0),F24-G24," ")</f>
        <v>12</v>
      </c>
      <c r="I24" s="5"/>
      <c r="L24" s="7" t="n">
        <f aca="false">IF(F24&lt;&gt;0,F24-K24," ")</f>
        <v>12</v>
      </c>
      <c r="M24" s="8" t="n">
        <f aca="false">IF((F24-K24)&lt;&gt;0,M$1-A24," ")</f>
        <v>315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str">
        <f aca="false">IF((E24="g"),H24," ")</f>
        <v> </v>
      </c>
      <c r="AB24" s="17" t="n">
        <f aca="false">IF((E24="h"),H24," ")</f>
        <v>12</v>
      </c>
      <c r="AC24" s="46" t="str">
        <f aca="false">IF((E24="v"),H24," ")</f>
        <v> </v>
      </c>
      <c r="AD24" s="46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</row>
    <row r="25" customFormat="false" ht="12" hidden="false" customHeight="false" outlineLevel="0" collapsed="false">
      <c r="A25" s="28" t="n">
        <v>45823</v>
      </c>
      <c r="B25" s="2" t="s">
        <v>20</v>
      </c>
      <c r="E25" s="5" t="s">
        <v>88</v>
      </c>
      <c r="F25" s="46" t="n">
        <v>150</v>
      </c>
      <c r="H25" s="6" t="n">
        <f aca="false">IF((F25&lt;&gt;0),F25-G25," ")</f>
        <v>150</v>
      </c>
      <c r="I25" s="5"/>
      <c r="L25" s="7" t="n">
        <f aca="false">IF(F25&lt;&gt;0,F25-K25," ")</f>
        <v>150</v>
      </c>
      <c r="M25" s="8" t="n">
        <f aca="false">IF((F25-K25)&lt;&gt;0,M$1-A25," ")</f>
        <v>314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str">
        <f aca="false">IF((E25="g"),H25," ")</f>
        <v> </v>
      </c>
      <c r="AB25" s="17" t="str">
        <f aca="false">IF((E25="h"),H25," ")</f>
        <v> </v>
      </c>
      <c r="AC25" s="46" t="n">
        <f aca="false">IF((E25="v"),H25," ")</f>
        <v>150</v>
      </c>
      <c r="AD25" s="46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</row>
    <row r="26" customFormat="false" ht="12" hidden="false" customHeight="false" outlineLevel="0" collapsed="false">
      <c r="A26" s="28" t="n">
        <v>45823</v>
      </c>
      <c r="B26" s="2" t="s">
        <v>101</v>
      </c>
      <c r="E26" s="5" t="s">
        <v>75</v>
      </c>
      <c r="F26" s="46" t="n">
        <v>12</v>
      </c>
      <c r="H26" s="6" t="n">
        <f aca="false">IF((F26&lt;&gt;0),F26-G26," ")</f>
        <v>12</v>
      </c>
      <c r="I26" s="5"/>
      <c r="L26" s="7" t="n">
        <f aca="false">IF(F26&lt;&gt;0,F26-K26," ")</f>
        <v>12</v>
      </c>
      <c r="M26" s="8" t="n">
        <f aca="false">IF((F26-K26)&lt;&gt;0,M$1-A26," ")</f>
        <v>314</v>
      </c>
      <c r="N26" s="5"/>
      <c r="O26" s="17" t="str">
        <f aca="false">IF((E26="s"),H26," ")</f>
        <v> 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n">
        <f aca="false">IF((E26="g"),H26," ")</f>
        <v>12</v>
      </c>
      <c r="AB26" s="17" t="str">
        <f aca="false">IF((E26="h"),H26," ")</f>
        <v> </v>
      </c>
      <c r="AC26" s="46" t="str">
        <f aca="false">IF((E26="v"),H26," ")</f>
        <v> </v>
      </c>
      <c r="AD26" s="46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</row>
    <row r="27" customFormat="false" ht="12" hidden="false" customHeight="false" outlineLevel="0" collapsed="false">
      <c r="A27" s="28" t="n">
        <v>45826</v>
      </c>
      <c r="B27" s="2" t="s">
        <v>102</v>
      </c>
      <c r="E27" s="5" t="s">
        <v>88</v>
      </c>
      <c r="F27" s="46" t="n">
        <v>96</v>
      </c>
      <c r="H27" s="6" t="n">
        <f aca="false">IF((F27&lt;&gt;0),F27-G27," ")</f>
        <v>96</v>
      </c>
      <c r="I27" s="5"/>
      <c r="L27" s="7" t="n">
        <f aca="false">IF(F27&lt;&gt;0,F27-K27," ")</f>
        <v>96</v>
      </c>
      <c r="M27" s="8" t="n">
        <f aca="false">IF((F27-K27)&lt;&gt;0,M$1-A27," ")</f>
        <v>311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str">
        <f aca="false">IF((E27="h"),H27," ")</f>
        <v> </v>
      </c>
      <c r="AC27" s="46" t="n">
        <f aca="false">IF((E27="v"),H27," ")</f>
        <v>96</v>
      </c>
      <c r="AD27" s="46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</row>
    <row r="28" customFormat="false" ht="12" hidden="false" customHeight="false" outlineLevel="0" collapsed="false">
      <c r="A28" s="28" t="n">
        <v>45828</v>
      </c>
      <c r="B28" s="2" t="s">
        <v>103</v>
      </c>
      <c r="E28" s="5" t="s">
        <v>75</v>
      </c>
      <c r="F28" s="46" t="n">
        <v>60</v>
      </c>
      <c r="H28" s="6" t="n">
        <f aca="false">IF((F28&lt;&gt;0),F28-G28," ")</f>
        <v>60</v>
      </c>
      <c r="I28" s="5"/>
      <c r="L28" s="7" t="n">
        <f aca="false">IF(F28&lt;&gt;0,F28-K28," ")</f>
        <v>60</v>
      </c>
      <c r="M28" s="8" t="n">
        <f aca="false">IF((F28-K28)&lt;&gt;0,M$1-A28," ")</f>
        <v>309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n">
        <f aca="false">IF((E28="g"),H28," ")</f>
        <v>60</v>
      </c>
      <c r="AB28" s="17" t="str">
        <f aca="false">IF((E28="h"),H28," ")</f>
        <v> </v>
      </c>
      <c r="AC28" s="46" t="str">
        <f aca="false">IF((E28="v"),H28," ")</f>
        <v> </v>
      </c>
      <c r="AD28" s="46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</row>
    <row r="29" customFormat="false" ht="12" hidden="false" customHeight="false" outlineLevel="0" collapsed="false">
      <c r="A29" s="28" t="n">
        <v>45828</v>
      </c>
      <c r="B29" s="2" t="s">
        <v>104</v>
      </c>
      <c r="E29" s="5" t="s">
        <v>105</v>
      </c>
      <c r="F29" s="46" t="n">
        <v>120</v>
      </c>
      <c r="H29" s="6" t="n">
        <f aca="false">IF((F29&lt;&gt;0),F29-G29," ")</f>
        <v>120</v>
      </c>
      <c r="I29" s="5"/>
      <c r="L29" s="7" t="n">
        <f aca="false">IF(F29&lt;&gt;0,F29-K29," ")</f>
        <v>120</v>
      </c>
      <c r="M29" s="8" t="n">
        <f aca="false">IF((F29-K29)&lt;&gt;0,M$1-A29," ")</f>
        <v>309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n">
        <f aca="false">IF((E29="m"),H29," ")</f>
        <v>120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str">
        <f aca="false">IF((E29="h"),H29," ")</f>
        <v> </v>
      </c>
      <c r="AC29" s="46" t="str">
        <f aca="false">IF((E29="v"),H29," ")</f>
        <v> </v>
      </c>
      <c r="AD29" s="46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</row>
    <row r="30" customFormat="false" ht="12" hidden="false" customHeight="false" outlineLevel="0" collapsed="false">
      <c r="A30" s="28" t="n">
        <v>45829</v>
      </c>
      <c r="B30" s="2" t="s">
        <v>106</v>
      </c>
      <c r="E30" s="5" t="s">
        <v>91</v>
      </c>
      <c r="F30" s="46" t="n">
        <v>8</v>
      </c>
      <c r="H30" s="6" t="n">
        <f aca="false">IF((F30&lt;&gt;0),F30-G30," ")</f>
        <v>8</v>
      </c>
      <c r="I30" s="5"/>
      <c r="L30" s="7" t="n">
        <f aca="false">IF(F30&lt;&gt;0,F30-K30," ")</f>
        <v>8</v>
      </c>
      <c r="M30" s="8" t="n">
        <f aca="false">IF((F30-K30)&lt;&gt;0,M$1-A30," ")</f>
        <v>308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str">
        <f aca="false">IF((E30="g"),H30," ")</f>
        <v> </v>
      </c>
      <c r="AB30" s="17" t="n">
        <f aca="false">IF((E30="h"),H30," ")</f>
        <v>8</v>
      </c>
      <c r="AC30" s="46" t="str">
        <f aca="false">IF((E30="v"),H30," ")</f>
        <v> </v>
      </c>
      <c r="AD30" s="46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</row>
    <row r="31" customFormat="false" ht="12" hidden="false" customHeight="false" outlineLevel="0" collapsed="false">
      <c r="A31" s="28" t="n">
        <v>45830</v>
      </c>
      <c r="B31" s="2" t="s">
        <v>107</v>
      </c>
      <c r="E31" s="5" t="s">
        <v>85</v>
      </c>
      <c r="F31" s="46" t="n">
        <v>18</v>
      </c>
      <c r="H31" s="6" t="n">
        <f aca="false">IF((F31&lt;&gt;0),F31-G31," ")</f>
        <v>18</v>
      </c>
      <c r="I31" s="5"/>
      <c r="L31" s="7" t="n">
        <f aca="false">IF(F31&lt;&gt;0,F31-K31," ")</f>
        <v>18</v>
      </c>
      <c r="M31" s="8" t="n">
        <f aca="false">IF((F31-K31)&lt;&gt;0,M$1-A31," ")</f>
        <v>307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n">
        <f aca="false">IF((E31="u"),H31," ")</f>
        <v>18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46" t="str">
        <f aca="false">IF((E31="v"),H31," ")</f>
        <v> </v>
      </c>
      <c r="AD31" s="46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</row>
    <row r="32" customFormat="false" ht="12" hidden="false" customHeight="false" outlineLevel="0" collapsed="false">
      <c r="A32" s="28" t="n">
        <v>45833</v>
      </c>
      <c r="B32" s="2" t="s">
        <v>108</v>
      </c>
      <c r="E32" s="5" t="s">
        <v>85</v>
      </c>
      <c r="F32" s="46" t="n">
        <v>15</v>
      </c>
      <c r="H32" s="6" t="n">
        <f aca="false">IF((F32&lt;&gt;0),F32-G32," ")</f>
        <v>15</v>
      </c>
      <c r="I32" s="5"/>
      <c r="L32" s="7" t="n">
        <f aca="false">IF(F32&lt;&gt;0,F32-K32," ")</f>
        <v>15</v>
      </c>
      <c r="M32" s="8" t="n">
        <f aca="false">IF((F32-K32)&lt;&gt;0,M$1-A32," ")</f>
        <v>304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n">
        <f aca="false">IF((E32="u"),H32," ")</f>
        <v>15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46" t="str">
        <f aca="false">IF((E32="v"),H32," ")</f>
        <v> </v>
      </c>
      <c r="AD32" s="46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</row>
    <row r="33" customFormat="false" ht="12" hidden="false" customHeight="false" outlineLevel="0" collapsed="false">
      <c r="A33" s="28" t="n">
        <v>45833</v>
      </c>
      <c r="B33" s="2" t="s">
        <v>109</v>
      </c>
      <c r="E33" s="5" t="s">
        <v>88</v>
      </c>
      <c r="F33" s="46" t="n">
        <v>38.25</v>
      </c>
      <c r="H33" s="6" t="n">
        <f aca="false">IF((F33&lt;&gt;0),F33-G33," ")</f>
        <v>38.25</v>
      </c>
      <c r="I33" s="5"/>
      <c r="L33" s="7" t="n">
        <f aca="false">IF(F33&lt;&gt;0,F33-K33," ")</f>
        <v>38.25</v>
      </c>
      <c r="M33" s="8" t="n">
        <f aca="false">IF((F33-K33)&lt;&gt;0,M$1-A33," ")</f>
        <v>304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str">
        <f aca="false">IF((E33="u"),H33," ")</f>
        <v> 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46" t="n">
        <f aca="false">IF((E33="v"),H33," ")</f>
        <v>38.25</v>
      </c>
      <c r="AD33" s="46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</row>
    <row r="34" customFormat="false" ht="12" hidden="false" customHeight="false" outlineLevel="0" collapsed="false">
      <c r="A34" s="28" t="n">
        <v>45836</v>
      </c>
      <c r="B34" s="2" t="s">
        <v>20</v>
      </c>
      <c r="E34" s="5" t="s">
        <v>88</v>
      </c>
      <c r="F34" s="46" t="n">
        <v>120</v>
      </c>
      <c r="H34" s="6" t="n">
        <f aca="false">IF((F34&lt;&gt;0),F34-G34," ")</f>
        <v>120</v>
      </c>
      <c r="I34" s="5"/>
      <c r="L34" s="7" t="n">
        <f aca="false">IF(F34&lt;&gt;0,F34-K34," ")</f>
        <v>120</v>
      </c>
      <c r="M34" s="8" t="n">
        <f aca="false">IF((F34-K34)&lt;&gt;0,M$1-A34," ")</f>
        <v>301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str">
        <f aca="false">IF((E34="u"),H34," ")</f>
        <v> 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46" t="n">
        <f aca="false">IF((E34="v"),H34," ")</f>
        <v>120</v>
      </c>
      <c r="AD34" s="46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</row>
    <row r="35" customFormat="false" ht="12" hidden="false" customHeight="false" outlineLevel="0" collapsed="false">
      <c r="A35" s="28" t="n">
        <v>45838</v>
      </c>
      <c r="B35" s="2" t="s">
        <v>16</v>
      </c>
      <c r="E35" s="5" t="s">
        <v>110</v>
      </c>
      <c r="F35" s="46" t="n">
        <v>300</v>
      </c>
      <c r="H35" s="6" t="n">
        <f aca="false">IF((F35&lt;&gt;0),F35-G35," ")</f>
        <v>300</v>
      </c>
      <c r="I35" s="5"/>
      <c r="L35" s="7" t="n">
        <f aca="false">IF(F35&lt;&gt;0,F35-K35," ")</f>
        <v>300</v>
      </c>
      <c r="M35" s="8" t="n">
        <f aca="false">IF((F35-K35)&lt;&gt;0,M$1-A35," ")</f>
        <v>299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str">
        <f aca="false">IF((E35="u"),H35," ")</f>
        <v> 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46" t="str">
        <f aca="false">IF((E35="v"),H35," ")</f>
        <v> </v>
      </c>
      <c r="AD35" s="46" t="str">
        <f aca="false">IF((E35="n"),H35," ")</f>
        <v> </v>
      </c>
      <c r="AE35" s="17" t="str">
        <f aca="false">IF((E35="f"),H35," ")</f>
        <v> </v>
      </c>
      <c r="AF35" s="17" t="n">
        <f aca="false">IF((E35="l"),H35," ")</f>
        <v>300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</row>
    <row r="36" customFormat="false" ht="12" hidden="false" customHeight="false" outlineLevel="0" collapsed="false">
      <c r="A36" s="28"/>
      <c r="E36" s="2"/>
      <c r="F36" s="46"/>
      <c r="H36" s="6" t="str">
        <f aca="false">IF((F36&lt;&gt;0),F36-G36," ")</f>
        <v> </v>
      </c>
      <c r="I36" s="5"/>
      <c r="L36" s="7" t="str">
        <f aca="false">IF(F36&lt;&gt;0,F36-K36," ")</f>
        <v> </v>
      </c>
      <c r="M36" s="8" t="str">
        <f aca="false">IF((F36-K36)&lt;&gt;0,M$1-A36," ")</f>
        <v> 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46" t="str">
        <f aca="false">IF((E36="v"),H36," ")</f>
        <v> </v>
      </c>
      <c r="AD36" s="46" t="str">
        <f aca="false">IF((E36="n"),H36," ")</f>
        <v> </v>
      </c>
      <c r="AE36" s="17" t="str">
        <f aca="false">IF((E36="f"),H36," ")</f>
        <v> </v>
      </c>
      <c r="AF36" s="17" t="str">
        <f aca="false">IF((E36="l"),H36," ")</f>
        <v> 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</row>
    <row r="37" customFormat="false" ht="12" hidden="false" customHeight="false" outlineLevel="0" collapsed="false">
      <c r="A37" s="28"/>
      <c r="E37" s="2"/>
      <c r="F37" s="46"/>
      <c r="H37" s="6" t="str">
        <f aca="false">IF((F37&lt;&gt;0),F37-G37," ")</f>
        <v> </v>
      </c>
      <c r="I37" s="5"/>
      <c r="L37" s="7" t="str">
        <f aca="false">IF(F37&lt;&gt;0,F37-K37," ")</f>
        <v> </v>
      </c>
      <c r="M37" s="8" t="str">
        <f aca="false">IF((F37-K37)&lt;&gt;0,M$1-A37," ")</f>
        <v> 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46" t="str">
        <f aca="false">IF((E37="v"),H37," ")</f>
        <v> </v>
      </c>
      <c r="AD37" s="46" t="str">
        <f aca="false">IF((E37="n"),H37," ")</f>
        <v> </v>
      </c>
      <c r="AE37" s="17" t="str">
        <f aca="false">IF((E37="f"),H37," ")</f>
        <v> </v>
      </c>
      <c r="AF37" s="17" t="str">
        <f aca="false">IF((E37="l"),H37," ")</f>
        <v> 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</row>
    <row r="38" customFormat="false" ht="12" hidden="false" customHeight="false" outlineLevel="0" collapsed="false">
      <c r="A38" s="28"/>
      <c r="E38" s="2"/>
      <c r="F38" s="46"/>
      <c r="H38" s="6" t="str">
        <f aca="false">IF((F38&lt;&gt;0),F38-G38," ")</f>
        <v> </v>
      </c>
      <c r="I38" s="5"/>
      <c r="L38" s="7" t="str">
        <f aca="false">IF(F38&lt;&gt;0,F38-K38," ")</f>
        <v> </v>
      </c>
      <c r="M38" s="8" t="str">
        <f aca="false">IF((F38-K38)&lt;&gt;0,M$1-A38," ")</f>
        <v> 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46" t="str">
        <f aca="false">IF((E38="v"),H38," ")</f>
        <v> </v>
      </c>
      <c r="AD38" s="46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</row>
    <row r="39" customFormat="false" ht="12" hidden="false" customHeight="false" outlineLevel="0" collapsed="false">
      <c r="A39" s="28"/>
      <c r="E39" s="2"/>
      <c r="F39" s="46"/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46" t="str">
        <f aca="false">IF((E39="v"),H39," ")</f>
        <v> </v>
      </c>
      <c r="AD39" s="46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</row>
    <row r="40" customFormat="false" ht="12" hidden="false" customHeight="false" outlineLevel="0" collapsed="false">
      <c r="A40" s="28"/>
      <c r="E40" s="2"/>
      <c r="F40" s="46"/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46" t="str">
        <f aca="false">IF((E40="v"),H40," ")</f>
        <v> </v>
      </c>
      <c r="AD40" s="46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</row>
    <row r="41" customFormat="false" ht="12" hidden="false" customHeight="false" outlineLevel="0" collapsed="false">
      <c r="A41" s="28"/>
      <c r="E41" s="2"/>
      <c r="F41" s="46"/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46" t="str">
        <f aca="false">IF((E41="v"),H41," ")</f>
        <v> </v>
      </c>
      <c r="AD41" s="46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</row>
    <row r="42" customFormat="false" ht="12" hidden="false" customHeight="false" outlineLevel="0" collapsed="false">
      <c r="A42" s="28"/>
      <c r="E42" s="2"/>
      <c r="F42" s="46"/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46" t="str">
        <f aca="false">IF((E42="v"),H42," ")</f>
        <v> </v>
      </c>
      <c r="AD42" s="46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</row>
    <row r="43" customFormat="false" ht="12" hidden="false" customHeight="false" outlineLevel="0" collapsed="false">
      <c r="A43" s="28"/>
      <c r="E43" s="2"/>
      <c r="F43" s="46"/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46" t="str">
        <f aca="false">IF((E43="v"),H43," ")</f>
        <v> </v>
      </c>
      <c r="AD43" s="46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</row>
    <row r="44" customFormat="false" ht="12" hidden="false" customHeight="false" outlineLevel="0" collapsed="false">
      <c r="A44" s="28"/>
      <c r="E44" s="2"/>
      <c r="F44" s="46"/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46" t="str">
        <f aca="false">IF((E44="v"),H44," ")</f>
        <v> </v>
      </c>
      <c r="AD44" s="46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</row>
    <row r="45" customFormat="false" ht="12" hidden="false" customHeight="false" outlineLevel="0" collapsed="false">
      <c r="A45" s="28"/>
      <c r="E45" s="2"/>
      <c r="F45" s="46"/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46" t="str">
        <f aca="false">IF((E45="v"),H45," ")</f>
        <v> </v>
      </c>
      <c r="AD45" s="46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</row>
    <row r="46" customFormat="false" ht="12" hidden="false" customHeight="false" outlineLevel="0" collapsed="false">
      <c r="A46" s="28"/>
      <c r="E46" s="2"/>
      <c r="F46" s="46"/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46" t="str">
        <f aca="false">IF((E46="v"),H46," ")</f>
        <v> </v>
      </c>
      <c r="AD46" s="46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</row>
    <row r="47" customFormat="false" ht="12" hidden="false" customHeight="false" outlineLevel="0" collapsed="false">
      <c r="A47" s="28"/>
      <c r="E47" s="2"/>
      <c r="F47" s="46"/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46" t="str">
        <f aca="false">IF((E47="v"),H47," ")</f>
        <v> </v>
      </c>
      <c r="AD47" s="46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</row>
    <row r="48" customFormat="false" ht="12" hidden="false" customHeight="false" outlineLevel="0" collapsed="false">
      <c r="A48" s="28"/>
      <c r="E48" s="2"/>
      <c r="F48" s="46"/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46" t="str">
        <f aca="false">IF((E48="v"),H48," ")</f>
        <v> </v>
      </c>
      <c r="AD48" s="46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</row>
    <row r="49" customFormat="false" ht="12" hidden="false" customHeight="false" outlineLevel="0" collapsed="false">
      <c r="A49" s="28"/>
      <c r="E49" s="2"/>
      <c r="F49" s="46"/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46" t="str">
        <f aca="false">IF((E49="v"),H49," ")</f>
        <v> </v>
      </c>
      <c r="AD49" s="46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</row>
    <row r="50" customFormat="false" ht="12" hidden="false" customHeight="false" outlineLevel="0" collapsed="false">
      <c r="A50" s="28"/>
      <c r="E50" s="2"/>
      <c r="F50" s="46"/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46" t="str">
        <f aca="false">IF((E50="v"),H50," ")</f>
        <v> </v>
      </c>
      <c r="AD50" s="46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</row>
    <row r="51" customFormat="false" ht="12" hidden="false" customHeight="false" outlineLevel="0" collapsed="false">
      <c r="A51" s="28"/>
      <c r="E51" s="2"/>
      <c r="F51" s="46"/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46" t="str">
        <f aca="false">IF((E51="v"),H51," ")</f>
        <v> </v>
      </c>
      <c r="AD51" s="46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</row>
    <row r="52" customFormat="false" ht="12" hidden="false" customHeight="false" outlineLevel="0" collapsed="false">
      <c r="A52" s="28"/>
      <c r="E52" s="2"/>
      <c r="F52" s="46"/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46" t="str">
        <f aca="false">IF((E52="v"),H52," ")</f>
        <v> </v>
      </c>
      <c r="AD52" s="46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</row>
    <row r="53" customFormat="false" ht="12" hidden="false" customHeight="false" outlineLevel="0" collapsed="false">
      <c r="A53" s="28"/>
      <c r="E53" s="2"/>
      <c r="F53" s="46"/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46" t="str">
        <f aca="false">IF((E53="v"),H53," ")</f>
        <v> </v>
      </c>
      <c r="AD53" s="46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</row>
    <row r="54" customFormat="false" ht="12" hidden="false" customHeight="false" outlineLevel="0" collapsed="false">
      <c r="A54" s="28"/>
      <c r="E54" s="2"/>
      <c r="F54" s="46"/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46" t="str">
        <f aca="false">IF((E54="v"),H54," ")</f>
        <v> </v>
      </c>
      <c r="AD54" s="46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</row>
    <row r="55" customFormat="false" ht="12" hidden="false" customHeight="false" outlineLevel="0" collapsed="false">
      <c r="A55" s="28"/>
      <c r="E55" s="2"/>
      <c r="F55" s="46"/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46" t="str">
        <f aca="false">IF((E55="v"),H55," ")</f>
        <v> </v>
      </c>
      <c r="AD55" s="46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</row>
    <row r="56" customFormat="false" ht="12" hidden="false" customHeight="false" outlineLevel="0" collapsed="false">
      <c r="A56" s="28"/>
      <c r="E56" s="2"/>
      <c r="F56" s="46"/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46" t="str">
        <f aca="false">IF((E56="v"),H56," ")</f>
        <v> </v>
      </c>
      <c r="AD56" s="46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</row>
    <row r="57" customFormat="false" ht="12" hidden="false" customHeight="false" outlineLevel="0" collapsed="false">
      <c r="A57" s="28"/>
      <c r="E57" s="2"/>
      <c r="F57" s="46"/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46" t="str">
        <f aca="false">IF((E57="v"),H57," ")</f>
        <v> </v>
      </c>
      <c r="AD57" s="46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</row>
    <row r="58" customFormat="false" ht="12" hidden="false" customHeight="false" outlineLevel="0" collapsed="false">
      <c r="A58" s="28"/>
      <c r="E58" s="2"/>
      <c r="F58" s="46"/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46" t="str">
        <f aca="false">IF((E58="v"),H58," ")</f>
        <v> </v>
      </c>
      <c r="AD58" s="46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</row>
    <row r="59" customFormat="false" ht="12" hidden="false" customHeight="false" outlineLevel="0" collapsed="false">
      <c r="A59" s="28"/>
      <c r="E59" s="2"/>
      <c r="F59" s="46"/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46" t="str">
        <f aca="false">IF((E59="v"),H59," ")</f>
        <v> </v>
      </c>
      <c r="AD59" s="46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</row>
    <row r="60" customFormat="false" ht="12" hidden="false" customHeight="false" outlineLevel="0" collapsed="false">
      <c r="A60" s="28"/>
      <c r="E60" s="2"/>
      <c r="F60" s="46"/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46" t="str">
        <f aca="false">IF((E60="v"),H60," ")</f>
        <v> </v>
      </c>
      <c r="AD60" s="46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</row>
    <row r="61" customFormat="false" ht="12" hidden="false" customHeight="false" outlineLevel="0" collapsed="false">
      <c r="A61" s="28"/>
      <c r="E61" s="2"/>
      <c r="F61" s="46"/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46" t="str">
        <f aca="false">IF((E61="v"),H61," ")</f>
        <v> </v>
      </c>
      <c r="AD61" s="46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</row>
    <row r="62" customFormat="false" ht="12" hidden="false" customHeight="false" outlineLevel="0" collapsed="false">
      <c r="A62" s="28"/>
      <c r="E62" s="2"/>
      <c r="F62" s="46"/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46" t="str">
        <f aca="false">IF((E62="v"),H62," ")</f>
        <v> </v>
      </c>
      <c r="AD62" s="46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</row>
    <row r="63" customFormat="false" ht="12" hidden="false" customHeight="false" outlineLevel="0" collapsed="false">
      <c r="A63" s="28"/>
      <c r="E63" s="2"/>
      <c r="F63" s="46"/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46" t="str">
        <f aca="false">IF((E63="v"),H63," ")</f>
        <v> </v>
      </c>
      <c r="AD63" s="46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</row>
    <row r="64" customFormat="false" ht="12" hidden="false" customHeight="false" outlineLevel="0" collapsed="false">
      <c r="A64" s="28"/>
      <c r="E64" s="2"/>
      <c r="F64" s="46"/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46" t="str">
        <f aca="false">IF((E64="v"),H64," ")</f>
        <v> </v>
      </c>
      <c r="AD64" s="46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</row>
    <row r="65" customFormat="false" ht="12" hidden="false" customHeight="false" outlineLevel="0" collapsed="false">
      <c r="A65" s="28"/>
      <c r="E65" s="2"/>
      <c r="F65" s="46"/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46" t="str">
        <f aca="false">IF((E65="v"),H65," ")</f>
        <v> </v>
      </c>
      <c r="AD65" s="46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</row>
    <row r="66" customFormat="false" ht="12" hidden="false" customHeight="false" outlineLevel="0" collapsed="false">
      <c r="A66" s="28"/>
      <c r="E66" s="2"/>
      <c r="F66" s="46"/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46" t="str">
        <f aca="false">IF((E66="v"),H66," ")</f>
        <v> </v>
      </c>
      <c r="AD66" s="46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</row>
    <row r="67" customFormat="false" ht="12" hidden="false" customHeight="false" outlineLevel="0" collapsed="false">
      <c r="A67" s="28"/>
      <c r="E67" s="2"/>
      <c r="F67" s="46"/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46" t="str">
        <f aca="false">IF((E67="v"),H67," ")</f>
        <v> </v>
      </c>
      <c r="AD67" s="46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</row>
    <row r="68" customFormat="false" ht="12" hidden="false" customHeight="false" outlineLevel="0" collapsed="false">
      <c r="A68" s="28"/>
      <c r="E68" s="2"/>
      <c r="F68" s="46"/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46" t="str">
        <f aca="false">IF((E68="v"),H68," ")</f>
        <v> </v>
      </c>
      <c r="AD68" s="46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</row>
    <row r="69" customFormat="false" ht="12" hidden="false" customHeight="false" outlineLevel="0" collapsed="false">
      <c r="A69" s="28"/>
      <c r="E69" s="2"/>
      <c r="F69" s="46"/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46" t="str">
        <f aca="false">IF((E69="v"),H69," ")</f>
        <v> </v>
      </c>
      <c r="AD69" s="46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46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46" t="str">
        <f aca="false">IF((E70="v"),H70," ")</f>
        <v> </v>
      </c>
      <c r="AD70" s="46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46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46" t="str">
        <f aca="false">IF((E71="v"),H71," ")</f>
        <v> </v>
      </c>
      <c r="AD71" s="46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46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46" t="str">
        <f aca="false">IF((E72="v"),H72," ")</f>
        <v> </v>
      </c>
      <c r="AD72" s="46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46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46" t="str">
        <f aca="false">IF((E73="v"),H73," ")</f>
        <v> </v>
      </c>
      <c r="AD73" s="46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46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46" t="str">
        <f aca="false">IF((E74="v"),H74," ")</f>
        <v> </v>
      </c>
      <c r="AD74" s="46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46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46" t="str">
        <f aca="false">IF((E75="v"),H75," ")</f>
        <v> </v>
      </c>
      <c r="AD75" s="46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46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46" t="str">
        <f aca="false">IF((E76="v"),H76," ")</f>
        <v> </v>
      </c>
      <c r="AD76" s="46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46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46" t="str">
        <f aca="false">IF((E77="v"),H77," ")</f>
        <v> </v>
      </c>
      <c r="AD77" s="46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46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46" t="str">
        <f aca="false">IF((E78="v"),H78," ")</f>
        <v> </v>
      </c>
      <c r="AD78" s="46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46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46" t="str">
        <f aca="false">IF((E79="v"),H79," ")</f>
        <v> </v>
      </c>
      <c r="AD79" s="46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46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46" t="str">
        <f aca="false">IF((E80="v"),H80," ")</f>
        <v> </v>
      </c>
      <c r="AD80" s="46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46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46" t="str">
        <f aca="false">IF((E81="v"),H81," ")</f>
        <v> </v>
      </c>
      <c r="AD81" s="46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46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46" t="str">
        <f aca="false">IF((E82="v"),H82," ")</f>
        <v> </v>
      </c>
      <c r="AD82" s="46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46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46" t="str">
        <f aca="false">IF((E83="v"),H83," ")</f>
        <v> </v>
      </c>
      <c r="AD83" s="46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46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46" t="str">
        <f aca="false">IF((E84="v"),H84," ")</f>
        <v> </v>
      </c>
      <c r="AD84" s="46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46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46" t="str">
        <f aca="false">IF((E85="v"),H85," ")</f>
        <v> </v>
      </c>
      <c r="AD85" s="46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46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46" t="str">
        <f aca="false">IF((E86="v"),H86," ")</f>
        <v> </v>
      </c>
      <c r="AD86" s="46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46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46" t="str">
        <f aca="false">IF((E87="v"),H87," ")</f>
        <v> </v>
      </c>
      <c r="AD87" s="46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46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46" t="str">
        <f aca="false">IF((E88="v"),H88," ")</f>
        <v> </v>
      </c>
      <c r="AD88" s="46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46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46" t="str">
        <f aca="false">IF((E89="v"),H89," ")</f>
        <v> </v>
      </c>
      <c r="AD89" s="46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46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46" t="str">
        <f aca="false">IF((E90="v"),H90," ")</f>
        <v> </v>
      </c>
      <c r="AD90" s="46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46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46" t="str">
        <f aca="false">IF((E91="v"),H91," ")</f>
        <v> </v>
      </c>
      <c r="AD91" s="46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46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46" t="str">
        <f aca="false">IF((E92="v"),H92," ")</f>
        <v> </v>
      </c>
      <c r="AD92" s="46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46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46" t="str">
        <f aca="false">IF((E93="v"),H93," ")</f>
        <v> </v>
      </c>
      <c r="AD93" s="46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46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46" t="str">
        <f aca="false">IF((E94="v"),H94," ")</f>
        <v> </v>
      </c>
      <c r="AD94" s="46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46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46" t="str">
        <f aca="false">IF((E95="v"),H95," ")</f>
        <v> </v>
      </c>
      <c r="AD95" s="46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46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46" t="str">
        <f aca="false">IF((E96="v"),H96," ")</f>
        <v> </v>
      </c>
      <c r="AD96" s="46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46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46" t="str">
        <f aca="false">IF((E97="v"),H97," ")</f>
        <v> </v>
      </c>
      <c r="AD97" s="46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46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46" t="str">
        <f aca="false">IF((E98="v"),H98," ")</f>
        <v> </v>
      </c>
      <c r="AD98" s="46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46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46" t="str">
        <f aca="false">IF((E99="v"),H99," ")</f>
        <v> </v>
      </c>
      <c r="AD99" s="46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46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46" t="str">
        <f aca="false">IF((E100="v"),H100," ")</f>
        <v> </v>
      </c>
      <c r="AD100" s="46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46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46" t="str">
        <f aca="false">IF((E101="v"),H101," ")</f>
        <v> </v>
      </c>
      <c r="AD101" s="46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46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46" t="str">
        <f aca="false">IF((E102="v"),H102," ")</f>
        <v> </v>
      </c>
      <c r="AD102" s="46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46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46" t="str">
        <f aca="false">IF((E103="v"),H103," ")</f>
        <v> </v>
      </c>
      <c r="AD103" s="46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46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46" t="str">
        <f aca="false">IF((E104="v"),H104," ")</f>
        <v> </v>
      </c>
      <c r="AD104" s="46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46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46" t="str">
        <f aca="false">IF((E105="v"),H105," ")</f>
        <v> </v>
      </c>
      <c r="AD105" s="46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46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46" t="str">
        <f aca="false">IF((E106="v"),H106," ")</f>
        <v> </v>
      </c>
      <c r="AD106" s="46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46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46" t="str">
        <f aca="false">IF((E107="v"),H107," ")</f>
        <v> </v>
      </c>
      <c r="AD107" s="46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46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46" t="str">
        <f aca="false">IF((E108="v"),H108," ")</f>
        <v> </v>
      </c>
      <c r="AD108" s="46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46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46" t="str">
        <f aca="false">IF((E109="v"),H109," ")</f>
        <v> </v>
      </c>
      <c r="AD109" s="46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46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46" t="str">
        <f aca="false">IF((E110="v"),H110," ")</f>
        <v> </v>
      </c>
      <c r="AD110" s="46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46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46" t="str">
        <f aca="false">IF((E111="v"),H111," ")</f>
        <v> </v>
      </c>
      <c r="AD111" s="46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46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46" t="str">
        <f aca="false">IF((E112="v"),H112," ")</f>
        <v> </v>
      </c>
      <c r="AD112" s="46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46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46" t="str">
        <f aca="false">IF((E113="v"),H113," ")</f>
        <v> </v>
      </c>
      <c r="AD113" s="46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46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46" t="str">
        <f aca="false">IF((E114="v"),H114," ")</f>
        <v> </v>
      </c>
      <c r="AD114" s="46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46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46" t="str">
        <f aca="false">IF((E115="v"),H115," ")</f>
        <v> </v>
      </c>
      <c r="AD115" s="46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46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46" t="str">
        <f aca="false">IF((E116="v"),H116," ")</f>
        <v> </v>
      </c>
      <c r="AD116" s="46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46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46" t="str">
        <f aca="false">IF((E117="v"),H117," ")</f>
        <v> </v>
      </c>
      <c r="AD117" s="46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46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46" t="str">
        <f aca="false">IF((E118="v"),H118," ")</f>
        <v> </v>
      </c>
      <c r="AD118" s="46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46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46" t="str">
        <f aca="false">IF((E119="v"),H119," ")</f>
        <v> </v>
      </c>
      <c r="AD119" s="46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46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46" t="str">
        <f aca="false">IF((E120="v"),H120," ")</f>
        <v> </v>
      </c>
      <c r="AD120" s="46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46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46" t="str">
        <f aca="false">IF((E121="v"),H121," ")</f>
        <v> </v>
      </c>
      <c r="AD121" s="46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46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46" t="str">
        <f aca="false">IF((E122="v"),H122," ")</f>
        <v> </v>
      </c>
      <c r="AD122" s="46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46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46" t="str">
        <f aca="false">IF((E123="v"),H123," ")</f>
        <v> </v>
      </c>
      <c r="AD123" s="46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46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46" t="str">
        <f aca="false">IF((E124="v"),H124," ")</f>
        <v> </v>
      </c>
      <c r="AD124" s="46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46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46" t="str">
        <f aca="false">IF((E125="v"),H125," ")</f>
        <v> </v>
      </c>
      <c r="AD125" s="46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46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46" t="str">
        <f aca="false">IF((E126="v"),H126," ")</f>
        <v> </v>
      </c>
      <c r="AD126" s="46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46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46" t="str">
        <f aca="false">IF((E127="v"),H127," ")</f>
        <v> </v>
      </c>
      <c r="AD127" s="46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46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46" t="str">
        <f aca="false">IF((E128="v"),H128," ")</f>
        <v> </v>
      </c>
      <c r="AD128" s="46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46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46" t="str">
        <f aca="false">IF((E129="v"),H129," ")</f>
        <v> </v>
      </c>
      <c r="AD129" s="46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46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46" t="str">
        <f aca="false">IF((E130="v"),H130," ")</f>
        <v> </v>
      </c>
      <c r="AD130" s="46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46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46" t="str">
        <f aca="false">IF((E131="v"),H131," ")</f>
        <v> </v>
      </c>
      <c r="AD131" s="46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46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46" t="str">
        <f aca="false">IF((E132="v"),H132," ")</f>
        <v> </v>
      </c>
      <c r="AD132" s="46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46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46" t="str">
        <f aca="false">IF((E133="v"),H133," ")</f>
        <v> </v>
      </c>
      <c r="AD133" s="46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46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46" t="str">
        <f aca="false">IF((E134="v"),H134," ")</f>
        <v> </v>
      </c>
      <c r="AD134" s="46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46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46" t="str">
        <f aca="false">IF((E135="v"),H135," ")</f>
        <v> </v>
      </c>
      <c r="AD135" s="46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46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46" t="str">
        <f aca="false">IF((E136="v"),H136," ")</f>
        <v> </v>
      </c>
      <c r="AD136" s="46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46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46" t="str">
        <f aca="false">IF((E137="v"),H137," ")</f>
        <v> </v>
      </c>
      <c r="AD137" s="46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46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46" t="str">
        <f aca="false">IF((E138="v"),H138," ")</f>
        <v> </v>
      </c>
      <c r="AD138" s="46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46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46" t="str">
        <f aca="false">IF((E139="v"),H139," ")</f>
        <v> </v>
      </c>
      <c r="AD139" s="46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46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46" t="str">
        <f aca="false">IF((E140="v"),H140," ")</f>
        <v> </v>
      </c>
      <c r="AD140" s="46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46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46" t="str">
        <f aca="false">IF((E141="v"),H141," ")</f>
        <v> </v>
      </c>
      <c r="AD141" s="46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46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46" t="str">
        <f aca="false">IF((E142="v"),H142," ")</f>
        <v> </v>
      </c>
      <c r="AD142" s="46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46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46" t="str">
        <f aca="false">IF((E143="v"),H143," ")</f>
        <v> </v>
      </c>
      <c r="AD143" s="46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46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46" t="str">
        <f aca="false">IF((E144="v"),H144," ")</f>
        <v> </v>
      </c>
      <c r="AD144" s="46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46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46" t="str">
        <f aca="false">IF((E145="v"),H145," ")</f>
        <v> </v>
      </c>
      <c r="AD145" s="46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46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46" t="str">
        <f aca="false">IF((E146="v"),H146," ")</f>
        <v> </v>
      </c>
      <c r="AD146" s="46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46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46" t="str">
        <f aca="false">IF((E147="v"),H147," ")</f>
        <v> </v>
      </c>
      <c r="AD147" s="46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46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46" t="str">
        <f aca="false">IF((E148="v"),H148," ")</f>
        <v> </v>
      </c>
      <c r="AD148" s="46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46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46" t="str">
        <f aca="false">IF((E149="v"),H149," ")</f>
        <v> </v>
      </c>
      <c r="AD149" s="46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46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46" t="str">
        <f aca="false">IF((E150="v"),H150," ")</f>
        <v> </v>
      </c>
      <c r="AD150" s="46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46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46" t="str">
        <f aca="false">IF((E151="v"),H151," ")</f>
        <v> </v>
      </c>
      <c r="AD151" s="46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46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46" t="str">
        <f aca="false">IF((E152="v"),H152," ")</f>
        <v> </v>
      </c>
      <c r="AD152" s="46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46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46" t="str">
        <f aca="false">IF((E153="v"),H153," ")</f>
        <v> </v>
      </c>
      <c r="AD153" s="46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46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46" t="str">
        <f aca="false">IF((E154="v"),H154," ")</f>
        <v> </v>
      </c>
      <c r="AD154" s="46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46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46" t="str">
        <f aca="false">IF((E155="v"),H155," ")</f>
        <v> </v>
      </c>
      <c r="AD155" s="46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46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46" t="str">
        <f aca="false">IF((E156="v"),H156," ")</f>
        <v> </v>
      </c>
      <c r="AD156" s="46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46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46" t="str">
        <f aca="false">IF((E157="v"),H157," ")</f>
        <v> </v>
      </c>
      <c r="AD157" s="46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46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46" t="str">
        <f aca="false">IF((E158="v"),H158," ")</f>
        <v> </v>
      </c>
      <c r="AD158" s="46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46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46" t="str">
        <f aca="false">IF((E159="v"),H159," ")</f>
        <v> </v>
      </c>
      <c r="AD159" s="46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46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46" t="str">
        <f aca="false">IF((E160="v"),H160," ")</f>
        <v> </v>
      </c>
      <c r="AD160" s="46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46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46" t="str">
        <f aca="false">IF((E161="v"),H161," ")</f>
        <v> </v>
      </c>
      <c r="AD161" s="46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46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46" t="str">
        <f aca="false">IF((E162="v"),H162," ")</f>
        <v> </v>
      </c>
      <c r="AD162" s="46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46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46" t="str">
        <f aca="false">IF((E163="v"),H163," ")</f>
        <v> </v>
      </c>
      <c r="AD163" s="46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46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46" t="str">
        <f aca="false">IF((E164="v"),H164," ")</f>
        <v> </v>
      </c>
      <c r="AD164" s="46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46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46" t="str">
        <f aca="false">IF((E165="v"),H165," ")</f>
        <v> </v>
      </c>
      <c r="AD165" s="46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46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46" t="str">
        <f aca="false">IF((E166="v"),H166," ")</f>
        <v> </v>
      </c>
      <c r="AD166" s="46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46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46" t="str">
        <f aca="false">IF((E167="v"),H167," ")</f>
        <v> </v>
      </c>
      <c r="AD167" s="46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46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46" t="str">
        <f aca="false">IF((E168="v"),H168," ")</f>
        <v> </v>
      </c>
      <c r="AD168" s="46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46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46" t="str">
        <f aca="false">IF((E169="v"),H169," ")</f>
        <v> </v>
      </c>
      <c r="AD169" s="46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46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46" t="str">
        <f aca="false">IF((E170="v"),H170," ")</f>
        <v> </v>
      </c>
      <c r="AD170" s="46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46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46" t="str">
        <f aca="false">IF((E171="v"),H171," ")</f>
        <v> </v>
      </c>
      <c r="AD171" s="46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46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46" t="str">
        <f aca="false">IF((E172="v"),H172," ")</f>
        <v> </v>
      </c>
      <c r="AD172" s="46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46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46" t="str">
        <f aca="false">IF((E173="v"),H173," ")</f>
        <v> </v>
      </c>
      <c r="AD173" s="46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46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46" t="str">
        <f aca="false">IF((E174="v"),H174," ")</f>
        <v> </v>
      </c>
      <c r="AD174" s="46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46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46" t="str">
        <f aca="false">IF((E175="v"),H175," ")</f>
        <v> </v>
      </c>
      <c r="AD175" s="46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46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46" t="str">
        <f aca="false">IF((E176="v"),H176," ")</f>
        <v> </v>
      </c>
      <c r="AD176" s="46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46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46" t="str">
        <f aca="false">IF((E177="v"),H177," ")</f>
        <v> </v>
      </c>
      <c r="AD177" s="46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46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46" t="str">
        <f aca="false">IF((E178="v"),H178," ")</f>
        <v> </v>
      </c>
      <c r="AD178" s="46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46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46" t="str">
        <f aca="false">IF((E179="v"),H179," ")</f>
        <v> </v>
      </c>
      <c r="AD179" s="46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46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46" t="str">
        <f aca="false">IF((E180="v"),H180," ")</f>
        <v> </v>
      </c>
      <c r="AD180" s="46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46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46" t="str">
        <f aca="false">IF((E181="v"),H181," ")</f>
        <v> </v>
      </c>
      <c r="AD181" s="46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46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46" t="str">
        <f aca="false">IF((E182="v"),H182," ")</f>
        <v> </v>
      </c>
      <c r="AD182" s="46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46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46" t="str">
        <f aca="false">IF((E183="v"),H183," ")</f>
        <v> </v>
      </c>
      <c r="AD183" s="46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46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46" t="str">
        <f aca="false">IF((E184="v"),H184," ")</f>
        <v> </v>
      </c>
      <c r="AD184" s="46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46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46" t="str">
        <f aca="false">IF((E185="v"),H185," ")</f>
        <v> </v>
      </c>
      <c r="AD185" s="46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46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46" t="str">
        <f aca="false">IF((E186="v"),H186," ")</f>
        <v> </v>
      </c>
      <c r="AD186" s="46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46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46" t="str">
        <f aca="false">IF((E187="v"),H187," ")</f>
        <v> </v>
      </c>
      <c r="AD187" s="46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46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46" t="str">
        <f aca="false">IF((E188="v"),H188," ")</f>
        <v> </v>
      </c>
      <c r="AD188" s="46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46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46" t="str">
        <f aca="false">IF((E189="v"),H189," ")</f>
        <v> </v>
      </c>
      <c r="AD189" s="46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46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46" t="str">
        <f aca="false">IF((E190="v"),H190," ")</f>
        <v> </v>
      </c>
      <c r="AD190" s="46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46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46" t="str">
        <f aca="false">IF((E191="v"),H191," ")</f>
        <v> </v>
      </c>
      <c r="AD191" s="46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46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46" t="str">
        <f aca="false">IF((E192="v"),H192," ")</f>
        <v> </v>
      </c>
      <c r="AD192" s="46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46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46" t="str">
        <f aca="false">IF((E193="v"),H193," ")</f>
        <v> </v>
      </c>
      <c r="AD193" s="46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46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46" t="str">
        <f aca="false">IF((E194="v"),H194," ")</f>
        <v> </v>
      </c>
      <c r="AD194" s="46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46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46" t="str">
        <f aca="false">IF((E195="v"),H195," ")</f>
        <v> </v>
      </c>
      <c r="AD195" s="46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46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46" t="str">
        <f aca="false">IF((E196="v"),H196," ")</f>
        <v> </v>
      </c>
      <c r="AD196" s="46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46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46" t="str">
        <f aca="false">IF((E197="v"),H197," ")</f>
        <v> </v>
      </c>
      <c r="AD197" s="46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46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46" t="str">
        <f aca="false">IF((E198="v"),H198," ")</f>
        <v> </v>
      </c>
      <c r="AD198" s="46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46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46" t="str">
        <f aca="false">IF((E199="v"),H199," ")</f>
        <v> </v>
      </c>
      <c r="AD199" s="46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46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46" t="str">
        <f aca="false">IF((E200="v"),H200," ")</f>
        <v> </v>
      </c>
      <c r="AD200" s="46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46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46" t="str">
        <f aca="false">IF((E201="v"),H201," ")</f>
        <v> </v>
      </c>
      <c r="AD201" s="46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46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46" t="str">
        <f aca="false">IF((E202="v"),H202," ")</f>
        <v> </v>
      </c>
      <c r="AD202" s="46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46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46" t="str">
        <f aca="false">IF((E203="v"),H203," ")</f>
        <v> </v>
      </c>
      <c r="AD203" s="46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46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46" t="str">
        <f aca="false">IF((E204="v"),H204," ")</f>
        <v> </v>
      </c>
      <c r="AD204" s="46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46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46" t="str">
        <f aca="false">IF((E205="v"),H205," ")</f>
        <v> </v>
      </c>
      <c r="AD205" s="46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46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46" t="str">
        <f aca="false">IF((E206="v"),H206," ")</f>
        <v> </v>
      </c>
      <c r="AD206" s="46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46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46" t="str">
        <f aca="false">IF((E207="v"),H207," ")</f>
        <v> </v>
      </c>
      <c r="AD207" s="46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46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46" t="str">
        <f aca="false">IF((E208="v"),H208," ")</f>
        <v> </v>
      </c>
      <c r="AD208" s="46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46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46" t="str">
        <f aca="false">IF((E209="v"),H209," ")</f>
        <v> </v>
      </c>
      <c r="AD209" s="46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46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46" t="str">
        <f aca="false">IF((E210="v"),H210," ")</f>
        <v> </v>
      </c>
      <c r="AD210" s="46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46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46" t="str">
        <f aca="false">IF((E211="v"),H211," ")</f>
        <v> </v>
      </c>
      <c r="AD211" s="46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46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46" t="str">
        <f aca="false">IF((E212="v"),H212," ")</f>
        <v> </v>
      </c>
      <c r="AD212" s="46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46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46" t="str">
        <f aca="false">IF((E213="v"),H213," ")</f>
        <v> </v>
      </c>
      <c r="AD213" s="46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46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46" t="str">
        <f aca="false">IF((E214="v"),H214," ")</f>
        <v> </v>
      </c>
      <c r="AD214" s="46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46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46" t="str">
        <f aca="false">IF((E215="v"),H215," ")</f>
        <v> </v>
      </c>
      <c r="AD215" s="46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46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46" t="str">
        <f aca="false">IF((E216="v"),H216," ")</f>
        <v> </v>
      </c>
      <c r="AD216" s="46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46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46" t="str">
        <f aca="false">IF((E217="v"),H217," ")</f>
        <v> </v>
      </c>
      <c r="AD217" s="46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46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46" t="str">
        <f aca="false">IF((E218="v"),H218," ")</f>
        <v> </v>
      </c>
      <c r="AD218" s="46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46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46" t="str">
        <f aca="false">IF((E219="v"),H219," ")</f>
        <v> </v>
      </c>
      <c r="AD219" s="46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46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46" t="str">
        <f aca="false">IF((E220="v"),H220," ")</f>
        <v> </v>
      </c>
      <c r="AD220" s="46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46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46" t="str">
        <f aca="false">IF((E221="v"),H221," ")</f>
        <v> </v>
      </c>
      <c r="AD221" s="46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46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46" t="str">
        <f aca="false">IF((E222="v"),H222," ")</f>
        <v> </v>
      </c>
      <c r="AD222" s="46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46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46" t="str">
        <f aca="false">IF((E223="v"),H223," ")</f>
        <v> </v>
      </c>
      <c r="AD223" s="46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46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46" t="str">
        <f aca="false">IF((E224="v"),H224," ")</f>
        <v> </v>
      </c>
      <c r="AD224" s="46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46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46" t="str">
        <f aca="false">IF((E225="v"),H225," ")</f>
        <v> </v>
      </c>
      <c r="AD225" s="46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46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46" t="str">
        <f aca="false">IF((E226="v"),H226," ")</f>
        <v> </v>
      </c>
      <c r="AD226" s="46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46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46" t="str">
        <f aca="false">IF((E227="v"),H227," ")</f>
        <v> </v>
      </c>
      <c r="AD227" s="46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46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46" t="str">
        <f aca="false">IF((E228="v"),H228," ")</f>
        <v> </v>
      </c>
      <c r="AD228" s="46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46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46" t="str">
        <f aca="false">IF((E229="v"),H229," ")</f>
        <v> </v>
      </c>
      <c r="AD229" s="46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46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46" t="str">
        <f aca="false">IF((E230="v"),H230," ")</f>
        <v> </v>
      </c>
      <c r="AD230" s="46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46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46" t="str">
        <f aca="false">IF((E231="v"),H231," ")</f>
        <v> </v>
      </c>
      <c r="AD231" s="46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46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46" t="str">
        <f aca="false">IF((E232="v"),H232," ")</f>
        <v> </v>
      </c>
      <c r="AD232" s="46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46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46" t="str">
        <f aca="false">IF((E233="v"),H233," ")</f>
        <v> </v>
      </c>
      <c r="AD233" s="46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46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46" t="str">
        <f aca="false">IF((E234="v"),H234," ")</f>
        <v> </v>
      </c>
      <c r="AD234" s="46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46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46" t="str">
        <f aca="false">IF((E235="v"),H235," ")</f>
        <v> </v>
      </c>
      <c r="AD235" s="46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46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46" t="str">
        <f aca="false">IF((E236="v"),H236," ")</f>
        <v> </v>
      </c>
      <c r="AD236" s="46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46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46" t="str">
        <f aca="false">IF((E237="v"),H237," ")</f>
        <v> </v>
      </c>
      <c r="AD237" s="46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46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46" t="str">
        <f aca="false">IF((E238="v"),H238," ")</f>
        <v> </v>
      </c>
      <c r="AD238" s="46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46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46" t="str">
        <f aca="false">IF((E239="v"),H239," ")</f>
        <v> </v>
      </c>
      <c r="AD239" s="46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46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46" t="str">
        <f aca="false">IF((E240="v"),H240," ")</f>
        <v> </v>
      </c>
      <c r="AD240" s="46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46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46" t="str">
        <f aca="false">IF((E241="v"),H241," ")</f>
        <v> </v>
      </c>
      <c r="AD241" s="46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46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46" t="str">
        <f aca="false">IF((E242="v"),H242," ")</f>
        <v> </v>
      </c>
      <c r="AD242" s="46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46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46" t="str">
        <f aca="false">IF((E243="v"),H243," ")</f>
        <v> </v>
      </c>
      <c r="AD243" s="46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46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46" t="str">
        <f aca="false">IF((E244="v"),H244," ")</f>
        <v> </v>
      </c>
      <c r="AD244" s="46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46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46" t="str">
        <f aca="false">IF((E245="v"),H245," ")</f>
        <v> </v>
      </c>
      <c r="AD245" s="46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46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46" t="str">
        <f aca="false">IF((E246="v"),H246," ")</f>
        <v> </v>
      </c>
      <c r="AD246" s="46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46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46" t="str">
        <f aca="false">IF((E247="v"),H247," ")</f>
        <v> </v>
      </c>
      <c r="AD247" s="46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46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46" t="str">
        <f aca="false">IF((E248="v"),H248," ")</f>
        <v> </v>
      </c>
      <c r="AD248" s="46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46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46" t="str">
        <f aca="false">IF((E249="v"),H249," ")</f>
        <v> </v>
      </c>
      <c r="AD249" s="46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46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46" t="str">
        <f aca="false">IF((E250="v"),H250," ")</f>
        <v> </v>
      </c>
      <c r="AD250" s="46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46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46" t="str">
        <f aca="false">IF((E251="v"),H251," ")</f>
        <v> </v>
      </c>
      <c r="AD251" s="46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46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46" t="str">
        <f aca="false">IF((E252="v"),H252," ")</f>
        <v> </v>
      </c>
      <c r="AD252" s="46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46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46" t="str">
        <f aca="false">IF((E253="v"),H253," ")</f>
        <v> </v>
      </c>
      <c r="AD253" s="46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46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46" t="str">
        <f aca="false">IF((E254="v"),H254," ")</f>
        <v> </v>
      </c>
      <c r="AD254" s="46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46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46" t="str">
        <f aca="false">IF((E255="v"),H255," ")</f>
        <v> </v>
      </c>
      <c r="AD255" s="46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46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46" t="str">
        <f aca="false">IF((E256="v"),H256," ")</f>
        <v> </v>
      </c>
      <c r="AD256" s="46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46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46" t="str">
        <f aca="false">IF((E257="v"),H257," ")</f>
        <v> </v>
      </c>
      <c r="AD257" s="46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46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46" t="str">
        <f aca="false">IF((E258="v"),H258," ")</f>
        <v> </v>
      </c>
      <c r="AD258" s="46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46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46" t="str">
        <f aca="false">IF((E259="v"),H259," ")</f>
        <v> </v>
      </c>
      <c r="AD259" s="46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46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46" t="str">
        <f aca="false">IF((E260="v"),H260," ")</f>
        <v> </v>
      </c>
      <c r="AD260" s="46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46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46" t="str">
        <f aca="false">IF((E261="v"),H261," ")</f>
        <v> </v>
      </c>
      <c r="AD261" s="46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46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46" t="str">
        <f aca="false">IF((E262="v"),H262," ")</f>
        <v> </v>
      </c>
      <c r="AD262" s="46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46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46" t="str">
        <f aca="false">IF((E263="v"),H263," ")</f>
        <v> </v>
      </c>
      <c r="AD263" s="46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46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46" t="str">
        <f aca="false">IF((E264="v"),H264," ")</f>
        <v> </v>
      </c>
      <c r="AD264" s="46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46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46" t="str">
        <f aca="false">IF((E265="v"),H265," ")</f>
        <v> </v>
      </c>
      <c r="AD265" s="46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46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46" t="str">
        <f aca="false">IF((E266="v"),H266," ")</f>
        <v> </v>
      </c>
      <c r="AD266" s="46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46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46" t="str">
        <f aca="false">IF((E267="v"),H267," ")</f>
        <v> </v>
      </c>
      <c r="AD267" s="46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46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46" t="str">
        <f aca="false">IF((E268="v"),H268," ")</f>
        <v> </v>
      </c>
      <c r="AD268" s="46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46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46" t="str">
        <f aca="false">IF((E269="v"),H269," ")</f>
        <v> </v>
      </c>
      <c r="AD269" s="46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46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46" t="str">
        <f aca="false">IF((E270="v"),H270," ")</f>
        <v> </v>
      </c>
      <c r="AD270" s="46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46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46" t="str">
        <f aca="false">IF((E271="v"),H271," ")</f>
        <v> </v>
      </c>
      <c r="AD271" s="46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46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46" t="str">
        <f aca="false">IF((E272="v"),H272," ")</f>
        <v> </v>
      </c>
      <c r="AD272" s="46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46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46" t="str">
        <f aca="false">IF((E273="v"),H273," ")</f>
        <v> </v>
      </c>
      <c r="AD273" s="46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46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46" t="str">
        <f aca="false">IF((E274="v"),H274," ")</f>
        <v> </v>
      </c>
      <c r="AD274" s="46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46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46" t="str">
        <f aca="false">IF((E275="v"),H275," ")</f>
        <v> </v>
      </c>
      <c r="AD275" s="46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46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46" t="str">
        <f aca="false">IF((E276="v"),H276," ")</f>
        <v> </v>
      </c>
      <c r="AD276" s="46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46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46" t="str">
        <f aca="false">IF((E277="v"),H277," ")</f>
        <v> </v>
      </c>
      <c r="AD277" s="46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46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46" t="str">
        <f aca="false">IF((E278="v"),H278," ")</f>
        <v> </v>
      </c>
      <c r="AD278" s="46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46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46" t="str">
        <f aca="false">IF((E279="v"),H279," ")</f>
        <v> </v>
      </c>
      <c r="AD279" s="46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46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46" t="str">
        <f aca="false">IF((E280="v"),H280," ")</f>
        <v> </v>
      </c>
      <c r="AD280" s="46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46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46" t="str">
        <f aca="false">IF((E281="v"),H281," ")</f>
        <v> </v>
      </c>
      <c r="AD281" s="46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46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46" t="str">
        <f aca="false">IF((E282="v"),H282," ")</f>
        <v> </v>
      </c>
      <c r="AD282" s="46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46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46" t="str">
        <f aca="false">IF((E283="v"),H283," ")</f>
        <v> </v>
      </c>
      <c r="AD283" s="46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46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46" t="str">
        <f aca="false">IF((E284="v"),H284," ")</f>
        <v> </v>
      </c>
      <c r="AD284" s="46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46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46" t="str">
        <f aca="false">IF((E285="v"),H285," ")</f>
        <v> </v>
      </c>
      <c r="AD285" s="46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46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46" t="str">
        <f aca="false">IF((E286="v"),H286," ")</f>
        <v> </v>
      </c>
      <c r="AD286" s="46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46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46" t="str">
        <f aca="false">IF((E287="v"),H287," ")</f>
        <v> </v>
      </c>
      <c r="AD287" s="46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46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46" t="str">
        <f aca="false">IF((E288="v"),H288," ")</f>
        <v> </v>
      </c>
      <c r="AD288" s="46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46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46" t="str">
        <f aca="false">IF((E289="v"),H289," ")</f>
        <v> </v>
      </c>
      <c r="AD289" s="46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46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46" t="str">
        <f aca="false">IF((E290="v"),H290," ")</f>
        <v> </v>
      </c>
      <c r="AD290" s="46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46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46" t="str">
        <f aca="false">IF((E291="v"),H291," ")</f>
        <v> </v>
      </c>
      <c r="AD291" s="46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46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46" t="str">
        <f aca="false">IF((E292="v"),H292," ")</f>
        <v> </v>
      </c>
      <c r="AD292" s="46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46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46" t="str">
        <f aca="false">IF((E293="v"),H293," ")</f>
        <v> </v>
      </c>
      <c r="AD293" s="46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46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46" t="str">
        <f aca="false">IF((E294="v"),H294," ")</f>
        <v> </v>
      </c>
      <c r="AD294" s="46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46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46" t="str">
        <f aca="false">IF((E295="v"),H295," ")</f>
        <v> </v>
      </c>
      <c r="AD295" s="46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46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46" t="str">
        <f aca="false">IF((E296="v"),H296," ")</f>
        <v> </v>
      </c>
      <c r="AD296" s="46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46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46" t="str">
        <f aca="false">IF((E297="v"),H297," ")</f>
        <v> </v>
      </c>
      <c r="AD297" s="46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46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46" t="str">
        <f aca="false">IF((E298="v"),H298," ")</f>
        <v> </v>
      </c>
      <c r="AD298" s="46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46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46" t="str">
        <f aca="false">IF((E299="v"),H299," ")</f>
        <v> </v>
      </c>
      <c r="AD299" s="46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</row>
    <row r="300" customFormat="false" ht="12" hidden="false" customHeight="false" outlineLevel="0" collapsed="false">
      <c r="A300" s="31"/>
      <c r="B300" s="32"/>
      <c r="C300" s="33"/>
      <c r="D300" s="32"/>
      <c r="E300" s="47" t="str">
        <f aca="false">IF((F300&lt;&gt;0),"Enter Letter"," ")</f>
        <v> </v>
      </c>
      <c r="F300" s="48"/>
      <c r="G300" s="35" t="str">
        <f aca="false">IF(F300&lt;&gt;0,F300*G$2/(100+G$2)," ")</f>
        <v> </v>
      </c>
      <c r="H300" s="35" t="str">
        <f aca="false">IF((F300&lt;&gt;0),F300-G300," ")</f>
        <v> </v>
      </c>
      <c r="I300" s="49"/>
      <c r="J300" s="35"/>
      <c r="K300" s="35"/>
      <c r="L300" s="36" t="str">
        <f aca="false">IF(F300&lt;&gt;0,F300-K300," ")</f>
        <v> </v>
      </c>
      <c r="M300" s="37" t="str">
        <f aca="false">IF((F300-K300)&lt;&gt;0,M$1-A300," ")</f>
        <v> </v>
      </c>
      <c r="N300" s="49"/>
      <c r="O300" s="50" t="str">
        <f aca="false">IF((E300="s"),H300," ")</f>
        <v> </v>
      </c>
      <c r="P300" s="50" t="str">
        <f aca="false">IF((E300="c"),H300," ")</f>
        <v> </v>
      </c>
      <c r="Q300" s="50" t="str">
        <f aca="false">IF((E300="o"),H300," ")</f>
        <v> </v>
      </c>
      <c r="R300" s="50" t="str">
        <f aca="false">IF((E300="d"),H300," ")</f>
        <v> </v>
      </c>
      <c r="S300" s="50" t="str">
        <f aca="false">IF((E300="w"),H300," ")</f>
        <v> </v>
      </c>
      <c r="T300" s="50" t="str">
        <f aca="false">IF((E300="r"),H300," ")</f>
        <v> </v>
      </c>
      <c r="U300" s="50" t="str">
        <f aca="false">IF((E300="p"),H300," ")</f>
        <v> </v>
      </c>
      <c r="V300" s="50" t="str">
        <f aca="false">IF((E300="t"),H300," ")</f>
        <v> </v>
      </c>
      <c r="W300" s="50" t="str">
        <f aca="false">IF((E300="q"),H300," ")</f>
        <v> </v>
      </c>
      <c r="X300" s="50" t="str">
        <f aca="false">IF((E300="m"),H300," ")</f>
        <v> </v>
      </c>
      <c r="Y300" s="50" t="str">
        <f aca="false">IF((E300="u"),H300," ")</f>
        <v> </v>
      </c>
      <c r="Z300" s="50" t="str">
        <f aca="false">IF((E300="a"),H300," ")</f>
        <v> </v>
      </c>
      <c r="AA300" s="50" t="str">
        <f aca="false">IF((E300="g"),H300," ")</f>
        <v> </v>
      </c>
      <c r="AB300" s="50" t="str">
        <f aca="false">IF((E300="h"),H300," ")</f>
        <v> </v>
      </c>
      <c r="AC300" s="48" t="str">
        <f aca="false">IF((E300="v"),H300," ")</f>
        <v> </v>
      </c>
      <c r="AD300" s="48" t="str">
        <f aca="false">IF((E300="n"),H300," ")</f>
        <v> </v>
      </c>
      <c r="AE300" s="50" t="str">
        <f aca="false">IF((E300="f"),H300," ")</f>
        <v> </v>
      </c>
      <c r="AF300" s="50" t="str">
        <f aca="false">IF((E300="l"),H300," ")</f>
        <v> </v>
      </c>
      <c r="AG300" s="50" t="str">
        <f aca="false">IF((E300="y"),H300," ")</f>
        <v> </v>
      </c>
      <c r="AH300" s="50" t="str">
        <f aca="false">IF((E300="z"),H300," ")</f>
        <v> </v>
      </c>
      <c r="AI300" s="50" t="str">
        <f aca="false">IF((E300="fa"),H300," ")</f>
        <v> </v>
      </c>
      <c r="AJ300" s="50"/>
      <c r="AK300" s="50"/>
      <c r="AL300" s="50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14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8" width="10.5"/>
    <col collapsed="false" customWidth="true" hidden="false" outlineLevel="0" max="35" min="31" style="17" width="10.5"/>
    <col collapsed="false" customWidth="true" hidden="false" outlineLevel="0" max="36" min="36" style="17" width="0.82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s="17" customFormat="true" ht="12.75" hidden="false" customHeight="true" outlineLevel="0" collapsed="false">
      <c r="A1" s="39" t="n">
        <f aca="false">F1-G1-SUM(O1:AI1)</f>
        <v>0</v>
      </c>
      <c r="B1" s="40" t="s">
        <v>22</v>
      </c>
      <c r="C1" s="20" t="s">
        <v>5</v>
      </c>
      <c r="D1" s="41" t="s">
        <v>23</v>
      </c>
      <c r="E1" s="41"/>
      <c r="F1" s="12" t="n">
        <f aca="false">SUM(F5:F300)</f>
        <v>6375</v>
      </c>
      <c r="G1" s="12" t="n">
        <f aca="false">SUM(G5:G300)</f>
        <v>0</v>
      </c>
      <c r="H1" s="12" t="n">
        <f aca="false">SUM(H5:H300)</f>
        <v>6375</v>
      </c>
      <c r="I1" s="13"/>
      <c r="J1" s="14" t="s">
        <v>2</v>
      </c>
      <c r="K1" s="15" t="n">
        <f aca="false">SUM(K5:K300)</f>
        <v>0</v>
      </c>
      <c r="L1" s="15" t="n">
        <f aca="false">SUM(L5:L300)</f>
        <v>6375</v>
      </c>
      <c r="M1" s="16" t="n">
        <f aca="true">TODAY()</f>
        <v>46137</v>
      </c>
      <c r="N1" s="13"/>
      <c r="O1" s="12" t="n">
        <f aca="false">SUM(O5:O300)</f>
        <v>720</v>
      </c>
      <c r="P1" s="12" t="n">
        <f aca="false">SUM(P5:P300)</f>
        <v>0</v>
      </c>
      <c r="Q1" s="12" t="n">
        <f aca="false">SUM(Q5:Q300)</f>
        <v>249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1200</v>
      </c>
      <c r="U1" s="12" t="n">
        <f aca="false">SUM(U5:U300)</f>
        <v>0</v>
      </c>
      <c r="V1" s="12" t="n">
        <f aca="false">SUM(V5:V300)</f>
        <v>180</v>
      </c>
      <c r="W1" s="12" t="n">
        <f aca="false">SUM(W5:W300)</f>
        <v>240</v>
      </c>
      <c r="X1" s="12" t="n">
        <f aca="false">SUM(X5:X300)</f>
        <v>0</v>
      </c>
      <c r="Y1" s="12" t="n">
        <f aca="false">SUM(Y5:Y300)</f>
        <v>115</v>
      </c>
      <c r="Z1" s="12" t="n">
        <f aca="false">SUM(Z5:Z300)</f>
        <v>600</v>
      </c>
      <c r="AA1" s="12" t="n">
        <f aca="false">SUM(AA5:AA300)</f>
        <v>153</v>
      </c>
      <c r="AB1" s="12" t="n">
        <f aca="false">SUM(AB5:AB300)</f>
        <v>152</v>
      </c>
      <c r="AC1" s="12" t="n">
        <f aca="false">SUM(AC5:AC300)</f>
        <v>666</v>
      </c>
      <c r="AD1" s="12" t="n">
        <f aca="false">SUM(AD5:AD300)</f>
        <v>0</v>
      </c>
      <c r="AE1" s="12" t="n">
        <f aca="false">SUM(AE5:AE300)</f>
        <v>0</v>
      </c>
      <c r="AF1" s="12" t="n">
        <f aca="false">SUM(AF5:AF300)</f>
        <v>300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1800</v>
      </c>
      <c r="AJ1" s="42"/>
      <c r="AK1" s="12" t="n">
        <f aca="false">SUM(AK5:AK300)</f>
        <v>0</v>
      </c>
      <c r="AL1" s="43"/>
    </row>
    <row r="2" s="17" customFormat="tru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IF([2]Jul!$G$4&gt;0,0,[2]Jul!$G$2)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42"/>
      <c r="AK2" s="19" t="s">
        <v>43</v>
      </c>
      <c r="AL2" s="19"/>
    </row>
    <row r="3" s="26" customFormat="tru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44</v>
      </c>
      <c r="P3" s="21" t="s">
        <v>45</v>
      </c>
      <c r="Q3" s="21" t="s">
        <v>46</v>
      </c>
      <c r="R3" s="19"/>
      <c r="S3" s="19"/>
      <c r="T3" s="21" t="s">
        <v>47</v>
      </c>
      <c r="U3" s="21" t="s">
        <v>48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42"/>
      <c r="AK3" s="19" t="s">
        <v>49</v>
      </c>
      <c r="AL3" s="19"/>
    </row>
    <row r="4" s="27" customFormat="tru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50</v>
      </c>
      <c r="P4" s="44" t="s">
        <v>51</v>
      </c>
      <c r="Q4" s="44" t="s">
        <v>52</v>
      </c>
      <c r="R4" s="44" t="s">
        <v>53</v>
      </c>
      <c r="S4" s="44" t="s">
        <v>54</v>
      </c>
      <c r="T4" s="44" t="s">
        <v>55</v>
      </c>
      <c r="U4" s="44" t="s">
        <v>56</v>
      </c>
      <c r="V4" s="44" t="s">
        <v>57</v>
      </c>
      <c r="W4" s="44" t="s">
        <v>58</v>
      </c>
      <c r="X4" s="44" t="s">
        <v>59</v>
      </c>
      <c r="Y4" s="44" t="s">
        <v>60</v>
      </c>
      <c r="Z4" s="44" t="s">
        <v>61</v>
      </c>
      <c r="AA4" s="44" t="s">
        <v>62</v>
      </c>
      <c r="AB4" s="44" t="s">
        <v>63</v>
      </c>
      <c r="AC4" s="45" t="s">
        <v>64</v>
      </c>
      <c r="AD4" s="45" t="s">
        <v>65</v>
      </c>
      <c r="AE4" s="44" t="s">
        <v>66</v>
      </c>
      <c r="AF4" s="44" t="s">
        <v>67</v>
      </c>
      <c r="AG4" s="44" t="s">
        <v>68</v>
      </c>
      <c r="AH4" s="44" t="s">
        <v>69</v>
      </c>
      <c r="AI4" s="44" t="s">
        <v>70</v>
      </c>
      <c r="AJ4" s="42"/>
      <c r="AK4" s="19" t="s">
        <v>71</v>
      </c>
      <c r="AL4" s="19" t="s">
        <v>72</v>
      </c>
    </row>
    <row r="5" s="5" customFormat="true" ht="12" hidden="false" customHeight="false" outlineLevel="0" collapsed="false">
      <c r="A5" s="28" t="n">
        <v>45839</v>
      </c>
      <c r="B5" s="5" t="s">
        <v>14</v>
      </c>
      <c r="E5" s="5" t="s">
        <v>73</v>
      </c>
      <c r="F5" s="46" t="n">
        <v>1200</v>
      </c>
      <c r="H5" s="6" t="n">
        <f aca="false">IF((F5&lt;&gt;0),F5-G5," ")</f>
        <v>1200</v>
      </c>
      <c r="J5" s="6"/>
      <c r="K5" s="6"/>
      <c r="L5" s="7" t="n">
        <f aca="false">IF(F5&lt;&gt;0,F5-K5," ")</f>
        <v>1200</v>
      </c>
      <c r="M5" s="8" t="n">
        <f aca="false">IF((F5-K5)&lt;&gt;0,M$1-A5," ")</f>
        <v>298</v>
      </c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1200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46" t="str">
        <f aca="false">IF((E5="v"),H5," ")</f>
        <v> </v>
      </c>
      <c r="AD5" s="46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/>
      <c r="AK5" s="17"/>
      <c r="AL5" s="17"/>
    </row>
    <row r="6" customFormat="false" ht="12" hidden="false" customHeight="false" outlineLevel="0" collapsed="false">
      <c r="A6" s="28" t="n">
        <v>45839</v>
      </c>
      <c r="B6" s="2" t="s">
        <v>74</v>
      </c>
      <c r="E6" s="5" t="s">
        <v>75</v>
      </c>
      <c r="F6" s="46" t="n">
        <v>30</v>
      </c>
      <c r="H6" s="6" t="n">
        <f aca="false">IF((F6&lt;&gt;0),F6-G6," ")</f>
        <v>30</v>
      </c>
      <c r="I6" s="5"/>
      <c r="L6" s="7" t="n">
        <f aca="false">IF(F6&lt;&gt;0,F6-K6," ")</f>
        <v>30</v>
      </c>
      <c r="M6" s="8" t="n">
        <f aca="false">IF((F6-K6)&lt;&gt;0,M$1-A6," ")</f>
        <v>298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30</v>
      </c>
      <c r="AB6" s="17" t="str">
        <f aca="false">IF((E6="h"),H6," ")</f>
        <v> </v>
      </c>
      <c r="AC6" s="46" t="str">
        <f aca="false">IF((E6="v"),H6," ")</f>
        <v> </v>
      </c>
      <c r="AD6" s="46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</row>
    <row r="7" customFormat="false" ht="12" hidden="false" customHeight="false" outlineLevel="0" collapsed="false">
      <c r="A7" s="28" t="n">
        <v>45839</v>
      </c>
      <c r="B7" s="2" t="s">
        <v>76</v>
      </c>
      <c r="E7" s="5" t="s">
        <v>75</v>
      </c>
      <c r="F7" s="46" t="n">
        <v>15</v>
      </c>
      <c r="H7" s="6" t="n">
        <f aca="false">IF((F7&lt;&gt;0),F7-G7," ")</f>
        <v>15</v>
      </c>
      <c r="I7" s="5"/>
      <c r="L7" s="7" t="n">
        <f aca="false">IF(F7&lt;&gt;0,F7-K7," ")</f>
        <v>15</v>
      </c>
      <c r="M7" s="8" t="n">
        <f aca="false">IF((F7-K7)&lt;&gt;0,M$1-A7," ")</f>
        <v>298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15</v>
      </c>
      <c r="AB7" s="17" t="str">
        <f aca="false">IF((E7="h"),H7," ")</f>
        <v> </v>
      </c>
      <c r="AC7" s="46" t="str">
        <f aca="false">IF((E7="v"),H7," ")</f>
        <v> </v>
      </c>
      <c r="AD7" s="46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</row>
    <row r="8" customFormat="false" ht="12" hidden="false" customHeight="false" outlineLevel="0" collapsed="false">
      <c r="A8" s="28" t="n">
        <v>45839</v>
      </c>
      <c r="B8" s="2" t="s">
        <v>77</v>
      </c>
      <c r="E8" s="5" t="s">
        <v>78</v>
      </c>
      <c r="F8" s="46" t="n">
        <v>45</v>
      </c>
      <c r="H8" s="6" t="n">
        <f aca="false">IF((F8&lt;&gt;0),F8-G8," ")</f>
        <v>45</v>
      </c>
      <c r="I8" s="5"/>
      <c r="L8" s="7" t="n">
        <f aca="false">IF(F8&lt;&gt;0,F8-K8," ")</f>
        <v>45</v>
      </c>
      <c r="M8" s="8" t="n">
        <f aca="false">IF((F8-K8)&lt;&gt;0,M$1-A8," ")</f>
        <v>298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45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46" t="str">
        <f aca="false">IF((E8="v"),H8," ")</f>
        <v> </v>
      </c>
      <c r="AD8" s="46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</row>
    <row r="9" customFormat="false" ht="12" hidden="false" customHeight="false" outlineLevel="0" collapsed="false">
      <c r="A9" s="28" t="n">
        <v>45839</v>
      </c>
      <c r="B9" s="2" t="s">
        <v>81</v>
      </c>
      <c r="E9" s="5" t="s">
        <v>78</v>
      </c>
      <c r="F9" s="46" t="n">
        <v>24</v>
      </c>
      <c r="H9" s="6" t="n">
        <f aca="false">IF((F9&lt;&gt;0),F9-G9," ")</f>
        <v>24</v>
      </c>
      <c r="I9" s="5"/>
      <c r="L9" s="7" t="n">
        <f aca="false">IF(F9&lt;&gt;0,F9-K9," ")</f>
        <v>24</v>
      </c>
      <c r="M9" s="8" t="n">
        <f aca="false">IF((F9-K9)&lt;&gt;0,M$1-A9," ")</f>
        <v>298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n">
        <f aca="false">IF((E9="o"),H9," ")</f>
        <v>24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46" t="str">
        <f aca="false">IF((E9="v"),H9," ")</f>
        <v> </v>
      </c>
      <c r="AD9" s="46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</row>
    <row r="10" customFormat="false" ht="12" hidden="false" customHeight="false" outlineLevel="0" collapsed="false">
      <c r="A10" s="28" t="n">
        <v>45839</v>
      </c>
      <c r="B10" s="2" t="s">
        <v>82</v>
      </c>
      <c r="E10" s="5" t="s">
        <v>75</v>
      </c>
      <c r="F10" s="46" t="n">
        <v>18</v>
      </c>
      <c r="H10" s="6" t="n">
        <f aca="false">IF((F10&lt;&gt;0),F10-G10," ")</f>
        <v>18</v>
      </c>
      <c r="I10" s="5"/>
      <c r="L10" s="7" t="n">
        <f aca="false">IF(F10&lt;&gt;0,F10-K10," ")</f>
        <v>18</v>
      </c>
      <c r="M10" s="8" t="n">
        <f aca="false">IF((F10-K10)&lt;&gt;0,M$1-A10," ")</f>
        <v>298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str">
        <f aca="false">IF((E10="o"),H10," ")</f>
        <v> 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n">
        <f aca="false">IF((E10="g"),H10," ")</f>
        <v>18</v>
      </c>
      <c r="AB10" s="17" t="str">
        <f aca="false">IF((E10="h"),H10," ")</f>
        <v> </v>
      </c>
      <c r="AC10" s="46" t="str">
        <f aca="false">IF((E10="v"),H10," ")</f>
        <v> </v>
      </c>
      <c r="AD10" s="46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</row>
    <row r="11" customFormat="false" ht="12" hidden="false" customHeight="false" outlineLevel="0" collapsed="false">
      <c r="A11" s="28" t="n">
        <v>45841</v>
      </c>
      <c r="B11" s="2" t="s">
        <v>83</v>
      </c>
      <c r="E11" s="5" t="s">
        <v>78</v>
      </c>
      <c r="F11" s="46" t="n">
        <v>180</v>
      </c>
      <c r="H11" s="6" t="n">
        <f aca="false">IF((F11&lt;&gt;0),F11-G11," ")</f>
        <v>180</v>
      </c>
      <c r="I11" s="5"/>
      <c r="L11" s="7" t="n">
        <f aca="false">IF(F11&lt;&gt;0,F11-K11," ")</f>
        <v>180</v>
      </c>
      <c r="M11" s="8" t="n">
        <f aca="false">IF((F11-K11)&lt;&gt;0,M$1-A11," ")</f>
        <v>296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n">
        <f aca="false">IF((E11="o"),H11," ")</f>
        <v>180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str">
        <f aca="false">IF((E11="g"),H11," ")</f>
        <v> </v>
      </c>
      <c r="AB11" s="17" t="str">
        <f aca="false">IF((E11="h"),H11," ")</f>
        <v> </v>
      </c>
      <c r="AC11" s="46" t="str">
        <f aca="false">IF((E11="v"),H11," ")</f>
        <v> </v>
      </c>
      <c r="AD11" s="46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</row>
    <row r="12" customFormat="false" ht="12" hidden="false" customHeight="false" outlineLevel="0" collapsed="false">
      <c r="A12" s="28" t="n">
        <v>45841</v>
      </c>
      <c r="B12" s="2" t="s">
        <v>84</v>
      </c>
      <c r="E12" s="5" t="s">
        <v>85</v>
      </c>
      <c r="F12" s="46" t="n">
        <v>22</v>
      </c>
      <c r="H12" s="6" t="n">
        <f aca="false">IF((F12&lt;&gt;0),F12-G12," ")</f>
        <v>22</v>
      </c>
      <c r="I12" s="5"/>
      <c r="L12" s="7" t="n">
        <f aca="false">IF(F12&lt;&gt;0,F12-K12," ")</f>
        <v>22</v>
      </c>
      <c r="M12" s="8" t="n">
        <f aca="false">IF((F12-K12)&lt;&gt;0,M$1-A12," ")</f>
        <v>296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str">
        <f aca="false">IF((E12="o"),H12," ")</f>
        <v> 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n">
        <f aca="false">IF((E12="u"),H12," ")</f>
        <v>22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46" t="str">
        <f aca="false">IF((E12="v"),H12," ")</f>
        <v> </v>
      </c>
      <c r="AD12" s="46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</row>
    <row r="13" customFormat="false" ht="12" hidden="false" customHeight="false" outlineLevel="0" collapsed="false">
      <c r="A13" s="28" t="n">
        <v>45843</v>
      </c>
      <c r="B13" s="2" t="s">
        <v>86</v>
      </c>
      <c r="E13" s="5" t="s">
        <v>85</v>
      </c>
      <c r="F13" s="46" t="n">
        <v>24</v>
      </c>
      <c r="H13" s="6" t="n">
        <f aca="false">IF((F13&lt;&gt;0),F13-G13," ")</f>
        <v>24</v>
      </c>
      <c r="I13" s="5"/>
      <c r="L13" s="7" t="n">
        <f aca="false">IF(F13&lt;&gt;0,F13-K13," ")</f>
        <v>24</v>
      </c>
      <c r="M13" s="8" t="n">
        <f aca="false">IF((F13-K13)&lt;&gt;0,M$1-A13," ")</f>
        <v>294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24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46" t="str">
        <f aca="false">IF((E13="v"),H13," ")</f>
        <v> </v>
      </c>
      <c r="AD13" s="46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</row>
    <row r="14" customFormat="false" ht="12" hidden="false" customHeight="false" outlineLevel="0" collapsed="false">
      <c r="A14" s="28" t="n">
        <v>45843</v>
      </c>
      <c r="B14" s="2" t="s">
        <v>87</v>
      </c>
      <c r="E14" s="5" t="s">
        <v>88</v>
      </c>
      <c r="F14" s="46" t="n">
        <v>180</v>
      </c>
      <c r="H14" s="6" t="n">
        <f aca="false">IF((F14&lt;&gt;0),F14-G14," ")</f>
        <v>180</v>
      </c>
      <c r="I14" s="5"/>
      <c r="L14" s="7" t="n">
        <f aca="false">IF(F14&lt;&gt;0,F14-K14," ")</f>
        <v>180</v>
      </c>
      <c r="M14" s="8" t="n">
        <f aca="false">IF((F14-K14)&lt;&gt;0,M$1-A14," ")</f>
        <v>294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str">
        <f aca="false">IF((E14="u"),H14," ")</f>
        <v> 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46" t="n">
        <f aca="false">IF((E14="v"),H14," ")</f>
        <v>180</v>
      </c>
      <c r="AD14" s="46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</row>
    <row r="15" customFormat="false" ht="12" hidden="false" customHeight="false" outlineLevel="0" collapsed="false">
      <c r="A15" s="28" t="n">
        <v>45844</v>
      </c>
      <c r="B15" s="2" t="s">
        <v>111</v>
      </c>
      <c r="E15" s="5" t="s">
        <v>91</v>
      </c>
      <c r="F15" s="46" t="n">
        <v>60</v>
      </c>
      <c r="H15" s="6" t="n">
        <f aca="false">IF((F15&lt;&gt;0),F15-G15," ")</f>
        <v>60</v>
      </c>
      <c r="I15" s="5"/>
      <c r="L15" s="7" t="n">
        <f aca="false">IF(F15&lt;&gt;0,F15-K15," ")</f>
        <v>60</v>
      </c>
      <c r="M15" s="8" t="n">
        <f aca="false">IF((F15-K15)&lt;&gt;0,M$1-A15," ")</f>
        <v>293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str">
        <f aca="false">IF((E15="o"),H15," ")</f>
        <v> 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n">
        <f aca="false">IF((E15="h"),H15," ")</f>
        <v>60</v>
      </c>
      <c r="AC15" s="46" t="str">
        <f aca="false">IF((E15="v"),H15," ")</f>
        <v> </v>
      </c>
      <c r="AD15" s="46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</row>
    <row r="16" customFormat="false" ht="12" hidden="false" customHeight="false" outlineLevel="0" collapsed="false">
      <c r="A16" s="28" t="n">
        <v>45846</v>
      </c>
      <c r="B16" s="2" t="s">
        <v>90</v>
      </c>
      <c r="E16" s="5" t="s">
        <v>91</v>
      </c>
      <c r="F16" s="46" t="n">
        <v>48</v>
      </c>
      <c r="H16" s="6" t="n">
        <f aca="false">IF((F16&lt;&gt;0),F16-G16," ")</f>
        <v>48</v>
      </c>
      <c r="I16" s="5"/>
      <c r="L16" s="7" t="n">
        <f aca="false">IF(F16&lt;&gt;0,F16-K16," ")</f>
        <v>48</v>
      </c>
      <c r="M16" s="8" t="n">
        <f aca="false">IF((F16-K16)&lt;&gt;0,M$1-A16," ")</f>
        <v>291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n">
        <f aca="false">IF((E16="h"),H16," ")</f>
        <v>48</v>
      </c>
      <c r="AC16" s="46" t="str">
        <f aca="false">IF((E16="v"),H16," ")</f>
        <v> </v>
      </c>
      <c r="AD16" s="46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</row>
    <row r="17" customFormat="false" ht="12" hidden="false" customHeight="false" outlineLevel="0" collapsed="false">
      <c r="A17" s="28" t="n">
        <v>45846</v>
      </c>
      <c r="B17" s="2" t="s">
        <v>112</v>
      </c>
      <c r="E17" s="5" t="s">
        <v>113</v>
      </c>
      <c r="F17" s="46" t="n">
        <v>240</v>
      </c>
      <c r="H17" s="6" t="n">
        <f aca="false">IF((F17&lt;&gt;0),F17-G17," ")</f>
        <v>240</v>
      </c>
      <c r="I17" s="5"/>
      <c r="L17" s="7" t="n">
        <f aca="false">IF(F17&lt;&gt;0,F17-K17," ")</f>
        <v>240</v>
      </c>
      <c r="M17" s="8" t="n">
        <f aca="false">IF((F17-K17)&lt;&gt;0,M$1-A17," ")</f>
        <v>291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n">
        <f aca="false">IF((E17="q"),H17," ")</f>
        <v>240</v>
      </c>
      <c r="X17" s="17" t="str">
        <f aca="false">IF((E17="m"),H17," ")</f>
        <v> </v>
      </c>
      <c r="Y17" s="17" t="str">
        <f aca="false">IF((E17="u"),H17," ")</f>
        <v> </v>
      </c>
      <c r="Z17" s="17" t="str">
        <f aca="false">IF((E17="a"),H17," ")</f>
        <v> </v>
      </c>
      <c r="AA17" s="17" t="str">
        <f aca="false">IF((E17="g"),H17," ")</f>
        <v> </v>
      </c>
      <c r="AB17" s="17" t="str">
        <f aca="false">IF((E17="h"),H17," ")</f>
        <v> </v>
      </c>
      <c r="AC17" s="46" t="str">
        <f aca="false">IF((E17="v"),H17," ")</f>
        <v> </v>
      </c>
      <c r="AD17" s="46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</row>
    <row r="18" customFormat="false" ht="12" hidden="false" customHeight="false" outlineLevel="0" collapsed="false">
      <c r="A18" s="28" t="n">
        <v>45848</v>
      </c>
      <c r="B18" s="2" t="s">
        <v>92</v>
      </c>
      <c r="E18" s="5" t="s">
        <v>85</v>
      </c>
      <c r="F18" s="46" t="n">
        <v>36</v>
      </c>
      <c r="H18" s="6" t="n">
        <f aca="false">IF((F18&lt;&gt;0),F18-G18," ")</f>
        <v>36</v>
      </c>
      <c r="I18" s="5"/>
      <c r="L18" s="7" t="n">
        <f aca="false">IF(F18&lt;&gt;0,F18-K18," ")</f>
        <v>36</v>
      </c>
      <c r="M18" s="8" t="n">
        <f aca="false">IF((F18-K18)&lt;&gt;0,M$1-A18," ")</f>
        <v>289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n">
        <f aca="false">IF((E18="u"),H18," ")</f>
        <v>36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46" t="str">
        <f aca="false">IF((E18="v"),H18," ")</f>
        <v> </v>
      </c>
      <c r="AD18" s="46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</row>
    <row r="19" customFormat="false" ht="12" hidden="false" customHeight="false" outlineLevel="0" collapsed="false">
      <c r="A19" s="28" t="n">
        <v>45848</v>
      </c>
      <c r="B19" s="2" t="s">
        <v>114</v>
      </c>
      <c r="E19" s="5" t="s">
        <v>115</v>
      </c>
      <c r="F19" s="46" t="n">
        <v>600</v>
      </c>
      <c r="H19" s="6" t="n">
        <f aca="false">IF((F19&lt;&gt;0),F19-G19," ")</f>
        <v>600</v>
      </c>
      <c r="I19" s="5"/>
      <c r="L19" s="7" t="n">
        <f aca="false">IF(F19&lt;&gt;0,F19-K19," ")</f>
        <v>600</v>
      </c>
      <c r="M19" s="8" t="n">
        <f aca="false">IF((F19-K19)&lt;&gt;0,M$1-A19," ")</f>
        <v>289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n">
        <f aca="false">IF((E19="a"),H19," ")</f>
        <v>600</v>
      </c>
      <c r="AA19" s="17" t="str">
        <f aca="false">IF((E19="g"),H19," ")</f>
        <v> </v>
      </c>
      <c r="AB19" s="17" t="str">
        <f aca="false">IF((E19="h"),H19," ")</f>
        <v> </v>
      </c>
      <c r="AC19" s="46" t="str">
        <f aca="false">IF((E19="v"),H19," ")</f>
        <v> </v>
      </c>
      <c r="AD19" s="46" t="str">
        <f aca="false">IF((E19="n"),H19," ")</f>
        <v> </v>
      </c>
      <c r="AE19" s="17" t="str">
        <f aca="false">IF((E19="f"),H19," ")</f>
        <v> 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</row>
    <row r="20" customFormat="false" ht="12" hidden="false" customHeight="false" outlineLevel="0" collapsed="false">
      <c r="A20" s="28" t="n">
        <v>45850</v>
      </c>
      <c r="B20" s="2" t="s">
        <v>97</v>
      </c>
      <c r="E20" s="5" t="s">
        <v>88</v>
      </c>
      <c r="F20" s="46" t="n">
        <v>18</v>
      </c>
      <c r="H20" s="6" t="n">
        <f aca="false">IF((F20&lt;&gt;0),F20-G20," ")</f>
        <v>18</v>
      </c>
      <c r="I20" s="5"/>
      <c r="L20" s="7" t="n">
        <f aca="false">IF(F20&lt;&gt;0,F20-K20," ")</f>
        <v>18</v>
      </c>
      <c r="M20" s="8" t="n">
        <f aca="false">IF((F20-K20)&lt;&gt;0,M$1-A20," ")</f>
        <v>287</v>
      </c>
      <c r="N20" s="5"/>
      <c r="O20" s="17" t="str">
        <f aca="false">IF((E20="s"),H20," ")</f>
        <v> 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46" t="n">
        <f aca="false">IF((E20="v"),H20," ")</f>
        <v>18</v>
      </c>
      <c r="AD20" s="46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</row>
    <row r="21" customFormat="false" ht="12" hidden="false" customHeight="false" outlineLevel="0" collapsed="false">
      <c r="A21" s="28" t="n">
        <v>45852</v>
      </c>
      <c r="B21" s="2" t="s">
        <v>99</v>
      </c>
      <c r="E21" s="5" t="s">
        <v>91</v>
      </c>
      <c r="F21" s="46" t="n">
        <v>24</v>
      </c>
      <c r="H21" s="6" t="n">
        <f aca="false">IF((F21&lt;&gt;0),F21-G21," ")</f>
        <v>24</v>
      </c>
      <c r="I21" s="5"/>
      <c r="L21" s="7" t="n">
        <f aca="false">IF(F21&lt;&gt;0,F21-K21," ")</f>
        <v>24</v>
      </c>
      <c r="M21" s="8" t="n">
        <f aca="false">IF((F21-K21)&lt;&gt;0,M$1-A21," ")</f>
        <v>285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n">
        <f aca="false">IF((E21="h"),H21," ")</f>
        <v>24</v>
      </c>
      <c r="AC21" s="46" t="str">
        <f aca="false">IF((E21="v"),H21," ")</f>
        <v> </v>
      </c>
      <c r="AD21" s="46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</row>
    <row r="22" customFormat="false" ht="12" hidden="false" customHeight="false" outlineLevel="0" collapsed="false">
      <c r="A22" s="28" t="n">
        <v>45852</v>
      </c>
      <c r="B22" s="2" t="s">
        <v>100</v>
      </c>
      <c r="E22" s="5" t="s">
        <v>91</v>
      </c>
      <c r="F22" s="46" t="n">
        <v>12</v>
      </c>
      <c r="H22" s="6" t="n">
        <f aca="false">IF((F22&lt;&gt;0),F22-G22," ")</f>
        <v>12</v>
      </c>
      <c r="I22" s="5"/>
      <c r="L22" s="7" t="n">
        <f aca="false">IF(F22&lt;&gt;0,F22-K22," ")</f>
        <v>12</v>
      </c>
      <c r="M22" s="8" t="n">
        <f aca="false">IF((F22-K22)&lt;&gt;0,M$1-A22," ")</f>
        <v>285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n">
        <f aca="false">IF((E22="h"),H22," ")</f>
        <v>12</v>
      </c>
      <c r="AC22" s="46" t="str">
        <f aca="false">IF((E22="v"),H22," ")</f>
        <v> </v>
      </c>
      <c r="AD22" s="46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</row>
    <row r="23" customFormat="false" ht="12" hidden="false" customHeight="false" outlineLevel="0" collapsed="false">
      <c r="A23" s="28" t="n">
        <v>45853</v>
      </c>
      <c r="B23" s="2" t="s">
        <v>20</v>
      </c>
      <c r="E23" s="5" t="s">
        <v>88</v>
      </c>
      <c r="F23" s="46" t="n">
        <v>150</v>
      </c>
      <c r="H23" s="6" t="n">
        <f aca="false">IF((F23&lt;&gt;0),F23-G23," ")</f>
        <v>150</v>
      </c>
      <c r="I23" s="5"/>
      <c r="L23" s="7" t="n">
        <f aca="false">IF(F23&lt;&gt;0,F23-K23," ")</f>
        <v>150</v>
      </c>
      <c r="M23" s="8" t="n">
        <f aca="false">IF((F23-K23)&lt;&gt;0,M$1-A23," ")</f>
        <v>284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str">
        <f aca="false">IF((E23="h"),H23," ")</f>
        <v> </v>
      </c>
      <c r="AC23" s="46" t="n">
        <f aca="false">IF((E23="v"),H23," ")</f>
        <v>150</v>
      </c>
      <c r="AD23" s="46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</row>
    <row r="24" customFormat="false" ht="12" hidden="false" customHeight="false" outlineLevel="0" collapsed="false">
      <c r="A24" s="28" t="n">
        <v>45853</v>
      </c>
      <c r="B24" s="2" t="s">
        <v>101</v>
      </c>
      <c r="E24" s="5" t="s">
        <v>75</v>
      </c>
      <c r="F24" s="46" t="n">
        <v>12</v>
      </c>
      <c r="H24" s="6" t="n">
        <f aca="false">IF((F24&lt;&gt;0),F24-G24," ")</f>
        <v>12</v>
      </c>
      <c r="I24" s="5"/>
      <c r="L24" s="7" t="n">
        <f aca="false">IF(F24&lt;&gt;0,F24-K24," ")</f>
        <v>12</v>
      </c>
      <c r="M24" s="8" t="n">
        <f aca="false">IF((F24-K24)&lt;&gt;0,M$1-A24," ")</f>
        <v>284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n">
        <f aca="false">IF((E24="g"),H24," ")</f>
        <v>12</v>
      </c>
      <c r="AB24" s="17" t="str">
        <f aca="false">IF((E24="h"),H24," ")</f>
        <v> </v>
      </c>
      <c r="AC24" s="46" t="str">
        <f aca="false">IF((E24="v"),H24," ")</f>
        <v> </v>
      </c>
      <c r="AD24" s="46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</row>
    <row r="25" customFormat="false" ht="12" hidden="false" customHeight="false" outlineLevel="0" collapsed="false">
      <c r="A25" s="28" t="n">
        <v>45853</v>
      </c>
      <c r="B25" s="2" t="s">
        <v>116</v>
      </c>
      <c r="E25" s="5" t="s">
        <v>96</v>
      </c>
      <c r="F25" s="46" t="n">
        <v>480</v>
      </c>
      <c r="H25" s="6" t="n">
        <f aca="false">IF((F25&lt;&gt;0),F25-G25," ")</f>
        <v>480</v>
      </c>
      <c r="I25" s="5"/>
      <c r="L25" s="7" t="n">
        <f aca="false">IF(F25&lt;&gt;0,F25-K25," ")</f>
        <v>480</v>
      </c>
      <c r="M25" s="8" t="n">
        <f aca="false">IF((F25-K25)&lt;&gt;0,M$1-A25," ")</f>
        <v>284</v>
      </c>
      <c r="N25" s="5"/>
      <c r="O25" s="17" t="n">
        <f aca="false">IF((E25="s"),H25," ")</f>
        <v>480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str">
        <f aca="false">IF((E25="g"),H25," ")</f>
        <v> </v>
      </c>
      <c r="AB25" s="17" t="str">
        <f aca="false">IF((E25="h"),H25," ")</f>
        <v> </v>
      </c>
      <c r="AC25" s="46" t="str">
        <f aca="false">IF((E25="v"),H25," ")</f>
        <v> </v>
      </c>
      <c r="AD25" s="46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</row>
    <row r="26" customFormat="false" ht="12" hidden="false" customHeight="false" outlineLevel="0" collapsed="false">
      <c r="A26" s="28" t="n">
        <v>45853</v>
      </c>
      <c r="B26" s="2" t="s">
        <v>117</v>
      </c>
      <c r="E26" s="5" t="s">
        <v>118</v>
      </c>
      <c r="F26" s="46" t="n">
        <v>1800</v>
      </c>
      <c r="H26" s="6" t="n">
        <f aca="false">IF((F26&lt;&gt;0),F26-G26," ")</f>
        <v>1800</v>
      </c>
      <c r="I26" s="5"/>
      <c r="L26" s="7" t="n">
        <f aca="false">IF(F26&lt;&gt;0,F26-K26," ")</f>
        <v>1800</v>
      </c>
      <c r="M26" s="8" t="n">
        <f aca="false">IF((F26-K26)&lt;&gt;0,M$1-A26," ")</f>
        <v>284</v>
      </c>
      <c r="N26" s="5"/>
      <c r="O26" s="17" t="str">
        <f aca="false">IF((E26="s"),H26," ")</f>
        <v> 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str">
        <f aca="false">IF((E26="g"),H26," ")</f>
        <v> </v>
      </c>
      <c r="AB26" s="17" t="str">
        <f aca="false">IF((E26="h"),H26," ")</f>
        <v> </v>
      </c>
      <c r="AC26" s="46" t="str">
        <f aca="false">IF((E26="v"),H26," ")</f>
        <v> </v>
      </c>
      <c r="AD26" s="46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n">
        <f aca="false">IF((E26="fa"),H26," ")</f>
        <v>1800</v>
      </c>
    </row>
    <row r="27" customFormat="false" ht="12" hidden="false" customHeight="false" outlineLevel="0" collapsed="false">
      <c r="A27" s="28" t="n">
        <v>45854</v>
      </c>
      <c r="B27" s="2" t="s">
        <v>119</v>
      </c>
      <c r="E27" s="5" t="s">
        <v>75</v>
      </c>
      <c r="F27" s="46" t="n">
        <v>18</v>
      </c>
      <c r="H27" s="6" t="n">
        <f aca="false">IF((F27&lt;&gt;0),F27-G27," ")</f>
        <v>18</v>
      </c>
      <c r="I27" s="5"/>
      <c r="L27" s="7" t="n">
        <f aca="false">IF(F27&lt;&gt;0,F27-K27," ")</f>
        <v>18</v>
      </c>
      <c r="M27" s="8" t="n">
        <f aca="false">IF((F27-K27)&lt;&gt;0,M$1-A27," ")</f>
        <v>283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n">
        <f aca="false">IF((E27="g"),H27," ")</f>
        <v>18</v>
      </c>
      <c r="AB27" s="17" t="str">
        <f aca="false">IF((E27="h"),H27," ")</f>
        <v> </v>
      </c>
      <c r="AC27" s="46" t="str">
        <f aca="false">IF((E27="v"),H27," ")</f>
        <v> </v>
      </c>
      <c r="AD27" s="46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</row>
    <row r="28" customFormat="false" ht="12" hidden="false" customHeight="false" outlineLevel="0" collapsed="false">
      <c r="A28" s="28" t="n">
        <v>45856</v>
      </c>
      <c r="B28" s="2" t="s">
        <v>102</v>
      </c>
      <c r="E28" s="5" t="s">
        <v>88</v>
      </c>
      <c r="F28" s="46" t="n">
        <v>96</v>
      </c>
      <c r="H28" s="6" t="n">
        <f aca="false">IF((F28&lt;&gt;0),F28-G28," ")</f>
        <v>96</v>
      </c>
      <c r="I28" s="5"/>
      <c r="L28" s="7" t="n">
        <f aca="false">IF(F28&lt;&gt;0,F28-K28," ")</f>
        <v>96</v>
      </c>
      <c r="M28" s="8" t="n">
        <f aca="false">IF((F28-K28)&lt;&gt;0,M$1-A28," ")</f>
        <v>281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str">
        <f aca="false">IF((E28="g"),H28," ")</f>
        <v> </v>
      </c>
      <c r="AB28" s="17" t="str">
        <f aca="false">IF((E28="h"),H28," ")</f>
        <v> </v>
      </c>
      <c r="AC28" s="46" t="n">
        <f aca="false">IF((E28="v"),H28," ")</f>
        <v>96</v>
      </c>
      <c r="AD28" s="46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</row>
    <row r="29" customFormat="false" ht="12" hidden="false" customHeight="false" outlineLevel="0" collapsed="false">
      <c r="A29" s="28" t="n">
        <v>45858</v>
      </c>
      <c r="B29" s="2" t="s">
        <v>103</v>
      </c>
      <c r="E29" s="5" t="s">
        <v>75</v>
      </c>
      <c r="F29" s="46" t="n">
        <v>60</v>
      </c>
      <c r="H29" s="6" t="n">
        <f aca="false">IF((F29&lt;&gt;0),F29-G29," ")</f>
        <v>60</v>
      </c>
      <c r="I29" s="5"/>
      <c r="L29" s="7" t="n">
        <f aca="false">IF(F29&lt;&gt;0,F29-K29," ")</f>
        <v>60</v>
      </c>
      <c r="M29" s="8" t="n">
        <f aca="false">IF((F29-K29)&lt;&gt;0,M$1-A29," ")</f>
        <v>279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n">
        <f aca="false">IF((E29="g"),H29," ")</f>
        <v>60</v>
      </c>
      <c r="AB29" s="17" t="str">
        <f aca="false">IF((E29="h"),H29," ")</f>
        <v> </v>
      </c>
      <c r="AC29" s="46" t="str">
        <f aca="false">IF((E29="v"),H29," ")</f>
        <v> </v>
      </c>
      <c r="AD29" s="46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</row>
    <row r="30" customFormat="false" ht="12" hidden="false" customHeight="false" outlineLevel="0" collapsed="false">
      <c r="A30" s="28" t="n">
        <v>45858</v>
      </c>
      <c r="B30" s="2" t="s">
        <v>120</v>
      </c>
      <c r="E30" s="5" t="s">
        <v>121</v>
      </c>
      <c r="F30" s="46" t="n">
        <v>180</v>
      </c>
      <c r="H30" s="6" t="n">
        <f aca="false">IF((F30&lt;&gt;0),F30-G30," ")</f>
        <v>180</v>
      </c>
      <c r="I30" s="5"/>
      <c r="L30" s="7" t="n">
        <f aca="false">IF(F30&lt;&gt;0,F30-K30," ")</f>
        <v>180</v>
      </c>
      <c r="M30" s="8" t="n">
        <f aca="false">IF((F30-K30)&lt;&gt;0,M$1-A30," ")</f>
        <v>279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n">
        <f aca="false">IF((E30="t"),H30," ")</f>
        <v>180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str">
        <f aca="false">IF((E30="g"),H30," ")</f>
        <v> </v>
      </c>
      <c r="AB30" s="17" t="str">
        <f aca="false">IF((E30="h"),H30," ")</f>
        <v> </v>
      </c>
      <c r="AC30" s="46" t="str">
        <f aca="false">IF((E30="v"),H30," ")</f>
        <v> </v>
      </c>
      <c r="AD30" s="46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</row>
    <row r="31" customFormat="false" ht="12" hidden="false" customHeight="false" outlineLevel="0" collapsed="false">
      <c r="A31" s="28" t="n">
        <v>45858</v>
      </c>
      <c r="B31" s="2" t="s">
        <v>122</v>
      </c>
      <c r="E31" s="5" t="s">
        <v>96</v>
      </c>
      <c r="F31" s="46" t="n">
        <v>240</v>
      </c>
      <c r="H31" s="6" t="n">
        <f aca="false">IF((F31&lt;&gt;0),F31-G31," ")</f>
        <v>240</v>
      </c>
      <c r="I31" s="5"/>
      <c r="L31" s="7" t="n">
        <f aca="false">IF(F31&lt;&gt;0,F31-K31," ")</f>
        <v>240</v>
      </c>
      <c r="M31" s="8" t="n">
        <f aca="false">IF((F31-K31)&lt;&gt;0,M$1-A31," ")</f>
        <v>279</v>
      </c>
      <c r="N31" s="5"/>
      <c r="O31" s="17" t="n">
        <f aca="false">IF((E31="s"),H31," ")</f>
        <v>240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str">
        <f aca="false">IF((E31="u"),H31," ")</f>
        <v> 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46" t="str">
        <f aca="false">IF((E31="v"),H31," ")</f>
        <v> </v>
      </c>
      <c r="AD31" s="46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</row>
    <row r="32" customFormat="false" ht="12" hidden="false" customHeight="false" outlineLevel="0" collapsed="false">
      <c r="A32" s="28" t="n">
        <v>45859</v>
      </c>
      <c r="B32" s="2" t="s">
        <v>106</v>
      </c>
      <c r="E32" s="5" t="s">
        <v>91</v>
      </c>
      <c r="F32" s="46" t="n">
        <v>8</v>
      </c>
      <c r="H32" s="6" t="n">
        <f aca="false">IF((F32&lt;&gt;0),F32-G32," ")</f>
        <v>8</v>
      </c>
      <c r="I32" s="5"/>
      <c r="L32" s="7" t="n">
        <f aca="false">IF(F32&lt;&gt;0,F32-K32," ")</f>
        <v>8</v>
      </c>
      <c r="M32" s="8" t="n">
        <f aca="false">IF((F32-K32)&lt;&gt;0,M$1-A32," ")</f>
        <v>278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str">
        <f aca="false">IF((E32="u"),H32," ")</f>
        <v> </v>
      </c>
      <c r="Z32" s="17" t="str">
        <f aca="false">IF((E32="a"),H32," ")</f>
        <v> </v>
      </c>
      <c r="AA32" s="17" t="str">
        <f aca="false">IF((E32="g"),H32," ")</f>
        <v> </v>
      </c>
      <c r="AB32" s="17" t="n">
        <f aca="false">IF((E32="h"),H32," ")</f>
        <v>8</v>
      </c>
      <c r="AC32" s="46" t="str">
        <f aca="false">IF((E32="v"),H32," ")</f>
        <v> </v>
      </c>
      <c r="AD32" s="46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</row>
    <row r="33" customFormat="false" ht="12" hidden="false" customHeight="false" outlineLevel="0" collapsed="false">
      <c r="A33" s="28" t="n">
        <v>45860</v>
      </c>
      <c r="B33" s="2" t="s">
        <v>107</v>
      </c>
      <c r="E33" s="5" t="s">
        <v>85</v>
      </c>
      <c r="F33" s="46" t="n">
        <v>18</v>
      </c>
      <c r="H33" s="6" t="n">
        <f aca="false">IF((F33&lt;&gt;0),F33-G33," ")</f>
        <v>18</v>
      </c>
      <c r="I33" s="5"/>
      <c r="L33" s="7" t="n">
        <f aca="false">IF(F33&lt;&gt;0,F33-K33," ")</f>
        <v>18</v>
      </c>
      <c r="M33" s="8" t="n">
        <f aca="false">IF((F33-K33)&lt;&gt;0,M$1-A33," ")</f>
        <v>277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n">
        <f aca="false">IF((E33="u"),H33," ")</f>
        <v>18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46" t="str">
        <f aca="false">IF((E33="v"),H33," ")</f>
        <v> </v>
      </c>
      <c r="AD33" s="46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</row>
    <row r="34" customFormat="false" ht="12" hidden="false" customHeight="false" outlineLevel="0" collapsed="false">
      <c r="A34" s="28" t="n">
        <v>45860</v>
      </c>
      <c r="B34" s="2" t="s">
        <v>123</v>
      </c>
      <c r="E34" s="5" t="s">
        <v>88</v>
      </c>
      <c r="F34" s="46" t="n">
        <v>48</v>
      </c>
      <c r="H34" s="6" t="n">
        <f aca="false">IF((F34&lt;&gt;0),F34-G34," ")</f>
        <v>48</v>
      </c>
      <c r="I34" s="5"/>
      <c r="L34" s="7" t="n">
        <f aca="false">IF(F34&lt;&gt;0,F34-K34," ")</f>
        <v>48</v>
      </c>
      <c r="M34" s="8" t="n">
        <f aca="false">IF((F34-K34)&lt;&gt;0,M$1-A34," ")</f>
        <v>277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str">
        <f aca="false">IF((E34="u"),H34," ")</f>
        <v> 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46" t="n">
        <f aca="false">IF((E34="v"),H34," ")</f>
        <v>48</v>
      </c>
      <c r="AD34" s="46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</row>
    <row r="35" customFormat="false" ht="12" hidden="false" customHeight="false" outlineLevel="0" collapsed="false">
      <c r="A35" s="28" t="n">
        <v>45863</v>
      </c>
      <c r="B35" s="2" t="s">
        <v>108</v>
      </c>
      <c r="E35" s="5" t="s">
        <v>85</v>
      </c>
      <c r="F35" s="46" t="n">
        <v>15</v>
      </c>
      <c r="H35" s="6" t="n">
        <f aca="false">IF((F35&lt;&gt;0),F35-G35," ")</f>
        <v>15</v>
      </c>
      <c r="I35" s="5"/>
      <c r="L35" s="7" t="n">
        <f aca="false">IF(F35&lt;&gt;0,F35-K35," ")</f>
        <v>15</v>
      </c>
      <c r="M35" s="8" t="n">
        <f aca="false">IF((F35-K35)&lt;&gt;0,M$1-A35," ")</f>
        <v>274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n">
        <f aca="false">IF((E35="u"),H35," ")</f>
        <v>15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46" t="str">
        <f aca="false">IF((E35="v"),H35," ")</f>
        <v> </v>
      </c>
      <c r="AD35" s="46" t="str">
        <f aca="false">IF((E35="n"),H35," ")</f>
        <v> </v>
      </c>
      <c r="AE35" s="17" t="str">
        <f aca="false">IF((E35="f"),H35," ")</f>
        <v> </v>
      </c>
      <c r="AF35" s="17" t="str">
        <f aca="false">IF((E35="l"),H35," ")</f>
        <v> 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</row>
    <row r="36" customFormat="false" ht="12" hidden="false" customHeight="false" outlineLevel="0" collapsed="false">
      <c r="A36" s="28" t="n">
        <v>45863</v>
      </c>
      <c r="B36" s="2" t="s">
        <v>109</v>
      </c>
      <c r="E36" s="5" t="s">
        <v>88</v>
      </c>
      <c r="F36" s="46" t="n">
        <v>54</v>
      </c>
      <c r="H36" s="6" t="n">
        <f aca="false">IF((F36&lt;&gt;0),F36-G36," ")</f>
        <v>54</v>
      </c>
      <c r="I36" s="5"/>
      <c r="L36" s="7" t="n">
        <f aca="false">IF(F36&lt;&gt;0,F36-K36," ")</f>
        <v>54</v>
      </c>
      <c r="M36" s="8" t="n">
        <f aca="false">IF((F36-K36)&lt;&gt;0,M$1-A36," ")</f>
        <v>274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46" t="n">
        <f aca="false">IF((E36="v"),H36," ")</f>
        <v>54</v>
      </c>
      <c r="AD36" s="46" t="str">
        <f aca="false">IF((E36="n"),H36," ")</f>
        <v> </v>
      </c>
      <c r="AE36" s="17" t="str">
        <f aca="false">IF((E36="f"),H36," ")</f>
        <v> </v>
      </c>
      <c r="AF36" s="17" t="str">
        <f aca="false">IF((E36="l"),H36," ")</f>
        <v> 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</row>
    <row r="37" customFormat="false" ht="12" hidden="false" customHeight="false" outlineLevel="0" collapsed="false">
      <c r="A37" s="28" t="n">
        <v>45866</v>
      </c>
      <c r="B37" s="2" t="s">
        <v>20</v>
      </c>
      <c r="E37" s="5" t="s">
        <v>88</v>
      </c>
      <c r="F37" s="46" t="n">
        <v>120</v>
      </c>
      <c r="H37" s="6" t="n">
        <f aca="false">IF((F37&lt;&gt;0),F37-G37," ")</f>
        <v>120</v>
      </c>
      <c r="I37" s="5"/>
      <c r="L37" s="7" t="n">
        <f aca="false">IF(F37&lt;&gt;0,F37-K37," ")</f>
        <v>120</v>
      </c>
      <c r="M37" s="8" t="n">
        <f aca="false">IF((F37-K37)&lt;&gt;0,M$1-A37," ")</f>
        <v>271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46" t="n">
        <f aca="false">IF((E37="v"),H37," ")</f>
        <v>120</v>
      </c>
      <c r="AD37" s="46" t="str">
        <f aca="false">IF((E37="n"),H37," ")</f>
        <v> </v>
      </c>
      <c r="AE37" s="17" t="str">
        <f aca="false">IF((E37="f"),H37," ")</f>
        <v> </v>
      </c>
      <c r="AF37" s="17" t="str">
        <f aca="false">IF((E37="l"),H37," ")</f>
        <v> 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</row>
    <row r="38" customFormat="false" ht="12" hidden="false" customHeight="false" outlineLevel="0" collapsed="false">
      <c r="A38" s="28" t="n">
        <v>45869</v>
      </c>
      <c r="B38" s="2" t="s">
        <v>16</v>
      </c>
      <c r="E38" s="5" t="s">
        <v>110</v>
      </c>
      <c r="F38" s="46" t="n">
        <v>300</v>
      </c>
      <c r="H38" s="6" t="n">
        <f aca="false">IF((F38&lt;&gt;0),F38-G38," ")</f>
        <v>300</v>
      </c>
      <c r="I38" s="5"/>
      <c r="L38" s="7" t="n">
        <f aca="false">IF(F38&lt;&gt;0,F38-K38," ")</f>
        <v>300</v>
      </c>
      <c r="M38" s="8" t="n">
        <f aca="false">IF((F38-K38)&lt;&gt;0,M$1-A38," ")</f>
        <v>268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46" t="str">
        <f aca="false">IF((E38="v"),H38," ")</f>
        <v> </v>
      </c>
      <c r="AD38" s="46" t="str">
        <f aca="false">IF((E38="n"),H38," ")</f>
        <v> </v>
      </c>
      <c r="AE38" s="17" t="str">
        <f aca="false">IF((E38="f"),H38," ")</f>
        <v> </v>
      </c>
      <c r="AF38" s="17" t="n">
        <f aca="false">IF((E38="l"),H38," ")</f>
        <v>300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</row>
    <row r="39" customFormat="false" ht="12" hidden="false" customHeight="false" outlineLevel="0" collapsed="false">
      <c r="A39" s="28"/>
      <c r="E39" s="2"/>
      <c r="F39" s="46"/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46" t="str">
        <f aca="false">IF((E39="v"),H39," ")</f>
        <v> </v>
      </c>
      <c r="AD39" s="46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</row>
    <row r="40" customFormat="false" ht="12" hidden="false" customHeight="false" outlineLevel="0" collapsed="false">
      <c r="A40" s="28"/>
      <c r="E40" s="2"/>
      <c r="F40" s="46"/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46" t="str">
        <f aca="false">IF((E40="v"),H40," ")</f>
        <v> </v>
      </c>
      <c r="AD40" s="46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</row>
    <row r="41" customFormat="false" ht="12" hidden="false" customHeight="false" outlineLevel="0" collapsed="false">
      <c r="A41" s="28"/>
      <c r="E41" s="2"/>
      <c r="F41" s="46"/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46" t="str">
        <f aca="false">IF((E41="v"),H41," ")</f>
        <v> </v>
      </c>
      <c r="AD41" s="46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</row>
    <row r="42" customFormat="false" ht="12" hidden="false" customHeight="false" outlineLevel="0" collapsed="false">
      <c r="A42" s="28"/>
      <c r="E42" s="2"/>
      <c r="F42" s="46"/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46" t="str">
        <f aca="false">IF((E42="v"),H42," ")</f>
        <v> </v>
      </c>
      <c r="AD42" s="46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</row>
    <row r="43" customFormat="false" ht="12" hidden="false" customHeight="false" outlineLevel="0" collapsed="false">
      <c r="A43" s="28"/>
      <c r="E43" s="2"/>
      <c r="F43" s="46"/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46" t="str">
        <f aca="false">IF((E43="v"),H43," ")</f>
        <v> </v>
      </c>
      <c r="AD43" s="46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</row>
    <row r="44" customFormat="false" ht="12" hidden="false" customHeight="false" outlineLevel="0" collapsed="false">
      <c r="A44" s="28"/>
      <c r="E44" s="2"/>
      <c r="F44" s="46"/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46" t="str">
        <f aca="false">IF((E44="v"),H44," ")</f>
        <v> </v>
      </c>
      <c r="AD44" s="46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</row>
    <row r="45" customFormat="false" ht="12" hidden="false" customHeight="false" outlineLevel="0" collapsed="false">
      <c r="A45" s="28"/>
      <c r="E45" s="2"/>
      <c r="F45" s="46"/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46" t="str">
        <f aca="false">IF((E45="v"),H45," ")</f>
        <v> </v>
      </c>
      <c r="AD45" s="46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</row>
    <row r="46" customFormat="false" ht="12" hidden="false" customHeight="false" outlineLevel="0" collapsed="false">
      <c r="A46" s="28"/>
      <c r="E46" s="2"/>
      <c r="F46" s="46"/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46" t="str">
        <f aca="false">IF((E46="v"),H46," ")</f>
        <v> </v>
      </c>
      <c r="AD46" s="46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</row>
    <row r="47" customFormat="false" ht="12" hidden="false" customHeight="false" outlineLevel="0" collapsed="false">
      <c r="A47" s="28"/>
      <c r="E47" s="2"/>
      <c r="F47" s="46"/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46" t="str">
        <f aca="false">IF((E47="v"),H47," ")</f>
        <v> </v>
      </c>
      <c r="AD47" s="46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</row>
    <row r="48" customFormat="false" ht="12" hidden="false" customHeight="false" outlineLevel="0" collapsed="false">
      <c r="A48" s="28"/>
      <c r="E48" s="2"/>
      <c r="F48" s="46"/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46" t="str">
        <f aca="false">IF((E48="v"),H48," ")</f>
        <v> </v>
      </c>
      <c r="AD48" s="46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</row>
    <row r="49" customFormat="false" ht="12" hidden="false" customHeight="false" outlineLevel="0" collapsed="false">
      <c r="A49" s="28"/>
      <c r="E49" s="2"/>
      <c r="F49" s="46"/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46" t="str">
        <f aca="false">IF((E49="v"),H49," ")</f>
        <v> </v>
      </c>
      <c r="AD49" s="46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</row>
    <row r="50" customFormat="false" ht="12" hidden="false" customHeight="false" outlineLevel="0" collapsed="false">
      <c r="A50" s="28"/>
      <c r="E50" s="2"/>
      <c r="F50" s="46"/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46" t="str">
        <f aca="false">IF((E50="v"),H50," ")</f>
        <v> </v>
      </c>
      <c r="AD50" s="46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</row>
    <row r="51" customFormat="false" ht="12" hidden="false" customHeight="false" outlineLevel="0" collapsed="false">
      <c r="A51" s="28"/>
      <c r="E51" s="2"/>
      <c r="F51" s="46"/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46" t="str">
        <f aca="false">IF((E51="v"),H51," ")</f>
        <v> </v>
      </c>
      <c r="AD51" s="46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</row>
    <row r="52" customFormat="false" ht="12" hidden="false" customHeight="false" outlineLevel="0" collapsed="false">
      <c r="A52" s="28"/>
      <c r="E52" s="2"/>
      <c r="F52" s="46"/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46" t="str">
        <f aca="false">IF((E52="v"),H52," ")</f>
        <v> </v>
      </c>
      <c r="AD52" s="46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</row>
    <row r="53" customFormat="false" ht="12" hidden="false" customHeight="false" outlineLevel="0" collapsed="false">
      <c r="A53" s="28"/>
      <c r="E53" s="2"/>
      <c r="F53" s="46"/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46" t="str">
        <f aca="false">IF((E53="v"),H53," ")</f>
        <v> </v>
      </c>
      <c r="AD53" s="46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</row>
    <row r="54" customFormat="false" ht="12" hidden="false" customHeight="false" outlineLevel="0" collapsed="false">
      <c r="A54" s="28"/>
      <c r="E54" s="2"/>
      <c r="F54" s="46"/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46" t="str">
        <f aca="false">IF((E54="v"),H54," ")</f>
        <v> </v>
      </c>
      <c r="AD54" s="46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</row>
    <row r="55" customFormat="false" ht="12" hidden="false" customHeight="false" outlineLevel="0" collapsed="false">
      <c r="A55" s="28"/>
      <c r="E55" s="2"/>
      <c r="F55" s="46"/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46" t="str">
        <f aca="false">IF((E55="v"),H55," ")</f>
        <v> </v>
      </c>
      <c r="AD55" s="46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</row>
    <row r="56" customFormat="false" ht="12" hidden="false" customHeight="false" outlineLevel="0" collapsed="false">
      <c r="A56" s="28"/>
      <c r="E56" s="2"/>
      <c r="F56" s="46"/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46" t="str">
        <f aca="false">IF((E56="v"),H56," ")</f>
        <v> </v>
      </c>
      <c r="AD56" s="46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</row>
    <row r="57" customFormat="false" ht="12" hidden="false" customHeight="false" outlineLevel="0" collapsed="false">
      <c r="A57" s="28"/>
      <c r="E57" s="2"/>
      <c r="F57" s="46"/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46" t="str">
        <f aca="false">IF((E57="v"),H57," ")</f>
        <v> </v>
      </c>
      <c r="AD57" s="46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</row>
    <row r="58" customFormat="false" ht="12" hidden="false" customHeight="false" outlineLevel="0" collapsed="false">
      <c r="A58" s="28"/>
      <c r="E58" s="2"/>
      <c r="F58" s="46"/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46" t="str">
        <f aca="false">IF((E58="v"),H58," ")</f>
        <v> </v>
      </c>
      <c r="AD58" s="46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</row>
    <row r="59" customFormat="false" ht="12" hidden="false" customHeight="false" outlineLevel="0" collapsed="false">
      <c r="A59" s="28"/>
      <c r="E59" s="2"/>
      <c r="F59" s="46"/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46" t="str">
        <f aca="false">IF((E59="v"),H59," ")</f>
        <v> </v>
      </c>
      <c r="AD59" s="46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</row>
    <row r="60" customFormat="false" ht="12" hidden="false" customHeight="false" outlineLevel="0" collapsed="false">
      <c r="A60" s="28"/>
      <c r="E60" s="2"/>
      <c r="F60" s="46"/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46" t="str">
        <f aca="false">IF((E60="v"),H60," ")</f>
        <v> </v>
      </c>
      <c r="AD60" s="46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</row>
    <row r="61" customFormat="false" ht="12" hidden="false" customHeight="false" outlineLevel="0" collapsed="false">
      <c r="A61" s="28"/>
      <c r="E61" s="2"/>
      <c r="F61" s="46"/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46" t="str">
        <f aca="false">IF((E61="v"),H61," ")</f>
        <v> </v>
      </c>
      <c r="AD61" s="46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</row>
    <row r="62" customFormat="false" ht="12" hidden="false" customHeight="false" outlineLevel="0" collapsed="false">
      <c r="A62" s="28"/>
      <c r="E62" s="2"/>
      <c r="F62" s="46"/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46" t="str">
        <f aca="false">IF((E62="v"),H62," ")</f>
        <v> </v>
      </c>
      <c r="AD62" s="46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</row>
    <row r="63" customFormat="false" ht="12" hidden="false" customHeight="false" outlineLevel="0" collapsed="false">
      <c r="A63" s="28"/>
      <c r="E63" s="2"/>
      <c r="F63" s="46"/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46" t="str">
        <f aca="false">IF((E63="v"),H63," ")</f>
        <v> </v>
      </c>
      <c r="AD63" s="46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</row>
    <row r="64" customFormat="false" ht="12" hidden="false" customHeight="false" outlineLevel="0" collapsed="false">
      <c r="A64" s="28"/>
      <c r="E64" s="2"/>
      <c r="F64" s="46"/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46" t="str">
        <f aca="false">IF((E64="v"),H64," ")</f>
        <v> </v>
      </c>
      <c r="AD64" s="46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</row>
    <row r="65" customFormat="false" ht="12" hidden="false" customHeight="false" outlineLevel="0" collapsed="false">
      <c r="A65" s="28"/>
      <c r="E65" s="2"/>
      <c r="F65" s="46"/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46" t="str">
        <f aca="false">IF((E65="v"),H65," ")</f>
        <v> </v>
      </c>
      <c r="AD65" s="46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</row>
    <row r="66" customFormat="false" ht="12" hidden="false" customHeight="false" outlineLevel="0" collapsed="false">
      <c r="A66" s="28"/>
      <c r="E66" s="2"/>
      <c r="F66" s="46"/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46" t="str">
        <f aca="false">IF((E66="v"),H66," ")</f>
        <v> </v>
      </c>
      <c r="AD66" s="46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</row>
    <row r="67" customFormat="false" ht="12" hidden="false" customHeight="false" outlineLevel="0" collapsed="false">
      <c r="A67" s="28"/>
      <c r="E67" s="2"/>
      <c r="F67" s="46"/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46" t="str">
        <f aca="false">IF((E67="v"),H67," ")</f>
        <v> </v>
      </c>
      <c r="AD67" s="46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</row>
    <row r="68" customFormat="false" ht="12" hidden="false" customHeight="false" outlineLevel="0" collapsed="false">
      <c r="A68" s="28"/>
      <c r="E68" s="2"/>
      <c r="F68" s="46"/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46" t="str">
        <f aca="false">IF((E68="v"),H68," ")</f>
        <v> </v>
      </c>
      <c r="AD68" s="46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</row>
    <row r="69" customFormat="false" ht="12" hidden="false" customHeight="false" outlineLevel="0" collapsed="false">
      <c r="A69" s="28"/>
      <c r="E69" s="2"/>
      <c r="F69" s="46"/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46" t="str">
        <f aca="false">IF((E69="v"),H69," ")</f>
        <v> </v>
      </c>
      <c r="AD69" s="46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46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46" t="str">
        <f aca="false">IF((E70="v"),H70," ")</f>
        <v> </v>
      </c>
      <c r="AD70" s="46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46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46" t="str">
        <f aca="false">IF((E71="v"),H71," ")</f>
        <v> </v>
      </c>
      <c r="AD71" s="46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46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46" t="str">
        <f aca="false">IF((E72="v"),H72," ")</f>
        <v> </v>
      </c>
      <c r="AD72" s="46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46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46" t="str">
        <f aca="false">IF((E73="v"),H73," ")</f>
        <v> </v>
      </c>
      <c r="AD73" s="46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46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46" t="str">
        <f aca="false">IF((E74="v"),H74," ")</f>
        <v> </v>
      </c>
      <c r="AD74" s="46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46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46" t="str">
        <f aca="false">IF((E75="v"),H75," ")</f>
        <v> </v>
      </c>
      <c r="AD75" s="46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46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46" t="str">
        <f aca="false">IF((E76="v"),H76," ")</f>
        <v> </v>
      </c>
      <c r="AD76" s="46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46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46" t="str">
        <f aca="false">IF((E77="v"),H77," ")</f>
        <v> </v>
      </c>
      <c r="AD77" s="46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46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46" t="str">
        <f aca="false">IF((E78="v"),H78," ")</f>
        <v> </v>
      </c>
      <c r="AD78" s="46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46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46" t="str">
        <f aca="false">IF((E79="v"),H79," ")</f>
        <v> </v>
      </c>
      <c r="AD79" s="46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46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46" t="str">
        <f aca="false">IF((E80="v"),H80," ")</f>
        <v> </v>
      </c>
      <c r="AD80" s="46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46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46" t="str">
        <f aca="false">IF((E81="v"),H81," ")</f>
        <v> </v>
      </c>
      <c r="AD81" s="46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46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46" t="str">
        <f aca="false">IF((E82="v"),H82," ")</f>
        <v> </v>
      </c>
      <c r="AD82" s="46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46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46" t="str">
        <f aca="false">IF((E83="v"),H83," ")</f>
        <v> </v>
      </c>
      <c r="AD83" s="46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46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46" t="str">
        <f aca="false">IF((E84="v"),H84," ")</f>
        <v> </v>
      </c>
      <c r="AD84" s="46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46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46" t="str">
        <f aca="false">IF((E85="v"),H85," ")</f>
        <v> </v>
      </c>
      <c r="AD85" s="46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46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46" t="str">
        <f aca="false">IF((E86="v"),H86," ")</f>
        <v> </v>
      </c>
      <c r="AD86" s="46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46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46" t="str">
        <f aca="false">IF((E87="v"),H87," ")</f>
        <v> </v>
      </c>
      <c r="AD87" s="46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46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46" t="str">
        <f aca="false">IF((E88="v"),H88," ")</f>
        <v> </v>
      </c>
      <c r="AD88" s="46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46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46" t="str">
        <f aca="false">IF((E89="v"),H89," ")</f>
        <v> </v>
      </c>
      <c r="AD89" s="46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46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46" t="str">
        <f aca="false">IF((E90="v"),H90," ")</f>
        <v> </v>
      </c>
      <c r="AD90" s="46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46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46" t="str">
        <f aca="false">IF((E91="v"),H91," ")</f>
        <v> </v>
      </c>
      <c r="AD91" s="46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46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46" t="str">
        <f aca="false">IF((E92="v"),H92," ")</f>
        <v> </v>
      </c>
      <c r="AD92" s="46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46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46" t="str">
        <f aca="false">IF((E93="v"),H93," ")</f>
        <v> </v>
      </c>
      <c r="AD93" s="46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46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46" t="str">
        <f aca="false">IF((E94="v"),H94," ")</f>
        <v> </v>
      </c>
      <c r="AD94" s="46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46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46" t="str">
        <f aca="false">IF((E95="v"),H95," ")</f>
        <v> </v>
      </c>
      <c r="AD95" s="46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46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46" t="str">
        <f aca="false">IF((E96="v"),H96," ")</f>
        <v> </v>
      </c>
      <c r="AD96" s="46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46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46" t="str">
        <f aca="false">IF((E97="v"),H97," ")</f>
        <v> </v>
      </c>
      <c r="AD97" s="46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46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46" t="str">
        <f aca="false">IF((E98="v"),H98," ")</f>
        <v> </v>
      </c>
      <c r="AD98" s="46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46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46" t="str">
        <f aca="false">IF((E99="v"),H99," ")</f>
        <v> </v>
      </c>
      <c r="AD99" s="46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46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46" t="str">
        <f aca="false">IF((E100="v"),H100," ")</f>
        <v> </v>
      </c>
      <c r="AD100" s="46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46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46" t="str">
        <f aca="false">IF((E101="v"),H101," ")</f>
        <v> </v>
      </c>
      <c r="AD101" s="46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46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46" t="str">
        <f aca="false">IF((E102="v"),H102," ")</f>
        <v> </v>
      </c>
      <c r="AD102" s="46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46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46" t="str">
        <f aca="false">IF((E103="v"),H103," ")</f>
        <v> </v>
      </c>
      <c r="AD103" s="46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46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46" t="str">
        <f aca="false">IF((E104="v"),H104," ")</f>
        <v> </v>
      </c>
      <c r="AD104" s="46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46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46" t="str">
        <f aca="false">IF((E105="v"),H105," ")</f>
        <v> </v>
      </c>
      <c r="AD105" s="46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46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46" t="str">
        <f aca="false">IF((E106="v"),H106," ")</f>
        <v> </v>
      </c>
      <c r="AD106" s="46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46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46" t="str">
        <f aca="false">IF((E107="v"),H107," ")</f>
        <v> </v>
      </c>
      <c r="AD107" s="46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46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46" t="str">
        <f aca="false">IF((E108="v"),H108," ")</f>
        <v> </v>
      </c>
      <c r="AD108" s="46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46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46" t="str">
        <f aca="false">IF((E109="v"),H109," ")</f>
        <v> </v>
      </c>
      <c r="AD109" s="46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46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46" t="str">
        <f aca="false">IF((E110="v"),H110," ")</f>
        <v> </v>
      </c>
      <c r="AD110" s="46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46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46" t="str">
        <f aca="false">IF((E111="v"),H111," ")</f>
        <v> </v>
      </c>
      <c r="AD111" s="46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46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46" t="str">
        <f aca="false">IF((E112="v"),H112," ")</f>
        <v> </v>
      </c>
      <c r="AD112" s="46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46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46" t="str">
        <f aca="false">IF((E113="v"),H113," ")</f>
        <v> </v>
      </c>
      <c r="AD113" s="46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46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46" t="str">
        <f aca="false">IF((E114="v"),H114," ")</f>
        <v> </v>
      </c>
      <c r="AD114" s="46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46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46" t="str">
        <f aca="false">IF((E115="v"),H115," ")</f>
        <v> </v>
      </c>
      <c r="AD115" s="46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46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46" t="str">
        <f aca="false">IF((E116="v"),H116," ")</f>
        <v> </v>
      </c>
      <c r="AD116" s="46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46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46" t="str">
        <f aca="false">IF((E117="v"),H117," ")</f>
        <v> </v>
      </c>
      <c r="AD117" s="46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46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46" t="str">
        <f aca="false">IF((E118="v"),H118," ")</f>
        <v> </v>
      </c>
      <c r="AD118" s="46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46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46" t="str">
        <f aca="false">IF((E119="v"),H119," ")</f>
        <v> </v>
      </c>
      <c r="AD119" s="46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46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46" t="str">
        <f aca="false">IF((E120="v"),H120," ")</f>
        <v> </v>
      </c>
      <c r="AD120" s="46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46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46" t="str">
        <f aca="false">IF((E121="v"),H121," ")</f>
        <v> </v>
      </c>
      <c r="AD121" s="46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46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46" t="str">
        <f aca="false">IF((E122="v"),H122," ")</f>
        <v> </v>
      </c>
      <c r="AD122" s="46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46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46" t="str">
        <f aca="false">IF((E123="v"),H123," ")</f>
        <v> </v>
      </c>
      <c r="AD123" s="46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46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46" t="str">
        <f aca="false">IF((E124="v"),H124," ")</f>
        <v> </v>
      </c>
      <c r="AD124" s="46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46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46" t="str">
        <f aca="false">IF((E125="v"),H125," ")</f>
        <v> </v>
      </c>
      <c r="AD125" s="46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46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46" t="str">
        <f aca="false">IF((E126="v"),H126," ")</f>
        <v> </v>
      </c>
      <c r="AD126" s="46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46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46" t="str">
        <f aca="false">IF((E127="v"),H127," ")</f>
        <v> </v>
      </c>
      <c r="AD127" s="46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46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46" t="str">
        <f aca="false">IF((E128="v"),H128," ")</f>
        <v> </v>
      </c>
      <c r="AD128" s="46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46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46" t="str">
        <f aca="false">IF((E129="v"),H129," ")</f>
        <v> </v>
      </c>
      <c r="AD129" s="46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46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46" t="str">
        <f aca="false">IF((E130="v"),H130," ")</f>
        <v> </v>
      </c>
      <c r="AD130" s="46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46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46" t="str">
        <f aca="false">IF((E131="v"),H131," ")</f>
        <v> </v>
      </c>
      <c r="AD131" s="46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46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46" t="str">
        <f aca="false">IF((E132="v"),H132," ")</f>
        <v> </v>
      </c>
      <c r="AD132" s="46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46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46" t="str">
        <f aca="false">IF((E133="v"),H133," ")</f>
        <v> </v>
      </c>
      <c r="AD133" s="46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46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46" t="str">
        <f aca="false">IF((E134="v"),H134," ")</f>
        <v> </v>
      </c>
      <c r="AD134" s="46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46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46" t="str">
        <f aca="false">IF((E135="v"),H135," ")</f>
        <v> </v>
      </c>
      <c r="AD135" s="46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46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46" t="str">
        <f aca="false">IF((E136="v"),H136," ")</f>
        <v> </v>
      </c>
      <c r="AD136" s="46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46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46" t="str">
        <f aca="false">IF((E137="v"),H137," ")</f>
        <v> </v>
      </c>
      <c r="AD137" s="46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46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46" t="str">
        <f aca="false">IF((E138="v"),H138," ")</f>
        <v> </v>
      </c>
      <c r="AD138" s="46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46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46" t="str">
        <f aca="false">IF((E139="v"),H139," ")</f>
        <v> </v>
      </c>
      <c r="AD139" s="46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46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46" t="str">
        <f aca="false">IF((E140="v"),H140," ")</f>
        <v> </v>
      </c>
      <c r="AD140" s="46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46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46" t="str">
        <f aca="false">IF((E141="v"),H141," ")</f>
        <v> </v>
      </c>
      <c r="AD141" s="46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46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46" t="str">
        <f aca="false">IF((E142="v"),H142," ")</f>
        <v> </v>
      </c>
      <c r="AD142" s="46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46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46" t="str">
        <f aca="false">IF((E143="v"),H143," ")</f>
        <v> </v>
      </c>
      <c r="AD143" s="46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46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46" t="str">
        <f aca="false">IF((E144="v"),H144," ")</f>
        <v> </v>
      </c>
      <c r="AD144" s="46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46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46" t="str">
        <f aca="false">IF((E145="v"),H145," ")</f>
        <v> </v>
      </c>
      <c r="AD145" s="46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46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46" t="str">
        <f aca="false">IF((E146="v"),H146," ")</f>
        <v> </v>
      </c>
      <c r="AD146" s="46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46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46" t="str">
        <f aca="false">IF((E147="v"),H147," ")</f>
        <v> </v>
      </c>
      <c r="AD147" s="46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46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46" t="str">
        <f aca="false">IF((E148="v"),H148," ")</f>
        <v> </v>
      </c>
      <c r="AD148" s="46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46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46" t="str">
        <f aca="false">IF((E149="v"),H149," ")</f>
        <v> </v>
      </c>
      <c r="AD149" s="46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46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46" t="str">
        <f aca="false">IF((E150="v"),H150," ")</f>
        <v> </v>
      </c>
      <c r="AD150" s="46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46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46" t="str">
        <f aca="false">IF((E151="v"),H151," ")</f>
        <v> </v>
      </c>
      <c r="AD151" s="46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46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46" t="str">
        <f aca="false">IF((E152="v"),H152," ")</f>
        <v> </v>
      </c>
      <c r="AD152" s="46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46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46" t="str">
        <f aca="false">IF((E153="v"),H153," ")</f>
        <v> </v>
      </c>
      <c r="AD153" s="46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46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46" t="str">
        <f aca="false">IF((E154="v"),H154," ")</f>
        <v> </v>
      </c>
      <c r="AD154" s="46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46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46" t="str">
        <f aca="false">IF((E155="v"),H155," ")</f>
        <v> </v>
      </c>
      <c r="AD155" s="46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46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46" t="str">
        <f aca="false">IF((E156="v"),H156," ")</f>
        <v> </v>
      </c>
      <c r="AD156" s="46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46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46" t="str">
        <f aca="false">IF((E157="v"),H157," ")</f>
        <v> </v>
      </c>
      <c r="AD157" s="46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46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46" t="str">
        <f aca="false">IF((E158="v"),H158," ")</f>
        <v> </v>
      </c>
      <c r="AD158" s="46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46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46" t="str">
        <f aca="false">IF((E159="v"),H159," ")</f>
        <v> </v>
      </c>
      <c r="AD159" s="46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46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46" t="str">
        <f aca="false">IF((E160="v"),H160," ")</f>
        <v> </v>
      </c>
      <c r="AD160" s="46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46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46" t="str">
        <f aca="false">IF((E161="v"),H161," ")</f>
        <v> </v>
      </c>
      <c r="AD161" s="46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46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46" t="str">
        <f aca="false">IF((E162="v"),H162," ")</f>
        <v> </v>
      </c>
      <c r="AD162" s="46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46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46" t="str">
        <f aca="false">IF((E163="v"),H163," ")</f>
        <v> </v>
      </c>
      <c r="AD163" s="46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46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46" t="str">
        <f aca="false">IF((E164="v"),H164," ")</f>
        <v> </v>
      </c>
      <c r="AD164" s="46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46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46" t="str">
        <f aca="false">IF((E165="v"),H165," ")</f>
        <v> </v>
      </c>
      <c r="AD165" s="46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46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46" t="str">
        <f aca="false">IF((E166="v"),H166," ")</f>
        <v> </v>
      </c>
      <c r="AD166" s="46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46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46" t="str">
        <f aca="false">IF((E167="v"),H167," ")</f>
        <v> </v>
      </c>
      <c r="AD167" s="46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46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46" t="str">
        <f aca="false">IF((E168="v"),H168," ")</f>
        <v> </v>
      </c>
      <c r="AD168" s="46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46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46" t="str">
        <f aca="false">IF((E169="v"),H169," ")</f>
        <v> </v>
      </c>
      <c r="AD169" s="46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46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46" t="str">
        <f aca="false">IF((E170="v"),H170," ")</f>
        <v> </v>
      </c>
      <c r="AD170" s="46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46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46" t="str">
        <f aca="false">IF((E171="v"),H171," ")</f>
        <v> </v>
      </c>
      <c r="AD171" s="46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46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46" t="str">
        <f aca="false">IF((E172="v"),H172," ")</f>
        <v> </v>
      </c>
      <c r="AD172" s="46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46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46" t="str">
        <f aca="false">IF((E173="v"),H173," ")</f>
        <v> </v>
      </c>
      <c r="AD173" s="46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46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46" t="str">
        <f aca="false">IF((E174="v"),H174," ")</f>
        <v> </v>
      </c>
      <c r="AD174" s="46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46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46" t="str">
        <f aca="false">IF((E175="v"),H175," ")</f>
        <v> </v>
      </c>
      <c r="AD175" s="46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46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46" t="str">
        <f aca="false">IF((E176="v"),H176," ")</f>
        <v> </v>
      </c>
      <c r="AD176" s="46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46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46" t="str">
        <f aca="false">IF((E177="v"),H177," ")</f>
        <v> </v>
      </c>
      <c r="AD177" s="46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46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46" t="str">
        <f aca="false">IF((E178="v"),H178," ")</f>
        <v> </v>
      </c>
      <c r="AD178" s="46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46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46" t="str">
        <f aca="false">IF((E179="v"),H179," ")</f>
        <v> </v>
      </c>
      <c r="AD179" s="46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46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46" t="str">
        <f aca="false">IF((E180="v"),H180," ")</f>
        <v> </v>
      </c>
      <c r="AD180" s="46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46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46" t="str">
        <f aca="false">IF((E181="v"),H181," ")</f>
        <v> </v>
      </c>
      <c r="AD181" s="46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46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46" t="str">
        <f aca="false">IF((E182="v"),H182," ")</f>
        <v> </v>
      </c>
      <c r="AD182" s="46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46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46" t="str">
        <f aca="false">IF((E183="v"),H183," ")</f>
        <v> </v>
      </c>
      <c r="AD183" s="46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46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46" t="str">
        <f aca="false">IF((E184="v"),H184," ")</f>
        <v> </v>
      </c>
      <c r="AD184" s="46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46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46" t="str">
        <f aca="false">IF((E185="v"),H185," ")</f>
        <v> </v>
      </c>
      <c r="AD185" s="46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46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46" t="str">
        <f aca="false">IF((E186="v"),H186," ")</f>
        <v> </v>
      </c>
      <c r="AD186" s="46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46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46" t="str">
        <f aca="false">IF((E187="v"),H187," ")</f>
        <v> </v>
      </c>
      <c r="AD187" s="46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46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46" t="str">
        <f aca="false">IF((E188="v"),H188," ")</f>
        <v> </v>
      </c>
      <c r="AD188" s="46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46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46" t="str">
        <f aca="false">IF((E189="v"),H189," ")</f>
        <v> </v>
      </c>
      <c r="AD189" s="46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46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46" t="str">
        <f aca="false">IF((E190="v"),H190," ")</f>
        <v> </v>
      </c>
      <c r="AD190" s="46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46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46" t="str">
        <f aca="false">IF((E191="v"),H191," ")</f>
        <v> </v>
      </c>
      <c r="AD191" s="46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46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46" t="str">
        <f aca="false">IF((E192="v"),H192," ")</f>
        <v> </v>
      </c>
      <c r="AD192" s="46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46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46" t="str">
        <f aca="false">IF((E193="v"),H193," ")</f>
        <v> </v>
      </c>
      <c r="AD193" s="46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46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46" t="str">
        <f aca="false">IF((E194="v"),H194," ")</f>
        <v> </v>
      </c>
      <c r="AD194" s="46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46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46" t="str">
        <f aca="false">IF((E195="v"),H195," ")</f>
        <v> </v>
      </c>
      <c r="AD195" s="46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46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46" t="str">
        <f aca="false">IF((E196="v"),H196," ")</f>
        <v> </v>
      </c>
      <c r="AD196" s="46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46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46" t="str">
        <f aca="false">IF((E197="v"),H197," ")</f>
        <v> </v>
      </c>
      <c r="AD197" s="46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46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46" t="str">
        <f aca="false">IF((E198="v"),H198," ")</f>
        <v> </v>
      </c>
      <c r="AD198" s="46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46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46" t="str">
        <f aca="false">IF((E199="v"),H199," ")</f>
        <v> </v>
      </c>
      <c r="AD199" s="46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46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46" t="str">
        <f aca="false">IF((E200="v"),H200," ")</f>
        <v> </v>
      </c>
      <c r="AD200" s="46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46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46" t="str">
        <f aca="false">IF((E201="v"),H201," ")</f>
        <v> </v>
      </c>
      <c r="AD201" s="46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46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46" t="str">
        <f aca="false">IF((E202="v"),H202," ")</f>
        <v> </v>
      </c>
      <c r="AD202" s="46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46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46" t="str">
        <f aca="false">IF((E203="v"),H203," ")</f>
        <v> </v>
      </c>
      <c r="AD203" s="46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46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46" t="str">
        <f aca="false">IF((E204="v"),H204," ")</f>
        <v> </v>
      </c>
      <c r="AD204" s="46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46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46" t="str">
        <f aca="false">IF((E205="v"),H205," ")</f>
        <v> </v>
      </c>
      <c r="AD205" s="46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46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46" t="str">
        <f aca="false">IF((E206="v"),H206," ")</f>
        <v> </v>
      </c>
      <c r="AD206" s="46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46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46" t="str">
        <f aca="false">IF((E207="v"),H207," ")</f>
        <v> </v>
      </c>
      <c r="AD207" s="46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46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46" t="str">
        <f aca="false">IF((E208="v"),H208," ")</f>
        <v> </v>
      </c>
      <c r="AD208" s="46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46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46" t="str">
        <f aca="false">IF((E209="v"),H209," ")</f>
        <v> </v>
      </c>
      <c r="AD209" s="46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46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46" t="str">
        <f aca="false">IF((E210="v"),H210," ")</f>
        <v> </v>
      </c>
      <c r="AD210" s="46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46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46" t="str">
        <f aca="false">IF((E211="v"),H211," ")</f>
        <v> </v>
      </c>
      <c r="AD211" s="46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46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46" t="str">
        <f aca="false">IF((E212="v"),H212," ")</f>
        <v> </v>
      </c>
      <c r="AD212" s="46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46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46" t="str">
        <f aca="false">IF((E213="v"),H213," ")</f>
        <v> </v>
      </c>
      <c r="AD213" s="46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46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46" t="str">
        <f aca="false">IF((E214="v"),H214," ")</f>
        <v> </v>
      </c>
      <c r="AD214" s="46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46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46" t="str">
        <f aca="false">IF((E215="v"),H215," ")</f>
        <v> </v>
      </c>
      <c r="AD215" s="46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46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46" t="str">
        <f aca="false">IF((E216="v"),H216," ")</f>
        <v> </v>
      </c>
      <c r="AD216" s="46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46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46" t="str">
        <f aca="false">IF((E217="v"),H217," ")</f>
        <v> </v>
      </c>
      <c r="AD217" s="46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46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46" t="str">
        <f aca="false">IF((E218="v"),H218," ")</f>
        <v> </v>
      </c>
      <c r="AD218" s="46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46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46" t="str">
        <f aca="false">IF((E219="v"),H219," ")</f>
        <v> </v>
      </c>
      <c r="AD219" s="46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46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46" t="str">
        <f aca="false">IF((E220="v"),H220," ")</f>
        <v> </v>
      </c>
      <c r="AD220" s="46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46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46" t="str">
        <f aca="false">IF((E221="v"),H221," ")</f>
        <v> </v>
      </c>
      <c r="AD221" s="46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46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46" t="str">
        <f aca="false">IF((E222="v"),H222," ")</f>
        <v> </v>
      </c>
      <c r="AD222" s="46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46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46" t="str">
        <f aca="false">IF((E223="v"),H223," ")</f>
        <v> </v>
      </c>
      <c r="AD223" s="46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46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46" t="str">
        <f aca="false">IF((E224="v"),H224," ")</f>
        <v> </v>
      </c>
      <c r="AD224" s="46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46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46" t="str">
        <f aca="false">IF((E225="v"),H225," ")</f>
        <v> </v>
      </c>
      <c r="AD225" s="46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46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46" t="str">
        <f aca="false">IF((E226="v"),H226," ")</f>
        <v> </v>
      </c>
      <c r="AD226" s="46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46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46" t="str">
        <f aca="false">IF((E227="v"),H227," ")</f>
        <v> </v>
      </c>
      <c r="AD227" s="46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46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46" t="str">
        <f aca="false">IF((E228="v"),H228," ")</f>
        <v> </v>
      </c>
      <c r="AD228" s="46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46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46" t="str">
        <f aca="false">IF((E229="v"),H229," ")</f>
        <v> </v>
      </c>
      <c r="AD229" s="46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46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46" t="str">
        <f aca="false">IF((E230="v"),H230," ")</f>
        <v> </v>
      </c>
      <c r="AD230" s="46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46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46" t="str">
        <f aca="false">IF((E231="v"),H231," ")</f>
        <v> </v>
      </c>
      <c r="AD231" s="46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46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46" t="str">
        <f aca="false">IF((E232="v"),H232," ")</f>
        <v> </v>
      </c>
      <c r="AD232" s="46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46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46" t="str">
        <f aca="false">IF((E233="v"),H233," ")</f>
        <v> </v>
      </c>
      <c r="AD233" s="46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46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46" t="str">
        <f aca="false">IF((E234="v"),H234," ")</f>
        <v> </v>
      </c>
      <c r="AD234" s="46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46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46" t="str">
        <f aca="false">IF((E235="v"),H235," ")</f>
        <v> </v>
      </c>
      <c r="AD235" s="46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46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46" t="str">
        <f aca="false">IF((E236="v"),H236," ")</f>
        <v> </v>
      </c>
      <c r="AD236" s="46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46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46" t="str">
        <f aca="false">IF((E237="v"),H237," ")</f>
        <v> </v>
      </c>
      <c r="AD237" s="46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46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46" t="str">
        <f aca="false">IF((E238="v"),H238," ")</f>
        <v> </v>
      </c>
      <c r="AD238" s="46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46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46" t="str">
        <f aca="false">IF((E239="v"),H239," ")</f>
        <v> </v>
      </c>
      <c r="AD239" s="46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46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46" t="str">
        <f aca="false">IF((E240="v"),H240," ")</f>
        <v> </v>
      </c>
      <c r="AD240" s="46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46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46" t="str">
        <f aca="false">IF((E241="v"),H241," ")</f>
        <v> </v>
      </c>
      <c r="AD241" s="46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46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46" t="str">
        <f aca="false">IF((E242="v"),H242," ")</f>
        <v> </v>
      </c>
      <c r="AD242" s="46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46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46" t="str">
        <f aca="false">IF((E243="v"),H243," ")</f>
        <v> </v>
      </c>
      <c r="AD243" s="46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46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46" t="str">
        <f aca="false">IF((E244="v"),H244," ")</f>
        <v> </v>
      </c>
      <c r="AD244" s="46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46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46" t="str">
        <f aca="false">IF((E245="v"),H245," ")</f>
        <v> </v>
      </c>
      <c r="AD245" s="46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46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46" t="str">
        <f aca="false">IF((E246="v"),H246," ")</f>
        <v> </v>
      </c>
      <c r="AD246" s="46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46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46" t="str">
        <f aca="false">IF((E247="v"),H247," ")</f>
        <v> </v>
      </c>
      <c r="AD247" s="46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46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46" t="str">
        <f aca="false">IF((E248="v"),H248," ")</f>
        <v> </v>
      </c>
      <c r="AD248" s="46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46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46" t="str">
        <f aca="false">IF((E249="v"),H249," ")</f>
        <v> </v>
      </c>
      <c r="AD249" s="46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46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46" t="str">
        <f aca="false">IF((E250="v"),H250," ")</f>
        <v> </v>
      </c>
      <c r="AD250" s="46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46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46" t="str">
        <f aca="false">IF((E251="v"),H251," ")</f>
        <v> </v>
      </c>
      <c r="AD251" s="46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46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46" t="str">
        <f aca="false">IF((E252="v"),H252," ")</f>
        <v> </v>
      </c>
      <c r="AD252" s="46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46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46" t="str">
        <f aca="false">IF((E253="v"),H253," ")</f>
        <v> </v>
      </c>
      <c r="AD253" s="46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46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46" t="str">
        <f aca="false">IF((E254="v"),H254," ")</f>
        <v> </v>
      </c>
      <c r="AD254" s="46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46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46" t="str">
        <f aca="false">IF((E255="v"),H255," ")</f>
        <v> </v>
      </c>
      <c r="AD255" s="46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46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46" t="str">
        <f aca="false">IF((E256="v"),H256," ")</f>
        <v> </v>
      </c>
      <c r="AD256" s="46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46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46" t="str">
        <f aca="false">IF((E257="v"),H257," ")</f>
        <v> </v>
      </c>
      <c r="AD257" s="46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46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46" t="str">
        <f aca="false">IF((E258="v"),H258," ")</f>
        <v> </v>
      </c>
      <c r="AD258" s="46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46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46" t="str">
        <f aca="false">IF((E259="v"),H259," ")</f>
        <v> </v>
      </c>
      <c r="AD259" s="46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46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46" t="str">
        <f aca="false">IF((E260="v"),H260," ")</f>
        <v> </v>
      </c>
      <c r="AD260" s="46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46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46" t="str">
        <f aca="false">IF((E261="v"),H261," ")</f>
        <v> </v>
      </c>
      <c r="AD261" s="46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46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46" t="str">
        <f aca="false">IF((E262="v"),H262," ")</f>
        <v> </v>
      </c>
      <c r="AD262" s="46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46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46" t="str">
        <f aca="false">IF((E263="v"),H263," ")</f>
        <v> </v>
      </c>
      <c r="AD263" s="46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46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46" t="str">
        <f aca="false">IF((E264="v"),H264," ")</f>
        <v> </v>
      </c>
      <c r="AD264" s="46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46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46" t="str">
        <f aca="false">IF((E265="v"),H265," ")</f>
        <v> </v>
      </c>
      <c r="AD265" s="46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46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46" t="str">
        <f aca="false">IF((E266="v"),H266," ")</f>
        <v> </v>
      </c>
      <c r="AD266" s="46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46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46" t="str">
        <f aca="false">IF((E267="v"),H267," ")</f>
        <v> </v>
      </c>
      <c r="AD267" s="46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46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46" t="str">
        <f aca="false">IF((E268="v"),H268," ")</f>
        <v> </v>
      </c>
      <c r="AD268" s="46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46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46" t="str">
        <f aca="false">IF((E269="v"),H269," ")</f>
        <v> </v>
      </c>
      <c r="AD269" s="46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46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46" t="str">
        <f aca="false">IF((E270="v"),H270," ")</f>
        <v> </v>
      </c>
      <c r="AD270" s="46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46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46" t="str">
        <f aca="false">IF((E271="v"),H271," ")</f>
        <v> </v>
      </c>
      <c r="AD271" s="46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46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46" t="str">
        <f aca="false">IF((E272="v"),H272," ")</f>
        <v> </v>
      </c>
      <c r="AD272" s="46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46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46" t="str">
        <f aca="false">IF((E273="v"),H273," ")</f>
        <v> </v>
      </c>
      <c r="AD273" s="46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46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46" t="str">
        <f aca="false">IF((E274="v"),H274," ")</f>
        <v> </v>
      </c>
      <c r="AD274" s="46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46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46" t="str">
        <f aca="false">IF((E275="v"),H275," ")</f>
        <v> </v>
      </c>
      <c r="AD275" s="46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46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46" t="str">
        <f aca="false">IF((E276="v"),H276," ")</f>
        <v> </v>
      </c>
      <c r="AD276" s="46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46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46" t="str">
        <f aca="false">IF((E277="v"),H277," ")</f>
        <v> </v>
      </c>
      <c r="AD277" s="46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46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46" t="str">
        <f aca="false">IF((E278="v"),H278," ")</f>
        <v> </v>
      </c>
      <c r="AD278" s="46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46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46" t="str">
        <f aca="false">IF((E279="v"),H279," ")</f>
        <v> </v>
      </c>
      <c r="AD279" s="46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46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46" t="str">
        <f aca="false">IF((E280="v"),H280," ")</f>
        <v> </v>
      </c>
      <c r="AD280" s="46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46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46" t="str">
        <f aca="false">IF((E281="v"),H281," ")</f>
        <v> </v>
      </c>
      <c r="AD281" s="46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46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46" t="str">
        <f aca="false">IF((E282="v"),H282," ")</f>
        <v> </v>
      </c>
      <c r="AD282" s="46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46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46" t="str">
        <f aca="false">IF((E283="v"),H283," ")</f>
        <v> </v>
      </c>
      <c r="AD283" s="46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46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46" t="str">
        <f aca="false">IF((E284="v"),H284," ")</f>
        <v> </v>
      </c>
      <c r="AD284" s="46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46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46" t="str">
        <f aca="false">IF((E285="v"),H285," ")</f>
        <v> </v>
      </c>
      <c r="AD285" s="46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46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46" t="str">
        <f aca="false">IF((E286="v"),H286," ")</f>
        <v> </v>
      </c>
      <c r="AD286" s="46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46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46" t="str">
        <f aca="false">IF((E287="v"),H287," ")</f>
        <v> </v>
      </c>
      <c r="AD287" s="46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46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46" t="str">
        <f aca="false">IF((E288="v"),H288," ")</f>
        <v> </v>
      </c>
      <c r="AD288" s="46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46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46" t="str">
        <f aca="false">IF((E289="v"),H289," ")</f>
        <v> </v>
      </c>
      <c r="AD289" s="46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46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46" t="str">
        <f aca="false">IF((E290="v"),H290," ")</f>
        <v> </v>
      </c>
      <c r="AD290" s="46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46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46" t="str">
        <f aca="false">IF((E291="v"),H291," ")</f>
        <v> </v>
      </c>
      <c r="AD291" s="46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46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46" t="str">
        <f aca="false">IF((E292="v"),H292," ")</f>
        <v> </v>
      </c>
      <c r="AD292" s="46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46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46" t="str">
        <f aca="false">IF((E293="v"),H293," ")</f>
        <v> </v>
      </c>
      <c r="AD293" s="46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46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46" t="str">
        <f aca="false">IF((E294="v"),H294," ")</f>
        <v> </v>
      </c>
      <c r="AD294" s="46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46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46" t="str">
        <f aca="false">IF((E295="v"),H295," ")</f>
        <v> </v>
      </c>
      <c r="AD295" s="46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46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46" t="str">
        <f aca="false">IF((E296="v"),H296," ")</f>
        <v> </v>
      </c>
      <c r="AD296" s="46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46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46" t="str">
        <f aca="false">IF((E297="v"),H297," ")</f>
        <v> </v>
      </c>
      <c r="AD297" s="46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46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46" t="str">
        <f aca="false">IF((E298="v"),H298," ")</f>
        <v> </v>
      </c>
      <c r="AD298" s="46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46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46" t="str">
        <f aca="false">IF((E299="v"),H299," ")</f>
        <v> </v>
      </c>
      <c r="AD299" s="46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</row>
    <row r="300" customFormat="false" ht="12" hidden="false" customHeight="false" outlineLevel="0" collapsed="false">
      <c r="A300" s="31"/>
      <c r="B300" s="32"/>
      <c r="C300" s="33"/>
      <c r="D300" s="32"/>
      <c r="E300" s="47" t="str">
        <f aca="false">IF((F300&lt;&gt;0),"Enter Letter"," ")</f>
        <v> </v>
      </c>
      <c r="F300" s="48"/>
      <c r="G300" s="35" t="str">
        <f aca="false">IF(F300&lt;&gt;0,F300*G$2/(100+G$2)," ")</f>
        <v> </v>
      </c>
      <c r="H300" s="35" t="str">
        <f aca="false">IF((F300&lt;&gt;0),F300-G300," ")</f>
        <v> </v>
      </c>
      <c r="I300" s="49"/>
      <c r="J300" s="35"/>
      <c r="K300" s="35"/>
      <c r="L300" s="36" t="str">
        <f aca="false">IF(F300&lt;&gt;0,F300-K300," ")</f>
        <v> </v>
      </c>
      <c r="M300" s="37" t="str">
        <f aca="false">IF((F300-K300)&lt;&gt;0,M$1-A300," ")</f>
        <v> </v>
      </c>
      <c r="N300" s="49"/>
      <c r="O300" s="50" t="str">
        <f aca="false">IF((E300="s"),H300," ")</f>
        <v> </v>
      </c>
      <c r="P300" s="50" t="str">
        <f aca="false">IF((E300="c"),H300," ")</f>
        <v> </v>
      </c>
      <c r="Q300" s="50" t="str">
        <f aca="false">IF((E300="o"),H300," ")</f>
        <v> </v>
      </c>
      <c r="R300" s="50" t="str">
        <f aca="false">IF((E300="d"),H300," ")</f>
        <v> </v>
      </c>
      <c r="S300" s="50" t="str">
        <f aca="false">IF((E300="w"),H300," ")</f>
        <v> </v>
      </c>
      <c r="T300" s="50" t="str">
        <f aca="false">IF((E300="r"),H300," ")</f>
        <v> </v>
      </c>
      <c r="U300" s="50" t="str">
        <f aca="false">IF((E300="p"),H300," ")</f>
        <v> </v>
      </c>
      <c r="V300" s="50" t="str">
        <f aca="false">IF((E300="t"),H300," ")</f>
        <v> </v>
      </c>
      <c r="W300" s="50" t="str">
        <f aca="false">IF((E300="q"),H300," ")</f>
        <v> </v>
      </c>
      <c r="X300" s="50" t="str">
        <f aca="false">IF((E300="m"),H300," ")</f>
        <v> </v>
      </c>
      <c r="Y300" s="50" t="str">
        <f aca="false">IF((E300="u"),H300," ")</f>
        <v> </v>
      </c>
      <c r="Z300" s="50" t="str">
        <f aca="false">IF((E300="a"),H300," ")</f>
        <v> </v>
      </c>
      <c r="AA300" s="50" t="str">
        <f aca="false">IF((E300="g"),H300," ")</f>
        <v> </v>
      </c>
      <c r="AB300" s="50" t="str">
        <f aca="false">IF((E300="h"),H300," ")</f>
        <v> </v>
      </c>
      <c r="AC300" s="48" t="str">
        <f aca="false">IF((E300="v"),H300," ")</f>
        <v> </v>
      </c>
      <c r="AD300" s="48" t="str">
        <f aca="false">IF((E300="n"),H300," ")</f>
        <v> </v>
      </c>
      <c r="AE300" s="50" t="str">
        <f aca="false">IF((E300="f"),H300," ")</f>
        <v> </v>
      </c>
      <c r="AF300" s="50" t="str">
        <f aca="false">IF((E300="l"),H300," ")</f>
        <v> </v>
      </c>
      <c r="AG300" s="50" t="str">
        <f aca="false">IF((E300="y"),H300," ")</f>
        <v> </v>
      </c>
      <c r="AH300" s="50" t="str">
        <f aca="false">IF((E300="z"),H300," ")</f>
        <v> </v>
      </c>
      <c r="AI300" s="50" t="str">
        <f aca="false">IF((E300="fa"),H300," ")</f>
        <v> </v>
      </c>
      <c r="AJ300" s="50"/>
      <c r="AK300" s="50"/>
      <c r="AL300" s="50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8" width="10.5"/>
    <col collapsed="false" customWidth="true" hidden="false" outlineLevel="0" max="35" min="31" style="17" width="10.5"/>
    <col collapsed="false" customWidth="true" hidden="false" outlineLevel="0" max="36" min="36" style="17" width="0.82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s="17" customFormat="true" ht="12.75" hidden="false" customHeight="true" outlineLevel="0" collapsed="false">
      <c r="A1" s="39" t="n">
        <f aca="false">F1-G1-SUM(O1:AI1)</f>
        <v>0</v>
      </c>
      <c r="B1" s="40" t="s">
        <v>22</v>
      </c>
      <c r="C1" s="20" t="s">
        <v>5</v>
      </c>
      <c r="D1" s="41" t="s">
        <v>23</v>
      </c>
      <c r="E1" s="41"/>
      <c r="F1" s="12" t="n">
        <f aca="false">SUM(F5:F300)</f>
        <v>9057</v>
      </c>
      <c r="G1" s="12" t="n">
        <f aca="false">SUM(G5:G300)</f>
        <v>0</v>
      </c>
      <c r="H1" s="12" t="n">
        <f aca="false">SUM(H5:H300)</f>
        <v>9057</v>
      </c>
      <c r="I1" s="13"/>
      <c r="J1" s="14" t="s">
        <v>2</v>
      </c>
      <c r="K1" s="15" t="n">
        <f aca="false">SUM(K5:K300)</f>
        <v>0</v>
      </c>
      <c r="L1" s="15" t="n">
        <f aca="false">SUM(L5:L300)</f>
        <v>9057</v>
      </c>
      <c r="M1" s="16" t="n">
        <f aca="true">TODAY()</f>
        <v>46137</v>
      </c>
      <c r="N1" s="13"/>
      <c r="O1" s="12" t="n">
        <f aca="false">SUM(O5:O300)</f>
        <v>360</v>
      </c>
      <c r="P1" s="12" t="n">
        <f aca="false">SUM(P5:P300)</f>
        <v>5000</v>
      </c>
      <c r="Q1" s="12" t="n">
        <f aca="false">SUM(Q5:Q300)</f>
        <v>285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1200</v>
      </c>
      <c r="U1" s="12" t="n">
        <f aca="false">SUM(U5:U300)</f>
        <v>360</v>
      </c>
      <c r="V1" s="12" t="n">
        <f aca="false">SUM(V5:V300)</f>
        <v>0</v>
      </c>
      <c r="W1" s="12" t="n">
        <f aca="false">SUM(W5:W300)</f>
        <v>0</v>
      </c>
      <c r="X1" s="12" t="n">
        <f aca="false">SUM(X5:X300)</f>
        <v>0</v>
      </c>
      <c r="Y1" s="12" t="n">
        <f aca="false">SUM(Y5:Y300)</f>
        <v>145</v>
      </c>
      <c r="Z1" s="12" t="n">
        <f aca="false">SUM(Z5:Z300)</f>
        <v>0</v>
      </c>
      <c r="AA1" s="12" t="n">
        <f aca="false">SUM(AA5:AA300)</f>
        <v>231</v>
      </c>
      <c r="AB1" s="12" t="n">
        <f aca="false">SUM(AB5:AB300)</f>
        <v>272</v>
      </c>
      <c r="AC1" s="12" t="n">
        <f aca="false">SUM(AC5:AC300)</f>
        <v>654</v>
      </c>
      <c r="AD1" s="12" t="n">
        <f aca="false">SUM(AD5:AD300)</f>
        <v>0</v>
      </c>
      <c r="AE1" s="12" t="n">
        <f aca="false">SUM(AE5:AE300)</f>
        <v>0</v>
      </c>
      <c r="AF1" s="12" t="n">
        <f aca="false">SUM(AF5:AF300)</f>
        <v>550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0</v>
      </c>
      <c r="AJ1" s="42"/>
      <c r="AK1" s="12" t="n">
        <f aca="false">SUM(AK5:AK300)</f>
        <v>0</v>
      </c>
      <c r="AL1" s="43"/>
    </row>
    <row r="2" s="17" customFormat="tru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IF([2]Aug!$G$4&gt;0,0,[2]Aug!$G$2)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42"/>
      <c r="AK2" s="19" t="s">
        <v>43</v>
      </c>
      <c r="AL2" s="19"/>
    </row>
    <row r="3" s="26" customFormat="tru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44</v>
      </c>
      <c r="P3" s="21" t="s">
        <v>45</v>
      </c>
      <c r="Q3" s="21" t="s">
        <v>46</v>
      </c>
      <c r="R3" s="19"/>
      <c r="S3" s="19"/>
      <c r="T3" s="21" t="s">
        <v>47</v>
      </c>
      <c r="U3" s="21" t="s">
        <v>48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42"/>
      <c r="AK3" s="19" t="s">
        <v>49</v>
      </c>
      <c r="AL3" s="19"/>
    </row>
    <row r="4" s="27" customFormat="tru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50</v>
      </c>
      <c r="P4" s="44" t="s">
        <v>51</v>
      </c>
      <c r="Q4" s="44" t="s">
        <v>52</v>
      </c>
      <c r="R4" s="44" t="s">
        <v>53</v>
      </c>
      <c r="S4" s="44" t="s">
        <v>54</v>
      </c>
      <c r="T4" s="44" t="s">
        <v>55</v>
      </c>
      <c r="U4" s="44" t="s">
        <v>56</v>
      </c>
      <c r="V4" s="44" t="s">
        <v>57</v>
      </c>
      <c r="W4" s="44" t="s">
        <v>58</v>
      </c>
      <c r="X4" s="44" t="s">
        <v>59</v>
      </c>
      <c r="Y4" s="44" t="s">
        <v>60</v>
      </c>
      <c r="Z4" s="44" t="s">
        <v>61</v>
      </c>
      <c r="AA4" s="44" t="s">
        <v>62</v>
      </c>
      <c r="AB4" s="44" t="s">
        <v>63</v>
      </c>
      <c r="AC4" s="45" t="s">
        <v>64</v>
      </c>
      <c r="AD4" s="45" t="s">
        <v>65</v>
      </c>
      <c r="AE4" s="44" t="s">
        <v>66</v>
      </c>
      <c r="AF4" s="44" t="s">
        <v>67</v>
      </c>
      <c r="AG4" s="44" t="s">
        <v>68</v>
      </c>
      <c r="AH4" s="44" t="s">
        <v>69</v>
      </c>
      <c r="AI4" s="44" t="s">
        <v>70</v>
      </c>
      <c r="AJ4" s="42"/>
      <c r="AK4" s="19" t="s">
        <v>71</v>
      </c>
      <c r="AL4" s="19" t="s">
        <v>72</v>
      </c>
    </row>
    <row r="5" s="5" customFormat="true" ht="12" hidden="false" customHeight="false" outlineLevel="0" collapsed="false">
      <c r="A5" s="28" t="n">
        <v>45870</v>
      </c>
      <c r="B5" s="5" t="s">
        <v>14</v>
      </c>
      <c r="E5" s="5" t="s">
        <v>73</v>
      </c>
      <c r="F5" s="46" t="n">
        <v>1200</v>
      </c>
      <c r="H5" s="6" t="n">
        <f aca="false">IF((F5&lt;&gt;0),F5-G5," ")</f>
        <v>1200</v>
      </c>
      <c r="J5" s="6"/>
      <c r="K5" s="6"/>
      <c r="L5" s="7" t="n">
        <f aca="false">IF(F5&lt;&gt;0,F5-K5," ")</f>
        <v>1200</v>
      </c>
      <c r="M5" s="8" t="n">
        <f aca="false">IF((F5-K5)&lt;&gt;0,M$1-A5," ")</f>
        <v>267</v>
      </c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1200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46" t="str">
        <f aca="false">IF((E5="v"),H5," ")</f>
        <v> </v>
      </c>
      <c r="AD5" s="46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/>
      <c r="AK5" s="17"/>
      <c r="AL5" s="17"/>
    </row>
    <row r="6" customFormat="false" ht="12" hidden="false" customHeight="false" outlineLevel="0" collapsed="false">
      <c r="A6" s="28" t="n">
        <v>45870</v>
      </c>
      <c r="B6" s="2" t="s">
        <v>74</v>
      </c>
      <c r="E6" s="5" t="s">
        <v>75</v>
      </c>
      <c r="F6" s="46" t="n">
        <v>30</v>
      </c>
      <c r="H6" s="6" t="n">
        <f aca="false">IF((F6&lt;&gt;0),F6-G6," ")</f>
        <v>30</v>
      </c>
      <c r="I6" s="5"/>
      <c r="L6" s="7" t="n">
        <f aca="false">IF(F6&lt;&gt;0,F6-K6," ")</f>
        <v>30</v>
      </c>
      <c r="M6" s="8" t="n">
        <f aca="false">IF((F6-K6)&lt;&gt;0,M$1-A6," ")</f>
        <v>267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30</v>
      </c>
      <c r="AB6" s="17" t="str">
        <f aca="false">IF((E6="h"),H6," ")</f>
        <v> </v>
      </c>
      <c r="AC6" s="46" t="str">
        <f aca="false">IF((E6="v"),H6," ")</f>
        <v> </v>
      </c>
      <c r="AD6" s="46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</row>
    <row r="7" customFormat="false" ht="12" hidden="false" customHeight="false" outlineLevel="0" collapsed="false">
      <c r="A7" s="28" t="n">
        <v>45870</v>
      </c>
      <c r="B7" s="2" t="s">
        <v>76</v>
      </c>
      <c r="E7" s="5" t="s">
        <v>75</v>
      </c>
      <c r="F7" s="46" t="n">
        <v>15</v>
      </c>
      <c r="H7" s="6" t="n">
        <f aca="false">IF((F7&lt;&gt;0),F7-G7," ")</f>
        <v>15</v>
      </c>
      <c r="I7" s="5"/>
      <c r="L7" s="7" t="n">
        <f aca="false">IF(F7&lt;&gt;0,F7-K7," ")</f>
        <v>15</v>
      </c>
      <c r="M7" s="8" t="n">
        <f aca="false">IF((F7-K7)&lt;&gt;0,M$1-A7," ")</f>
        <v>267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15</v>
      </c>
      <c r="AB7" s="17" t="str">
        <f aca="false">IF((E7="h"),H7," ")</f>
        <v> </v>
      </c>
      <c r="AC7" s="46" t="str">
        <f aca="false">IF((E7="v"),H7," ")</f>
        <v> </v>
      </c>
      <c r="AD7" s="46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</row>
    <row r="8" customFormat="false" ht="12" hidden="false" customHeight="false" outlineLevel="0" collapsed="false">
      <c r="A8" s="28" t="n">
        <v>45870</v>
      </c>
      <c r="B8" s="2" t="s">
        <v>77</v>
      </c>
      <c r="E8" s="5" t="s">
        <v>78</v>
      </c>
      <c r="F8" s="46" t="n">
        <v>45</v>
      </c>
      <c r="H8" s="6" t="n">
        <f aca="false">IF((F8&lt;&gt;0),F8-G8," ")</f>
        <v>45</v>
      </c>
      <c r="I8" s="5"/>
      <c r="L8" s="7" t="n">
        <f aca="false">IF(F8&lt;&gt;0,F8-K8," ")</f>
        <v>45</v>
      </c>
      <c r="M8" s="8" t="n">
        <f aca="false">IF((F8-K8)&lt;&gt;0,M$1-A8," ")</f>
        <v>267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45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46" t="str">
        <f aca="false">IF((E8="v"),H8," ")</f>
        <v> </v>
      </c>
      <c r="AD8" s="46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</row>
    <row r="9" customFormat="false" ht="12" hidden="false" customHeight="false" outlineLevel="0" collapsed="false">
      <c r="A9" s="28" t="n">
        <v>45870</v>
      </c>
      <c r="B9" s="2" t="s">
        <v>81</v>
      </c>
      <c r="E9" s="5" t="s">
        <v>78</v>
      </c>
      <c r="F9" s="46" t="n">
        <v>24</v>
      </c>
      <c r="H9" s="6" t="n">
        <f aca="false">IF((F9&lt;&gt;0),F9-G9," ")</f>
        <v>24</v>
      </c>
      <c r="I9" s="5"/>
      <c r="L9" s="7" t="n">
        <f aca="false">IF(F9&lt;&gt;0,F9-K9," ")</f>
        <v>24</v>
      </c>
      <c r="M9" s="8" t="n">
        <f aca="false">IF((F9-K9)&lt;&gt;0,M$1-A9," ")</f>
        <v>267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n">
        <f aca="false">IF((E9="o"),H9," ")</f>
        <v>24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46" t="str">
        <f aca="false">IF((E9="v"),H9," ")</f>
        <v> </v>
      </c>
      <c r="AD9" s="46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</row>
    <row r="10" customFormat="false" ht="12" hidden="false" customHeight="false" outlineLevel="0" collapsed="false">
      <c r="A10" s="28" t="n">
        <v>45870</v>
      </c>
      <c r="B10" s="2" t="s">
        <v>82</v>
      </c>
      <c r="E10" s="5" t="s">
        <v>75</v>
      </c>
      <c r="F10" s="46" t="n">
        <v>18</v>
      </c>
      <c r="H10" s="6" t="n">
        <f aca="false">IF((F10&lt;&gt;0),F10-G10," ")</f>
        <v>18</v>
      </c>
      <c r="I10" s="5"/>
      <c r="L10" s="7" t="n">
        <f aca="false">IF(F10&lt;&gt;0,F10-K10," ")</f>
        <v>18</v>
      </c>
      <c r="M10" s="8" t="n">
        <f aca="false">IF((F10-K10)&lt;&gt;0,M$1-A10," ")</f>
        <v>267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str">
        <f aca="false">IF((E10="o"),H10," ")</f>
        <v> 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n">
        <f aca="false">IF((E10="g"),H10," ")</f>
        <v>18</v>
      </c>
      <c r="AB10" s="17" t="str">
        <f aca="false">IF((E10="h"),H10," ")</f>
        <v> </v>
      </c>
      <c r="AC10" s="46" t="str">
        <f aca="false">IF((E10="v"),H10," ")</f>
        <v> </v>
      </c>
      <c r="AD10" s="46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</row>
    <row r="11" customFormat="false" ht="12" hidden="false" customHeight="false" outlineLevel="0" collapsed="false">
      <c r="A11" s="28" t="n">
        <v>45872</v>
      </c>
      <c r="B11" s="2" t="s">
        <v>83</v>
      </c>
      <c r="E11" s="5" t="s">
        <v>78</v>
      </c>
      <c r="F11" s="46" t="n">
        <v>180</v>
      </c>
      <c r="H11" s="6" t="n">
        <f aca="false">IF((F11&lt;&gt;0),F11-G11," ")</f>
        <v>180</v>
      </c>
      <c r="I11" s="5"/>
      <c r="L11" s="7" t="n">
        <f aca="false">IF(F11&lt;&gt;0,F11-K11," ")</f>
        <v>180</v>
      </c>
      <c r="M11" s="8" t="n">
        <f aca="false">IF((F11-K11)&lt;&gt;0,M$1-A11," ")</f>
        <v>265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n">
        <f aca="false">IF((E11="o"),H11," ")</f>
        <v>180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str">
        <f aca="false">IF((E11="g"),H11," ")</f>
        <v> </v>
      </c>
      <c r="AB11" s="17" t="str">
        <f aca="false">IF((E11="h"),H11," ")</f>
        <v> </v>
      </c>
      <c r="AC11" s="46" t="str">
        <f aca="false">IF((E11="v"),H11," ")</f>
        <v> </v>
      </c>
      <c r="AD11" s="46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</row>
    <row r="12" customFormat="false" ht="12" hidden="false" customHeight="false" outlineLevel="0" collapsed="false">
      <c r="A12" s="28" t="n">
        <v>45872</v>
      </c>
      <c r="B12" s="2" t="s">
        <v>84</v>
      </c>
      <c r="E12" s="5" t="s">
        <v>85</v>
      </c>
      <c r="F12" s="46" t="n">
        <v>22</v>
      </c>
      <c r="H12" s="6" t="n">
        <f aca="false">IF((F12&lt;&gt;0),F12-G12," ")</f>
        <v>22</v>
      </c>
      <c r="I12" s="5"/>
      <c r="L12" s="7" t="n">
        <f aca="false">IF(F12&lt;&gt;0,F12-K12," ")</f>
        <v>22</v>
      </c>
      <c r="M12" s="8" t="n">
        <f aca="false">IF((F12-K12)&lt;&gt;0,M$1-A12," ")</f>
        <v>265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str">
        <f aca="false">IF((E12="o"),H12," ")</f>
        <v> 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n">
        <f aca="false">IF((E12="u"),H12," ")</f>
        <v>22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46" t="str">
        <f aca="false">IF((E12="v"),H12," ")</f>
        <v> </v>
      </c>
      <c r="AD12" s="46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</row>
    <row r="13" customFormat="false" ht="12" hidden="false" customHeight="false" outlineLevel="0" collapsed="false">
      <c r="A13" s="28" t="n">
        <v>45874</v>
      </c>
      <c r="B13" s="2" t="s">
        <v>86</v>
      </c>
      <c r="E13" s="5" t="s">
        <v>85</v>
      </c>
      <c r="F13" s="46" t="n">
        <v>24</v>
      </c>
      <c r="H13" s="6" t="n">
        <f aca="false">IF((F13&lt;&gt;0),F13-G13," ")</f>
        <v>24</v>
      </c>
      <c r="I13" s="5"/>
      <c r="L13" s="7" t="n">
        <f aca="false">IF(F13&lt;&gt;0,F13-K13," ")</f>
        <v>24</v>
      </c>
      <c r="M13" s="8" t="n">
        <f aca="false">IF((F13-K13)&lt;&gt;0,M$1-A13," ")</f>
        <v>263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24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46" t="str">
        <f aca="false">IF((E13="v"),H13," ")</f>
        <v> </v>
      </c>
      <c r="AD13" s="46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</row>
    <row r="14" customFormat="false" ht="12" hidden="false" customHeight="false" outlineLevel="0" collapsed="false">
      <c r="A14" s="28" t="n">
        <v>45874</v>
      </c>
      <c r="B14" s="2" t="s">
        <v>87</v>
      </c>
      <c r="E14" s="5" t="s">
        <v>88</v>
      </c>
      <c r="F14" s="46" t="n">
        <v>180</v>
      </c>
      <c r="H14" s="6" t="n">
        <f aca="false">IF((F14&lt;&gt;0),F14-G14," ")</f>
        <v>180</v>
      </c>
      <c r="I14" s="5"/>
      <c r="L14" s="7" t="n">
        <f aca="false">IF(F14&lt;&gt;0,F14-K14," ")</f>
        <v>180</v>
      </c>
      <c r="M14" s="8" t="n">
        <f aca="false">IF((F14-K14)&lt;&gt;0,M$1-A14," ")</f>
        <v>263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str">
        <f aca="false">IF((E14="u"),H14," ")</f>
        <v> 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46" t="n">
        <f aca="false">IF((E14="v"),H14," ")</f>
        <v>180</v>
      </c>
      <c r="AD14" s="46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</row>
    <row r="15" customFormat="false" ht="12" hidden="false" customHeight="false" outlineLevel="0" collapsed="false">
      <c r="A15" s="28" t="n">
        <v>45874</v>
      </c>
      <c r="B15" s="2" t="s">
        <v>89</v>
      </c>
      <c r="E15" s="5" t="s">
        <v>78</v>
      </c>
      <c r="F15" s="46" t="n">
        <v>36</v>
      </c>
      <c r="H15" s="6" t="n">
        <f aca="false">IF((F15&lt;&gt;0),F15-G15," ")</f>
        <v>36</v>
      </c>
      <c r="I15" s="5"/>
      <c r="L15" s="7" t="n">
        <f aca="false">IF(F15&lt;&gt;0,F15-K15," ")</f>
        <v>36</v>
      </c>
      <c r="M15" s="8" t="n">
        <f aca="false">IF((F15-K15)&lt;&gt;0,M$1-A15," ")</f>
        <v>263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n">
        <f aca="false">IF((E15="o"),H15," ")</f>
        <v>36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str">
        <f aca="false">IF((E15="h"),H15," ")</f>
        <v> </v>
      </c>
      <c r="AC15" s="46" t="str">
        <f aca="false">IF((E15="v"),H15," ")</f>
        <v> </v>
      </c>
      <c r="AD15" s="46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</row>
    <row r="16" customFormat="false" ht="12" hidden="false" customHeight="false" outlineLevel="0" collapsed="false">
      <c r="A16" s="28" t="n">
        <v>45877</v>
      </c>
      <c r="B16" s="2" t="s">
        <v>90</v>
      </c>
      <c r="E16" s="5" t="s">
        <v>91</v>
      </c>
      <c r="F16" s="46" t="n">
        <v>48</v>
      </c>
      <c r="H16" s="6" t="n">
        <f aca="false">IF((F16&lt;&gt;0),F16-G16," ")</f>
        <v>48</v>
      </c>
      <c r="I16" s="5"/>
      <c r="L16" s="7" t="n">
        <f aca="false">IF(F16&lt;&gt;0,F16-K16," ")</f>
        <v>48</v>
      </c>
      <c r="M16" s="8" t="n">
        <f aca="false">IF((F16-K16)&lt;&gt;0,M$1-A16," ")</f>
        <v>260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n">
        <f aca="false">IF((E16="h"),H16," ")</f>
        <v>48</v>
      </c>
      <c r="AC16" s="46" t="str">
        <f aca="false">IF((E16="v"),H16," ")</f>
        <v> </v>
      </c>
      <c r="AD16" s="46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</row>
    <row r="17" customFormat="false" ht="12" hidden="false" customHeight="false" outlineLevel="0" collapsed="false">
      <c r="A17" s="28" t="n">
        <v>45879</v>
      </c>
      <c r="B17" s="2" t="s">
        <v>92</v>
      </c>
      <c r="E17" s="5" t="s">
        <v>85</v>
      </c>
      <c r="F17" s="46" t="n">
        <v>36</v>
      </c>
      <c r="H17" s="6" t="n">
        <f aca="false">IF((F17&lt;&gt;0),F17-G17," ")</f>
        <v>36</v>
      </c>
      <c r="I17" s="5"/>
      <c r="L17" s="7" t="n">
        <f aca="false">IF(F17&lt;&gt;0,F17-K17," ")</f>
        <v>36</v>
      </c>
      <c r="M17" s="8" t="n">
        <f aca="false">IF((F17-K17)&lt;&gt;0,M$1-A17," ")</f>
        <v>258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n">
        <f aca="false">IF((E17="u"),H17," ")</f>
        <v>36</v>
      </c>
      <c r="Z17" s="17" t="str">
        <f aca="false">IF((E17="a"),H17," ")</f>
        <v> </v>
      </c>
      <c r="AA17" s="17" t="str">
        <f aca="false">IF((E17="g"),H17," ")</f>
        <v> </v>
      </c>
      <c r="AB17" s="17" t="str">
        <f aca="false">IF((E17="h"),H17," ")</f>
        <v> </v>
      </c>
      <c r="AC17" s="46" t="str">
        <f aca="false">IF((E17="v"),H17," ")</f>
        <v> </v>
      </c>
      <c r="AD17" s="46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</row>
    <row r="18" customFormat="false" ht="12" hidden="false" customHeight="false" outlineLevel="0" collapsed="false">
      <c r="A18" s="28" t="n">
        <v>45879</v>
      </c>
      <c r="B18" s="2" t="s">
        <v>124</v>
      </c>
      <c r="E18" s="5" t="s">
        <v>75</v>
      </c>
      <c r="F18" s="46" t="n">
        <v>96</v>
      </c>
      <c r="H18" s="6" t="n">
        <f aca="false">IF((F18&lt;&gt;0),F18-G18," ")</f>
        <v>96</v>
      </c>
      <c r="I18" s="5"/>
      <c r="L18" s="7" t="n">
        <f aca="false">IF(F18&lt;&gt;0,F18-K18," ")</f>
        <v>96</v>
      </c>
      <c r="M18" s="8" t="n">
        <f aca="false">IF((F18-K18)&lt;&gt;0,M$1-A18," ")</f>
        <v>258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str">
        <f aca="false">IF((E18="u"),H18," ")</f>
        <v> </v>
      </c>
      <c r="Z18" s="17" t="str">
        <f aca="false">IF((E18="a"),H18," ")</f>
        <v> </v>
      </c>
      <c r="AA18" s="17" t="n">
        <f aca="false">IF((E18="g"),H18," ")</f>
        <v>96</v>
      </c>
      <c r="AB18" s="17" t="str">
        <f aca="false">IF((E18="h"),H18," ")</f>
        <v> </v>
      </c>
      <c r="AC18" s="46" t="str">
        <f aca="false">IF((E18="v"),H18," ")</f>
        <v> </v>
      </c>
      <c r="AD18" s="46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</row>
    <row r="19" customFormat="false" ht="12" hidden="false" customHeight="false" outlineLevel="0" collapsed="false">
      <c r="A19" s="28" t="n">
        <v>45881</v>
      </c>
      <c r="B19" s="2" t="s">
        <v>97</v>
      </c>
      <c r="E19" s="5" t="s">
        <v>88</v>
      </c>
      <c r="F19" s="46" t="n">
        <v>18</v>
      </c>
      <c r="H19" s="6" t="n">
        <f aca="false">IF((F19&lt;&gt;0),F19-G19," ")</f>
        <v>18</v>
      </c>
      <c r="I19" s="5"/>
      <c r="L19" s="7" t="n">
        <f aca="false">IF(F19&lt;&gt;0,F19-K19," ")</f>
        <v>18</v>
      </c>
      <c r="M19" s="8" t="n">
        <f aca="false">IF((F19-K19)&lt;&gt;0,M$1-A19," ")</f>
        <v>256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str">
        <f aca="false">IF((E19="h"),H19," ")</f>
        <v> </v>
      </c>
      <c r="AC19" s="46" t="n">
        <f aca="false">IF((E19="v"),H19," ")</f>
        <v>18</v>
      </c>
      <c r="AD19" s="46" t="str">
        <f aca="false">IF((E19="n"),H19," ")</f>
        <v> </v>
      </c>
      <c r="AE19" s="17" t="str">
        <f aca="false">IF((E19="f"),H19," ")</f>
        <v> 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</row>
    <row r="20" customFormat="false" ht="12" hidden="false" customHeight="false" outlineLevel="0" collapsed="false">
      <c r="A20" s="28" t="n">
        <v>45883</v>
      </c>
      <c r="B20" s="2" t="s">
        <v>98</v>
      </c>
      <c r="E20" s="5" t="s">
        <v>85</v>
      </c>
      <c r="F20" s="46" t="n">
        <v>30</v>
      </c>
      <c r="H20" s="6" t="n">
        <f aca="false">IF((F20&lt;&gt;0),F20-G20," ")</f>
        <v>30</v>
      </c>
      <c r="I20" s="5"/>
      <c r="L20" s="7" t="n">
        <f aca="false">IF(F20&lt;&gt;0,F20-K20," ")</f>
        <v>30</v>
      </c>
      <c r="M20" s="8" t="n">
        <f aca="false">IF((F20-K20)&lt;&gt;0,M$1-A20," ")</f>
        <v>254</v>
      </c>
      <c r="N20" s="5"/>
      <c r="O20" s="17" t="str">
        <f aca="false">IF((E20="s"),H20," ")</f>
        <v> 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n">
        <f aca="false">IF((E20="u"),H20," ")</f>
        <v>30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46" t="str">
        <f aca="false">IF((E20="v"),H20," ")</f>
        <v> </v>
      </c>
      <c r="AD20" s="46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</row>
    <row r="21" customFormat="false" ht="12" hidden="false" customHeight="false" outlineLevel="0" collapsed="false">
      <c r="A21" s="28" t="n">
        <v>45883</v>
      </c>
      <c r="B21" s="2" t="s">
        <v>99</v>
      </c>
      <c r="E21" s="5" t="s">
        <v>91</v>
      </c>
      <c r="F21" s="46" t="n">
        <v>24</v>
      </c>
      <c r="H21" s="6" t="n">
        <f aca="false">IF((F21&lt;&gt;0),F21-G21," ")</f>
        <v>24</v>
      </c>
      <c r="I21" s="5"/>
      <c r="L21" s="7" t="n">
        <f aca="false">IF(F21&lt;&gt;0,F21-K21," ")</f>
        <v>24</v>
      </c>
      <c r="M21" s="8" t="n">
        <f aca="false">IF((F21-K21)&lt;&gt;0,M$1-A21," ")</f>
        <v>254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n">
        <f aca="false">IF((E21="h"),H21," ")</f>
        <v>24</v>
      </c>
      <c r="AC21" s="46" t="str">
        <f aca="false">IF((E21="v"),H21," ")</f>
        <v> </v>
      </c>
      <c r="AD21" s="46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</row>
    <row r="22" customFormat="false" ht="12" hidden="false" customHeight="false" outlineLevel="0" collapsed="false">
      <c r="A22" s="28" t="n">
        <v>45883</v>
      </c>
      <c r="B22" s="2" t="s">
        <v>100</v>
      </c>
      <c r="E22" s="5" t="s">
        <v>91</v>
      </c>
      <c r="F22" s="46" t="n">
        <v>12</v>
      </c>
      <c r="H22" s="6" t="n">
        <f aca="false">IF((F22&lt;&gt;0),F22-G22," ")</f>
        <v>12</v>
      </c>
      <c r="I22" s="5"/>
      <c r="L22" s="7" t="n">
        <f aca="false">IF(F22&lt;&gt;0,F22-K22," ")</f>
        <v>12</v>
      </c>
      <c r="M22" s="8" t="n">
        <f aca="false">IF((F22-K22)&lt;&gt;0,M$1-A22," ")</f>
        <v>254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n">
        <f aca="false">IF((E22="h"),H22," ")</f>
        <v>12</v>
      </c>
      <c r="AC22" s="46" t="str">
        <f aca="false">IF((E22="v"),H22," ")</f>
        <v> </v>
      </c>
      <c r="AD22" s="46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</row>
    <row r="23" customFormat="false" ht="12" hidden="false" customHeight="false" outlineLevel="0" collapsed="false">
      <c r="A23" s="28" t="n">
        <v>45884</v>
      </c>
      <c r="B23" s="2" t="s">
        <v>20</v>
      </c>
      <c r="E23" s="5" t="s">
        <v>88</v>
      </c>
      <c r="F23" s="46" t="n">
        <v>150</v>
      </c>
      <c r="H23" s="6" t="n">
        <f aca="false">IF((F23&lt;&gt;0),F23-G23," ")</f>
        <v>150</v>
      </c>
      <c r="I23" s="5"/>
      <c r="L23" s="7" t="n">
        <f aca="false">IF(F23&lt;&gt;0,F23-K23," ")</f>
        <v>150</v>
      </c>
      <c r="M23" s="8" t="n">
        <f aca="false">IF((F23-K23)&lt;&gt;0,M$1-A23," ")</f>
        <v>253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str">
        <f aca="false">IF((E23="h"),H23," ")</f>
        <v> </v>
      </c>
      <c r="AC23" s="46" t="n">
        <f aca="false">IF((E23="v"),H23," ")</f>
        <v>150</v>
      </c>
      <c r="AD23" s="46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</row>
    <row r="24" customFormat="false" ht="12" hidden="false" customHeight="false" outlineLevel="0" collapsed="false">
      <c r="A24" s="28" t="n">
        <v>45884</v>
      </c>
      <c r="B24" s="2" t="s">
        <v>101</v>
      </c>
      <c r="E24" s="5" t="s">
        <v>75</v>
      </c>
      <c r="F24" s="46" t="n">
        <v>12</v>
      </c>
      <c r="H24" s="6" t="n">
        <f aca="false">IF((F24&lt;&gt;0),F24-G24," ")</f>
        <v>12</v>
      </c>
      <c r="I24" s="5"/>
      <c r="L24" s="7" t="n">
        <f aca="false">IF(F24&lt;&gt;0,F24-K24," ")</f>
        <v>12</v>
      </c>
      <c r="M24" s="8" t="n">
        <f aca="false">IF((F24-K24)&lt;&gt;0,M$1-A24," ")</f>
        <v>253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n">
        <f aca="false">IF((E24="g"),H24," ")</f>
        <v>12</v>
      </c>
      <c r="AB24" s="17" t="str">
        <f aca="false">IF((E24="h"),H24," ")</f>
        <v> </v>
      </c>
      <c r="AC24" s="46" t="str">
        <f aca="false">IF((E24="v"),H24," ")</f>
        <v> </v>
      </c>
      <c r="AD24" s="46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</row>
    <row r="25" customFormat="false" ht="12" hidden="false" customHeight="false" outlineLevel="0" collapsed="false">
      <c r="A25" s="28" t="n">
        <v>45884</v>
      </c>
      <c r="B25" s="2" t="s">
        <v>125</v>
      </c>
      <c r="E25" s="5" t="s">
        <v>126</v>
      </c>
      <c r="F25" s="46" t="n">
        <v>5000</v>
      </c>
      <c r="H25" s="6" t="n">
        <f aca="false">IF((F25&lt;&gt;0),F25-G25," ")</f>
        <v>5000</v>
      </c>
      <c r="I25" s="5"/>
      <c r="L25" s="7" t="n">
        <f aca="false">IF(F25&lt;&gt;0,F25-K25," ")</f>
        <v>5000</v>
      </c>
      <c r="M25" s="8" t="n">
        <f aca="false">IF((F25-K25)&lt;&gt;0,M$1-A25," ")</f>
        <v>253</v>
      </c>
      <c r="N25" s="5"/>
      <c r="O25" s="17" t="str">
        <f aca="false">IF((E25="s"),H25," ")</f>
        <v> </v>
      </c>
      <c r="P25" s="17" t="n">
        <f aca="false">IF((E25="c"),H25," ")</f>
        <v>5000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str">
        <f aca="false">IF((E25="g"),H25," ")</f>
        <v> </v>
      </c>
      <c r="AB25" s="17" t="str">
        <f aca="false">IF((E25="h"),H25," ")</f>
        <v> </v>
      </c>
      <c r="AC25" s="46" t="str">
        <f aca="false">IF((E25="v"),H25," ")</f>
        <v> </v>
      </c>
      <c r="AD25" s="46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</row>
    <row r="26" customFormat="false" ht="12" hidden="false" customHeight="false" outlineLevel="0" collapsed="false">
      <c r="A26" s="28" t="n">
        <v>45887</v>
      </c>
      <c r="B26" s="2" t="s">
        <v>127</v>
      </c>
      <c r="E26" s="5" t="s">
        <v>91</v>
      </c>
      <c r="F26" s="46" t="n">
        <v>180</v>
      </c>
      <c r="H26" s="6" t="n">
        <f aca="false">IF((F26&lt;&gt;0),F26-G26," ")</f>
        <v>180</v>
      </c>
      <c r="I26" s="5"/>
      <c r="L26" s="7" t="n">
        <f aca="false">IF(F26&lt;&gt;0,F26-K26," ")</f>
        <v>180</v>
      </c>
      <c r="M26" s="8" t="n">
        <f aca="false">IF((F26-K26)&lt;&gt;0,M$1-A26," ")</f>
        <v>250</v>
      </c>
      <c r="N26" s="5"/>
      <c r="O26" s="17" t="str">
        <f aca="false">IF((E26="s"),H26," ")</f>
        <v> 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str">
        <f aca="false">IF((E26="g"),H26," ")</f>
        <v> </v>
      </c>
      <c r="AB26" s="17" t="n">
        <f aca="false">IF((E26="h"),H26," ")</f>
        <v>180</v>
      </c>
      <c r="AC26" s="46" t="str">
        <f aca="false">IF((E26="v"),H26," ")</f>
        <v> </v>
      </c>
      <c r="AD26" s="46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</row>
    <row r="27" customFormat="false" ht="12" hidden="false" customHeight="false" outlineLevel="0" collapsed="false">
      <c r="A27" s="28" t="n">
        <v>45887</v>
      </c>
      <c r="B27" s="2" t="s">
        <v>128</v>
      </c>
      <c r="E27" s="5" t="s">
        <v>96</v>
      </c>
      <c r="F27" s="46" t="n">
        <v>360</v>
      </c>
      <c r="H27" s="6" t="n">
        <f aca="false">IF((F27&lt;&gt;0),F27-G27," ")</f>
        <v>360</v>
      </c>
      <c r="I27" s="5"/>
      <c r="L27" s="7" t="n">
        <f aca="false">IF(F27&lt;&gt;0,F27-K27," ")</f>
        <v>360</v>
      </c>
      <c r="M27" s="8" t="n">
        <f aca="false">IF((F27-K27)&lt;&gt;0,M$1-A27," ")</f>
        <v>250</v>
      </c>
      <c r="N27" s="5"/>
      <c r="O27" s="17" t="n">
        <f aca="false">IF((E27="s"),H27," ")</f>
        <v>360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str">
        <f aca="false">IF((E27="h"),H27," ")</f>
        <v> </v>
      </c>
      <c r="AC27" s="46" t="str">
        <f aca="false">IF((E27="v"),H27," ")</f>
        <v> </v>
      </c>
      <c r="AD27" s="46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</row>
    <row r="28" customFormat="false" ht="12" hidden="false" customHeight="false" outlineLevel="0" collapsed="false">
      <c r="A28" s="28" t="n">
        <v>45887</v>
      </c>
      <c r="B28" s="2" t="s">
        <v>102</v>
      </c>
      <c r="E28" s="5" t="s">
        <v>88</v>
      </c>
      <c r="F28" s="46" t="n">
        <v>96</v>
      </c>
      <c r="H28" s="6" t="n">
        <f aca="false">IF((F28&lt;&gt;0),F28-G28," ")</f>
        <v>96</v>
      </c>
      <c r="I28" s="5"/>
      <c r="L28" s="7" t="n">
        <f aca="false">IF(F28&lt;&gt;0,F28-K28," ")</f>
        <v>96</v>
      </c>
      <c r="M28" s="8" t="n">
        <f aca="false">IF((F28-K28)&lt;&gt;0,M$1-A28," ")</f>
        <v>250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str">
        <f aca="false">IF((E28="g"),H28," ")</f>
        <v> </v>
      </c>
      <c r="AB28" s="17" t="str">
        <f aca="false">IF((E28="h"),H28," ")</f>
        <v> </v>
      </c>
      <c r="AC28" s="46" t="n">
        <f aca="false">IF((E28="v"),H28," ")</f>
        <v>96</v>
      </c>
      <c r="AD28" s="46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</row>
    <row r="29" customFormat="false" ht="12" hidden="false" customHeight="false" outlineLevel="0" collapsed="false">
      <c r="A29" s="28" t="n">
        <v>45889</v>
      </c>
      <c r="B29" s="2" t="s">
        <v>103</v>
      </c>
      <c r="E29" s="5" t="s">
        <v>75</v>
      </c>
      <c r="F29" s="46" t="n">
        <v>60</v>
      </c>
      <c r="H29" s="6" t="n">
        <f aca="false">IF((F29&lt;&gt;0),F29-G29," ")</f>
        <v>60</v>
      </c>
      <c r="I29" s="5"/>
      <c r="L29" s="7" t="n">
        <f aca="false">IF(F29&lt;&gt;0,F29-K29," ")</f>
        <v>60</v>
      </c>
      <c r="M29" s="8" t="n">
        <f aca="false">IF((F29-K29)&lt;&gt;0,M$1-A29," ")</f>
        <v>248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n">
        <f aca="false">IF((E29="g"),H29," ")</f>
        <v>60</v>
      </c>
      <c r="AB29" s="17" t="str">
        <f aca="false">IF((E29="h"),H29," ")</f>
        <v> </v>
      </c>
      <c r="AC29" s="46" t="str">
        <f aca="false">IF((E29="v"),H29," ")</f>
        <v> </v>
      </c>
      <c r="AD29" s="46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</row>
    <row r="30" customFormat="false" ht="12" hidden="false" customHeight="false" outlineLevel="0" collapsed="false">
      <c r="A30" s="28" t="n">
        <v>45890</v>
      </c>
      <c r="B30" s="2" t="s">
        <v>106</v>
      </c>
      <c r="E30" s="5" t="s">
        <v>91</v>
      </c>
      <c r="F30" s="46" t="n">
        <v>8</v>
      </c>
      <c r="H30" s="6" t="n">
        <f aca="false">IF((F30&lt;&gt;0),F30-G30," ")</f>
        <v>8</v>
      </c>
      <c r="I30" s="5"/>
      <c r="L30" s="7" t="n">
        <f aca="false">IF(F30&lt;&gt;0,F30-K30," ")</f>
        <v>8</v>
      </c>
      <c r="M30" s="8" t="n">
        <f aca="false">IF((F30-K30)&lt;&gt;0,M$1-A30," ")</f>
        <v>247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str">
        <f aca="false">IF((E30="g"),H30," ")</f>
        <v> </v>
      </c>
      <c r="AB30" s="17" t="n">
        <f aca="false">IF((E30="h"),H30," ")</f>
        <v>8</v>
      </c>
      <c r="AC30" s="46" t="str">
        <f aca="false">IF((E30="v"),H30," ")</f>
        <v> </v>
      </c>
      <c r="AD30" s="46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</row>
    <row r="31" customFormat="false" ht="12" hidden="false" customHeight="false" outlineLevel="0" collapsed="false">
      <c r="A31" s="28" t="n">
        <v>45891</v>
      </c>
      <c r="B31" s="2" t="s">
        <v>107</v>
      </c>
      <c r="E31" s="5" t="s">
        <v>85</v>
      </c>
      <c r="F31" s="46" t="n">
        <v>18</v>
      </c>
      <c r="H31" s="6" t="n">
        <f aca="false">IF((F31&lt;&gt;0),F31-G31," ")</f>
        <v>18</v>
      </c>
      <c r="I31" s="5"/>
      <c r="L31" s="7" t="n">
        <f aca="false">IF(F31&lt;&gt;0,F31-K31," ")</f>
        <v>18</v>
      </c>
      <c r="M31" s="8" t="n">
        <f aca="false">IF((F31-K31)&lt;&gt;0,M$1-A31," ")</f>
        <v>246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n">
        <f aca="false">IF((E31="u"),H31," ")</f>
        <v>18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46" t="str">
        <f aca="false">IF((E31="v"),H31," ")</f>
        <v> </v>
      </c>
      <c r="AD31" s="46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</row>
    <row r="32" customFormat="false" ht="12" hidden="false" customHeight="false" outlineLevel="0" collapsed="false">
      <c r="A32" s="28" t="n">
        <v>45894</v>
      </c>
      <c r="B32" s="2" t="s">
        <v>129</v>
      </c>
      <c r="E32" s="5" t="s">
        <v>130</v>
      </c>
      <c r="F32" s="46" t="n">
        <v>360</v>
      </c>
      <c r="H32" s="6" t="n">
        <f aca="false">IF((F32&lt;&gt;0),F32-G32," ")</f>
        <v>360</v>
      </c>
      <c r="I32" s="5"/>
      <c r="L32" s="7" t="n">
        <f aca="false">IF(F32&lt;&gt;0,F32-K32," ")</f>
        <v>360</v>
      </c>
      <c r="M32" s="8" t="n">
        <f aca="false">IF((F32-K32)&lt;&gt;0,M$1-A32," ")</f>
        <v>243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n">
        <f aca="false">IF((E32="p"),H32," ")</f>
        <v>360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str">
        <f aca="false">IF((E32="u"),H32," ")</f>
        <v> 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46" t="str">
        <f aca="false">IF((E32="v"),H32," ")</f>
        <v> </v>
      </c>
      <c r="AD32" s="46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</row>
    <row r="33" customFormat="false" ht="12" hidden="false" customHeight="false" outlineLevel="0" collapsed="false">
      <c r="A33" s="28" t="n">
        <v>45894</v>
      </c>
      <c r="B33" s="2" t="s">
        <v>108</v>
      </c>
      <c r="E33" s="5" t="s">
        <v>85</v>
      </c>
      <c r="F33" s="46" t="n">
        <v>15</v>
      </c>
      <c r="H33" s="6" t="n">
        <f aca="false">IF((F33&lt;&gt;0),F33-G33," ")</f>
        <v>15</v>
      </c>
      <c r="I33" s="5"/>
      <c r="L33" s="7" t="n">
        <f aca="false">IF(F33&lt;&gt;0,F33-K33," ")</f>
        <v>15</v>
      </c>
      <c r="M33" s="8" t="n">
        <f aca="false">IF((F33-K33)&lt;&gt;0,M$1-A33," ")</f>
        <v>243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n">
        <f aca="false">IF((E33="u"),H33," ")</f>
        <v>15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46" t="str">
        <f aca="false">IF((E33="v"),H33," ")</f>
        <v> </v>
      </c>
      <c r="AD33" s="46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</row>
    <row r="34" customFormat="false" ht="12" hidden="false" customHeight="false" outlineLevel="0" collapsed="false">
      <c r="A34" s="28" t="n">
        <v>45894</v>
      </c>
      <c r="B34" s="2" t="s">
        <v>109</v>
      </c>
      <c r="E34" s="5" t="s">
        <v>88</v>
      </c>
      <c r="F34" s="46" t="n">
        <v>90</v>
      </c>
      <c r="H34" s="6" t="n">
        <f aca="false">IF((F34&lt;&gt;0),F34-G34," ")</f>
        <v>90</v>
      </c>
      <c r="I34" s="5"/>
      <c r="L34" s="7" t="n">
        <f aca="false">IF(F34&lt;&gt;0,F34-K34," ")</f>
        <v>90</v>
      </c>
      <c r="M34" s="8" t="n">
        <f aca="false">IF((F34-K34)&lt;&gt;0,M$1-A34," ")</f>
        <v>243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str">
        <f aca="false">IF((E34="u"),H34," ")</f>
        <v> 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46" t="n">
        <f aca="false">IF((E34="v"),H34," ")</f>
        <v>90</v>
      </c>
      <c r="AD34" s="46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</row>
    <row r="35" customFormat="false" ht="12" hidden="false" customHeight="false" outlineLevel="0" collapsed="false">
      <c r="A35" s="28" t="n">
        <v>45897</v>
      </c>
      <c r="B35" s="2" t="s">
        <v>20</v>
      </c>
      <c r="E35" s="5" t="s">
        <v>88</v>
      </c>
      <c r="F35" s="46" t="n">
        <v>120</v>
      </c>
      <c r="H35" s="6" t="n">
        <f aca="false">IF((F35&lt;&gt;0),F35-G35," ")</f>
        <v>120</v>
      </c>
      <c r="I35" s="5"/>
      <c r="L35" s="7" t="n">
        <f aca="false">IF(F35&lt;&gt;0,F35-K35," ")</f>
        <v>120</v>
      </c>
      <c r="M35" s="8" t="n">
        <f aca="false">IF((F35-K35)&lt;&gt;0,M$1-A35," ")</f>
        <v>240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str">
        <f aca="false">IF((E35="u"),H35," ")</f>
        <v> 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46" t="n">
        <f aca="false">IF((E35="v"),H35," ")</f>
        <v>120</v>
      </c>
      <c r="AD35" s="46" t="str">
        <f aca="false">IF((E35="n"),H35," ")</f>
        <v> </v>
      </c>
      <c r="AE35" s="17" t="str">
        <f aca="false">IF((E35="f"),H35," ")</f>
        <v> </v>
      </c>
      <c r="AF35" s="17" t="str">
        <f aca="false">IF((E35="l"),H35," ")</f>
        <v> 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</row>
    <row r="36" customFormat="false" ht="12" hidden="false" customHeight="false" outlineLevel="0" collapsed="false">
      <c r="A36" s="28" t="n">
        <v>45899</v>
      </c>
      <c r="B36" s="2" t="s">
        <v>16</v>
      </c>
      <c r="E36" s="5" t="s">
        <v>110</v>
      </c>
      <c r="F36" s="46" t="n">
        <v>300</v>
      </c>
      <c r="H36" s="6" t="n">
        <f aca="false">IF((F36&lt;&gt;0),F36-G36," ")</f>
        <v>300</v>
      </c>
      <c r="I36" s="5"/>
      <c r="L36" s="7" t="n">
        <f aca="false">IF(F36&lt;&gt;0,F36-K36," ")</f>
        <v>300</v>
      </c>
      <c r="M36" s="8" t="n">
        <f aca="false">IF((F36-K36)&lt;&gt;0,M$1-A36," ")</f>
        <v>238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46" t="str">
        <f aca="false">IF((E36="v"),H36," ")</f>
        <v> </v>
      </c>
      <c r="AD36" s="46" t="str">
        <f aca="false">IF((E36="n"),H36," ")</f>
        <v> </v>
      </c>
      <c r="AE36" s="17" t="str">
        <f aca="false">IF((E36="f"),H36," ")</f>
        <v> </v>
      </c>
      <c r="AF36" s="17" t="n">
        <f aca="false">IF((E36="l"),H36," ")</f>
        <v>300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</row>
    <row r="37" customFormat="false" ht="12" hidden="false" customHeight="false" outlineLevel="0" collapsed="false">
      <c r="A37" s="28" t="n">
        <v>45899</v>
      </c>
      <c r="B37" s="2" t="s">
        <v>131</v>
      </c>
      <c r="E37" s="5" t="s">
        <v>110</v>
      </c>
      <c r="F37" s="46" t="n">
        <v>250</v>
      </c>
      <c r="H37" s="6" t="n">
        <f aca="false">IF((F37&lt;&gt;0),F37-G37," ")</f>
        <v>250</v>
      </c>
      <c r="I37" s="5"/>
      <c r="L37" s="7" t="n">
        <f aca="false">IF(F37&lt;&gt;0,F37-K37," ")</f>
        <v>250</v>
      </c>
      <c r="M37" s="8" t="n">
        <f aca="false">IF((F37-K37)&lt;&gt;0,M$1-A37," ")</f>
        <v>238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46" t="str">
        <f aca="false">IF((E37="v"),H37," ")</f>
        <v> </v>
      </c>
      <c r="AD37" s="46" t="str">
        <f aca="false">IF((E37="n"),H37," ")</f>
        <v> </v>
      </c>
      <c r="AE37" s="17" t="str">
        <f aca="false">IF((E37="f"),H37," ")</f>
        <v> </v>
      </c>
      <c r="AF37" s="17" t="n">
        <f aca="false">IF((E37="l"),H37," ")</f>
        <v>250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</row>
    <row r="38" customFormat="false" ht="12" hidden="false" customHeight="false" outlineLevel="0" collapsed="false">
      <c r="A38" s="28"/>
      <c r="E38" s="2"/>
      <c r="F38" s="46"/>
      <c r="H38" s="6" t="str">
        <f aca="false">IF((F38&lt;&gt;0),F38-G38," ")</f>
        <v> </v>
      </c>
      <c r="I38" s="5"/>
      <c r="L38" s="7" t="str">
        <f aca="false">IF(F38&lt;&gt;0,F38-K38," ")</f>
        <v> </v>
      </c>
      <c r="M38" s="8" t="str">
        <f aca="false">IF((F38-K38)&lt;&gt;0,M$1-A38," ")</f>
        <v> 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46" t="str">
        <f aca="false">IF((E38="v"),H38," ")</f>
        <v> </v>
      </c>
      <c r="AD38" s="46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</row>
    <row r="39" customFormat="false" ht="12" hidden="false" customHeight="false" outlineLevel="0" collapsed="false">
      <c r="A39" s="28"/>
      <c r="E39" s="2"/>
      <c r="F39" s="46"/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46" t="str">
        <f aca="false">IF((E39="v"),H39," ")</f>
        <v> </v>
      </c>
      <c r="AD39" s="46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</row>
    <row r="40" customFormat="false" ht="12" hidden="false" customHeight="false" outlineLevel="0" collapsed="false">
      <c r="A40" s="28"/>
      <c r="E40" s="2"/>
      <c r="F40" s="46"/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46" t="str">
        <f aca="false">IF((E40="v"),H40," ")</f>
        <v> </v>
      </c>
      <c r="AD40" s="46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</row>
    <row r="41" customFormat="false" ht="12" hidden="false" customHeight="false" outlineLevel="0" collapsed="false">
      <c r="A41" s="28"/>
      <c r="E41" s="2"/>
      <c r="F41" s="46"/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46" t="str">
        <f aca="false">IF((E41="v"),H41," ")</f>
        <v> </v>
      </c>
      <c r="AD41" s="46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</row>
    <row r="42" customFormat="false" ht="12" hidden="false" customHeight="false" outlineLevel="0" collapsed="false">
      <c r="A42" s="28"/>
      <c r="E42" s="2"/>
      <c r="F42" s="46"/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46" t="str">
        <f aca="false">IF((E42="v"),H42," ")</f>
        <v> </v>
      </c>
      <c r="AD42" s="46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</row>
    <row r="43" customFormat="false" ht="12" hidden="false" customHeight="false" outlineLevel="0" collapsed="false">
      <c r="A43" s="28"/>
      <c r="E43" s="2"/>
      <c r="F43" s="46"/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46" t="str">
        <f aca="false">IF((E43="v"),H43," ")</f>
        <v> </v>
      </c>
      <c r="AD43" s="46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</row>
    <row r="44" customFormat="false" ht="12" hidden="false" customHeight="false" outlineLevel="0" collapsed="false">
      <c r="A44" s="28"/>
      <c r="E44" s="2"/>
      <c r="F44" s="46"/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46" t="str">
        <f aca="false">IF((E44="v"),H44," ")</f>
        <v> </v>
      </c>
      <c r="AD44" s="46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</row>
    <row r="45" customFormat="false" ht="12" hidden="false" customHeight="false" outlineLevel="0" collapsed="false">
      <c r="A45" s="28"/>
      <c r="E45" s="2"/>
      <c r="F45" s="46"/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46" t="str">
        <f aca="false">IF((E45="v"),H45," ")</f>
        <v> </v>
      </c>
      <c r="AD45" s="46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</row>
    <row r="46" customFormat="false" ht="12" hidden="false" customHeight="false" outlineLevel="0" collapsed="false">
      <c r="A46" s="28"/>
      <c r="E46" s="2"/>
      <c r="F46" s="46"/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46" t="str">
        <f aca="false">IF((E46="v"),H46," ")</f>
        <v> </v>
      </c>
      <c r="AD46" s="46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</row>
    <row r="47" customFormat="false" ht="12" hidden="false" customHeight="false" outlineLevel="0" collapsed="false">
      <c r="A47" s="28"/>
      <c r="E47" s="2"/>
      <c r="F47" s="46"/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46" t="str">
        <f aca="false">IF((E47="v"),H47," ")</f>
        <v> </v>
      </c>
      <c r="AD47" s="46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</row>
    <row r="48" customFormat="false" ht="12" hidden="false" customHeight="false" outlineLevel="0" collapsed="false">
      <c r="A48" s="28"/>
      <c r="E48" s="2"/>
      <c r="F48" s="46"/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46" t="str">
        <f aca="false">IF((E48="v"),H48," ")</f>
        <v> </v>
      </c>
      <c r="AD48" s="46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</row>
    <row r="49" customFormat="false" ht="12" hidden="false" customHeight="false" outlineLevel="0" collapsed="false">
      <c r="A49" s="28"/>
      <c r="E49" s="2"/>
      <c r="F49" s="46"/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46" t="str">
        <f aca="false">IF((E49="v"),H49," ")</f>
        <v> </v>
      </c>
      <c r="AD49" s="46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</row>
    <row r="50" customFormat="false" ht="12" hidden="false" customHeight="false" outlineLevel="0" collapsed="false">
      <c r="A50" s="28"/>
      <c r="E50" s="2"/>
      <c r="F50" s="46"/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46" t="str">
        <f aca="false">IF((E50="v"),H50," ")</f>
        <v> </v>
      </c>
      <c r="AD50" s="46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</row>
    <row r="51" customFormat="false" ht="12" hidden="false" customHeight="false" outlineLevel="0" collapsed="false">
      <c r="A51" s="28"/>
      <c r="E51" s="2"/>
      <c r="F51" s="46"/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46" t="str">
        <f aca="false">IF((E51="v"),H51," ")</f>
        <v> </v>
      </c>
      <c r="AD51" s="46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</row>
    <row r="52" customFormat="false" ht="12" hidden="false" customHeight="false" outlineLevel="0" collapsed="false">
      <c r="A52" s="28"/>
      <c r="E52" s="2"/>
      <c r="F52" s="46"/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46" t="str">
        <f aca="false">IF((E52="v"),H52," ")</f>
        <v> </v>
      </c>
      <c r="AD52" s="46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</row>
    <row r="53" customFormat="false" ht="12" hidden="false" customHeight="false" outlineLevel="0" collapsed="false">
      <c r="A53" s="28"/>
      <c r="E53" s="2"/>
      <c r="F53" s="46"/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46" t="str">
        <f aca="false">IF((E53="v"),H53," ")</f>
        <v> </v>
      </c>
      <c r="AD53" s="46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</row>
    <row r="54" customFormat="false" ht="12" hidden="false" customHeight="false" outlineLevel="0" collapsed="false">
      <c r="A54" s="28"/>
      <c r="E54" s="2"/>
      <c r="F54" s="46"/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46" t="str">
        <f aca="false">IF((E54="v"),H54," ")</f>
        <v> </v>
      </c>
      <c r="AD54" s="46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</row>
    <row r="55" customFormat="false" ht="12" hidden="false" customHeight="false" outlineLevel="0" collapsed="false">
      <c r="A55" s="28"/>
      <c r="E55" s="2"/>
      <c r="F55" s="46"/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46" t="str">
        <f aca="false">IF((E55="v"),H55," ")</f>
        <v> </v>
      </c>
      <c r="AD55" s="46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</row>
    <row r="56" customFormat="false" ht="12" hidden="false" customHeight="false" outlineLevel="0" collapsed="false">
      <c r="A56" s="28"/>
      <c r="E56" s="2"/>
      <c r="F56" s="46"/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46" t="str">
        <f aca="false">IF((E56="v"),H56," ")</f>
        <v> </v>
      </c>
      <c r="AD56" s="46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</row>
    <row r="57" customFormat="false" ht="12" hidden="false" customHeight="false" outlineLevel="0" collapsed="false">
      <c r="A57" s="28"/>
      <c r="E57" s="2"/>
      <c r="F57" s="46"/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46" t="str">
        <f aca="false">IF((E57="v"),H57," ")</f>
        <v> </v>
      </c>
      <c r="AD57" s="46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</row>
    <row r="58" customFormat="false" ht="12" hidden="false" customHeight="false" outlineLevel="0" collapsed="false">
      <c r="A58" s="28"/>
      <c r="E58" s="2"/>
      <c r="F58" s="46"/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46" t="str">
        <f aca="false">IF((E58="v"),H58," ")</f>
        <v> </v>
      </c>
      <c r="AD58" s="46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</row>
    <row r="59" customFormat="false" ht="12" hidden="false" customHeight="false" outlineLevel="0" collapsed="false">
      <c r="A59" s="28"/>
      <c r="E59" s="2"/>
      <c r="F59" s="46"/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46" t="str">
        <f aca="false">IF((E59="v"),H59," ")</f>
        <v> </v>
      </c>
      <c r="AD59" s="46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</row>
    <row r="60" customFormat="false" ht="12" hidden="false" customHeight="false" outlineLevel="0" collapsed="false">
      <c r="A60" s="28"/>
      <c r="E60" s="2"/>
      <c r="F60" s="46"/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46" t="str">
        <f aca="false">IF((E60="v"),H60," ")</f>
        <v> </v>
      </c>
      <c r="AD60" s="46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</row>
    <row r="61" customFormat="false" ht="12" hidden="false" customHeight="false" outlineLevel="0" collapsed="false">
      <c r="A61" s="28"/>
      <c r="E61" s="2"/>
      <c r="F61" s="46"/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46" t="str">
        <f aca="false">IF((E61="v"),H61," ")</f>
        <v> </v>
      </c>
      <c r="AD61" s="46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</row>
    <row r="62" customFormat="false" ht="12" hidden="false" customHeight="false" outlineLevel="0" collapsed="false">
      <c r="A62" s="28"/>
      <c r="E62" s="2"/>
      <c r="F62" s="46"/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46" t="str">
        <f aca="false">IF((E62="v"),H62," ")</f>
        <v> </v>
      </c>
      <c r="AD62" s="46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</row>
    <row r="63" customFormat="false" ht="12" hidden="false" customHeight="false" outlineLevel="0" collapsed="false">
      <c r="A63" s="28"/>
      <c r="E63" s="2"/>
      <c r="F63" s="46"/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46" t="str">
        <f aca="false">IF((E63="v"),H63," ")</f>
        <v> </v>
      </c>
      <c r="AD63" s="46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</row>
    <row r="64" customFormat="false" ht="12" hidden="false" customHeight="false" outlineLevel="0" collapsed="false">
      <c r="A64" s="28"/>
      <c r="E64" s="2"/>
      <c r="F64" s="46"/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46" t="str">
        <f aca="false">IF((E64="v"),H64," ")</f>
        <v> </v>
      </c>
      <c r="AD64" s="46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</row>
    <row r="65" customFormat="false" ht="12" hidden="false" customHeight="false" outlineLevel="0" collapsed="false">
      <c r="A65" s="28"/>
      <c r="E65" s="2"/>
      <c r="F65" s="46"/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46" t="str">
        <f aca="false">IF((E65="v"),H65," ")</f>
        <v> </v>
      </c>
      <c r="AD65" s="46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</row>
    <row r="66" customFormat="false" ht="12" hidden="false" customHeight="false" outlineLevel="0" collapsed="false">
      <c r="A66" s="28"/>
      <c r="E66" s="2"/>
      <c r="F66" s="46"/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46" t="str">
        <f aca="false">IF((E66="v"),H66," ")</f>
        <v> </v>
      </c>
      <c r="AD66" s="46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</row>
    <row r="67" customFormat="false" ht="12" hidden="false" customHeight="false" outlineLevel="0" collapsed="false">
      <c r="A67" s="28"/>
      <c r="E67" s="2"/>
      <c r="F67" s="46"/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46" t="str">
        <f aca="false">IF((E67="v"),H67," ")</f>
        <v> </v>
      </c>
      <c r="AD67" s="46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</row>
    <row r="68" customFormat="false" ht="12" hidden="false" customHeight="false" outlineLevel="0" collapsed="false">
      <c r="A68" s="28"/>
      <c r="E68" s="2"/>
      <c r="F68" s="46"/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46" t="str">
        <f aca="false">IF((E68="v"),H68," ")</f>
        <v> </v>
      </c>
      <c r="AD68" s="46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</row>
    <row r="69" customFormat="false" ht="12" hidden="false" customHeight="false" outlineLevel="0" collapsed="false">
      <c r="A69" s="28"/>
      <c r="E69" s="2"/>
      <c r="F69" s="46"/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46" t="str">
        <f aca="false">IF((E69="v"),H69," ")</f>
        <v> </v>
      </c>
      <c r="AD69" s="46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46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46" t="str">
        <f aca="false">IF((E70="v"),H70," ")</f>
        <v> </v>
      </c>
      <c r="AD70" s="46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46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46" t="str">
        <f aca="false">IF((E71="v"),H71," ")</f>
        <v> </v>
      </c>
      <c r="AD71" s="46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46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46" t="str">
        <f aca="false">IF((E72="v"),H72," ")</f>
        <v> </v>
      </c>
      <c r="AD72" s="46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46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46" t="str">
        <f aca="false">IF((E73="v"),H73," ")</f>
        <v> </v>
      </c>
      <c r="AD73" s="46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46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46" t="str">
        <f aca="false">IF((E74="v"),H74," ")</f>
        <v> </v>
      </c>
      <c r="AD74" s="46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46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46" t="str">
        <f aca="false">IF((E75="v"),H75," ")</f>
        <v> </v>
      </c>
      <c r="AD75" s="46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46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46" t="str">
        <f aca="false">IF((E76="v"),H76," ")</f>
        <v> </v>
      </c>
      <c r="AD76" s="46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46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46" t="str">
        <f aca="false">IF((E77="v"),H77," ")</f>
        <v> </v>
      </c>
      <c r="AD77" s="46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46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46" t="str">
        <f aca="false">IF((E78="v"),H78," ")</f>
        <v> </v>
      </c>
      <c r="AD78" s="46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46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46" t="str">
        <f aca="false">IF((E79="v"),H79," ")</f>
        <v> </v>
      </c>
      <c r="AD79" s="46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46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46" t="str">
        <f aca="false">IF((E80="v"),H80," ")</f>
        <v> </v>
      </c>
      <c r="AD80" s="46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46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46" t="str">
        <f aca="false">IF((E81="v"),H81," ")</f>
        <v> </v>
      </c>
      <c r="AD81" s="46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46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46" t="str">
        <f aca="false">IF((E82="v"),H82," ")</f>
        <v> </v>
      </c>
      <c r="AD82" s="46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46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46" t="str">
        <f aca="false">IF((E83="v"),H83," ")</f>
        <v> </v>
      </c>
      <c r="AD83" s="46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46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46" t="str">
        <f aca="false">IF((E84="v"),H84," ")</f>
        <v> </v>
      </c>
      <c r="AD84" s="46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46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46" t="str">
        <f aca="false">IF((E85="v"),H85," ")</f>
        <v> </v>
      </c>
      <c r="AD85" s="46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46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46" t="str">
        <f aca="false">IF((E86="v"),H86," ")</f>
        <v> </v>
      </c>
      <c r="AD86" s="46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46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46" t="str">
        <f aca="false">IF((E87="v"),H87," ")</f>
        <v> </v>
      </c>
      <c r="AD87" s="46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46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46" t="str">
        <f aca="false">IF((E88="v"),H88," ")</f>
        <v> </v>
      </c>
      <c r="AD88" s="46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46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46" t="str">
        <f aca="false">IF((E89="v"),H89," ")</f>
        <v> </v>
      </c>
      <c r="AD89" s="46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46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46" t="str">
        <f aca="false">IF((E90="v"),H90," ")</f>
        <v> </v>
      </c>
      <c r="AD90" s="46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46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46" t="str">
        <f aca="false">IF((E91="v"),H91," ")</f>
        <v> </v>
      </c>
      <c r="AD91" s="46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46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46" t="str">
        <f aca="false">IF((E92="v"),H92," ")</f>
        <v> </v>
      </c>
      <c r="AD92" s="46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46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46" t="str">
        <f aca="false">IF((E93="v"),H93," ")</f>
        <v> </v>
      </c>
      <c r="AD93" s="46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46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46" t="str">
        <f aca="false">IF((E94="v"),H94," ")</f>
        <v> </v>
      </c>
      <c r="AD94" s="46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46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46" t="str">
        <f aca="false">IF((E95="v"),H95," ")</f>
        <v> </v>
      </c>
      <c r="AD95" s="46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46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46" t="str">
        <f aca="false">IF((E96="v"),H96," ")</f>
        <v> </v>
      </c>
      <c r="AD96" s="46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46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46" t="str">
        <f aca="false">IF((E97="v"),H97," ")</f>
        <v> </v>
      </c>
      <c r="AD97" s="46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46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46" t="str">
        <f aca="false">IF((E98="v"),H98," ")</f>
        <v> </v>
      </c>
      <c r="AD98" s="46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46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46" t="str">
        <f aca="false">IF((E99="v"),H99," ")</f>
        <v> </v>
      </c>
      <c r="AD99" s="46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46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46" t="str">
        <f aca="false">IF((E100="v"),H100," ")</f>
        <v> </v>
      </c>
      <c r="AD100" s="46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46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46" t="str">
        <f aca="false">IF((E101="v"),H101," ")</f>
        <v> </v>
      </c>
      <c r="AD101" s="46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46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46" t="str">
        <f aca="false">IF((E102="v"),H102," ")</f>
        <v> </v>
      </c>
      <c r="AD102" s="46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46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46" t="str">
        <f aca="false">IF((E103="v"),H103," ")</f>
        <v> </v>
      </c>
      <c r="AD103" s="46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46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46" t="str">
        <f aca="false">IF((E104="v"),H104," ")</f>
        <v> </v>
      </c>
      <c r="AD104" s="46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46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46" t="str">
        <f aca="false">IF((E105="v"),H105," ")</f>
        <v> </v>
      </c>
      <c r="AD105" s="46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46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46" t="str">
        <f aca="false">IF((E106="v"),H106," ")</f>
        <v> </v>
      </c>
      <c r="AD106" s="46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46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46" t="str">
        <f aca="false">IF((E107="v"),H107," ")</f>
        <v> </v>
      </c>
      <c r="AD107" s="46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46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46" t="str">
        <f aca="false">IF((E108="v"),H108," ")</f>
        <v> </v>
      </c>
      <c r="AD108" s="46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46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46" t="str">
        <f aca="false">IF((E109="v"),H109," ")</f>
        <v> </v>
      </c>
      <c r="AD109" s="46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46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46" t="str">
        <f aca="false">IF((E110="v"),H110," ")</f>
        <v> </v>
      </c>
      <c r="AD110" s="46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46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46" t="str">
        <f aca="false">IF((E111="v"),H111," ")</f>
        <v> </v>
      </c>
      <c r="AD111" s="46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46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46" t="str">
        <f aca="false">IF((E112="v"),H112," ")</f>
        <v> </v>
      </c>
      <c r="AD112" s="46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46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46" t="str">
        <f aca="false">IF((E113="v"),H113," ")</f>
        <v> </v>
      </c>
      <c r="AD113" s="46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46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46" t="str">
        <f aca="false">IF((E114="v"),H114," ")</f>
        <v> </v>
      </c>
      <c r="AD114" s="46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46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46" t="str">
        <f aca="false">IF((E115="v"),H115," ")</f>
        <v> </v>
      </c>
      <c r="AD115" s="46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46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46" t="str">
        <f aca="false">IF((E116="v"),H116," ")</f>
        <v> </v>
      </c>
      <c r="AD116" s="46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46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46" t="str">
        <f aca="false">IF((E117="v"),H117," ")</f>
        <v> </v>
      </c>
      <c r="AD117" s="46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46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46" t="str">
        <f aca="false">IF((E118="v"),H118," ")</f>
        <v> </v>
      </c>
      <c r="AD118" s="46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46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46" t="str">
        <f aca="false">IF((E119="v"),H119," ")</f>
        <v> </v>
      </c>
      <c r="AD119" s="46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46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46" t="str">
        <f aca="false">IF((E120="v"),H120," ")</f>
        <v> </v>
      </c>
      <c r="AD120" s="46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46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46" t="str">
        <f aca="false">IF((E121="v"),H121," ")</f>
        <v> </v>
      </c>
      <c r="AD121" s="46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46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46" t="str">
        <f aca="false">IF((E122="v"),H122," ")</f>
        <v> </v>
      </c>
      <c r="AD122" s="46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46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46" t="str">
        <f aca="false">IF((E123="v"),H123," ")</f>
        <v> </v>
      </c>
      <c r="AD123" s="46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46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46" t="str">
        <f aca="false">IF((E124="v"),H124," ")</f>
        <v> </v>
      </c>
      <c r="AD124" s="46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46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46" t="str">
        <f aca="false">IF((E125="v"),H125," ")</f>
        <v> </v>
      </c>
      <c r="AD125" s="46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46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46" t="str">
        <f aca="false">IF((E126="v"),H126," ")</f>
        <v> </v>
      </c>
      <c r="AD126" s="46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46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46" t="str">
        <f aca="false">IF((E127="v"),H127," ")</f>
        <v> </v>
      </c>
      <c r="AD127" s="46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46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46" t="str">
        <f aca="false">IF((E128="v"),H128," ")</f>
        <v> </v>
      </c>
      <c r="AD128" s="46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46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46" t="str">
        <f aca="false">IF((E129="v"),H129," ")</f>
        <v> </v>
      </c>
      <c r="AD129" s="46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46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46" t="str">
        <f aca="false">IF((E130="v"),H130," ")</f>
        <v> </v>
      </c>
      <c r="AD130" s="46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46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46" t="str">
        <f aca="false">IF((E131="v"),H131," ")</f>
        <v> </v>
      </c>
      <c r="AD131" s="46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46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46" t="str">
        <f aca="false">IF((E132="v"),H132," ")</f>
        <v> </v>
      </c>
      <c r="AD132" s="46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46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46" t="str">
        <f aca="false">IF((E133="v"),H133," ")</f>
        <v> </v>
      </c>
      <c r="AD133" s="46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46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46" t="str">
        <f aca="false">IF((E134="v"),H134," ")</f>
        <v> </v>
      </c>
      <c r="AD134" s="46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46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46" t="str">
        <f aca="false">IF((E135="v"),H135," ")</f>
        <v> </v>
      </c>
      <c r="AD135" s="46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46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46" t="str">
        <f aca="false">IF((E136="v"),H136," ")</f>
        <v> </v>
      </c>
      <c r="AD136" s="46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46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46" t="str">
        <f aca="false">IF((E137="v"),H137," ")</f>
        <v> </v>
      </c>
      <c r="AD137" s="46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46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46" t="str">
        <f aca="false">IF((E138="v"),H138," ")</f>
        <v> </v>
      </c>
      <c r="AD138" s="46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46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46" t="str">
        <f aca="false">IF((E139="v"),H139," ")</f>
        <v> </v>
      </c>
      <c r="AD139" s="46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46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46" t="str">
        <f aca="false">IF((E140="v"),H140," ")</f>
        <v> </v>
      </c>
      <c r="AD140" s="46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46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46" t="str">
        <f aca="false">IF((E141="v"),H141," ")</f>
        <v> </v>
      </c>
      <c r="AD141" s="46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46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46" t="str">
        <f aca="false">IF((E142="v"),H142," ")</f>
        <v> </v>
      </c>
      <c r="AD142" s="46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46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46" t="str">
        <f aca="false">IF((E143="v"),H143," ")</f>
        <v> </v>
      </c>
      <c r="AD143" s="46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46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46" t="str">
        <f aca="false">IF((E144="v"),H144," ")</f>
        <v> </v>
      </c>
      <c r="AD144" s="46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46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46" t="str">
        <f aca="false">IF((E145="v"),H145," ")</f>
        <v> </v>
      </c>
      <c r="AD145" s="46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46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46" t="str">
        <f aca="false">IF((E146="v"),H146," ")</f>
        <v> </v>
      </c>
      <c r="AD146" s="46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46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46" t="str">
        <f aca="false">IF((E147="v"),H147," ")</f>
        <v> </v>
      </c>
      <c r="AD147" s="46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46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46" t="str">
        <f aca="false">IF((E148="v"),H148," ")</f>
        <v> </v>
      </c>
      <c r="AD148" s="46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46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46" t="str">
        <f aca="false">IF((E149="v"),H149," ")</f>
        <v> </v>
      </c>
      <c r="AD149" s="46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46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46" t="str">
        <f aca="false">IF((E150="v"),H150," ")</f>
        <v> </v>
      </c>
      <c r="AD150" s="46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46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46" t="str">
        <f aca="false">IF((E151="v"),H151," ")</f>
        <v> </v>
      </c>
      <c r="AD151" s="46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46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46" t="str">
        <f aca="false">IF((E152="v"),H152," ")</f>
        <v> </v>
      </c>
      <c r="AD152" s="46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46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46" t="str">
        <f aca="false">IF((E153="v"),H153," ")</f>
        <v> </v>
      </c>
      <c r="AD153" s="46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46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46" t="str">
        <f aca="false">IF((E154="v"),H154," ")</f>
        <v> </v>
      </c>
      <c r="AD154" s="46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46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46" t="str">
        <f aca="false">IF((E155="v"),H155," ")</f>
        <v> </v>
      </c>
      <c r="AD155" s="46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46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46" t="str">
        <f aca="false">IF((E156="v"),H156," ")</f>
        <v> </v>
      </c>
      <c r="AD156" s="46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46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46" t="str">
        <f aca="false">IF((E157="v"),H157," ")</f>
        <v> </v>
      </c>
      <c r="AD157" s="46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46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46" t="str">
        <f aca="false">IF((E158="v"),H158," ")</f>
        <v> </v>
      </c>
      <c r="AD158" s="46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46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46" t="str">
        <f aca="false">IF((E159="v"),H159," ")</f>
        <v> </v>
      </c>
      <c r="AD159" s="46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46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46" t="str">
        <f aca="false">IF((E160="v"),H160," ")</f>
        <v> </v>
      </c>
      <c r="AD160" s="46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46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46" t="str">
        <f aca="false">IF((E161="v"),H161," ")</f>
        <v> </v>
      </c>
      <c r="AD161" s="46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46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46" t="str">
        <f aca="false">IF((E162="v"),H162," ")</f>
        <v> </v>
      </c>
      <c r="AD162" s="46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46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46" t="str">
        <f aca="false">IF((E163="v"),H163," ")</f>
        <v> </v>
      </c>
      <c r="AD163" s="46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46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46" t="str">
        <f aca="false">IF((E164="v"),H164," ")</f>
        <v> </v>
      </c>
      <c r="AD164" s="46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46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46" t="str">
        <f aca="false">IF((E165="v"),H165," ")</f>
        <v> </v>
      </c>
      <c r="AD165" s="46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46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46" t="str">
        <f aca="false">IF((E166="v"),H166," ")</f>
        <v> </v>
      </c>
      <c r="AD166" s="46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46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46" t="str">
        <f aca="false">IF((E167="v"),H167," ")</f>
        <v> </v>
      </c>
      <c r="AD167" s="46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46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46" t="str">
        <f aca="false">IF((E168="v"),H168," ")</f>
        <v> </v>
      </c>
      <c r="AD168" s="46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46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46" t="str">
        <f aca="false">IF((E169="v"),H169," ")</f>
        <v> </v>
      </c>
      <c r="AD169" s="46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46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46" t="str">
        <f aca="false">IF((E170="v"),H170," ")</f>
        <v> </v>
      </c>
      <c r="AD170" s="46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46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46" t="str">
        <f aca="false">IF((E171="v"),H171," ")</f>
        <v> </v>
      </c>
      <c r="AD171" s="46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46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46" t="str">
        <f aca="false">IF((E172="v"),H172," ")</f>
        <v> </v>
      </c>
      <c r="AD172" s="46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46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46" t="str">
        <f aca="false">IF((E173="v"),H173," ")</f>
        <v> </v>
      </c>
      <c r="AD173" s="46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46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46" t="str">
        <f aca="false">IF((E174="v"),H174," ")</f>
        <v> </v>
      </c>
      <c r="AD174" s="46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46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46" t="str">
        <f aca="false">IF((E175="v"),H175," ")</f>
        <v> </v>
      </c>
      <c r="AD175" s="46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46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46" t="str">
        <f aca="false">IF((E176="v"),H176," ")</f>
        <v> </v>
      </c>
      <c r="AD176" s="46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46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46" t="str">
        <f aca="false">IF((E177="v"),H177," ")</f>
        <v> </v>
      </c>
      <c r="AD177" s="46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46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46" t="str">
        <f aca="false">IF((E178="v"),H178," ")</f>
        <v> </v>
      </c>
      <c r="AD178" s="46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46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46" t="str">
        <f aca="false">IF((E179="v"),H179," ")</f>
        <v> </v>
      </c>
      <c r="AD179" s="46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46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46" t="str">
        <f aca="false">IF((E180="v"),H180," ")</f>
        <v> </v>
      </c>
      <c r="AD180" s="46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46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46" t="str">
        <f aca="false">IF((E181="v"),H181," ")</f>
        <v> </v>
      </c>
      <c r="AD181" s="46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46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46" t="str">
        <f aca="false">IF((E182="v"),H182," ")</f>
        <v> </v>
      </c>
      <c r="AD182" s="46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46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46" t="str">
        <f aca="false">IF((E183="v"),H183," ")</f>
        <v> </v>
      </c>
      <c r="AD183" s="46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46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46" t="str">
        <f aca="false">IF((E184="v"),H184," ")</f>
        <v> </v>
      </c>
      <c r="AD184" s="46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46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46" t="str">
        <f aca="false">IF((E185="v"),H185," ")</f>
        <v> </v>
      </c>
      <c r="AD185" s="46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46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46" t="str">
        <f aca="false">IF((E186="v"),H186," ")</f>
        <v> </v>
      </c>
      <c r="AD186" s="46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46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46" t="str">
        <f aca="false">IF((E187="v"),H187," ")</f>
        <v> </v>
      </c>
      <c r="AD187" s="46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46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46" t="str">
        <f aca="false">IF((E188="v"),H188," ")</f>
        <v> </v>
      </c>
      <c r="AD188" s="46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46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46" t="str">
        <f aca="false">IF((E189="v"),H189," ")</f>
        <v> </v>
      </c>
      <c r="AD189" s="46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46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46" t="str">
        <f aca="false">IF((E190="v"),H190," ")</f>
        <v> </v>
      </c>
      <c r="AD190" s="46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46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46" t="str">
        <f aca="false">IF((E191="v"),H191," ")</f>
        <v> </v>
      </c>
      <c r="AD191" s="46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46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46" t="str">
        <f aca="false">IF((E192="v"),H192," ")</f>
        <v> </v>
      </c>
      <c r="AD192" s="46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46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46" t="str">
        <f aca="false">IF((E193="v"),H193," ")</f>
        <v> </v>
      </c>
      <c r="AD193" s="46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46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46" t="str">
        <f aca="false">IF((E194="v"),H194," ")</f>
        <v> </v>
      </c>
      <c r="AD194" s="46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46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46" t="str">
        <f aca="false">IF((E195="v"),H195," ")</f>
        <v> </v>
      </c>
      <c r="AD195" s="46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46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46" t="str">
        <f aca="false">IF((E196="v"),H196," ")</f>
        <v> </v>
      </c>
      <c r="AD196" s="46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46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46" t="str">
        <f aca="false">IF((E197="v"),H197," ")</f>
        <v> </v>
      </c>
      <c r="AD197" s="46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46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46" t="str">
        <f aca="false">IF((E198="v"),H198," ")</f>
        <v> </v>
      </c>
      <c r="AD198" s="46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46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46" t="str">
        <f aca="false">IF((E199="v"),H199," ")</f>
        <v> </v>
      </c>
      <c r="AD199" s="46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46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46" t="str">
        <f aca="false">IF((E200="v"),H200," ")</f>
        <v> </v>
      </c>
      <c r="AD200" s="46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46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46" t="str">
        <f aca="false">IF((E201="v"),H201," ")</f>
        <v> </v>
      </c>
      <c r="AD201" s="46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46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46" t="str">
        <f aca="false">IF((E202="v"),H202," ")</f>
        <v> </v>
      </c>
      <c r="AD202" s="46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46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46" t="str">
        <f aca="false">IF((E203="v"),H203," ")</f>
        <v> </v>
      </c>
      <c r="AD203" s="46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46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46" t="str">
        <f aca="false">IF((E204="v"),H204," ")</f>
        <v> </v>
      </c>
      <c r="AD204" s="46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46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46" t="str">
        <f aca="false">IF((E205="v"),H205," ")</f>
        <v> </v>
      </c>
      <c r="AD205" s="46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46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46" t="str">
        <f aca="false">IF((E206="v"),H206," ")</f>
        <v> </v>
      </c>
      <c r="AD206" s="46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46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46" t="str">
        <f aca="false">IF((E207="v"),H207," ")</f>
        <v> </v>
      </c>
      <c r="AD207" s="46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46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46" t="str">
        <f aca="false">IF((E208="v"),H208," ")</f>
        <v> </v>
      </c>
      <c r="AD208" s="46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46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46" t="str">
        <f aca="false">IF((E209="v"),H209," ")</f>
        <v> </v>
      </c>
      <c r="AD209" s="46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46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46" t="str">
        <f aca="false">IF((E210="v"),H210," ")</f>
        <v> </v>
      </c>
      <c r="AD210" s="46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46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46" t="str">
        <f aca="false">IF((E211="v"),H211," ")</f>
        <v> </v>
      </c>
      <c r="AD211" s="46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46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46" t="str">
        <f aca="false">IF((E212="v"),H212," ")</f>
        <v> </v>
      </c>
      <c r="AD212" s="46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46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46" t="str">
        <f aca="false">IF((E213="v"),H213," ")</f>
        <v> </v>
      </c>
      <c r="AD213" s="46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46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46" t="str">
        <f aca="false">IF((E214="v"),H214," ")</f>
        <v> </v>
      </c>
      <c r="AD214" s="46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46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46" t="str">
        <f aca="false">IF((E215="v"),H215," ")</f>
        <v> </v>
      </c>
      <c r="AD215" s="46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46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46" t="str">
        <f aca="false">IF((E216="v"),H216," ")</f>
        <v> </v>
      </c>
      <c r="AD216" s="46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46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46" t="str">
        <f aca="false">IF((E217="v"),H217," ")</f>
        <v> </v>
      </c>
      <c r="AD217" s="46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46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46" t="str">
        <f aca="false">IF((E218="v"),H218," ")</f>
        <v> </v>
      </c>
      <c r="AD218" s="46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46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46" t="str">
        <f aca="false">IF((E219="v"),H219," ")</f>
        <v> </v>
      </c>
      <c r="AD219" s="46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46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46" t="str">
        <f aca="false">IF((E220="v"),H220," ")</f>
        <v> </v>
      </c>
      <c r="AD220" s="46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46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46" t="str">
        <f aca="false">IF((E221="v"),H221," ")</f>
        <v> </v>
      </c>
      <c r="AD221" s="46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46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46" t="str">
        <f aca="false">IF((E222="v"),H222," ")</f>
        <v> </v>
      </c>
      <c r="AD222" s="46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46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46" t="str">
        <f aca="false">IF((E223="v"),H223," ")</f>
        <v> </v>
      </c>
      <c r="AD223" s="46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46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46" t="str">
        <f aca="false">IF((E224="v"),H224," ")</f>
        <v> </v>
      </c>
      <c r="AD224" s="46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46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46" t="str">
        <f aca="false">IF((E225="v"),H225," ")</f>
        <v> </v>
      </c>
      <c r="AD225" s="46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46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46" t="str">
        <f aca="false">IF((E226="v"),H226," ")</f>
        <v> </v>
      </c>
      <c r="AD226" s="46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46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46" t="str">
        <f aca="false">IF((E227="v"),H227," ")</f>
        <v> </v>
      </c>
      <c r="AD227" s="46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46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46" t="str">
        <f aca="false">IF((E228="v"),H228," ")</f>
        <v> </v>
      </c>
      <c r="AD228" s="46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46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46" t="str">
        <f aca="false">IF((E229="v"),H229," ")</f>
        <v> </v>
      </c>
      <c r="AD229" s="46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46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46" t="str">
        <f aca="false">IF((E230="v"),H230," ")</f>
        <v> </v>
      </c>
      <c r="AD230" s="46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46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46" t="str">
        <f aca="false">IF((E231="v"),H231," ")</f>
        <v> </v>
      </c>
      <c r="AD231" s="46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46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46" t="str">
        <f aca="false">IF((E232="v"),H232," ")</f>
        <v> </v>
      </c>
      <c r="AD232" s="46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46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46" t="str">
        <f aca="false">IF((E233="v"),H233," ")</f>
        <v> </v>
      </c>
      <c r="AD233" s="46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46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46" t="str">
        <f aca="false">IF((E234="v"),H234," ")</f>
        <v> </v>
      </c>
      <c r="AD234" s="46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46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46" t="str">
        <f aca="false">IF((E235="v"),H235," ")</f>
        <v> </v>
      </c>
      <c r="AD235" s="46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46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46" t="str">
        <f aca="false">IF((E236="v"),H236," ")</f>
        <v> </v>
      </c>
      <c r="AD236" s="46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46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46" t="str">
        <f aca="false">IF((E237="v"),H237," ")</f>
        <v> </v>
      </c>
      <c r="AD237" s="46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46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46" t="str">
        <f aca="false">IF((E238="v"),H238," ")</f>
        <v> </v>
      </c>
      <c r="AD238" s="46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46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46" t="str">
        <f aca="false">IF((E239="v"),H239," ")</f>
        <v> </v>
      </c>
      <c r="AD239" s="46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46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46" t="str">
        <f aca="false">IF((E240="v"),H240," ")</f>
        <v> </v>
      </c>
      <c r="AD240" s="46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46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46" t="str">
        <f aca="false">IF((E241="v"),H241," ")</f>
        <v> </v>
      </c>
      <c r="AD241" s="46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46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46" t="str">
        <f aca="false">IF((E242="v"),H242," ")</f>
        <v> </v>
      </c>
      <c r="AD242" s="46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46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46" t="str">
        <f aca="false">IF((E243="v"),H243," ")</f>
        <v> </v>
      </c>
      <c r="AD243" s="46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46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46" t="str">
        <f aca="false">IF((E244="v"),H244," ")</f>
        <v> </v>
      </c>
      <c r="AD244" s="46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46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46" t="str">
        <f aca="false">IF((E245="v"),H245," ")</f>
        <v> </v>
      </c>
      <c r="AD245" s="46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46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46" t="str">
        <f aca="false">IF((E246="v"),H246," ")</f>
        <v> </v>
      </c>
      <c r="AD246" s="46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46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46" t="str">
        <f aca="false">IF((E247="v"),H247," ")</f>
        <v> </v>
      </c>
      <c r="AD247" s="46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46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46" t="str">
        <f aca="false">IF((E248="v"),H248," ")</f>
        <v> </v>
      </c>
      <c r="AD248" s="46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46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46" t="str">
        <f aca="false">IF((E249="v"),H249," ")</f>
        <v> </v>
      </c>
      <c r="AD249" s="46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46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46" t="str">
        <f aca="false">IF((E250="v"),H250," ")</f>
        <v> </v>
      </c>
      <c r="AD250" s="46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46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46" t="str">
        <f aca="false">IF((E251="v"),H251," ")</f>
        <v> </v>
      </c>
      <c r="AD251" s="46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46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46" t="str">
        <f aca="false">IF((E252="v"),H252," ")</f>
        <v> </v>
      </c>
      <c r="AD252" s="46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46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46" t="str">
        <f aca="false">IF((E253="v"),H253," ")</f>
        <v> </v>
      </c>
      <c r="AD253" s="46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46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46" t="str">
        <f aca="false">IF((E254="v"),H254," ")</f>
        <v> </v>
      </c>
      <c r="AD254" s="46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46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46" t="str">
        <f aca="false">IF((E255="v"),H255," ")</f>
        <v> </v>
      </c>
      <c r="AD255" s="46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46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46" t="str">
        <f aca="false">IF((E256="v"),H256," ")</f>
        <v> </v>
      </c>
      <c r="AD256" s="46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46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46" t="str">
        <f aca="false">IF((E257="v"),H257," ")</f>
        <v> </v>
      </c>
      <c r="AD257" s="46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46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46" t="str">
        <f aca="false">IF((E258="v"),H258," ")</f>
        <v> </v>
      </c>
      <c r="AD258" s="46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46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46" t="str">
        <f aca="false">IF((E259="v"),H259," ")</f>
        <v> </v>
      </c>
      <c r="AD259" s="46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46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46" t="str">
        <f aca="false">IF((E260="v"),H260," ")</f>
        <v> </v>
      </c>
      <c r="AD260" s="46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46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46" t="str">
        <f aca="false">IF((E261="v"),H261," ")</f>
        <v> </v>
      </c>
      <c r="AD261" s="46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46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46" t="str">
        <f aca="false">IF((E262="v"),H262," ")</f>
        <v> </v>
      </c>
      <c r="AD262" s="46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46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46" t="str">
        <f aca="false">IF((E263="v"),H263," ")</f>
        <v> </v>
      </c>
      <c r="AD263" s="46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46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46" t="str">
        <f aca="false">IF((E264="v"),H264," ")</f>
        <v> </v>
      </c>
      <c r="AD264" s="46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46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46" t="str">
        <f aca="false">IF((E265="v"),H265," ")</f>
        <v> </v>
      </c>
      <c r="AD265" s="46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46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46" t="str">
        <f aca="false">IF((E266="v"),H266," ")</f>
        <v> </v>
      </c>
      <c r="AD266" s="46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46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46" t="str">
        <f aca="false">IF((E267="v"),H267," ")</f>
        <v> </v>
      </c>
      <c r="AD267" s="46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46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46" t="str">
        <f aca="false">IF((E268="v"),H268," ")</f>
        <v> </v>
      </c>
      <c r="AD268" s="46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46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46" t="str">
        <f aca="false">IF((E269="v"),H269," ")</f>
        <v> </v>
      </c>
      <c r="AD269" s="46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46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46" t="str">
        <f aca="false">IF((E270="v"),H270," ")</f>
        <v> </v>
      </c>
      <c r="AD270" s="46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46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46" t="str">
        <f aca="false">IF((E271="v"),H271," ")</f>
        <v> </v>
      </c>
      <c r="AD271" s="46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46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46" t="str">
        <f aca="false">IF((E272="v"),H272," ")</f>
        <v> </v>
      </c>
      <c r="AD272" s="46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46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46" t="str">
        <f aca="false">IF((E273="v"),H273," ")</f>
        <v> </v>
      </c>
      <c r="AD273" s="46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46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46" t="str">
        <f aca="false">IF((E274="v"),H274," ")</f>
        <v> </v>
      </c>
      <c r="AD274" s="46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46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46" t="str">
        <f aca="false">IF((E275="v"),H275," ")</f>
        <v> </v>
      </c>
      <c r="AD275" s="46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46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46" t="str">
        <f aca="false">IF((E276="v"),H276," ")</f>
        <v> </v>
      </c>
      <c r="AD276" s="46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46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46" t="str">
        <f aca="false">IF((E277="v"),H277," ")</f>
        <v> </v>
      </c>
      <c r="AD277" s="46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46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46" t="str">
        <f aca="false">IF((E278="v"),H278," ")</f>
        <v> </v>
      </c>
      <c r="AD278" s="46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46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46" t="str">
        <f aca="false">IF((E279="v"),H279," ")</f>
        <v> </v>
      </c>
      <c r="AD279" s="46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46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46" t="str">
        <f aca="false">IF((E280="v"),H280," ")</f>
        <v> </v>
      </c>
      <c r="AD280" s="46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46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46" t="str">
        <f aca="false">IF((E281="v"),H281," ")</f>
        <v> </v>
      </c>
      <c r="AD281" s="46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46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46" t="str">
        <f aca="false">IF((E282="v"),H282," ")</f>
        <v> </v>
      </c>
      <c r="AD282" s="46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46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46" t="str">
        <f aca="false">IF((E283="v"),H283," ")</f>
        <v> </v>
      </c>
      <c r="AD283" s="46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46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46" t="str">
        <f aca="false">IF((E284="v"),H284," ")</f>
        <v> </v>
      </c>
      <c r="AD284" s="46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46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46" t="str">
        <f aca="false">IF((E285="v"),H285," ")</f>
        <v> </v>
      </c>
      <c r="AD285" s="46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46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46" t="str">
        <f aca="false">IF((E286="v"),H286," ")</f>
        <v> </v>
      </c>
      <c r="AD286" s="46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46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46" t="str">
        <f aca="false">IF((E287="v"),H287," ")</f>
        <v> </v>
      </c>
      <c r="AD287" s="46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46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46" t="str">
        <f aca="false">IF((E288="v"),H288," ")</f>
        <v> </v>
      </c>
      <c r="AD288" s="46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46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46" t="str">
        <f aca="false">IF((E289="v"),H289," ")</f>
        <v> </v>
      </c>
      <c r="AD289" s="46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46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46" t="str">
        <f aca="false">IF((E290="v"),H290," ")</f>
        <v> </v>
      </c>
      <c r="AD290" s="46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46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46" t="str">
        <f aca="false">IF((E291="v"),H291," ")</f>
        <v> </v>
      </c>
      <c r="AD291" s="46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46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46" t="str">
        <f aca="false">IF((E292="v"),H292," ")</f>
        <v> </v>
      </c>
      <c r="AD292" s="46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46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46" t="str">
        <f aca="false">IF((E293="v"),H293," ")</f>
        <v> </v>
      </c>
      <c r="AD293" s="46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46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46" t="str">
        <f aca="false">IF((E294="v"),H294," ")</f>
        <v> </v>
      </c>
      <c r="AD294" s="46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46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46" t="str">
        <f aca="false">IF((E295="v"),H295," ")</f>
        <v> </v>
      </c>
      <c r="AD295" s="46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46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46" t="str">
        <f aca="false">IF((E296="v"),H296," ")</f>
        <v> </v>
      </c>
      <c r="AD296" s="46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46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46" t="str">
        <f aca="false">IF((E297="v"),H297," ")</f>
        <v> </v>
      </c>
      <c r="AD297" s="46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46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46" t="str">
        <f aca="false">IF((E298="v"),H298," ")</f>
        <v> </v>
      </c>
      <c r="AD298" s="46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46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46" t="str">
        <f aca="false">IF((E299="v"),H299," ")</f>
        <v> </v>
      </c>
      <c r="AD299" s="46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</row>
    <row r="300" customFormat="false" ht="12" hidden="false" customHeight="false" outlineLevel="0" collapsed="false">
      <c r="A300" s="31"/>
      <c r="B300" s="32"/>
      <c r="C300" s="33"/>
      <c r="D300" s="32"/>
      <c r="E300" s="47" t="str">
        <f aca="false">IF((F300&lt;&gt;0),"Enter Letter"," ")</f>
        <v> </v>
      </c>
      <c r="F300" s="48"/>
      <c r="G300" s="35" t="str">
        <f aca="false">IF(F300&lt;&gt;0,F300*G$2/(100+G$2)," ")</f>
        <v> </v>
      </c>
      <c r="H300" s="35" t="str">
        <f aca="false">IF((F300&lt;&gt;0),F300-G300," ")</f>
        <v> </v>
      </c>
      <c r="I300" s="49"/>
      <c r="J300" s="35"/>
      <c r="K300" s="35"/>
      <c r="L300" s="36" t="str">
        <f aca="false">IF(F300&lt;&gt;0,F300-K300," ")</f>
        <v> </v>
      </c>
      <c r="M300" s="37" t="str">
        <f aca="false">IF((F300-K300)&lt;&gt;0,M$1-A300," ")</f>
        <v> </v>
      </c>
      <c r="N300" s="49"/>
      <c r="O300" s="50" t="str">
        <f aca="false">IF((E300="s"),H300," ")</f>
        <v> </v>
      </c>
      <c r="P300" s="50" t="str">
        <f aca="false">IF((E300="c"),H300," ")</f>
        <v> </v>
      </c>
      <c r="Q300" s="50" t="str">
        <f aca="false">IF((E300="o"),H300," ")</f>
        <v> </v>
      </c>
      <c r="R300" s="50" t="str">
        <f aca="false">IF((E300="d"),H300," ")</f>
        <v> </v>
      </c>
      <c r="S300" s="50" t="str">
        <f aca="false">IF((E300="w"),H300," ")</f>
        <v> </v>
      </c>
      <c r="T300" s="50" t="str">
        <f aca="false">IF((E300="r"),H300," ")</f>
        <v> </v>
      </c>
      <c r="U300" s="50" t="str">
        <f aca="false">IF((E300="p"),H300," ")</f>
        <v> </v>
      </c>
      <c r="V300" s="50" t="str">
        <f aca="false">IF((E300="t"),H300," ")</f>
        <v> </v>
      </c>
      <c r="W300" s="50" t="str">
        <f aca="false">IF((E300="q"),H300," ")</f>
        <v> </v>
      </c>
      <c r="X300" s="50" t="str">
        <f aca="false">IF((E300="m"),H300," ")</f>
        <v> </v>
      </c>
      <c r="Y300" s="50" t="str">
        <f aca="false">IF((E300="u"),H300," ")</f>
        <v> </v>
      </c>
      <c r="Z300" s="50" t="str">
        <f aca="false">IF((E300="a"),H300," ")</f>
        <v> </v>
      </c>
      <c r="AA300" s="50" t="str">
        <f aca="false">IF((E300="g"),H300," ")</f>
        <v> </v>
      </c>
      <c r="AB300" s="50" t="str">
        <f aca="false">IF((E300="h"),H300," ")</f>
        <v> </v>
      </c>
      <c r="AC300" s="48" t="str">
        <f aca="false">IF((E300="v"),H300," ")</f>
        <v> </v>
      </c>
      <c r="AD300" s="48" t="str">
        <f aca="false">IF((E300="n"),H300," ")</f>
        <v> </v>
      </c>
      <c r="AE300" s="50" t="str">
        <f aca="false">IF((E300="f"),H300," ")</f>
        <v> </v>
      </c>
      <c r="AF300" s="50" t="str">
        <f aca="false">IF((E300="l"),H300," ")</f>
        <v> </v>
      </c>
      <c r="AG300" s="50" t="str">
        <f aca="false">IF((E300="y"),H300," ")</f>
        <v> </v>
      </c>
      <c r="AH300" s="50" t="str">
        <f aca="false">IF((E300="z"),H300," ")</f>
        <v> </v>
      </c>
      <c r="AI300" s="50" t="str">
        <f aca="false">IF((E300="fa"),H300," ")</f>
        <v> </v>
      </c>
      <c r="AJ300" s="50"/>
      <c r="AK300" s="50"/>
      <c r="AL300" s="50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8" width="10.5"/>
    <col collapsed="false" customWidth="true" hidden="false" outlineLevel="0" max="35" min="31" style="17" width="10.5"/>
    <col collapsed="false" customWidth="true" hidden="false" outlineLevel="0" max="36" min="36" style="17" width="0.82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s="17" customFormat="true" ht="12.75" hidden="false" customHeight="true" outlineLevel="0" collapsed="false">
      <c r="A1" s="39" t="n">
        <f aca="false">F1-G1-SUM(O1:AI1)</f>
        <v>0</v>
      </c>
      <c r="B1" s="40" t="s">
        <v>22</v>
      </c>
      <c r="C1" s="20" t="s">
        <v>5</v>
      </c>
      <c r="D1" s="41" t="s">
        <v>23</v>
      </c>
      <c r="E1" s="41"/>
      <c r="F1" s="12" t="n">
        <f aca="false">SUM(F5:F300)</f>
        <v>8759.25</v>
      </c>
      <c r="G1" s="12" t="n">
        <f aca="false">SUM(G5:G300)</f>
        <v>0</v>
      </c>
      <c r="H1" s="12" t="n">
        <f aca="false">SUM(H5:H300)</f>
        <v>8759.25</v>
      </c>
      <c r="I1" s="13"/>
      <c r="J1" s="14" t="s">
        <v>2</v>
      </c>
      <c r="K1" s="15" t="n">
        <f aca="false">SUM(K5:K300)</f>
        <v>0</v>
      </c>
      <c r="L1" s="15" t="n">
        <f aca="false">SUM(L5:L300)</f>
        <v>8759.25</v>
      </c>
      <c r="M1" s="16" t="n">
        <f aca="true">TODAY()</f>
        <v>46137</v>
      </c>
      <c r="N1" s="13"/>
      <c r="O1" s="12" t="n">
        <f aca="false">SUM(O5:O300)</f>
        <v>720</v>
      </c>
      <c r="P1" s="12" t="n">
        <f aca="false">SUM(P5:P300)</f>
        <v>0</v>
      </c>
      <c r="Q1" s="12" t="n">
        <f aca="false">SUM(Q5:Q300)</f>
        <v>249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1200</v>
      </c>
      <c r="U1" s="12" t="n">
        <f aca="false">SUM(U5:U300)</f>
        <v>0</v>
      </c>
      <c r="V1" s="12" t="n">
        <f aca="false">SUM(V5:V300)</f>
        <v>120</v>
      </c>
      <c r="W1" s="12" t="n">
        <f aca="false">SUM(W5:W300)</f>
        <v>480</v>
      </c>
      <c r="X1" s="12" t="n">
        <f aca="false">SUM(X5:X300)</f>
        <v>180</v>
      </c>
      <c r="Y1" s="12" t="n">
        <f aca="false">SUM(Y5:Y300)</f>
        <v>115</v>
      </c>
      <c r="Z1" s="12" t="n">
        <f aca="false">SUM(Z5:Z300)</f>
        <v>480</v>
      </c>
      <c r="AA1" s="12" t="n">
        <f aca="false">SUM(AA5:AA300)</f>
        <v>159</v>
      </c>
      <c r="AB1" s="12" t="n">
        <f aca="false">SUM(AB5:AB300)</f>
        <v>92</v>
      </c>
      <c r="AC1" s="12" t="n">
        <f aca="false">SUM(AC5:AC300)</f>
        <v>584.25</v>
      </c>
      <c r="AD1" s="12" t="n">
        <f aca="false">SUM(AD5:AD300)</f>
        <v>0</v>
      </c>
      <c r="AE1" s="12" t="n">
        <f aca="false">SUM(AE5:AE300)</f>
        <v>180</v>
      </c>
      <c r="AF1" s="12" t="n">
        <f aca="false">SUM(AF5:AF300)</f>
        <v>0</v>
      </c>
      <c r="AG1" s="12" t="n">
        <f aca="false">SUM(AG5:AG300)</f>
        <v>0</v>
      </c>
      <c r="AH1" s="12" t="n">
        <f aca="false">SUM(AH5:AH300)</f>
        <v>3000</v>
      </c>
      <c r="AI1" s="12" t="n">
        <f aca="false">SUM(AI5:AI300)</f>
        <v>1200</v>
      </c>
      <c r="AJ1" s="42"/>
      <c r="AK1" s="12" t="n">
        <f aca="false">SUM(AK5:AK300)</f>
        <v>0</v>
      </c>
      <c r="AL1" s="43"/>
    </row>
    <row r="2" s="17" customFormat="tru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IF([2]Sep!$G$4&gt;0,0,[2]Sep!$G$2)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42"/>
      <c r="AK2" s="19" t="s">
        <v>43</v>
      </c>
      <c r="AL2" s="19"/>
    </row>
    <row r="3" s="26" customFormat="tru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44</v>
      </c>
      <c r="P3" s="21" t="s">
        <v>45</v>
      </c>
      <c r="Q3" s="21" t="s">
        <v>46</v>
      </c>
      <c r="R3" s="19"/>
      <c r="S3" s="19"/>
      <c r="T3" s="21" t="s">
        <v>47</v>
      </c>
      <c r="U3" s="21" t="s">
        <v>48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42"/>
      <c r="AK3" s="19" t="s">
        <v>49</v>
      </c>
      <c r="AL3" s="19"/>
    </row>
    <row r="4" s="27" customFormat="tru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50</v>
      </c>
      <c r="P4" s="44" t="s">
        <v>51</v>
      </c>
      <c r="Q4" s="44" t="s">
        <v>52</v>
      </c>
      <c r="R4" s="44" t="s">
        <v>53</v>
      </c>
      <c r="S4" s="44" t="s">
        <v>54</v>
      </c>
      <c r="T4" s="44" t="s">
        <v>55</v>
      </c>
      <c r="U4" s="44" t="s">
        <v>56</v>
      </c>
      <c r="V4" s="44" t="s">
        <v>57</v>
      </c>
      <c r="W4" s="44" t="s">
        <v>58</v>
      </c>
      <c r="X4" s="44" t="s">
        <v>59</v>
      </c>
      <c r="Y4" s="44" t="s">
        <v>60</v>
      </c>
      <c r="Z4" s="44" t="s">
        <v>61</v>
      </c>
      <c r="AA4" s="44" t="s">
        <v>62</v>
      </c>
      <c r="AB4" s="44" t="s">
        <v>63</v>
      </c>
      <c r="AC4" s="45" t="s">
        <v>64</v>
      </c>
      <c r="AD4" s="45" t="s">
        <v>65</v>
      </c>
      <c r="AE4" s="44" t="s">
        <v>66</v>
      </c>
      <c r="AF4" s="44" t="s">
        <v>67</v>
      </c>
      <c r="AG4" s="44" t="s">
        <v>68</v>
      </c>
      <c r="AH4" s="44" t="s">
        <v>69</v>
      </c>
      <c r="AI4" s="44" t="s">
        <v>70</v>
      </c>
      <c r="AJ4" s="42"/>
      <c r="AK4" s="19" t="s">
        <v>71</v>
      </c>
      <c r="AL4" s="19" t="s">
        <v>72</v>
      </c>
    </row>
    <row r="5" s="5" customFormat="true" ht="12" hidden="false" customHeight="false" outlineLevel="0" collapsed="false">
      <c r="A5" s="28" t="n">
        <v>45901</v>
      </c>
      <c r="B5" s="5" t="s">
        <v>14</v>
      </c>
      <c r="E5" s="5" t="s">
        <v>73</v>
      </c>
      <c r="F5" s="46" t="n">
        <v>1200</v>
      </c>
      <c r="H5" s="6" t="n">
        <f aca="false">IF((F5&lt;&gt;0),F5-G5," ")</f>
        <v>1200</v>
      </c>
      <c r="J5" s="6"/>
      <c r="K5" s="6"/>
      <c r="L5" s="7" t="n">
        <f aca="false">IF(F5&lt;&gt;0,F5-K5," ")</f>
        <v>1200</v>
      </c>
      <c r="M5" s="8" t="n">
        <f aca="false">IF((F5-K5)&lt;&gt;0,M$1-A5," ")</f>
        <v>236</v>
      </c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1200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46" t="str">
        <f aca="false">IF((E5="v"),H5," ")</f>
        <v> </v>
      </c>
      <c r="AD5" s="46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/>
      <c r="AK5" s="17"/>
      <c r="AL5" s="17"/>
    </row>
    <row r="6" customFormat="false" ht="12" hidden="false" customHeight="false" outlineLevel="0" collapsed="false">
      <c r="A6" s="28" t="n">
        <v>45901</v>
      </c>
      <c r="B6" s="2" t="s">
        <v>74</v>
      </c>
      <c r="E6" s="5" t="s">
        <v>75</v>
      </c>
      <c r="F6" s="46" t="n">
        <v>30</v>
      </c>
      <c r="H6" s="6" t="n">
        <f aca="false">IF((F6&lt;&gt;0),F6-G6," ")</f>
        <v>30</v>
      </c>
      <c r="I6" s="5"/>
      <c r="L6" s="7" t="n">
        <f aca="false">IF(F6&lt;&gt;0,F6-K6," ")</f>
        <v>30</v>
      </c>
      <c r="M6" s="8" t="n">
        <f aca="false">IF((F6-K6)&lt;&gt;0,M$1-A6," ")</f>
        <v>236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30</v>
      </c>
      <c r="AB6" s="17" t="str">
        <f aca="false">IF((E6="h"),H6," ")</f>
        <v> </v>
      </c>
      <c r="AC6" s="46" t="str">
        <f aca="false">IF((E6="v"),H6," ")</f>
        <v> </v>
      </c>
      <c r="AD6" s="46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</row>
    <row r="7" customFormat="false" ht="12" hidden="false" customHeight="false" outlineLevel="0" collapsed="false">
      <c r="A7" s="28" t="n">
        <v>45901</v>
      </c>
      <c r="B7" s="2" t="s">
        <v>76</v>
      </c>
      <c r="E7" s="5" t="s">
        <v>75</v>
      </c>
      <c r="F7" s="46" t="n">
        <v>15</v>
      </c>
      <c r="H7" s="6" t="n">
        <f aca="false">IF((F7&lt;&gt;0),F7-G7," ")</f>
        <v>15</v>
      </c>
      <c r="I7" s="5"/>
      <c r="L7" s="7" t="n">
        <f aca="false">IF(F7&lt;&gt;0,F7-K7," ")</f>
        <v>15</v>
      </c>
      <c r="M7" s="8" t="n">
        <f aca="false">IF((F7-K7)&lt;&gt;0,M$1-A7," ")</f>
        <v>236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15</v>
      </c>
      <c r="AB7" s="17" t="str">
        <f aca="false">IF((E7="h"),H7," ")</f>
        <v> </v>
      </c>
      <c r="AC7" s="46" t="str">
        <f aca="false">IF((E7="v"),H7," ")</f>
        <v> </v>
      </c>
      <c r="AD7" s="46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</row>
    <row r="8" customFormat="false" ht="12" hidden="false" customHeight="false" outlineLevel="0" collapsed="false">
      <c r="A8" s="28" t="n">
        <v>45901</v>
      </c>
      <c r="B8" s="2" t="s">
        <v>77</v>
      </c>
      <c r="E8" s="5" t="s">
        <v>78</v>
      </c>
      <c r="F8" s="46" t="n">
        <v>45</v>
      </c>
      <c r="H8" s="6" t="n">
        <f aca="false">IF((F8&lt;&gt;0),F8-G8," ")</f>
        <v>45</v>
      </c>
      <c r="I8" s="5"/>
      <c r="L8" s="7" t="n">
        <f aca="false">IF(F8&lt;&gt;0,F8-K8," ")</f>
        <v>45</v>
      </c>
      <c r="M8" s="8" t="n">
        <f aca="false">IF((F8-K8)&lt;&gt;0,M$1-A8," ")</f>
        <v>236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45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46" t="str">
        <f aca="false">IF((E8="v"),H8," ")</f>
        <v> </v>
      </c>
      <c r="AD8" s="46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</row>
    <row r="9" customFormat="false" ht="12" hidden="false" customHeight="false" outlineLevel="0" collapsed="false">
      <c r="A9" s="28" t="n">
        <v>45901</v>
      </c>
      <c r="B9" s="2" t="s">
        <v>132</v>
      </c>
      <c r="E9" s="5" t="s">
        <v>133</v>
      </c>
      <c r="F9" s="46" t="n">
        <v>3000</v>
      </c>
      <c r="H9" s="6" t="n">
        <f aca="false">IF((F9&lt;&gt;0),F9-G9," ")</f>
        <v>3000</v>
      </c>
      <c r="I9" s="5"/>
      <c r="L9" s="7" t="n">
        <f aca="false">IF(F9&lt;&gt;0,F9-K9," ")</f>
        <v>3000</v>
      </c>
      <c r="M9" s="8" t="n">
        <f aca="false">IF((F9-K9)&lt;&gt;0,M$1-A9," ")</f>
        <v>236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str">
        <f aca="false">IF((E9="o"),H9," ")</f>
        <v> 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46" t="str">
        <f aca="false">IF((E9="v"),H9," ")</f>
        <v> </v>
      </c>
      <c r="AD9" s="46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n">
        <f aca="false">IF((E9="z"),H9," ")</f>
        <v>3000</v>
      </c>
      <c r="AI9" s="17" t="str">
        <f aca="false">IF((E9="fa"),H9," ")</f>
        <v> </v>
      </c>
    </row>
    <row r="10" customFormat="false" ht="12" hidden="false" customHeight="false" outlineLevel="0" collapsed="false">
      <c r="A10" s="28" t="n">
        <v>45901</v>
      </c>
      <c r="B10" s="2" t="s">
        <v>81</v>
      </c>
      <c r="E10" s="5" t="s">
        <v>78</v>
      </c>
      <c r="F10" s="46" t="n">
        <v>24</v>
      </c>
      <c r="H10" s="6" t="n">
        <f aca="false">IF((F10&lt;&gt;0),F10-G10," ")</f>
        <v>24</v>
      </c>
      <c r="I10" s="5"/>
      <c r="L10" s="7" t="n">
        <f aca="false">IF(F10&lt;&gt;0,F10-K10," ")</f>
        <v>24</v>
      </c>
      <c r="M10" s="8" t="n">
        <f aca="false">IF((F10-K10)&lt;&gt;0,M$1-A10," ")</f>
        <v>236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n">
        <f aca="false">IF((E10="o"),H10," ")</f>
        <v>24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str">
        <f aca="false">IF((E10="g"),H10," ")</f>
        <v> </v>
      </c>
      <c r="AB10" s="17" t="str">
        <f aca="false">IF((E10="h"),H10," ")</f>
        <v> </v>
      </c>
      <c r="AC10" s="46" t="str">
        <f aca="false">IF((E10="v"),H10," ")</f>
        <v> </v>
      </c>
      <c r="AD10" s="46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</row>
    <row r="11" customFormat="false" ht="12" hidden="false" customHeight="false" outlineLevel="0" collapsed="false">
      <c r="A11" s="28" t="n">
        <v>45901</v>
      </c>
      <c r="B11" s="2" t="s">
        <v>82</v>
      </c>
      <c r="E11" s="5" t="s">
        <v>75</v>
      </c>
      <c r="F11" s="46" t="n">
        <v>18</v>
      </c>
      <c r="H11" s="6" t="n">
        <f aca="false">IF((F11&lt;&gt;0),F11-G11," ")</f>
        <v>18</v>
      </c>
      <c r="I11" s="5"/>
      <c r="L11" s="7" t="n">
        <f aca="false">IF(F11&lt;&gt;0,F11-K11," ")</f>
        <v>18</v>
      </c>
      <c r="M11" s="8" t="n">
        <f aca="false">IF((F11-K11)&lt;&gt;0,M$1-A11," ")</f>
        <v>236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str">
        <f aca="false">IF((E11="o"),H11," ")</f>
        <v> 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n">
        <f aca="false">IF((E11="g"),H11," ")</f>
        <v>18</v>
      </c>
      <c r="AB11" s="17" t="str">
        <f aca="false">IF((E11="h"),H11," ")</f>
        <v> </v>
      </c>
      <c r="AC11" s="46" t="str">
        <f aca="false">IF((E11="v"),H11," ")</f>
        <v> </v>
      </c>
      <c r="AD11" s="46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</row>
    <row r="12" customFormat="false" ht="12" hidden="false" customHeight="false" outlineLevel="0" collapsed="false">
      <c r="A12" s="28" t="n">
        <v>45903</v>
      </c>
      <c r="B12" s="2" t="s">
        <v>83</v>
      </c>
      <c r="E12" s="5" t="s">
        <v>78</v>
      </c>
      <c r="F12" s="46" t="n">
        <v>180</v>
      </c>
      <c r="H12" s="6" t="n">
        <f aca="false">IF((F12&lt;&gt;0),F12-G12," ")</f>
        <v>180</v>
      </c>
      <c r="I12" s="5"/>
      <c r="L12" s="7" t="n">
        <f aca="false">IF(F12&lt;&gt;0,F12-K12," ")</f>
        <v>180</v>
      </c>
      <c r="M12" s="8" t="n">
        <f aca="false">IF((F12-K12)&lt;&gt;0,M$1-A12," ")</f>
        <v>234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n">
        <f aca="false">IF((E12="o"),H12," ")</f>
        <v>180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str">
        <f aca="false">IF((E12="u"),H12," ")</f>
        <v> 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46" t="str">
        <f aca="false">IF((E12="v"),H12," ")</f>
        <v> </v>
      </c>
      <c r="AD12" s="46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</row>
    <row r="13" customFormat="false" ht="12" hidden="false" customHeight="false" outlineLevel="0" collapsed="false">
      <c r="A13" s="28" t="n">
        <v>45903</v>
      </c>
      <c r="B13" s="2" t="s">
        <v>84</v>
      </c>
      <c r="E13" s="5" t="s">
        <v>85</v>
      </c>
      <c r="F13" s="46" t="n">
        <v>22</v>
      </c>
      <c r="H13" s="6" t="n">
        <f aca="false">IF((F13&lt;&gt;0),F13-G13," ")</f>
        <v>22</v>
      </c>
      <c r="I13" s="5"/>
      <c r="L13" s="7" t="n">
        <f aca="false">IF(F13&lt;&gt;0,F13-K13," ")</f>
        <v>22</v>
      </c>
      <c r="M13" s="8" t="n">
        <f aca="false">IF((F13-K13)&lt;&gt;0,M$1-A13," ")</f>
        <v>234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22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46" t="str">
        <f aca="false">IF((E13="v"),H13," ")</f>
        <v> </v>
      </c>
      <c r="AD13" s="46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</row>
    <row r="14" customFormat="false" ht="12" hidden="false" customHeight="false" outlineLevel="0" collapsed="false">
      <c r="A14" s="28" t="n">
        <v>45905</v>
      </c>
      <c r="B14" s="2" t="s">
        <v>86</v>
      </c>
      <c r="E14" s="5" t="s">
        <v>85</v>
      </c>
      <c r="F14" s="46" t="n">
        <v>24</v>
      </c>
      <c r="H14" s="6" t="n">
        <f aca="false">IF((F14&lt;&gt;0),F14-G14," ")</f>
        <v>24</v>
      </c>
      <c r="I14" s="5"/>
      <c r="L14" s="7" t="n">
        <f aca="false">IF(F14&lt;&gt;0,F14-K14," ")</f>
        <v>24</v>
      </c>
      <c r="M14" s="8" t="n">
        <f aca="false">IF((F14-K14)&lt;&gt;0,M$1-A14," ")</f>
        <v>232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n">
        <f aca="false">IF((E14="u"),H14," ")</f>
        <v>24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46" t="str">
        <f aca="false">IF((E14="v"),H14," ")</f>
        <v> </v>
      </c>
      <c r="AD14" s="46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</row>
    <row r="15" customFormat="false" ht="12" hidden="false" customHeight="false" outlineLevel="0" collapsed="false">
      <c r="A15" s="28" t="n">
        <v>45905</v>
      </c>
      <c r="B15" s="2" t="s">
        <v>134</v>
      </c>
      <c r="E15" s="5" t="s">
        <v>115</v>
      </c>
      <c r="F15" s="46" t="n">
        <v>480</v>
      </c>
      <c r="H15" s="6" t="n">
        <f aca="false">IF((F15&lt;&gt;0),F15-G15," ")</f>
        <v>480</v>
      </c>
      <c r="I15" s="5"/>
      <c r="L15" s="7" t="n">
        <f aca="false">IF(F15&lt;&gt;0,F15-K15," ")</f>
        <v>480</v>
      </c>
      <c r="M15" s="8" t="n">
        <f aca="false">IF((F15-K15)&lt;&gt;0,M$1-A15," ")</f>
        <v>232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str">
        <f aca="false">IF((E15="o"),H15," ")</f>
        <v> 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n">
        <f aca="false">IF((E15="a"),H15," ")</f>
        <v>480</v>
      </c>
      <c r="AA15" s="17" t="str">
        <f aca="false">IF((E15="g"),H15," ")</f>
        <v> </v>
      </c>
      <c r="AB15" s="17" t="str">
        <f aca="false">IF((E15="h"),H15," ")</f>
        <v> </v>
      </c>
      <c r="AC15" s="46" t="str">
        <f aca="false">IF((E15="v"),H15," ")</f>
        <v> </v>
      </c>
      <c r="AD15" s="46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</row>
    <row r="16" customFormat="false" ht="12" hidden="false" customHeight="false" outlineLevel="0" collapsed="false">
      <c r="A16" s="28" t="n">
        <v>45905</v>
      </c>
      <c r="B16" s="2" t="s">
        <v>87</v>
      </c>
      <c r="E16" s="5" t="s">
        <v>88</v>
      </c>
      <c r="F16" s="46" t="n">
        <v>180</v>
      </c>
      <c r="H16" s="6" t="n">
        <f aca="false">IF((F16&lt;&gt;0),F16-G16," ")</f>
        <v>180</v>
      </c>
      <c r="I16" s="5"/>
      <c r="L16" s="7" t="n">
        <f aca="false">IF(F16&lt;&gt;0,F16-K16," ")</f>
        <v>180</v>
      </c>
      <c r="M16" s="8" t="n">
        <f aca="false">IF((F16-K16)&lt;&gt;0,M$1-A16," ")</f>
        <v>232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str">
        <f aca="false">IF((E16="h"),H16," ")</f>
        <v> </v>
      </c>
      <c r="AC16" s="46" t="n">
        <f aca="false">IF((E16="v"),H16," ")</f>
        <v>180</v>
      </c>
      <c r="AD16" s="46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</row>
    <row r="17" customFormat="false" ht="12" hidden="false" customHeight="false" outlineLevel="0" collapsed="false">
      <c r="A17" s="28" t="n">
        <v>45908</v>
      </c>
      <c r="B17" s="2" t="s">
        <v>90</v>
      </c>
      <c r="E17" s="5" t="s">
        <v>91</v>
      </c>
      <c r="F17" s="46" t="n">
        <v>48</v>
      </c>
      <c r="H17" s="6" t="n">
        <f aca="false">IF((F17&lt;&gt;0),F17-G17," ")</f>
        <v>48</v>
      </c>
      <c r="I17" s="5"/>
      <c r="L17" s="7" t="n">
        <f aca="false">IF(F17&lt;&gt;0,F17-K17," ")</f>
        <v>48</v>
      </c>
      <c r="M17" s="8" t="n">
        <f aca="false">IF((F17-K17)&lt;&gt;0,M$1-A17," ")</f>
        <v>229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str">
        <f aca="false">IF((E17="u"),H17," ")</f>
        <v> </v>
      </c>
      <c r="Z17" s="17" t="str">
        <f aca="false">IF((E17="a"),H17," ")</f>
        <v> </v>
      </c>
      <c r="AA17" s="17" t="str">
        <f aca="false">IF((E17="g"),H17," ")</f>
        <v> </v>
      </c>
      <c r="AB17" s="17" t="n">
        <f aca="false">IF((E17="h"),H17," ")</f>
        <v>48</v>
      </c>
      <c r="AC17" s="46" t="str">
        <f aca="false">IF((E17="v"),H17," ")</f>
        <v> </v>
      </c>
      <c r="AD17" s="46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</row>
    <row r="18" customFormat="false" ht="12" hidden="false" customHeight="false" outlineLevel="0" collapsed="false">
      <c r="A18" s="28" t="n">
        <v>45910</v>
      </c>
      <c r="B18" s="2" t="s">
        <v>92</v>
      </c>
      <c r="E18" s="5" t="s">
        <v>85</v>
      </c>
      <c r="F18" s="46" t="n">
        <v>36</v>
      </c>
      <c r="H18" s="6" t="n">
        <f aca="false">IF((F18&lt;&gt;0),F18-G18," ")</f>
        <v>36</v>
      </c>
      <c r="I18" s="5"/>
      <c r="L18" s="7" t="n">
        <f aca="false">IF(F18&lt;&gt;0,F18-K18," ")</f>
        <v>36</v>
      </c>
      <c r="M18" s="8" t="n">
        <f aca="false">IF((F18-K18)&lt;&gt;0,M$1-A18," ")</f>
        <v>227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n">
        <f aca="false">IF((E18="u"),H18," ")</f>
        <v>36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46" t="str">
        <f aca="false">IF((E18="v"),H18," ")</f>
        <v> </v>
      </c>
      <c r="AD18" s="46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</row>
    <row r="19" customFormat="false" ht="12" hidden="false" customHeight="false" outlineLevel="0" collapsed="false">
      <c r="A19" s="28" t="n">
        <v>45910</v>
      </c>
      <c r="B19" s="2" t="s">
        <v>93</v>
      </c>
      <c r="E19" s="5" t="s">
        <v>94</v>
      </c>
      <c r="F19" s="46" t="n">
        <v>180</v>
      </c>
      <c r="H19" s="6" t="n">
        <f aca="false">IF((F19&lt;&gt;0),F19-G19," ")</f>
        <v>180</v>
      </c>
      <c r="I19" s="5"/>
      <c r="L19" s="7" t="n">
        <f aca="false">IF(F19&lt;&gt;0,F19-K19," ")</f>
        <v>180</v>
      </c>
      <c r="M19" s="8" t="n">
        <f aca="false">IF((F19-K19)&lt;&gt;0,M$1-A19," ")</f>
        <v>227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str">
        <f aca="false">IF((E19="h"),H19," ")</f>
        <v> </v>
      </c>
      <c r="AC19" s="46" t="str">
        <f aca="false">IF((E19="v"),H19," ")</f>
        <v> </v>
      </c>
      <c r="AD19" s="46" t="str">
        <f aca="false">IF((E19="n"),H19," ")</f>
        <v> </v>
      </c>
      <c r="AE19" s="17" t="n">
        <f aca="false">IF((E19="f"),H19," ")</f>
        <v>180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</row>
    <row r="20" customFormat="false" ht="12" hidden="false" customHeight="false" outlineLevel="0" collapsed="false">
      <c r="A20" s="28" t="n">
        <v>45910</v>
      </c>
      <c r="B20" s="2" t="s">
        <v>95</v>
      </c>
      <c r="E20" s="5" t="s">
        <v>96</v>
      </c>
      <c r="F20" s="46" t="n">
        <v>720</v>
      </c>
      <c r="H20" s="6" t="n">
        <f aca="false">IF((F20&lt;&gt;0),F20-G20," ")</f>
        <v>720</v>
      </c>
      <c r="I20" s="5"/>
      <c r="L20" s="7" t="n">
        <f aca="false">IF(F20&lt;&gt;0,F20-K20," ")</f>
        <v>720</v>
      </c>
      <c r="M20" s="8" t="n">
        <f aca="false">IF((F20-K20)&lt;&gt;0,M$1-A20," ")</f>
        <v>227</v>
      </c>
      <c r="N20" s="5"/>
      <c r="O20" s="17" t="n">
        <f aca="false">IF((E20="s"),H20," ")</f>
        <v>720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46" t="str">
        <f aca="false">IF((E20="v"),H20," ")</f>
        <v> </v>
      </c>
      <c r="AD20" s="46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</row>
    <row r="21" customFormat="false" ht="12" hidden="false" customHeight="false" outlineLevel="0" collapsed="false">
      <c r="A21" s="28" t="n">
        <v>45912</v>
      </c>
      <c r="B21" s="2" t="s">
        <v>97</v>
      </c>
      <c r="E21" s="5" t="s">
        <v>88</v>
      </c>
      <c r="F21" s="46" t="n">
        <v>18</v>
      </c>
      <c r="H21" s="6" t="n">
        <f aca="false">IF((F21&lt;&gt;0),F21-G21," ")</f>
        <v>18</v>
      </c>
      <c r="I21" s="5"/>
      <c r="L21" s="7" t="n">
        <f aca="false">IF(F21&lt;&gt;0,F21-K21," ")</f>
        <v>18</v>
      </c>
      <c r="M21" s="8" t="n">
        <f aca="false">IF((F21-K21)&lt;&gt;0,M$1-A21," ")</f>
        <v>225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str">
        <f aca="false">IF((E21="h"),H21," ")</f>
        <v> </v>
      </c>
      <c r="AC21" s="46" t="n">
        <f aca="false">IF((E21="v"),H21," ")</f>
        <v>18</v>
      </c>
      <c r="AD21" s="46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</row>
    <row r="22" customFormat="false" ht="12" hidden="false" customHeight="false" outlineLevel="0" collapsed="false">
      <c r="A22" s="28" t="n">
        <v>45912</v>
      </c>
      <c r="B22" s="2" t="s">
        <v>135</v>
      </c>
      <c r="E22" s="5" t="s">
        <v>113</v>
      </c>
      <c r="F22" s="46" t="n">
        <v>480</v>
      </c>
      <c r="H22" s="6" t="n">
        <f aca="false">IF((F22&lt;&gt;0),F22-G22," ")</f>
        <v>480</v>
      </c>
      <c r="I22" s="5"/>
      <c r="L22" s="7" t="n">
        <f aca="false">IF(F22&lt;&gt;0,F22-K22," ")</f>
        <v>480</v>
      </c>
      <c r="M22" s="8" t="n">
        <f aca="false">IF((F22-K22)&lt;&gt;0,M$1-A22," ")</f>
        <v>225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n">
        <f aca="false">IF((E22="q"),H22," ")</f>
        <v>480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str">
        <f aca="false">IF((E22="h"),H22," ")</f>
        <v> </v>
      </c>
      <c r="AC22" s="46" t="str">
        <f aca="false">IF((E22="v"),H22," ")</f>
        <v> </v>
      </c>
      <c r="AD22" s="46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</row>
    <row r="23" customFormat="false" ht="12" hidden="false" customHeight="false" outlineLevel="0" collapsed="false">
      <c r="A23" s="28" t="n">
        <v>45914</v>
      </c>
      <c r="B23" s="2" t="s">
        <v>99</v>
      </c>
      <c r="E23" s="5" t="s">
        <v>91</v>
      </c>
      <c r="F23" s="46" t="n">
        <v>24</v>
      </c>
      <c r="H23" s="6" t="n">
        <f aca="false">IF((F23&lt;&gt;0),F23-G23," ")</f>
        <v>24</v>
      </c>
      <c r="I23" s="5"/>
      <c r="L23" s="7" t="n">
        <f aca="false">IF(F23&lt;&gt;0,F23-K23," ")</f>
        <v>24</v>
      </c>
      <c r="M23" s="8" t="n">
        <f aca="false">IF((F23-K23)&lt;&gt;0,M$1-A23," ")</f>
        <v>223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n">
        <f aca="false">IF((E23="h"),H23," ")</f>
        <v>24</v>
      </c>
      <c r="AC23" s="46" t="str">
        <f aca="false">IF((E23="v"),H23," ")</f>
        <v> </v>
      </c>
      <c r="AD23" s="46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</row>
    <row r="24" customFormat="false" ht="12" hidden="false" customHeight="false" outlineLevel="0" collapsed="false">
      <c r="A24" s="28" t="n">
        <v>45914</v>
      </c>
      <c r="B24" s="2" t="s">
        <v>100</v>
      </c>
      <c r="E24" s="5" t="s">
        <v>91</v>
      </c>
      <c r="F24" s="46" t="n">
        <v>12</v>
      </c>
      <c r="H24" s="6" t="n">
        <f aca="false">IF((F24&lt;&gt;0),F24-G24," ")</f>
        <v>12</v>
      </c>
      <c r="I24" s="5"/>
      <c r="L24" s="7" t="n">
        <f aca="false">IF(F24&lt;&gt;0,F24-K24," ")</f>
        <v>12</v>
      </c>
      <c r="M24" s="8" t="n">
        <f aca="false">IF((F24-K24)&lt;&gt;0,M$1-A24," ")</f>
        <v>223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str">
        <f aca="false">IF((E24="g"),H24," ")</f>
        <v> </v>
      </c>
      <c r="AB24" s="17" t="n">
        <f aca="false">IF((E24="h"),H24," ")</f>
        <v>12</v>
      </c>
      <c r="AC24" s="46" t="str">
        <f aca="false">IF((E24="v"),H24," ")</f>
        <v> </v>
      </c>
      <c r="AD24" s="46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</row>
    <row r="25" customFormat="false" ht="12" hidden="false" customHeight="false" outlineLevel="0" collapsed="false">
      <c r="A25" s="28" t="n">
        <v>45915</v>
      </c>
      <c r="B25" s="2" t="s">
        <v>20</v>
      </c>
      <c r="E25" s="5" t="s">
        <v>88</v>
      </c>
      <c r="F25" s="46" t="n">
        <v>150</v>
      </c>
      <c r="H25" s="6" t="n">
        <f aca="false">IF((F25&lt;&gt;0),F25-G25," ")</f>
        <v>150</v>
      </c>
      <c r="I25" s="5"/>
      <c r="L25" s="7" t="n">
        <f aca="false">IF(F25&lt;&gt;0,F25-K25," ")</f>
        <v>150</v>
      </c>
      <c r="M25" s="8" t="n">
        <f aca="false">IF((F25-K25)&lt;&gt;0,M$1-A25," ")</f>
        <v>222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str">
        <f aca="false">IF((E25="g"),H25," ")</f>
        <v> </v>
      </c>
      <c r="AB25" s="17" t="str">
        <f aca="false">IF((E25="h"),H25," ")</f>
        <v> </v>
      </c>
      <c r="AC25" s="46" t="n">
        <f aca="false">IF((E25="v"),H25," ")</f>
        <v>150</v>
      </c>
      <c r="AD25" s="46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</row>
    <row r="26" customFormat="false" ht="12" hidden="false" customHeight="false" outlineLevel="0" collapsed="false">
      <c r="A26" s="28" t="n">
        <v>45915</v>
      </c>
      <c r="B26" s="2" t="s">
        <v>101</v>
      </c>
      <c r="E26" s="5" t="s">
        <v>75</v>
      </c>
      <c r="F26" s="46" t="n">
        <v>12</v>
      </c>
      <c r="H26" s="6" t="n">
        <f aca="false">IF((F26&lt;&gt;0),F26-G26," ")</f>
        <v>12</v>
      </c>
      <c r="I26" s="5"/>
      <c r="L26" s="7" t="n">
        <f aca="false">IF(F26&lt;&gt;0,F26-K26," ")</f>
        <v>12</v>
      </c>
      <c r="M26" s="8" t="n">
        <f aca="false">IF((F26-K26)&lt;&gt;0,M$1-A26," ")</f>
        <v>222</v>
      </c>
      <c r="N26" s="5"/>
      <c r="O26" s="17" t="str">
        <f aca="false">IF((E26="s"),H26," ")</f>
        <v> 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n">
        <f aca="false">IF((E26="g"),H26," ")</f>
        <v>12</v>
      </c>
      <c r="AB26" s="17" t="str">
        <f aca="false">IF((E26="h"),H26," ")</f>
        <v> </v>
      </c>
      <c r="AC26" s="46" t="str">
        <f aca="false">IF((E26="v"),H26," ")</f>
        <v> </v>
      </c>
      <c r="AD26" s="46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</row>
    <row r="27" customFormat="false" ht="12" hidden="false" customHeight="false" outlineLevel="0" collapsed="false">
      <c r="A27" s="28" t="n">
        <v>45915</v>
      </c>
      <c r="B27" s="2" t="s">
        <v>136</v>
      </c>
      <c r="E27" s="5" t="s">
        <v>118</v>
      </c>
      <c r="F27" s="46" t="n">
        <v>1200</v>
      </c>
      <c r="H27" s="6" t="n">
        <f aca="false">IF((F27&lt;&gt;0),F27-G27," ")</f>
        <v>1200</v>
      </c>
      <c r="I27" s="5"/>
      <c r="L27" s="7" t="n">
        <f aca="false">IF(F27&lt;&gt;0,F27-K27," ")</f>
        <v>1200</v>
      </c>
      <c r="M27" s="8" t="n">
        <f aca="false">IF((F27-K27)&lt;&gt;0,M$1-A27," ")</f>
        <v>222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str">
        <f aca="false">IF((E27="h"),H27," ")</f>
        <v> </v>
      </c>
      <c r="AC27" s="46" t="str">
        <f aca="false">IF((E27="v"),H27," ")</f>
        <v> </v>
      </c>
      <c r="AD27" s="46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n">
        <f aca="false">IF((E27="fa"),H27," ")</f>
        <v>1200</v>
      </c>
    </row>
    <row r="28" customFormat="false" ht="12" hidden="false" customHeight="false" outlineLevel="0" collapsed="false">
      <c r="A28" s="28" t="n">
        <v>45916</v>
      </c>
      <c r="B28" s="2" t="s">
        <v>119</v>
      </c>
      <c r="E28" s="5" t="s">
        <v>75</v>
      </c>
      <c r="F28" s="46" t="n">
        <v>24</v>
      </c>
      <c r="H28" s="6" t="n">
        <f aca="false">IF((F28&lt;&gt;0),F28-G28," ")</f>
        <v>24</v>
      </c>
      <c r="I28" s="5"/>
      <c r="L28" s="7" t="n">
        <f aca="false">IF(F28&lt;&gt;0,F28-K28," ")</f>
        <v>24</v>
      </c>
      <c r="M28" s="8" t="n">
        <f aca="false">IF((F28-K28)&lt;&gt;0,M$1-A28," ")</f>
        <v>221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n">
        <f aca="false">IF((E28="g"),H28," ")</f>
        <v>24</v>
      </c>
      <c r="AB28" s="17" t="str">
        <f aca="false">IF((E28="h"),H28," ")</f>
        <v> </v>
      </c>
      <c r="AC28" s="46" t="str">
        <f aca="false">IF((E28="v"),H28," ")</f>
        <v> </v>
      </c>
      <c r="AD28" s="46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</row>
    <row r="29" customFormat="false" ht="12" hidden="false" customHeight="false" outlineLevel="0" collapsed="false">
      <c r="A29" s="28" t="n">
        <v>45918</v>
      </c>
      <c r="B29" s="2" t="s">
        <v>102</v>
      </c>
      <c r="E29" s="5" t="s">
        <v>88</v>
      </c>
      <c r="F29" s="46" t="n">
        <v>96</v>
      </c>
      <c r="H29" s="6" t="n">
        <f aca="false">IF((F29&lt;&gt;0),F29-G29," ")</f>
        <v>96</v>
      </c>
      <c r="I29" s="5"/>
      <c r="L29" s="7" t="n">
        <f aca="false">IF(F29&lt;&gt;0,F29-K29," ")</f>
        <v>96</v>
      </c>
      <c r="M29" s="8" t="n">
        <f aca="false">IF((F29-K29)&lt;&gt;0,M$1-A29," ")</f>
        <v>219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str">
        <f aca="false">IF((E29="h"),H29," ")</f>
        <v> </v>
      </c>
      <c r="AC29" s="46" t="n">
        <f aca="false">IF((E29="v"),H29," ")</f>
        <v>96</v>
      </c>
      <c r="AD29" s="46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</row>
    <row r="30" customFormat="false" ht="12" hidden="false" customHeight="false" outlineLevel="0" collapsed="false">
      <c r="A30" s="28" t="n">
        <v>45920</v>
      </c>
      <c r="B30" s="2" t="s">
        <v>103</v>
      </c>
      <c r="E30" s="5" t="s">
        <v>75</v>
      </c>
      <c r="F30" s="46" t="n">
        <v>60</v>
      </c>
      <c r="H30" s="6" t="n">
        <f aca="false">IF((F30&lt;&gt;0),F30-G30," ")</f>
        <v>60</v>
      </c>
      <c r="I30" s="5"/>
      <c r="L30" s="7" t="n">
        <f aca="false">IF(F30&lt;&gt;0,F30-K30," ")</f>
        <v>60</v>
      </c>
      <c r="M30" s="8" t="n">
        <f aca="false">IF((F30-K30)&lt;&gt;0,M$1-A30," ")</f>
        <v>217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n">
        <f aca="false">IF((E30="g"),H30," ")</f>
        <v>60</v>
      </c>
      <c r="AB30" s="17" t="str">
        <f aca="false">IF((E30="h"),H30," ")</f>
        <v> </v>
      </c>
      <c r="AC30" s="46" t="str">
        <f aca="false">IF((E30="v"),H30," ")</f>
        <v> </v>
      </c>
      <c r="AD30" s="46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</row>
    <row r="31" customFormat="false" ht="12" hidden="false" customHeight="false" outlineLevel="0" collapsed="false">
      <c r="A31" s="28" t="n">
        <v>45920</v>
      </c>
      <c r="B31" s="2" t="s">
        <v>137</v>
      </c>
      <c r="E31" s="5" t="s">
        <v>121</v>
      </c>
      <c r="F31" s="46" t="n">
        <v>120</v>
      </c>
      <c r="H31" s="6" t="n">
        <f aca="false">IF((F31&lt;&gt;0),F31-G31," ")</f>
        <v>120</v>
      </c>
      <c r="I31" s="5"/>
      <c r="L31" s="7" t="n">
        <f aca="false">IF(F31&lt;&gt;0,F31-K31," ")</f>
        <v>120</v>
      </c>
      <c r="M31" s="8" t="n">
        <f aca="false">IF((F31-K31)&lt;&gt;0,M$1-A31," ")</f>
        <v>217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n">
        <f aca="false">IF((E31="t"),H31," ")</f>
        <v>120</v>
      </c>
      <c r="W31" s="17" t="str">
        <f aca="false">IF((E31="q"),H31," ")</f>
        <v> </v>
      </c>
      <c r="X31" s="17" t="str">
        <f aca="false">IF((E31="m"),H31," ")</f>
        <v> </v>
      </c>
      <c r="Y31" s="17" t="str">
        <f aca="false">IF((E31="u"),H31," ")</f>
        <v> 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46" t="str">
        <f aca="false">IF((E31="v"),H31," ")</f>
        <v> </v>
      </c>
      <c r="AD31" s="46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</row>
    <row r="32" customFormat="false" ht="12" hidden="false" customHeight="false" outlineLevel="0" collapsed="false">
      <c r="A32" s="28" t="n">
        <v>45920</v>
      </c>
      <c r="B32" s="2" t="s">
        <v>104</v>
      </c>
      <c r="E32" s="5" t="s">
        <v>105</v>
      </c>
      <c r="F32" s="46" t="n">
        <v>180</v>
      </c>
      <c r="H32" s="6" t="n">
        <f aca="false">IF((F32&lt;&gt;0),F32-G32," ")</f>
        <v>180</v>
      </c>
      <c r="I32" s="5"/>
      <c r="L32" s="7" t="n">
        <f aca="false">IF(F32&lt;&gt;0,F32-K32," ")</f>
        <v>180</v>
      </c>
      <c r="M32" s="8" t="n">
        <f aca="false">IF((F32-K32)&lt;&gt;0,M$1-A32," ")</f>
        <v>217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n">
        <f aca="false">IF((E32="m"),H32," ")</f>
        <v>180</v>
      </c>
      <c r="Y32" s="17" t="str">
        <f aca="false">IF((E32="u"),H32," ")</f>
        <v> 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46" t="str">
        <f aca="false">IF((E32="v"),H32," ")</f>
        <v> </v>
      </c>
      <c r="AD32" s="46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</row>
    <row r="33" customFormat="false" ht="12" hidden="false" customHeight="false" outlineLevel="0" collapsed="false">
      <c r="A33" s="28" t="n">
        <v>45921</v>
      </c>
      <c r="B33" s="2" t="s">
        <v>106</v>
      </c>
      <c r="E33" s="5" t="s">
        <v>91</v>
      </c>
      <c r="F33" s="46" t="n">
        <v>8</v>
      </c>
      <c r="H33" s="6" t="n">
        <f aca="false">IF((F33&lt;&gt;0),F33-G33," ")</f>
        <v>8</v>
      </c>
      <c r="I33" s="5"/>
      <c r="L33" s="7" t="n">
        <f aca="false">IF(F33&lt;&gt;0,F33-K33," ")</f>
        <v>8</v>
      </c>
      <c r="M33" s="8" t="n">
        <f aca="false">IF((F33-K33)&lt;&gt;0,M$1-A33," ")</f>
        <v>216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str">
        <f aca="false">IF((E33="u"),H33," ")</f>
        <v> </v>
      </c>
      <c r="Z33" s="17" t="str">
        <f aca="false">IF((E33="a"),H33," ")</f>
        <v> </v>
      </c>
      <c r="AA33" s="17" t="str">
        <f aca="false">IF((E33="g"),H33," ")</f>
        <v> </v>
      </c>
      <c r="AB33" s="17" t="n">
        <f aca="false">IF((E33="h"),H33," ")</f>
        <v>8</v>
      </c>
      <c r="AC33" s="46" t="str">
        <f aca="false">IF((E33="v"),H33," ")</f>
        <v> </v>
      </c>
      <c r="AD33" s="46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</row>
    <row r="34" customFormat="false" ht="12" hidden="false" customHeight="false" outlineLevel="0" collapsed="false">
      <c r="A34" s="28" t="n">
        <v>45922</v>
      </c>
      <c r="B34" s="2" t="s">
        <v>107</v>
      </c>
      <c r="E34" s="5" t="s">
        <v>85</v>
      </c>
      <c r="F34" s="46" t="n">
        <v>18</v>
      </c>
      <c r="H34" s="6" t="n">
        <f aca="false">IF((F34&lt;&gt;0),F34-G34," ")</f>
        <v>18</v>
      </c>
      <c r="I34" s="5"/>
      <c r="L34" s="7" t="n">
        <f aca="false">IF(F34&lt;&gt;0,F34-K34," ")</f>
        <v>18</v>
      </c>
      <c r="M34" s="8" t="n">
        <f aca="false">IF((F34-K34)&lt;&gt;0,M$1-A34," ")</f>
        <v>215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n">
        <f aca="false">IF((E34="u"),H34," ")</f>
        <v>18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46" t="str">
        <f aca="false">IF((E34="v"),H34," ")</f>
        <v> </v>
      </c>
      <c r="AD34" s="46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</row>
    <row r="35" customFormat="false" ht="12" hidden="false" customHeight="false" outlineLevel="0" collapsed="false">
      <c r="A35" s="28" t="n">
        <v>45925</v>
      </c>
      <c r="B35" s="2" t="s">
        <v>108</v>
      </c>
      <c r="E35" s="5" t="s">
        <v>85</v>
      </c>
      <c r="F35" s="46" t="n">
        <v>15</v>
      </c>
      <c r="H35" s="6" t="n">
        <f aca="false">IF((F35&lt;&gt;0),F35-G35," ")</f>
        <v>15</v>
      </c>
      <c r="I35" s="5"/>
      <c r="L35" s="7" t="n">
        <f aca="false">IF(F35&lt;&gt;0,F35-K35," ")</f>
        <v>15</v>
      </c>
      <c r="M35" s="8" t="n">
        <f aca="false">IF((F35-K35)&lt;&gt;0,M$1-A35," ")</f>
        <v>212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n">
        <f aca="false">IF((E35="u"),H35," ")</f>
        <v>15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46" t="str">
        <f aca="false">IF((E35="v"),H35," ")</f>
        <v> </v>
      </c>
      <c r="AD35" s="46" t="str">
        <f aca="false">IF((E35="n"),H35," ")</f>
        <v> </v>
      </c>
      <c r="AE35" s="17" t="str">
        <f aca="false">IF((E35="f"),H35," ")</f>
        <v> </v>
      </c>
      <c r="AF35" s="17" t="str">
        <f aca="false">IF((E35="l"),H35," ")</f>
        <v> 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</row>
    <row r="36" customFormat="false" ht="12" hidden="false" customHeight="false" outlineLevel="0" collapsed="false">
      <c r="A36" s="28" t="n">
        <v>45925</v>
      </c>
      <c r="B36" s="2" t="s">
        <v>109</v>
      </c>
      <c r="E36" s="5" t="s">
        <v>88</v>
      </c>
      <c r="F36" s="46" t="n">
        <v>20.25</v>
      </c>
      <c r="H36" s="6" t="n">
        <f aca="false">IF((F36&lt;&gt;0),F36-G36," ")</f>
        <v>20.25</v>
      </c>
      <c r="I36" s="5"/>
      <c r="L36" s="7" t="n">
        <f aca="false">IF(F36&lt;&gt;0,F36-K36," ")</f>
        <v>20.25</v>
      </c>
      <c r="M36" s="8" t="n">
        <f aca="false">IF((F36-K36)&lt;&gt;0,M$1-A36," ")</f>
        <v>212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46" t="n">
        <f aca="false">IF((E36="v"),H36," ")</f>
        <v>20.25</v>
      </c>
      <c r="AD36" s="46" t="str">
        <f aca="false">IF((E36="n"),H36," ")</f>
        <v> </v>
      </c>
      <c r="AE36" s="17" t="str">
        <f aca="false">IF((E36="f"),H36," ")</f>
        <v> </v>
      </c>
      <c r="AF36" s="17" t="str">
        <f aca="false">IF((E36="l"),H36," ")</f>
        <v> 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</row>
    <row r="37" customFormat="false" ht="12" hidden="false" customHeight="false" outlineLevel="0" collapsed="false">
      <c r="A37" s="28" t="n">
        <v>45928</v>
      </c>
      <c r="B37" s="2" t="s">
        <v>20</v>
      </c>
      <c r="E37" s="5" t="s">
        <v>88</v>
      </c>
      <c r="F37" s="46" t="n">
        <v>120</v>
      </c>
      <c r="H37" s="6" t="n">
        <f aca="false">IF((F37&lt;&gt;0),F37-G37," ")</f>
        <v>120</v>
      </c>
      <c r="I37" s="5"/>
      <c r="L37" s="7" t="n">
        <f aca="false">IF(F37&lt;&gt;0,F37-K37," ")</f>
        <v>120</v>
      </c>
      <c r="M37" s="8" t="n">
        <f aca="false">IF((F37-K37)&lt;&gt;0,M$1-A37," ")</f>
        <v>209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46" t="n">
        <f aca="false">IF((E37="v"),H37," ")</f>
        <v>120</v>
      </c>
      <c r="AD37" s="46" t="str">
        <f aca="false">IF((E37="n"),H37," ")</f>
        <v> </v>
      </c>
      <c r="AE37" s="17" t="str">
        <f aca="false">IF((E37="f"),H37," ")</f>
        <v> </v>
      </c>
      <c r="AF37" s="17" t="str">
        <f aca="false">IF((E37="l"),H37," ")</f>
        <v> 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</row>
    <row r="38" customFormat="false" ht="12" hidden="false" customHeight="false" outlineLevel="0" collapsed="false">
      <c r="A38" s="28"/>
      <c r="E38" s="2"/>
      <c r="F38" s="46"/>
      <c r="H38" s="6" t="str">
        <f aca="false">IF((F38&lt;&gt;0),F38-G38," ")</f>
        <v> </v>
      </c>
      <c r="I38" s="5"/>
      <c r="L38" s="7" t="str">
        <f aca="false">IF(F38&lt;&gt;0,F38-K38," ")</f>
        <v> </v>
      </c>
      <c r="M38" s="8" t="str">
        <f aca="false">IF((F38-K38)&lt;&gt;0,M$1-A38," ")</f>
        <v> 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46" t="str">
        <f aca="false">IF((E38="v"),H38," ")</f>
        <v> </v>
      </c>
      <c r="AD38" s="46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</row>
    <row r="39" customFormat="false" ht="12" hidden="false" customHeight="false" outlineLevel="0" collapsed="false">
      <c r="A39" s="28"/>
      <c r="E39" s="2"/>
      <c r="F39" s="46"/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46" t="str">
        <f aca="false">IF((E39="v"),H39," ")</f>
        <v> </v>
      </c>
      <c r="AD39" s="46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</row>
    <row r="40" customFormat="false" ht="12" hidden="false" customHeight="false" outlineLevel="0" collapsed="false">
      <c r="A40" s="28"/>
      <c r="E40" s="2"/>
      <c r="F40" s="46"/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46" t="str">
        <f aca="false">IF((E40="v"),H40," ")</f>
        <v> </v>
      </c>
      <c r="AD40" s="46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</row>
    <row r="41" customFormat="false" ht="12" hidden="false" customHeight="false" outlineLevel="0" collapsed="false">
      <c r="A41" s="28"/>
      <c r="E41" s="2"/>
      <c r="F41" s="46"/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46" t="str">
        <f aca="false">IF((E41="v"),H41," ")</f>
        <v> </v>
      </c>
      <c r="AD41" s="46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</row>
    <row r="42" customFormat="false" ht="12" hidden="false" customHeight="false" outlineLevel="0" collapsed="false">
      <c r="A42" s="28"/>
      <c r="E42" s="2"/>
      <c r="F42" s="46"/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46" t="str">
        <f aca="false">IF((E42="v"),H42," ")</f>
        <v> </v>
      </c>
      <c r="AD42" s="46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</row>
    <row r="43" customFormat="false" ht="12" hidden="false" customHeight="false" outlineLevel="0" collapsed="false">
      <c r="A43" s="28"/>
      <c r="E43" s="2"/>
      <c r="F43" s="46"/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46" t="str">
        <f aca="false">IF((E43="v"),H43," ")</f>
        <v> </v>
      </c>
      <c r="AD43" s="46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</row>
    <row r="44" customFormat="false" ht="12" hidden="false" customHeight="false" outlineLevel="0" collapsed="false">
      <c r="A44" s="28"/>
      <c r="E44" s="2"/>
      <c r="F44" s="46"/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46" t="str">
        <f aca="false">IF((E44="v"),H44," ")</f>
        <v> </v>
      </c>
      <c r="AD44" s="46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</row>
    <row r="45" customFormat="false" ht="12" hidden="false" customHeight="false" outlineLevel="0" collapsed="false">
      <c r="A45" s="28"/>
      <c r="E45" s="2"/>
      <c r="F45" s="46"/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46" t="str">
        <f aca="false">IF((E45="v"),H45," ")</f>
        <v> </v>
      </c>
      <c r="AD45" s="46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</row>
    <row r="46" customFormat="false" ht="12" hidden="false" customHeight="false" outlineLevel="0" collapsed="false">
      <c r="A46" s="28"/>
      <c r="E46" s="2"/>
      <c r="F46" s="46"/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46" t="str">
        <f aca="false">IF((E46="v"),H46," ")</f>
        <v> </v>
      </c>
      <c r="AD46" s="46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</row>
    <row r="47" customFormat="false" ht="12" hidden="false" customHeight="false" outlineLevel="0" collapsed="false">
      <c r="A47" s="28"/>
      <c r="E47" s="2"/>
      <c r="F47" s="46"/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46" t="str">
        <f aca="false">IF((E47="v"),H47," ")</f>
        <v> </v>
      </c>
      <c r="AD47" s="46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</row>
    <row r="48" customFormat="false" ht="12" hidden="false" customHeight="false" outlineLevel="0" collapsed="false">
      <c r="A48" s="28"/>
      <c r="E48" s="2"/>
      <c r="F48" s="46"/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46" t="str">
        <f aca="false">IF((E48="v"),H48," ")</f>
        <v> </v>
      </c>
      <c r="AD48" s="46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</row>
    <row r="49" customFormat="false" ht="12" hidden="false" customHeight="false" outlineLevel="0" collapsed="false">
      <c r="A49" s="28"/>
      <c r="E49" s="2"/>
      <c r="F49" s="46"/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46" t="str">
        <f aca="false">IF((E49="v"),H49," ")</f>
        <v> </v>
      </c>
      <c r="AD49" s="46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</row>
    <row r="50" customFormat="false" ht="12" hidden="false" customHeight="false" outlineLevel="0" collapsed="false">
      <c r="A50" s="28"/>
      <c r="E50" s="2"/>
      <c r="F50" s="46"/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46" t="str">
        <f aca="false">IF((E50="v"),H50," ")</f>
        <v> </v>
      </c>
      <c r="AD50" s="46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</row>
    <row r="51" customFormat="false" ht="12" hidden="false" customHeight="false" outlineLevel="0" collapsed="false">
      <c r="A51" s="28"/>
      <c r="E51" s="2"/>
      <c r="F51" s="46"/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46" t="str">
        <f aca="false">IF((E51="v"),H51," ")</f>
        <v> </v>
      </c>
      <c r="AD51" s="46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</row>
    <row r="52" customFormat="false" ht="12" hidden="false" customHeight="false" outlineLevel="0" collapsed="false">
      <c r="A52" s="28"/>
      <c r="E52" s="2"/>
      <c r="F52" s="46"/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46" t="str">
        <f aca="false">IF((E52="v"),H52," ")</f>
        <v> </v>
      </c>
      <c r="AD52" s="46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</row>
    <row r="53" customFormat="false" ht="12" hidden="false" customHeight="false" outlineLevel="0" collapsed="false">
      <c r="A53" s="28"/>
      <c r="E53" s="2"/>
      <c r="F53" s="46"/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46" t="str">
        <f aca="false">IF((E53="v"),H53," ")</f>
        <v> </v>
      </c>
      <c r="AD53" s="46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</row>
    <row r="54" customFormat="false" ht="12" hidden="false" customHeight="false" outlineLevel="0" collapsed="false">
      <c r="A54" s="28"/>
      <c r="E54" s="2"/>
      <c r="F54" s="46"/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46" t="str">
        <f aca="false">IF((E54="v"),H54," ")</f>
        <v> </v>
      </c>
      <c r="AD54" s="46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</row>
    <row r="55" customFormat="false" ht="12" hidden="false" customHeight="false" outlineLevel="0" collapsed="false">
      <c r="A55" s="28"/>
      <c r="E55" s="2"/>
      <c r="F55" s="46"/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46" t="str">
        <f aca="false">IF((E55="v"),H55," ")</f>
        <v> </v>
      </c>
      <c r="AD55" s="46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</row>
    <row r="56" customFormat="false" ht="12" hidden="false" customHeight="false" outlineLevel="0" collapsed="false">
      <c r="A56" s="28"/>
      <c r="E56" s="2"/>
      <c r="F56" s="46"/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46" t="str">
        <f aca="false">IF((E56="v"),H56," ")</f>
        <v> </v>
      </c>
      <c r="AD56" s="46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</row>
    <row r="57" customFormat="false" ht="12" hidden="false" customHeight="false" outlineLevel="0" collapsed="false">
      <c r="A57" s="28"/>
      <c r="E57" s="2"/>
      <c r="F57" s="46"/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46" t="str">
        <f aca="false">IF((E57="v"),H57," ")</f>
        <v> </v>
      </c>
      <c r="AD57" s="46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</row>
    <row r="58" customFormat="false" ht="12" hidden="false" customHeight="false" outlineLevel="0" collapsed="false">
      <c r="A58" s="28"/>
      <c r="E58" s="2"/>
      <c r="F58" s="46"/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46" t="str">
        <f aca="false">IF((E58="v"),H58," ")</f>
        <v> </v>
      </c>
      <c r="AD58" s="46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</row>
    <row r="59" customFormat="false" ht="12" hidden="false" customHeight="false" outlineLevel="0" collapsed="false">
      <c r="A59" s="28"/>
      <c r="E59" s="2"/>
      <c r="F59" s="46"/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46" t="str">
        <f aca="false">IF((E59="v"),H59," ")</f>
        <v> </v>
      </c>
      <c r="AD59" s="46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</row>
    <row r="60" customFormat="false" ht="12" hidden="false" customHeight="false" outlineLevel="0" collapsed="false">
      <c r="A60" s="28"/>
      <c r="E60" s="2"/>
      <c r="F60" s="46"/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46" t="str">
        <f aca="false">IF((E60="v"),H60," ")</f>
        <v> </v>
      </c>
      <c r="AD60" s="46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</row>
    <row r="61" customFormat="false" ht="12" hidden="false" customHeight="false" outlineLevel="0" collapsed="false">
      <c r="A61" s="28"/>
      <c r="E61" s="2"/>
      <c r="F61" s="46"/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46" t="str">
        <f aca="false">IF((E61="v"),H61," ")</f>
        <v> </v>
      </c>
      <c r="AD61" s="46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</row>
    <row r="62" customFormat="false" ht="12" hidden="false" customHeight="false" outlineLevel="0" collapsed="false">
      <c r="A62" s="28"/>
      <c r="E62" s="2"/>
      <c r="F62" s="46"/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46" t="str">
        <f aca="false">IF((E62="v"),H62," ")</f>
        <v> </v>
      </c>
      <c r="AD62" s="46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</row>
    <row r="63" customFormat="false" ht="12" hidden="false" customHeight="false" outlineLevel="0" collapsed="false">
      <c r="A63" s="28"/>
      <c r="E63" s="2"/>
      <c r="F63" s="46"/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46" t="str">
        <f aca="false">IF((E63="v"),H63," ")</f>
        <v> </v>
      </c>
      <c r="AD63" s="46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</row>
    <row r="64" customFormat="false" ht="12" hidden="false" customHeight="false" outlineLevel="0" collapsed="false">
      <c r="A64" s="28"/>
      <c r="E64" s="2"/>
      <c r="F64" s="46"/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46" t="str">
        <f aca="false">IF((E64="v"),H64," ")</f>
        <v> </v>
      </c>
      <c r="AD64" s="46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</row>
    <row r="65" customFormat="false" ht="12" hidden="false" customHeight="false" outlineLevel="0" collapsed="false">
      <c r="A65" s="28"/>
      <c r="E65" s="2"/>
      <c r="F65" s="46"/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46" t="str">
        <f aca="false">IF((E65="v"),H65," ")</f>
        <v> </v>
      </c>
      <c r="AD65" s="46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</row>
    <row r="66" customFormat="false" ht="12" hidden="false" customHeight="false" outlineLevel="0" collapsed="false">
      <c r="A66" s="28"/>
      <c r="E66" s="2"/>
      <c r="F66" s="46"/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46" t="str">
        <f aca="false">IF((E66="v"),H66," ")</f>
        <v> </v>
      </c>
      <c r="AD66" s="46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</row>
    <row r="67" customFormat="false" ht="12" hidden="false" customHeight="false" outlineLevel="0" collapsed="false">
      <c r="A67" s="28"/>
      <c r="E67" s="2"/>
      <c r="F67" s="46"/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46" t="str">
        <f aca="false">IF((E67="v"),H67," ")</f>
        <v> </v>
      </c>
      <c r="AD67" s="46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</row>
    <row r="68" customFormat="false" ht="12" hidden="false" customHeight="false" outlineLevel="0" collapsed="false">
      <c r="A68" s="28"/>
      <c r="E68" s="2"/>
      <c r="F68" s="46"/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46" t="str">
        <f aca="false">IF((E68="v"),H68," ")</f>
        <v> </v>
      </c>
      <c r="AD68" s="46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</row>
    <row r="69" customFormat="false" ht="12" hidden="false" customHeight="false" outlineLevel="0" collapsed="false">
      <c r="A69" s="28"/>
      <c r="E69" s="2"/>
      <c r="F69" s="46"/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46" t="str">
        <f aca="false">IF((E69="v"),H69," ")</f>
        <v> </v>
      </c>
      <c r="AD69" s="46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46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46" t="str">
        <f aca="false">IF((E70="v"),H70," ")</f>
        <v> </v>
      </c>
      <c r="AD70" s="46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46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46" t="str">
        <f aca="false">IF((E71="v"),H71," ")</f>
        <v> </v>
      </c>
      <c r="AD71" s="46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46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46" t="str">
        <f aca="false">IF((E72="v"),H72," ")</f>
        <v> </v>
      </c>
      <c r="AD72" s="46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46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46" t="str">
        <f aca="false">IF((E73="v"),H73," ")</f>
        <v> </v>
      </c>
      <c r="AD73" s="46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46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46" t="str">
        <f aca="false">IF((E74="v"),H74," ")</f>
        <v> </v>
      </c>
      <c r="AD74" s="46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46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46" t="str">
        <f aca="false">IF((E75="v"),H75," ")</f>
        <v> </v>
      </c>
      <c r="AD75" s="46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46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46" t="str">
        <f aca="false">IF((E76="v"),H76," ")</f>
        <v> </v>
      </c>
      <c r="AD76" s="46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46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46" t="str">
        <f aca="false">IF((E77="v"),H77," ")</f>
        <v> </v>
      </c>
      <c r="AD77" s="46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46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46" t="str">
        <f aca="false">IF((E78="v"),H78," ")</f>
        <v> </v>
      </c>
      <c r="AD78" s="46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46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46" t="str">
        <f aca="false">IF((E79="v"),H79," ")</f>
        <v> </v>
      </c>
      <c r="AD79" s="46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46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46" t="str">
        <f aca="false">IF((E80="v"),H80," ")</f>
        <v> </v>
      </c>
      <c r="AD80" s="46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46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46" t="str">
        <f aca="false">IF((E81="v"),H81," ")</f>
        <v> </v>
      </c>
      <c r="AD81" s="46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46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46" t="str">
        <f aca="false">IF((E82="v"),H82," ")</f>
        <v> </v>
      </c>
      <c r="AD82" s="46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46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46" t="str">
        <f aca="false">IF((E83="v"),H83," ")</f>
        <v> </v>
      </c>
      <c r="AD83" s="46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46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46" t="str">
        <f aca="false">IF((E84="v"),H84," ")</f>
        <v> </v>
      </c>
      <c r="AD84" s="46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46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46" t="str">
        <f aca="false">IF((E85="v"),H85," ")</f>
        <v> </v>
      </c>
      <c r="AD85" s="46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46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46" t="str">
        <f aca="false">IF((E86="v"),H86," ")</f>
        <v> </v>
      </c>
      <c r="AD86" s="46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46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46" t="str">
        <f aca="false">IF((E87="v"),H87," ")</f>
        <v> </v>
      </c>
      <c r="AD87" s="46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46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46" t="str">
        <f aca="false">IF((E88="v"),H88," ")</f>
        <v> </v>
      </c>
      <c r="AD88" s="46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46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46" t="str">
        <f aca="false">IF((E89="v"),H89," ")</f>
        <v> </v>
      </c>
      <c r="AD89" s="46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46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46" t="str">
        <f aca="false">IF((E90="v"),H90," ")</f>
        <v> </v>
      </c>
      <c r="AD90" s="46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46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46" t="str">
        <f aca="false">IF((E91="v"),H91," ")</f>
        <v> </v>
      </c>
      <c r="AD91" s="46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46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46" t="str">
        <f aca="false">IF((E92="v"),H92," ")</f>
        <v> </v>
      </c>
      <c r="AD92" s="46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46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46" t="str">
        <f aca="false">IF((E93="v"),H93," ")</f>
        <v> </v>
      </c>
      <c r="AD93" s="46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46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46" t="str">
        <f aca="false">IF((E94="v"),H94," ")</f>
        <v> </v>
      </c>
      <c r="AD94" s="46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46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46" t="str">
        <f aca="false">IF((E95="v"),H95," ")</f>
        <v> </v>
      </c>
      <c r="AD95" s="46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46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46" t="str">
        <f aca="false">IF((E96="v"),H96," ")</f>
        <v> </v>
      </c>
      <c r="AD96" s="46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46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46" t="str">
        <f aca="false">IF((E97="v"),H97," ")</f>
        <v> </v>
      </c>
      <c r="AD97" s="46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46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46" t="str">
        <f aca="false">IF((E98="v"),H98," ")</f>
        <v> </v>
      </c>
      <c r="AD98" s="46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46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46" t="str">
        <f aca="false">IF((E99="v"),H99," ")</f>
        <v> </v>
      </c>
      <c r="AD99" s="46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46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46" t="str">
        <f aca="false">IF((E100="v"),H100," ")</f>
        <v> </v>
      </c>
      <c r="AD100" s="46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46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46" t="str">
        <f aca="false">IF((E101="v"),H101," ")</f>
        <v> </v>
      </c>
      <c r="AD101" s="46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46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46" t="str">
        <f aca="false">IF((E102="v"),H102," ")</f>
        <v> </v>
      </c>
      <c r="AD102" s="46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46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46" t="str">
        <f aca="false">IF((E103="v"),H103," ")</f>
        <v> </v>
      </c>
      <c r="AD103" s="46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46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46" t="str">
        <f aca="false">IF((E104="v"),H104," ")</f>
        <v> </v>
      </c>
      <c r="AD104" s="46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46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46" t="str">
        <f aca="false">IF((E105="v"),H105," ")</f>
        <v> </v>
      </c>
      <c r="AD105" s="46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46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46" t="str">
        <f aca="false">IF((E106="v"),H106," ")</f>
        <v> </v>
      </c>
      <c r="AD106" s="46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46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46" t="str">
        <f aca="false">IF((E107="v"),H107," ")</f>
        <v> </v>
      </c>
      <c r="AD107" s="46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46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46" t="str">
        <f aca="false">IF((E108="v"),H108," ")</f>
        <v> </v>
      </c>
      <c r="AD108" s="46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46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46" t="str">
        <f aca="false">IF((E109="v"),H109," ")</f>
        <v> </v>
      </c>
      <c r="AD109" s="46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46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46" t="str">
        <f aca="false">IF((E110="v"),H110," ")</f>
        <v> </v>
      </c>
      <c r="AD110" s="46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46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46" t="str">
        <f aca="false">IF((E111="v"),H111," ")</f>
        <v> </v>
      </c>
      <c r="AD111" s="46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46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46" t="str">
        <f aca="false">IF((E112="v"),H112," ")</f>
        <v> </v>
      </c>
      <c r="AD112" s="46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46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46" t="str">
        <f aca="false">IF((E113="v"),H113," ")</f>
        <v> </v>
      </c>
      <c r="AD113" s="46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46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46" t="str">
        <f aca="false">IF((E114="v"),H114," ")</f>
        <v> </v>
      </c>
      <c r="AD114" s="46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46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46" t="str">
        <f aca="false">IF((E115="v"),H115," ")</f>
        <v> </v>
      </c>
      <c r="AD115" s="46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46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46" t="str">
        <f aca="false">IF((E116="v"),H116," ")</f>
        <v> </v>
      </c>
      <c r="AD116" s="46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46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46" t="str">
        <f aca="false">IF((E117="v"),H117," ")</f>
        <v> </v>
      </c>
      <c r="AD117" s="46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46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46" t="str">
        <f aca="false">IF((E118="v"),H118," ")</f>
        <v> </v>
      </c>
      <c r="AD118" s="46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46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46" t="str">
        <f aca="false">IF((E119="v"),H119," ")</f>
        <v> </v>
      </c>
      <c r="AD119" s="46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46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46" t="str">
        <f aca="false">IF((E120="v"),H120," ")</f>
        <v> </v>
      </c>
      <c r="AD120" s="46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46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46" t="str">
        <f aca="false">IF((E121="v"),H121," ")</f>
        <v> </v>
      </c>
      <c r="AD121" s="46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46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46" t="str">
        <f aca="false">IF((E122="v"),H122," ")</f>
        <v> </v>
      </c>
      <c r="AD122" s="46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46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46" t="str">
        <f aca="false">IF((E123="v"),H123," ")</f>
        <v> </v>
      </c>
      <c r="AD123" s="46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46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46" t="str">
        <f aca="false">IF((E124="v"),H124," ")</f>
        <v> </v>
      </c>
      <c r="AD124" s="46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46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46" t="str">
        <f aca="false">IF((E125="v"),H125," ")</f>
        <v> </v>
      </c>
      <c r="AD125" s="46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46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46" t="str">
        <f aca="false">IF((E126="v"),H126," ")</f>
        <v> </v>
      </c>
      <c r="AD126" s="46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46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46" t="str">
        <f aca="false">IF((E127="v"),H127," ")</f>
        <v> </v>
      </c>
      <c r="AD127" s="46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46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46" t="str">
        <f aca="false">IF((E128="v"),H128," ")</f>
        <v> </v>
      </c>
      <c r="AD128" s="46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46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46" t="str">
        <f aca="false">IF((E129="v"),H129," ")</f>
        <v> </v>
      </c>
      <c r="AD129" s="46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46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46" t="str">
        <f aca="false">IF((E130="v"),H130," ")</f>
        <v> </v>
      </c>
      <c r="AD130" s="46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46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46" t="str">
        <f aca="false">IF((E131="v"),H131," ")</f>
        <v> </v>
      </c>
      <c r="AD131" s="46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46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46" t="str">
        <f aca="false">IF((E132="v"),H132," ")</f>
        <v> </v>
      </c>
      <c r="AD132" s="46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46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46" t="str">
        <f aca="false">IF((E133="v"),H133," ")</f>
        <v> </v>
      </c>
      <c r="AD133" s="46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46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46" t="str">
        <f aca="false">IF((E134="v"),H134," ")</f>
        <v> </v>
      </c>
      <c r="AD134" s="46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46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46" t="str">
        <f aca="false">IF((E135="v"),H135," ")</f>
        <v> </v>
      </c>
      <c r="AD135" s="46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46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46" t="str">
        <f aca="false">IF((E136="v"),H136," ")</f>
        <v> </v>
      </c>
      <c r="AD136" s="46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46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46" t="str">
        <f aca="false">IF((E137="v"),H137," ")</f>
        <v> </v>
      </c>
      <c r="AD137" s="46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46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46" t="str">
        <f aca="false">IF((E138="v"),H138," ")</f>
        <v> </v>
      </c>
      <c r="AD138" s="46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46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46" t="str">
        <f aca="false">IF((E139="v"),H139," ")</f>
        <v> </v>
      </c>
      <c r="AD139" s="46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46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46" t="str">
        <f aca="false">IF((E140="v"),H140," ")</f>
        <v> </v>
      </c>
      <c r="AD140" s="46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46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46" t="str">
        <f aca="false">IF((E141="v"),H141," ")</f>
        <v> </v>
      </c>
      <c r="AD141" s="46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46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46" t="str">
        <f aca="false">IF((E142="v"),H142," ")</f>
        <v> </v>
      </c>
      <c r="AD142" s="46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46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46" t="str">
        <f aca="false">IF((E143="v"),H143," ")</f>
        <v> </v>
      </c>
      <c r="AD143" s="46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46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46" t="str">
        <f aca="false">IF((E144="v"),H144," ")</f>
        <v> </v>
      </c>
      <c r="AD144" s="46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46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46" t="str">
        <f aca="false">IF((E145="v"),H145," ")</f>
        <v> </v>
      </c>
      <c r="AD145" s="46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46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46" t="str">
        <f aca="false">IF((E146="v"),H146," ")</f>
        <v> </v>
      </c>
      <c r="AD146" s="46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46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46" t="str">
        <f aca="false">IF((E147="v"),H147," ")</f>
        <v> </v>
      </c>
      <c r="AD147" s="46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46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46" t="str">
        <f aca="false">IF((E148="v"),H148," ")</f>
        <v> </v>
      </c>
      <c r="AD148" s="46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46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46" t="str">
        <f aca="false">IF((E149="v"),H149," ")</f>
        <v> </v>
      </c>
      <c r="AD149" s="46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46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46" t="str">
        <f aca="false">IF((E150="v"),H150," ")</f>
        <v> </v>
      </c>
      <c r="AD150" s="46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46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46" t="str">
        <f aca="false">IF((E151="v"),H151," ")</f>
        <v> </v>
      </c>
      <c r="AD151" s="46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46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46" t="str">
        <f aca="false">IF((E152="v"),H152," ")</f>
        <v> </v>
      </c>
      <c r="AD152" s="46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46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46" t="str">
        <f aca="false">IF((E153="v"),H153," ")</f>
        <v> </v>
      </c>
      <c r="AD153" s="46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46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46" t="str">
        <f aca="false">IF((E154="v"),H154," ")</f>
        <v> </v>
      </c>
      <c r="AD154" s="46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46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46" t="str">
        <f aca="false">IF((E155="v"),H155," ")</f>
        <v> </v>
      </c>
      <c r="AD155" s="46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46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46" t="str">
        <f aca="false">IF((E156="v"),H156," ")</f>
        <v> </v>
      </c>
      <c r="AD156" s="46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46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46" t="str">
        <f aca="false">IF((E157="v"),H157," ")</f>
        <v> </v>
      </c>
      <c r="AD157" s="46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46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46" t="str">
        <f aca="false">IF((E158="v"),H158," ")</f>
        <v> </v>
      </c>
      <c r="AD158" s="46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46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46" t="str">
        <f aca="false">IF((E159="v"),H159," ")</f>
        <v> </v>
      </c>
      <c r="AD159" s="46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46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46" t="str">
        <f aca="false">IF((E160="v"),H160," ")</f>
        <v> </v>
      </c>
      <c r="AD160" s="46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46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46" t="str">
        <f aca="false">IF((E161="v"),H161," ")</f>
        <v> </v>
      </c>
      <c r="AD161" s="46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46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46" t="str">
        <f aca="false">IF((E162="v"),H162," ")</f>
        <v> </v>
      </c>
      <c r="AD162" s="46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46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46" t="str">
        <f aca="false">IF((E163="v"),H163," ")</f>
        <v> </v>
      </c>
      <c r="AD163" s="46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46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46" t="str">
        <f aca="false">IF((E164="v"),H164," ")</f>
        <v> </v>
      </c>
      <c r="AD164" s="46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46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46" t="str">
        <f aca="false">IF((E165="v"),H165," ")</f>
        <v> </v>
      </c>
      <c r="AD165" s="46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46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46" t="str">
        <f aca="false">IF((E166="v"),H166," ")</f>
        <v> </v>
      </c>
      <c r="AD166" s="46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46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46" t="str">
        <f aca="false">IF((E167="v"),H167," ")</f>
        <v> </v>
      </c>
      <c r="AD167" s="46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46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46" t="str">
        <f aca="false">IF((E168="v"),H168," ")</f>
        <v> </v>
      </c>
      <c r="AD168" s="46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46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46" t="str">
        <f aca="false">IF((E169="v"),H169," ")</f>
        <v> </v>
      </c>
      <c r="AD169" s="46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46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46" t="str">
        <f aca="false">IF((E170="v"),H170," ")</f>
        <v> </v>
      </c>
      <c r="AD170" s="46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46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46" t="str">
        <f aca="false">IF((E171="v"),H171," ")</f>
        <v> </v>
      </c>
      <c r="AD171" s="46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46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46" t="str">
        <f aca="false">IF((E172="v"),H172," ")</f>
        <v> </v>
      </c>
      <c r="AD172" s="46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46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46" t="str">
        <f aca="false">IF((E173="v"),H173," ")</f>
        <v> </v>
      </c>
      <c r="AD173" s="46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46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46" t="str">
        <f aca="false">IF((E174="v"),H174," ")</f>
        <v> </v>
      </c>
      <c r="AD174" s="46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46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46" t="str">
        <f aca="false">IF((E175="v"),H175," ")</f>
        <v> </v>
      </c>
      <c r="AD175" s="46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46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46" t="str">
        <f aca="false">IF((E176="v"),H176," ")</f>
        <v> </v>
      </c>
      <c r="AD176" s="46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46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46" t="str">
        <f aca="false">IF((E177="v"),H177," ")</f>
        <v> </v>
      </c>
      <c r="AD177" s="46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46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46" t="str">
        <f aca="false">IF((E178="v"),H178," ")</f>
        <v> </v>
      </c>
      <c r="AD178" s="46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46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46" t="str">
        <f aca="false">IF((E179="v"),H179," ")</f>
        <v> </v>
      </c>
      <c r="AD179" s="46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46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46" t="str">
        <f aca="false">IF((E180="v"),H180," ")</f>
        <v> </v>
      </c>
      <c r="AD180" s="46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46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46" t="str">
        <f aca="false">IF((E181="v"),H181," ")</f>
        <v> </v>
      </c>
      <c r="AD181" s="46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46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46" t="str">
        <f aca="false">IF((E182="v"),H182," ")</f>
        <v> </v>
      </c>
      <c r="AD182" s="46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46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46" t="str">
        <f aca="false">IF((E183="v"),H183," ")</f>
        <v> </v>
      </c>
      <c r="AD183" s="46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46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46" t="str">
        <f aca="false">IF((E184="v"),H184," ")</f>
        <v> </v>
      </c>
      <c r="AD184" s="46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46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46" t="str">
        <f aca="false">IF((E185="v"),H185," ")</f>
        <v> </v>
      </c>
      <c r="AD185" s="46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46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46" t="str">
        <f aca="false">IF((E186="v"),H186," ")</f>
        <v> </v>
      </c>
      <c r="AD186" s="46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46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46" t="str">
        <f aca="false">IF((E187="v"),H187," ")</f>
        <v> </v>
      </c>
      <c r="AD187" s="46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46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46" t="str">
        <f aca="false">IF((E188="v"),H188," ")</f>
        <v> </v>
      </c>
      <c r="AD188" s="46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46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46" t="str">
        <f aca="false">IF((E189="v"),H189," ")</f>
        <v> </v>
      </c>
      <c r="AD189" s="46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46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46" t="str">
        <f aca="false">IF((E190="v"),H190," ")</f>
        <v> </v>
      </c>
      <c r="AD190" s="46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46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46" t="str">
        <f aca="false">IF((E191="v"),H191," ")</f>
        <v> </v>
      </c>
      <c r="AD191" s="46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46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46" t="str">
        <f aca="false">IF((E192="v"),H192," ")</f>
        <v> </v>
      </c>
      <c r="AD192" s="46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46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46" t="str">
        <f aca="false">IF((E193="v"),H193," ")</f>
        <v> </v>
      </c>
      <c r="AD193" s="46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46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46" t="str">
        <f aca="false">IF((E194="v"),H194," ")</f>
        <v> </v>
      </c>
      <c r="AD194" s="46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46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46" t="str">
        <f aca="false">IF((E195="v"),H195," ")</f>
        <v> </v>
      </c>
      <c r="AD195" s="46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46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46" t="str">
        <f aca="false">IF((E196="v"),H196," ")</f>
        <v> </v>
      </c>
      <c r="AD196" s="46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46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46" t="str">
        <f aca="false">IF((E197="v"),H197," ")</f>
        <v> </v>
      </c>
      <c r="AD197" s="46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46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46" t="str">
        <f aca="false">IF((E198="v"),H198," ")</f>
        <v> </v>
      </c>
      <c r="AD198" s="46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46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46" t="str">
        <f aca="false">IF((E199="v"),H199," ")</f>
        <v> </v>
      </c>
      <c r="AD199" s="46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46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46" t="str">
        <f aca="false">IF((E200="v"),H200," ")</f>
        <v> </v>
      </c>
      <c r="AD200" s="46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46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46" t="str">
        <f aca="false">IF((E201="v"),H201," ")</f>
        <v> </v>
      </c>
      <c r="AD201" s="46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46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46" t="str">
        <f aca="false">IF((E202="v"),H202," ")</f>
        <v> </v>
      </c>
      <c r="AD202" s="46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46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46" t="str">
        <f aca="false">IF((E203="v"),H203," ")</f>
        <v> </v>
      </c>
      <c r="AD203" s="46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46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46" t="str">
        <f aca="false">IF((E204="v"),H204," ")</f>
        <v> </v>
      </c>
      <c r="AD204" s="46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46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46" t="str">
        <f aca="false">IF((E205="v"),H205," ")</f>
        <v> </v>
      </c>
      <c r="AD205" s="46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46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46" t="str">
        <f aca="false">IF((E206="v"),H206," ")</f>
        <v> </v>
      </c>
      <c r="AD206" s="46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46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46" t="str">
        <f aca="false">IF((E207="v"),H207," ")</f>
        <v> </v>
      </c>
      <c r="AD207" s="46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46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46" t="str">
        <f aca="false">IF((E208="v"),H208," ")</f>
        <v> </v>
      </c>
      <c r="AD208" s="46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46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46" t="str">
        <f aca="false">IF((E209="v"),H209," ")</f>
        <v> </v>
      </c>
      <c r="AD209" s="46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46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46" t="str">
        <f aca="false">IF((E210="v"),H210," ")</f>
        <v> </v>
      </c>
      <c r="AD210" s="46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46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46" t="str">
        <f aca="false">IF((E211="v"),H211," ")</f>
        <v> </v>
      </c>
      <c r="AD211" s="46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46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46" t="str">
        <f aca="false">IF((E212="v"),H212," ")</f>
        <v> </v>
      </c>
      <c r="AD212" s="46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46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46" t="str">
        <f aca="false">IF((E213="v"),H213," ")</f>
        <v> </v>
      </c>
      <c r="AD213" s="46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46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46" t="str">
        <f aca="false">IF((E214="v"),H214," ")</f>
        <v> </v>
      </c>
      <c r="AD214" s="46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46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46" t="str">
        <f aca="false">IF((E215="v"),H215," ")</f>
        <v> </v>
      </c>
      <c r="AD215" s="46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46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46" t="str">
        <f aca="false">IF((E216="v"),H216," ")</f>
        <v> </v>
      </c>
      <c r="AD216" s="46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46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46" t="str">
        <f aca="false">IF((E217="v"),H217," ")</f>
        <v> </v>
      </c>
      <c r="AD217" s="46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46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46" t="str">
        <f aca="false">IF((E218="v"),H218," ")</f>
        <v> </v>
      </c>
      <c r="AD218" s="46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46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46" t="str">
        <f aca="false">IF((E219="v"),H219," ")</f>
        <v> </v>
      </c>
      <c r="AD219" s="46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46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46" t="str">
        <f aca="false">IF((E220="v"),H220," ")</f>
        <v> </v>
      </c>
      <c r="AD220" s="46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46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46" t="str">
        <f aca="false">IF((E221="v"),H221," ")</f>
        <v> </v>
      </c>
      <c r="AD221" s="46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46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46" t="str">
        <f aca="false">IF((E222="v"),H222," ")</f>
        <v> </v>
      </c>
      <c r="AD222" s="46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46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46" t="str">
        <f aca="false">IF((E223="v"),H223," ")</f>
        <v> </v>
      </c>
      <c r="AD223" s="46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46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46" t="str">
        <f aca="false">IF((E224="v"),H224," ")</f>
        <v> </v>
      </c>
      <c r="AD224" s="46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46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46" t="str">
        <f aca="false">IF((E225="v"),H225," ")</f>
        <v> </v>
      </c>
      <c r="AD225" s="46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46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46" t="str">
        <f aca="false">IF((E226="v"),H226," ")</f>
        <v> </v>
      </c>
      <c r="AD226" s="46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46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46" t="str">
        <f aca="false">IF((E227="v"),H227," ")</f>
        <v> </v>
      </c>
      <c r="AD227" s="46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46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46" t="str">
        <f aca="false">IF((E228="v"),H228," ")</f>
        <v> </v>
      </c>
      <c r="AD228" s="46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46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46" t="str">
        <f aca="false">IF((E229="v"),H229," ")</f>
        <v> </v>
      </c>
      <c r="AD229" s="46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46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46" t="str">
        <f aca="false">IF((E230="v"),H230," ")</f>
        <v> </v>
      </c>
      <c r="AD230" s="46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46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46" t="str">
        <f aca="false">IF((E231="v"),H231," ")</f>
        <v> </v>
      </c>
      <c r="AD231" s="46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46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46" t="str">
        <f aca="false">IF((E232="v"),H232," ")</f>
        <v> </v>
      </c>
      <c r="AD232" s="46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46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46" t="str">
        <f aca="false">IF((E233="v"),H233," ")</f>
        <v> </v>
      </c>
      <c r="AD233" s="46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46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46" t="str">
        <f aca="false">IF((E234="v"),H234," ")</f>
        <v> </v>
      </c>
      <c r="AD234" s="46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46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46" t="str">
        <f aca="false">IF((E235="v"),H235," ")</f>
        <v> </v>
      </c>
      <c r="AD235" s="46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46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46" t="str">
        <f aca="false">IF((E236="v"),H236," ")</f>
        <v> </v>
      </c>
      <c r="AD236" s="46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46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46" t="str">
        <f aca="false">IF((E237="v"),H237," ")</f>
        <v> </v>
      </c>
      <c r="AD237" s="46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46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46" t="str">
        <f aca="false">IF((E238="v"),H238," ")</f>
        <v> </v>
      </c>
      <c r="AD238" s="46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46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46" t="str">
        <f aca="false">IF((E239="v"),H239," ")</f>
        <v> </v>
      </c>
      <c r="AD239" s="46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46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46" t="str">
        <f aca="false">IF((E240="v"),H240," ")</f>
        <v> </v>
      </c>
      <c r="AD240" s="46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46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46" t="str">
        <f aca="false">IF((E241="v"),H241," ")</f>
        <v> </v>
      </c>
      <c r="AD241" s="46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46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46" t="str">
        <f aca="false">IF((E242="v"),H242," ")</f>
        <v> </v>
      </c>
      <c r="AD242" s="46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46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46" t="str">
        <f aca="false">IF((E243="v"),H243," ")</f>
        <v> </v>
      </c>
      <c r="AD243" s="46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46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46" t="str">
        <f aca="false">IF((E244="v"),H244," ")</f>
        <v> </v>
      </c>
      <c r="AD244" s="46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46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46" t="str">
        <f aca="false">IF((E245="v"),H245," ")</f>
        <v> </v>
      </c>
      <c r="AD245" s="46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46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46" t="str">
        <f aca="false">IF((E246="v"),H246," ")</f>
        <v> </v>
      </c>
      <c r="AD246" s="46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46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46" t="str">
        <f aca="false">IF((E247="v"),H247," ")</f>
        <v> </v>
      </c>
      <c r="AD247" s="46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46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46" t="str">
        <f aca="false">IF((E248="v"),H248," ")</f>
        <v> </v>
      </c>
      <c r="AD248" s="46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46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46" t="str">
        <f aca="false">IF((E249="v"),H249," ")</f>
        <v> </v>
      </c>
      <c r="AD249" s="46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46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46" t="str">
        <f aca="false">IF((E250="v"),H250," ")</f>
        <v> </v>
      </c>
      <c r="AD250" s="46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46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46" t="str">
        <f aca="false">IF((E251="v"),H251," ")</f>
        <v> </v>
      </c>
      <c r="AD251" s="46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46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46" t="str">
        <f aca="false">IF((E252="v"),H252," ")</f>
        <v> </v>
      </c>
      <c r="AD252" s="46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46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46" t="str">
        <f aca="false">IF((E253="v"),H253," ")</f>
        <v> </v>
      </c>
      <c r="AD253" s="46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46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46" t="str">
        <f aca="false">IF((E254="v"),H254," ")</f>
        <v> </v>
      </c>
      <c r="AD254" s="46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46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46" t="str">
        <f aca="false">IF((E255="v"),H255," ")</f>
        <v> </v>
      </c>
      <c r="AD255" s="46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46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46" t="str">
        <f aca="false">IF((E256="v"),H256," ")</f>
        <v> </v>
      </c>
      <c r="AD256" s="46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46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46" t="str">
        <f aca="false">IF((E257="v"),H257," ")</f>
        <v> </v>
      </c>
      <c r="AD257" s="46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46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46" t="str">
        <f aca="false">IF((E258="v"),H258," ")</f>
        <v> </v>
      </c>
      <c r="AD258" s="46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46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46" t="str">
        <f aca="false">IF((E259="v"),H259," ")</f>
        <v> </v>
      </c>
      <c r="AD259" s="46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46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46" t="str">
        <f aca="false">IF((E260="v"),H260," ")</f>
        <v> </v>
      </c>
      <c r="AD260" s="46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46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46" t="str">
        <f aca="false">IF((E261="v"),H261," ")</f>
        <v> </v>
      </c>
      <c r="AD261" s="46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46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46" t="str">
        <f aca="false">IF((E262="v"),H262," ")</f>
        <v> </v>
      </c>
      <c r="AD262" s="46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46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46" t="str">
        <f aca="false">IF((E263="v"),H263," ")</f>
        <v> </v>
      </c>
      <c r="AD263" s="46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46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46" t="str">
        <f aca="false">IF((E264="v"),H264," ")</f>
        <v> </v>
      </c>
      <c r="AD264" s="46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46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46" t="str">
        <f aca="false">IF((E265="v"),H265," ")</f>
        <v> </v>
      </c>
      <c r="AD265" s="46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46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46" t="str">
        <f aca="false">IF((E266="v"),H266," ")</f>
        <v> </v>
      </c>
      <c r="AD266" s="46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46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46" t="str">
        <f aca="false">IF((E267="v"),H267," ")</f>
        <v> </v>
      </c>
      <c r="AD267" s="46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46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46" t="str">
        <f aca="false">IF((E268="v"),H268," ")</f>
        <v> </v>
      </c>
      <c r="AD268" s="46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46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46" t="str">
        <f aca="false">IF((E269="v"),H269," ")</f>
        <v> </v>
      </c>
      <c r="AD269" s="46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46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46" t="str">
        <f aca="false">IF((E270="v"),H270," ")</f>
        <v> </v>
      </c>
      <c r="AD270" s="46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46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46" t="str">
        <f aca="false">IF((E271="v"),H271," ")</f>
        <v> </v>
      </c>
      <c r="AD271" s="46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46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46" t="str">
        <f aca="false">IF((E272="v"),H272," ")</f>
        <v> </v>
      </c>
      <c r="AD272" s="46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46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46" t="str">
        <f aca="false">IF((E273="v"),H273," ")</f>
        <v> </v>
      </c>
      <c r="AD273" s="46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46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46" t="str">
        <f aca="false">IF((E274="v"),H274," ")</f>
        <v> </v>
      </c>
      <c r="AD274" s="46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46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46" t="str">
        <f aca="false">IF((E275="v"),H275," ")</f>
        <v> </v>
      </c>
      <c r="AD275" s="46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46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46" t="str">
        <f aca="false">IF((E276="v"),H276," ")</f>
        <v> </v>
      </c>
      <c r="AD276" s="46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46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46" t="str">
        <f aca="false">IF((E277="v"),H277," ")</f>
        <v> </v>
      </c>
      <c r="AD277" s="46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46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46" t="str">
        <f aca="false">IF((E278="v"),H278," ")</f>
        <v> </v>
      </c>
      <c r="AD278" s="46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46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46" t="str">
        <f aca="false">IF((E279="v"),H279," ")</f>
        <v> </v>
      </c>
      <c r="AD279" s="46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46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46" t="str">
        <f aca="false">IF((E280="v"),H280," ")</f>
        <v> </v>
      </c>
      <c r="AD280" s="46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46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46" t="str">
        <f aca="false">IF((E281="v"),H281," ")</f>
        <v> </v>
      </c>
      <c r="AD281" s="46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46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46" t="str">
        <f aca="false">IF((E282="v"),H282," ")</f>
        <v> </v>
      </c>
      <c r="AD282" s="46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46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46" t="str">
        <f aca="false">IF((E283="v"),H283," ")</f>
        <v> </v>
      </c>
      <c r="AD283" s="46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46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46" t="str">
        <f aca="false">IF((E284="v"),H284," ")</f>
        <v> </v>
      </c>
      <c r="AD284" s="46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46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46" t="str">
        <f aca="false">IF((E285="v"),H285," ")</f>
        <v> </v>
      </c>
      <c r="AD285" s="46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46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46" t="str">
        <f aca="false">IF((E286="v"),H286," ")</f>
        <v> </v>
      </c>
      <c r="AD286" s="46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46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46" t="str">
        <f aca="false">IF((E287="v"),H287," ")</f>
        <v> </v>
      </c>
      <c r="AD287" s="46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46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46" t="str">
        <f aca="false">IF((E288="v"),H288," ")</f>
        <v> </v>
      </c>
      <c r="AD288" s="46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46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46" t="str">
        <f aca="false">IF((E289="v"),H289," ")</f>
        <v> </v>
      </c>
      <c r="AD289" s="46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46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46" t="str">
        <f aca="false">IF((E290="v"),H290," ")</f>
        <v> </v>
      </c>
      <c r="AD290" s="46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46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46" t="str">
        <f aca="false">IF((E291="v"),H291," ")</f>
        <v> </v>
      </c>
      <c r="AD291" s="46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46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46" t="str">
        <f aca="false">IF((E292="v"),H292," ")</f>
        <v> </v>
      </c>
      <c r="AD292" s="46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46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46" t="str">
        <f aca="false">IF((E293="v"),H293," ")</f>
        <v> </v>
      </c>
      <c r="AD293" s="46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46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46" t="str">
        <f aca="false">IF((E294="v"),H294," ")</f>
        <v> </v>
      </c>
      <c r="AD294" s="46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46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46" t="str">
        <f aca="false">IF((E295="v"),H295," ")</f>
        <v> </v>
      </c>
      <c r="AD295" s="46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46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46" t="str">
        <f aca="false">IF((E296="v"),H296," ")</f>
        <v> </v>
      </c>
      <c r="AD296" s="46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46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46" t="str">
        <f aca="false">IF((E297="v"),H297," ")</f>
        <v> </v>
      </c>
      <c r="AD297" s="46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46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46" t="str">
        <f aca="false">IF((E298="v"),H298," ")</f>
        <v> </v>
      </c>
      <c r="AD298" s="46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46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46" t="str">
        <f aca="false">IF((E299="v"),H299," ")</f>
        <v> </v>
      </c>
      <c r="AD299" s="46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</row>
    <row r="300" customFormat="false" ht="12" hidden="false" customHeight="false" outlineLevel="0" collapsed="false">
      <c r="A300" s="31"/>
      <c r="B300" s="32"/>
      <c r="C300" s="33"/>
      <c r="D300" s="32"/>
      <c r="E300" s="47" t="str">
        <f aca="false">IF((F300&lt;&gt;0),"Enter Letter"," ")</f>
        <v> </v>
      </c>
      <c r="F300" s="48"/>
      <c r="G300" s="35" t="str">
        <f aca="false">IF(F300&lt;&gt;0,F300*G$2/(100+G$2)," ")</f>
        <v> </v>
      </c>
      <c r="H300" s="35" t="str">
        <f aca="false">IF((F300&lt;&gt;0),F300-G300," ")</f>
        <v> </v>
      </c>
      <c r="I300" s="49"/>
      <c r="J300" s="35"/>
      <c r="K300" s="35"/>
      <c r="L300" s="36" t="str">
        <f aca="false">IF(F300&lt;&gt;0,F300-K300," ")</f>
        <v> </v>
      </c>
      <c r="M300" s="37" t="str">
        <f aca="false">IF((F300-K300)&lt;&gt;0,M$1-A300," ")</f>
        <v> </v>
      </c>
      <c r="N300" s="49"/>
      <c r="O300" s="50" t="str">
        <f aca="false">IF((E300="s"),H300," ")</f>
        <v> </v>
      </c>
      <c r="P300" s="50" t="str">
        <f aca="false">IF((E300="c"),H300," ")</f>
        <v> </v>
      </c>
      <c r="Q300" s="50" t="str">
        <f aca="false">IF((E300="o"),H300," ")</f>
        <v> </v>
      </c>
      <c r="R300" s="50" t="str">
        <f aca="false">IF((E300="d"),H300," ")</f>
        <v> </v>
      </c>
      <c r="S300" s="50" t="str">
        <f aca="false">IF((E300="w"),H300," ")</f>
        <v> </v>
      </c>
      <c r="T300" s="50" t="str">
        <f aca="false">IF((E300="r"),H300," ")</f>
        <v> </v>
      </c>
      <c r="U300" s="50" t="str">
        <f aca="false">IF((E300="p"),H300," ")</f>
        <v> </v>
      </c>
      <c r="V300" s="50" t="str">
        <f aca="false">IF((E300="t"),H300," ")</f>
        <v> </v>
      </c>
      <c r="W300" s="50" t="str">
        <f aca="false">IF((E300="q"),H300," ")</f>
        <v> </v>
      </c>
      <c r="X300" s="50" t="str">
        <f aca="false">IF((E300="m"),H300," ")</f>
        <v> </v>
      </c>
      <c r="Y300" s="50" t="str">
        <f aca="false">IF((E300="u"),H300," ")</f>
        <v> </v>
      </c>
      <c r="Z300" s="50" t="str">
        <f aca="false">IF((E300="a"),H300," ")</f>
        <v> </v>
      </c>
      <c r="AA300" s="50" t="str">
        <f aca="false">IF((E300="g"),H300," ")</f>
        <v> </v>
      </c>
      <c r="AB300" s="50" t="str">
        <f aca="false">IF((E300="h"),H300," ")</f>
        <v> </v>
      </c>
      <c r="AC300" s="48" t="str">
        <f aca="false">IF((E300="v"),H300," ")</f>
        <v> </v>
      </c>
      <c r="AD300" s="48" t="str">
        <f aca="false">IF((E300="n"),H300," ")</f>
        <v> </v>
      </c>
      <c r="AE300" s="50" t="str">
        <f aca="false">IF((E300="f"),H300," ")</f>
        <v> </v>
      </c>
      <c r="AF300" s="50" t="str">
        <f aca="false">IF((E300="l"),H300," ")</f>
        <v> </v>
      </c>
      <c r="AG300" s="50" t="str">
        <f aca="false">IF((E300="y"),H300," ")</f>
        <v> </v>
      </c>
      <c r="AH300" s="50" t="str">
        <f aca="false">IF((E300="z"),H300," ")</f>
        <v> </v>
      </c>
      <c r="AI300" s="50" t="str">
        <f aca="false">IF((E300="fa"),H300," ")</f>
        <v> </v>
      </c>
      <c r="AJ300" s="50"/>
      <c r="AK300" s="50"/>
      <c r="AL300" s="50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8" width="10.5"/>
    <col collapsed="false" customWidth="true" hidden="false" outlineLevel="0" max="35" min="31" style="17" width="10.5"/>
    <col collapsed="false" customWidth="true" hidden="false" outlineLevel="0" max="36" min="36" style="17" width="0.82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s="17" customFormat="true" ht="12.75" hidden="false" customHeight="true" outlineLevel="0" collapsed="false">
      <c r="A1" s="39" t="n">
        <f aca="false">F1-G1-SUM(O1:AI1)</f>
        <v>0</v>
      </c>
      <c r="B1" s="40" t="s">
        <v>22</v>
      </c>
      <c r="C1" s="20" t="s">
        <v>5</v>
      </c>
      <c r="D1" s="41" t="s">
        <v>23</v>
      </c>
      <c r="E1" s="41"/>
      <c r="F1" s="12" t="n">
        <f aca="false">SUM(F5:F300)</f>
        <v>4705.25</v>
      </c>
      <c r="G1" s="12" t="n">
        <f aca="false">SUM(G5:G300)</f>
        <v>0</v>
      </c>
      <c r="H1" s="12" t="n">
        <f aca="false">SUM(H5:H300)</f>
        <v>4705.25</v>
      </c>
      <c r="I1" s="13"/>
      <c r="J1" s="14" t="s">
        <v>2</v>
      </c>
      <c r="K1" s="15" t="n">
        <f aca="false">SUM(K5:K300)</f>
        <v>0</v>
      </c>
      <c r="L1" s="15" t="n">
        <f aca="false">SUM(L5:L300)</f>
        <v>4705.25</v>
      </c>
      <c r="M1" s="16" t="n">
        <f aca="true">TODAY()</f>
        <v>46137</v>
      </c>
      <c r="N1" s="13"/>
      <c r="O1" s="12" t="n">
        <f aca="false">SUM(O5:O300)</f>
        <v>540</v>
      </c>
      <c r="P1" s="12" t="n">
        <f aca="false">SUM(P5:P300)</f>
        <v>0</v>
      </c>
      <c r="Q1" s="12" t="n">
        <f aca="false">SUM(Q5:Q300)</f>
        <v>285</v>
      </c>
      <c r="R1" s="12" t="n">
        <f aca="false">SUM(R5:R300)</f>
        <v>0</v>
      </c>
      <c r="S1" s="12" t="n">
        <f aca="false">SUM(S5:S300)</f>
        <v>800</v>
      </c>
      <c r="T1" s="12" t="n">
        <f aca="false">SUM(T5:T300)</f>
        <v>1200</v>
      </c>
      <c r="U1" s="12" t="n">
        <f aca="false">SUM(U5:U300)</f>
        <v>0</v>
      </c>
      <c r="V1" s="12" t="n">
        <f aca="false">SUM(V5:V300)</f>
        <v>0</v>
      </c>
      <c r="W1" s="12" t="n">
        <f aca="false">SUM(W5:W300)</f>
        <v>0</v>
      </c>
      <c r="X1" s="12" t="n">
        <f aca="false">SUM(X5:X300)</f>
        <v>240</v>
      </c>
      <c r="Y1" s="12" t="n">
        <f aca="false">SUM(Y5:Y300)</f>
        <v>163</v>
      </c>
      <c r="Z1" s="12" t="n">
        <f aca="false">SUM(Z5:Z300)</f>
        <v>0</v>
      </c>
      <c r="AA1" s="12" t="n">
        <f aca="false">SUM(AA5:AA300)</f>
        <v>135</v>
      </c>
      <c r="AB1" s="12" t="n">
        <f aca="false">SUM(AB5:AB300)</f>
        <v>140</v>
      </c>
      <c r="AC1" s="12" t="n">
        <f aca="false">SUM(AC5:AC300)</f>
        <v>602.25</v>
      </c>
      <c r="AD1" s="12" t="n">
        <f aca="false">SUM(AD5:AD300)</f>
        <v>0</v>
      </c>
      <c r="AE1" s="12" t="n">
        <f aca="false">SUM(AE5:AE300)</f>
        <v>0</v>
      </c>
      <c r="AF1" s="12" t="n">
        <f aca="false">SUM(AF5:AF300)</f>
        <v>600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0</v>
      </c>
      <c r="AJ1" s="42"/>
      <c r="AK1" s="12" t="n">
        <f aca="false">SUM(AK5:AK300)</f>
        <v>0</v>
      </c>
      <c r="AL1" s="43"/>
    </row>
    <row r="2" s="17" customFormat="tru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IF([2]Oct!$G$4&gt;0,0,[2]Oct!$G$2)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42"/>
      <c r="AK2" s="19" t="s">
        <v>43</v>
      </c>
      <c r="AL2" s="19"/>
    </row>
    <row r="3" s="26" customFormat="tru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44</v>
      </c>
      <c r="P3" s="21" t="s">
        <v>45</v>
      </c>
      <c r="Q3" s="21" t="s">
        <v>46</v>
      </c>
      <c r="R3" s="19"/>
      <c r="S3" s="19"/>
      <c r="T3" s="21" t="s">
        <v>47</v>
      </c>
      <c r="U3" s="21" t="s">
        <v>48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42"/>
      <c r="AK3" s="19" t="s">
        <v>49</v>
      </c>
      <c r="AL3" s="19"/>
    </row>
    <row r="4" s="27" customFormat="tru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50</v>
      </c>
      <c r="P4" s="44" t="s">
        <v>51</v>
      </c>
      <c r="Q4" s="44" t="s">
        <v>52</v>
      </c>
      <c r="R4" s="44" t="s">
        <v>53</v>
      </c>
      <c r="S4" s="44" t="s">
        <v>54</v>
      </c>
      <c r="T4" s="44" t="s">
        <v>55</v>
      </c>
      <c r="U4" s="44" t="s">
        <v>56</v>
      </c>
      <c r="V4" s="44" t="s">
        <v>57</v>
      </c>
      <c r="W4" s="44" t="s">
        <v>58</v>
      </c>
      <c r="X4" s="44" t="s">
        <v>59</v>
      </c>
      <c r="Y4" s="44" t="s">
        <v>60</v>
      </c>
      <c r="Z4" s="44" t="s">
        <v>61</v>
      </c>
      <c r="AA4" s="44" t="s">
        <v>62</v>
      </c>
      <c r="AB4" s="44" t="s">
        <v>63</v>
      </c>
      <c r="AC4" s="45" t="s">
        <v>64</v>
      </c>
      <c r="AD4" s="45" t="s">
        <v>65</v>
      </c>
      <c r="AE4" s="44" t="s">
        <v>66</v>
      </c>
      <c r="AF4" s="44" t="s">
        <v>67</v>
      </c>
      <c r="AG4" s="44" t="s">
        <v>68</v>
      </c>
      <c r="AH4" s="44" t="s">
        <v>69</v>
      </c>
      <c r="AI4" s="44" t="s">
        <v>70</v>
      </c>
      <c r="AJ4" s="42"/>
      <c r="AK4" s="19" t="s">
        <v>71</v>
      </c>
      <c r="AL4" s="19" t="s">
        <v>72</v>
      </c>
    </row>
    <row r="5" s="5" customFormat="true" ht="12" hidden="false" customHeight="false" outlineLevel="0" collapsed="false">
      <c r="A5" s="28" t="n">
        <v>45931</v>
      </c>
      <c r="B5" s="5" t="s">
        <v>16</v>
      </c>
      <c r="E5" s="5" t="s">
        <v>110</v>
      </c>
      <c r="F5" s="46" t="n">
        <v>300</v>
      </c>
      <c r="H5" s="6" t="n">
        <f aca="false">IF((F5&lt;&gt;0),F5-G5," ")</f>
        <v>300</v>
      </c>
      <c r="J5" s="6"/>
      <c r="K5" s="6"/>
      <c r="L5" s="7" t="n">
        <f aca="false">IF(F5&lt;&gt;0,F5-K5," ")</f>
        <v>300</v>
      </c>
      <c r="M5" s="8" t="n">
        <f aca="false">IF((F5-K5)&lt;&gt;0,M$1-A5," ")</f>
        <v>206</v>
      </c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str">
        <f aca="false">IF((E5="r"),H5," ")</f>
        <v> 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46" t="str">
        <f aca="false">IF((E5="v"),H5," ")</f>
        <v> </v>
      </c>
      <c r="AD5" s="46" t="str">
        <f aca="false">IF((E5="n"),H5," ")</f>
        <v> </v>
      </c>
      <c r="AE5" s="17" t="str">
        <f aca="false">IF((E5="f"),H5," ")</f>
        <v> </v>
      </c>
      <c r="AF5" s="17" t="n">
        <f aca="false">IF((E5="l"),H5," ")</f>
        <v>300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/>
      <c r="AK5" s="17"/>
      <c r="AL5" s="17"/>
    </row>
    <row r="6" customFormat="false" ht="12" hidden="false" customHeight="false" outlineLevel="0" collapsed="false">
      <c r="A6" s="28" t="n">
        <v>45931</v>
      </c>
      <c r="B6" s="2" t="s">
        <v>14</v>
      </c>
      <c r="E6" s="5" t="s">
        <v>73</v>
      </c>
      <c r="F6" s="46" t="n">
        <v>1200</v>
      </c>
      <c r="H6" s="6" t="n">
        <f aca="false">IF((F6&lt;&gt;0),F6-G6," ")</f>
        <v>1200</v>
      </c>
      <c r="I6" s="5"/>
      <c r="L6" s="7" t="n">
        <f aca="false">IF(F6&lt;&gt;0,F6-K6," ")</f>
        <v>1200</v>
      </c>
      <c r="M6" s="8" t="n">
        <f aca="false">IF((F6-K6)&lt;&gt;0,M$1-A6," ")</f>
        <v>206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n">
        <f aca="false">IF((E6="r"),H6," ")</f>
        <v>1200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str">
        <f aca="false">IF((E6="g"),H6," ")</f>
        <v> </v>
      </c>
      <c r="AB6" s="17" t="str">
        <f aca="false">IF((E6="h"),H6," ")</f>
        <v> </v>
      </c>
      <c r="AC6" s="46" t="str">
        <f aca="false">IF((E6="v"),H6," ")</f>
        <v> </v>
      </c>
      <c r="AD6" s="46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</row>
    <row r="7" customFormat="false" ht="12" hidden="false" customHeight="false" outlineLevel="0" collapsed="false">
      <c r="A7" s="28" t="n">
        <v>45931</v>
      </c>
      <c r="B7" s="2" t="s">
        <v>74</v>
      </c>
      <c r="E7" s="5" t="s">
        <v>75</v>
      </c>
      <c r="F7" s="46" t="n">
        <v>30</v>
      </c>
      <c r="H7" s="6" t="n">
        <f aca="false">IF((F7&lt;&gt;0),F7-G7," ")</f>
        <v>30</v>
      </c>
      <c r="I7" s="5"/>
      <c r="L7" s="7" t="n">
        <f aca="false">IF(F7&lt;&gt;0,F7-K7," ")</f>
        <v>30</v>
      </c>
      <c r="M7" s="8" t="n">
        <f aca="false">IF((F7-K7)&lt;&gt;0,M$1-A7," ")</f>
        <v>206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30</v>
      </c>
      <c r="AB7" s="17" t="str">
        <f aca="false">IF((E7="h"),H7," ")</f>
        <v> </v>
      </c>
      <c r="AC7" s="46" t="str">
        <f aca="false">IF((E7="v"),H7," ")</f>
        <v> </v>
      </c>
      <c r="AD7" s="46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</row>
    <row r="8" customFormat="false" ht="12" hidden="false" customHeight="false" outlineLevel="0" collapsed="false">
      <c r="A8" s="28" t="n">
        <v>45931</v>
      </c>
      <c r="B8" s="2" t="s">
        <v>76</v>
      </c>
      <c r="E8" s="5" t="s">
        <v>75</v>
      </c>
      <c r="F8" s="46" t="n">
        <v>15</v>
      </c>
      <c r="H8" s="6" t="n">
        <f aca="false">IF((F8&lt;&gt;0),F8-G8," ")</f>
        <v>15</v>
      </c>
      <c r="I8" s="5"/>
      <c r="L8" s="7" t="n">
        <f aca="false">IF(F8&lt;&gt;0,F8-K8," ")</f>
        <v>15</v>
      </c>
      <c r="M8" s="8" t="n">
        <f aca="false">IF((F8-K8)&lt;&gt;0,M$1-A8," ")</f>
        <v>206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str">
        <f aca="false">IF((E8="o"),H8," ")</f>
        <v> 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n">
        <f aca="false">IF((E8="g"),H8," ")</f>
        <v>15</v>
      </c>
      <c r="AB8" s="17" t="str">
        <f aca="false">IF((E8="h"),H8," ")</f>
        <v> </v>
      </c>
      <c r="AC8" s="46" t="str">
        <f aca="false">IF((E8="v"),H8," ")</f>
        <v> </v>
      </c>
      <c r="AD8" s="46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</row>
    <row r="9" customFormat="false" ht="12" hidden="false" customHeight="false" outlineLevel="0" collapsed="false">
      <c r="A9" s="28" t="n">
        <v>45931</v>
      </c>
      <c r="B9" s="2" t="s">
        <v>77</v>
      </c>
      <c r="E9" s="5" t="s">
        <v>78</v>
      </c>
      <c r="F9" s="46" t="n">
        <v>45</v>
      </c>
      <c r="H9" s="6" t="n">
        <f aca="false">IF((F9&lt;&gt;0),F9-G9," ")</f>
        <v>45</v>
      </c>
      <c r="I9" s="5"/>
      <c r="L9" s="7" t="n">
        <f aca="false">IF(F9&lt;&gt;0,F9-K9," ")</f>
        <v>45</v>
      </c>
      <c r="M9" s="8" t="n">
        <f aca="false">IF((F9-K9)&lt;&gt;0,M$1-A9," ")</f>
        <v>206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n">
        <f aca="false">IF((E9="o"),H9," ")</f>
        <v>45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46" t="str">
        <f aca="false">IF((E9="v"),H9," ")</f>
        <v> </v>
      </c>
      <c r="AD9" s="46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</row>
    <row r="10" customFormat="false" ht="12" hidden="false" customHeight="false" outlineLevel="0" collapsed="false">
      <c r="A10" s="28" t="n">
        <v>45931</v>
      </c>
      <c r="B10" s="2" t="s">
        <v>81</v>
      </c>
      <c r="E10" s="5" t="s">
        <v>78</v>
      </c>
      <c r="F10" s="46" t="n">
        <v>24</v>
      </c>
      <c r="H10" s="6" t="n">
        <f aca="false">IF((F10&lt;&gt;0),F10-G10," ")</f>
        <v>24</v>
      </c>
      <c r="I10" s="5"/>
      <c r="L10" s="7" t="n">
        <f aca="false">IF(F10&lt;&gt;0,F10-K10," ")</f>
        <v>24</v>
      </c>
      <c r="M10" s="8" t="n">
        <f aca="false">IF((F10-K10)&lt;&gt;0,M$1-A10," ")</f>
        <v>206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n">
        <f aca="false">IF((E10="o"),H10," ")</f>
        <v>24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str">
        <f aca="false">IF((E10="g"),H10," ")</f>
        <v> </v>
      </c>
      <c r="AB10" s="17" t="str">
        <f aca="false">IF((E10="h"),H10," ")</f>
        <v> </v>
      </c>
      <c r="AC10" s="46" t="str">
        <f aca="false">IF((E10="v"),H10," ")</f>
        <v> </v>
      </c>
      <c r="AD10" s="46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</row>
    <row r="11" customFormat="false" ht="12" hidden="false" customHeight="false" outlineLevel="0" collapsed="false">
      <c r="A11" s="28" t="n">
        <v>45931</v>
      </c>
      <c r="B11" s="2" t="s">
        <v>82</v>
      </c>
      <c r="E11" s="5" t="s">
        <v>75</v>
      </c>
      <c r="F11" s="46" t="n">
        <v>18</v>
      </c>
      <c r="H11" s="6" t="n">
        <f aca="false">IF((F11&lt;&gt;0),F11-G11," ")</f>
        <v>18</v>
      </c>
      <c r="I11" s="5"/>
      <c r="L11" s="7" t="n">
        <f aca="false">IF(F11&lt;&gt;0,F11-K11," ")</f>
        <v>18</v>
      </c>
      <c r="M11" s="8" t="n">
        <f aca="false">IF((F11-K11)&lt;&gt;0,M$1-A11," ")</f>
        <v>206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str">
        <f aca="false">IF((E11="o"),H11," ")</f>
        <v> 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n">
        <f aca="false">IF((E11="g"),H11," ")</f>
        <v>18</v>
      </c>
      <c r="AB11" s="17" t="str">
        <f aca="false">IF((E11="h"),H11," ")</f>
        <v> </v>
      </c>
      <c r="AC11" s="46" t="str">
        <f aca="false">IF((E11="v"),H11," ")</f>
        <v> </v>
      </c>
      <c r="AD11" s="46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</row>
    <row r="12" customFormat="false" ht="12" hidden="false" customHeight="false" outlineLevel="0" collapsed="false">
      <c r="A12" s="28" t="n">
        <v>45933</v>
      </c>
      <c r="B12" s="2" t="s">
        <v>83</v>
      </c>
      <c r="E12" s="5" t="s">
        <v>78</v>
      </c>
      <c r="F12" s="46" t="n">
        <v>180</v>
      </c>
      <c r="H12" s="6" t="n">
        <f aca="false">IF((F12&lt;&gt;0),F12-G12," ")</f>
        <v>180</v>
      </c>
      <c r="I12" s="5"/>
      <c r="L12" s="7" t="n">
        <f aca="false">IF(F12&lt;&gt;0,F12-K12," ")</f>
        <v>180</v>
      </c>
      <c r="M12" s="8" t="n">
        <f aca="false">IF((F12-K12)&lt;&gt;0,M$1-A12," ")</f>
        <v>204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n">
        <f aca="false">IF((E12="o"),H12," ")</f>
        <v>180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str">
        <f aca="false">IF((E12="u"),H12," ")</f>
        <v> 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46" t="str">
        <f aca="false">IF((E12="v"),H12," ")</f>
        <v> </v>
      </c>
      <c r="AD12" s="46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</row>
    <row r="13" customFormat="false" ht="12" hidden="false" customHeight="false" outlineLevel="0" collapsed="false">
      <c r="A13" s="28" t="n">
        <v>45933</v>
      </c>
      <c r="B13" s="2" t="s">
        <v>84</v>
      </c>
      <c r="E13" s="5" t="s">
        <v>85</v>
      </c>
      <c r="F13" s="46" t="n">
        <v>22</v>
      </c>
      <c r="H13" s="6" t="n">
        <f aca="false">IF((F13&lt;&gt;0),F13-G13," ")</f>
        <v>22</v>
      </c>
      <c r="I13" s="5"/>
      <c r="L13" s="7" t="n">
        <f aca="false">IF(F13&lt;&gt;0,F13-K13," ")</f>
        <v>22</v>
      </c>
      <c r="M13" s="8" t="n">
        <f aca="false">IF((F13-K13)&lt;&gt;0,M$1-A13," ")</f>
        <v>204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22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46" t="str">
        <f aca="false">IF((E13="v"),H13," ")</f>
        <v> </v>
      </c>
      <c r="AD13" s="46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</row>
    <row r="14" customFormat="false" ht="12" hidden="false" customHeight="false" outlineLevel="0" collapsed="false">
      <c r="A14" s="28" t="n">
        <v>45935</v>
      </c>
      <c r="B14" s="2" t="s">
        <v>86</v>
      </c>
      <c r="E14" s="5" t="s">
        <v>85</v>
      </c>
      <c r="F14" s="46" t="n">
        <v>24</v>
      </c>
      <c r="H14" s="6" t="n">
        <f aca="false">IF((F14&lt;&gt;0),F14-G14," ")</f>
        <v>24</v>
      </c>
      <c r="I14" s="5"/>
      <c r="L14" s="7" t="n">
        <f aca="false">IF(F14&lt;&gt;0,F14-K14," ")</f>
        <v>24</v>
      </c>
      <c r="M14" s="8" t="n">
        <f aca="false">IF((F14-K14)&lt;&gt;0,M$1-A14," ")</f>
        <v>202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n">
        <f aca="false">IF((E14="u"),H14," ")</f>
        <v>24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46" t="str">
        <f aca="false">IF((E14="v"),H14," ")</f>
        <v> </v>
      </c>
      <c r="AD14" s="46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</row>
    <row r="15" customFormat="false" ht="12" hidden="false" customHeight="false" outlineLevel="0" collapsed="false">
      <c r="A15" s="28" t="n">
        <v>45935</v>
      </c>
      <c r="B15" s="2" t="s">
        <v>87</v>
      </c>
      <c r="E15" s="5" t="s">
        <v>88</v>
      </c>
      <c r="F15" s="46" t="n">
        <v>180</v>
      </c>
      <c r="H15" s="6" t="n">
        <f aca="false">IF((F15&lt;&gt;0),F15-G15," ")</f>
        <v>180</v>
      </c>
      <c r="I15" s="5"/>
      <c r="L15" s="7" t="n">
        <f aca="false">IF(F15&lt;&gt;0,F15-K15," ")</f>
        <v>180</v>
      </c>
      <c r="M15" s="8" t="n">
        <f aca="false">IF((F15-K15)&lt;&gt;0,M$1-A15," ")</f>
        <v>202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str">
        <f aca="false">IF((E15="o"),H15," ")</f>
        <v> 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str">
        <f aca="false">IF((E15="h"),H15," ")</f>
        <v> </v>
      </c>
      <c r="AC15" s="46" t="n">
        <f aca="false">IF((E15="v"),H15," ")</f>
        <v>180</v>
      </c>
      <c r="AD15" s="46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</row>
    <row r="16" customFormat="false" ht="12" hidden="false" customHeight="false" outlineLevel="0" collapsed="false">
      <c r="A16" s="28" t="n">
        <v>45935</v>
      </c>
      <c r="B16" s="2" t="s">
        <v>89</v>
      </c>
      <c r="E16" s="5" t="s">
        <v>78</v>
      </c>
      <c r="F16" s="46" t="n">
        <v>36</v>
      </c>
      <c r="H16" s="6" t="n">
        <f aca="false">IF((F16&lt;&gt;0),F16-G16," ")</f>
        <v>36</v>
      </c>
      <c r="I16" s="5"/>
      <c r="L16" s="7" t="n">
        <f aca="false">IF(F16&lt;&gt;0,F16-K16," ")</f>
        <v>36</v>
      </c>
      <c r="M16" s="8" t="n">
        <f aca="false">IF((F16-K16)&lt;&gt;0,M$1-A16," ")</f>
        <v>202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n">
        <f aca="false">IF((E16="o"),H16," ")</f>
        <v>36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str">
        <f aca="false">IF((E16="h"),H16," ")</f>
        <v> </v>
      </c>
      <c r="AC16" s="46" t="str">
        <f aca="false">IF((E16="v"),H16," ")</f>
        <v> </v>
      </c>
      <c r="AD16" s="46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</row>
    <row r="17" customFormat="false" ht="12" hidden="false" customHeight="false" outlineLevel="0" collapsed="false">
      <c r="A17" s="28" t="n">
        <v>45936</v>
      </c>
      <c r="B17" s="2" t="s">
        <v>111</v>
      </c>
      <c r="E17" s="5" t="s">
        <v>91</v>
      </c>
      <c r="F17" s="46" t="n">
        <v>48</v>
      </c>
      <c r="H17" s="6" t="n">
        <f aca="false">IF((F17&lt;&gt;0),F17-G17," ")</f>
        <v>48</v>
      </c>
      <c r="I17" s="5"/>
      <c r="L17" s="7" t="n">
        <f aca="false">IF(F17&lt;&gt;0,F17-K17," ")</f>
        <v>48</v>
      </c>
      <c r="M17" s="8" t="n">
        <f aca="false">IF((F17-K17)&lt;&gt;0,M$1-A17," ")</f>
        <v>201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str">
        <f aca="false">IF((E17="u"),H17," ")</f>
        <v> </v>
      </c>
      <c r="Z17" s="17" t="str">
        <f aca="false">IF((E17="a"),H17," ")</f>
        <v> </v>
      </c>
      <c r="AA17" s="17" t="str">
        <f aca="false">IF((E17="g"),H17," ")</f>
        <v> </v>
      </c>
      <c r="AB17" s="17" t="n">
        <f aca="false">IF((E17="h"),H17," ")</f>
        <v>48</v>
      </c>
      <c r="AC17" s="46" t="str">
        <f aca="false">IF((E17="v"),H17," ")</f>
        <v> </v>
      </c>
      <c r="AD17" s="46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</row>
    <row r="18" customFormat="false" ht="12" hidden="false" customHeight="false" outlineLevel="0" collapsed="false">
      <c r="A18" s="28" t="n">
        <v>45938</v>
      </c>
      <c r="B18" s="2" t="s">
        <v>90</v>
      </c>
      <c r="E18" s="5" t="s">
        <v>91</v>
      </c>
      <c r="F18" s="46" t="n">
        <v>48</v>
      </c>
      <c r="H18" s="6" t="n">
        <f aca="false">IF((F18&lt;&gt;0),F18-G18," ")</f>
        <v>48</v>
      </c>
      <c r="I18" s="5"/>
      <c r="L18" s="7" t="n">
        <f aca="false">IF(F18&lt;&gt;0,F18-K18," ")</f>
        <v>48</v>
      </c>
      <c r="M18" s="8" t="n">
        <f aca="false">IF((F18-K18)&lt;&gt;0,M$1-A18," ")</f>
        <v>199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str">
        <f aca="false">IF((E18="u"),H18," ")</f>
        <v> </v>
      </c>
      <c r="Z18" s="17" t="str">
        <f aca="false">IF((E18="a"),H18," ")</f>
        <v> </v>
      </c>
      <c r="AA18" s="17" t="str">
        <f aca="false">IF((E18="g"),H18," ")</f>
        <v> </v>
      </c>
      <c r="AB18" s="17" t="n">
        <f aca="false">IF((E18="h"),H18," ")</f>
        <v>48</v>
      </c>
      <c r="AC18" s="46" t="str">
        <f aca="false">IF((E18="v"),H18," ")</f>
        <v> </v>
      </c>
      <c r="AD18" s="46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</row>
    <row r="19" customFormat="false" ht="12" hidden="false" customHeight="false" outlineLevel="0" collapsed="false">
      <c r="A19" s="28" t="n">
        <v>45940</v>
      </c>
      <c r="B19" s="2" t="s">
        <v>92</v>
      </c>
      <c r="E19" s="5" t="s">
        <v>85</v>
      </c>
      <c r="F19" s="46" t="n">
        <v>36</v>
      </c>
      <c r="H19" s="6" t="n">
        <f aca="false">IF((F19&lt;&gt;0),F19-G19," ")</f>
        <v>36</v>
      </c>
      <c r="I19" s="5"/>
      <c r="L19" s="7" t="n">
        <f aca="false">IF(F19&lt;&gt;0,F19-K19," ")</f>
        <v>36</v>
      </c>
      <c r="M19" s="8" t="n">
        <f aca="false">IF((F19-K19)&lt;&gt;0,M$1-A19," ")</f>
        <v>197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n">
        <f aca="false">IF((E19="u"),H19," ")</f>
        <v>36</v>
      </c>
      <c r="Z19" s="17" t="str">
        <f aca="false">IF((E19="a"),H19," ")</f>
        <v> </v>
      </c>
      <c r="AA19" s="17" t="str">
        <f aca="false">IF((E19="g"),H19," ")</f>
        <v> </v>
      </c>
      <c r="AB19" s="17" t="str">
        <f aca="false">IF((E19="h"),H19," ")</f>
        <v> </v>
      </c>
      <c r="AC19" s="46" t="str">
        <f aca="false">IF((E19="v"),H19," ")</f>
        <v> </v>
      </c>
      <c r="AD19" s="46" t="str">
        <f aca="false">IF((E19="n"),H19," ")</f>
        <v> </v>
      </c>
      <c r="AE19" s="17" t="str">
        <f aca="false">IF((E19="f"),H19," ")</f>
        <v> 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</row>
    <row r="20" customFormat="false" ht="12" hidden="false" customHeight="false" outlineLevel="0" collapsed="false">
      <c r="A20" s="28" t="n">
        <v>45942</v>
      </c>
      <c r="B20" s="2" t="s">
        <v>97</v>
      </c>
      <c r="E20" s="5" t="s">
        <v>88</v>
      </c>
      <c r="F20" s="46" t="n">
        <v>18</v>
      </c>
      <c r="H20" s="6" t="n">
        <f aca="false">IF((F20&lt;&gt;0),F20-G20," ")</f>
        <v>18</v>
      </c>
      <c r="I20" s="5"/>
      <c r="L20" s="7" t="n">
        <f aca="false">IF(F20&lt;&gt;0,F20-K20," ")</f>
        <v>18</v>
      </c>
      <c r="M20" s="8" t="n">
        <f aca="false">IF((F20-K20)&lt;&gt;0,M$1-A20," ")</f>
        <v>195</v>
      </c>
      <c r="N20" s="5"/>
      <c r="O20" s="17" t="str">
        <f aca="false">IF((E20="s"),H20," ")</f>
        <v> 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46" t="n">
        <f aca="false">IF((E20="v"),H20," ")</f>
        <v>18</v>
      </c>
      <c r="AD20" s="46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</row>
    <row r="21" customFormat="false" ht="12" hidden="false" customHeight="false" outlineLevel="0" collapsed="false">
      <c r="A21" s="28" t="n">
        <v>45944</v>
      </c>
      <c r="B21" s="2" t="s">
        <v>98</v>
      </c>
      <c r="E21" s="5" t="s">
        <v>85</v>
      </c>
      <c r="F21" s="46" t="n">
        <v>48</v>
      </c>
      <c r="H21" s="6" t="n">
        <f aca="false">IF((F21&lt;&gt;0),F21-G21," ")</f>
        <v>48</v>
      </c>
      <c r="I21" s="5"/>
      <c r="L21" s="7" t="n">
        <f aca="false">IF(F21&lt;&gt;0,F21-K21," ")</f>
        <v>48</v>
      </c>
      <c r="M21" s="8" t="n">
        <f aca="false">IF((F21-K21)&lt;&gt;0,M$1-A21," ")</f>
        <v>193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n">
        <f aca="false">IF((E21="u"),H21," ")</f>
        <v>48</v>
      </c>
      <c r="Z21" s="17" t="str">
        <f aca="false">IF((E21="a"),H21," ")</f>
        <v> </v>
      </c>
      <c r="AA21" s="17" t="str">
        <f aca="false">IF((E21="g"),H21," ")</f>
        <v> </v>
      </c>
      <c r="AB21" s="17" t="str">
        <f aca="false">IF((E21="h"),H21," ")</f>
        <v> </v>
      </c>
      <c r="AC21" s="46" t="str">
        <f aca="false">IF((E21="v"),H21," ")</f>
        <v> </v>
      </c>
      <c r="AD21" s="46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</row>
    <row r="22" customFormat="false" ht="12" hidden="false" customHeight="false" outlineLevel="0" collapsed="false">
      <c r="A22" s="28" t="n">
        <v>45944</v>
      </c>
      <c r="B22" s="2" t="s">
        <v>99</v>
      </c>
      <c r="E22" s="5" t="s">
        <v>91</v>
      </c>
      <c r="F22" s="46" t="n">
        <v>24</v>
      </c>
      <c r="H22" s="6" t="n">
        <f aca="false">IF((F22&lt;&gt;0),F22-G22," ")</f>
        <v>24</v>
      </c>
      <c r="I22" s="5"/>
      <c r="L22" s="7" t="n">
        <f aca="false">IF(F22&lt;&gt;0,F22-K22," ")</f>
        <v>24</v>
      </c>
      <c r="M22" s="8" t="n">
        <f aca="false">IF((F22-K22)&lt;&gt;0,M$1-A22," ")</f>
        <v>193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n">
        <f aca="false">IF((E22="h"),H22," ")</f>
        <v>24</v>
      </c>
      <c r="AC22" s="46" t="str">
        <f aca="false">IF((E22="v"),H22," ")</f>
        <v> </v>
      </c>
      <c r="AD22" s="46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</row>
    <row r="23" customFormat="false" ht="12" hidden="false" customHeight="false" outlineLevel="0" collapsed="false">
      <c r="A23" s="28" t="n">
        <v>45944</v>
      </c>
      <c r="B23" s="2" t="s">
        <v>100</v>
      </c>
      <c r="E23" s="5" t="s">
        <v>91</v>
      </c>
      <c r="F23" s="46" t="n">
        <v>12</v>
      </c>
      <c r="H23" s="6" t="n">
        <f aca="false">IF((F23&lt;&gt;0),F23-G23," ")</f>
        <v>12</v>
      </c>
      <c r="I23" s="5"/>
      <c r="L23" s="7" t="n">
        <f aca="false">IF(F23&lt;&gt;0,F23-K23," ")</f>
        <v>12</v>
      </c>
      <c r="M23" s="8" t="n">
        <f aca="false">IF((F23-K23)&lt;&gt;0,M$1-A23," ")</f>
        <v>193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n">
        <f aca="false">IF((E23="h"),H23," ")</f>
        <v>12</v>
      </c>
      <c r="AC23" s="46" t="str">
        <f aca="false">IF((E23="v"),H23," ")</f>
        <v> </v>
      </c>
      <c r="AD23" s="46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</row>
    <row r="24" customFormat="false" ht="12" hidden="false" customHeight="false" outlineLevel="0" collapsed="false">
      <c r="A24" s="28" t="n">
        <v>45945</v>
      </c>
      <c r="B24" s="2" t="s">
        <v>20</v>
      </c>
      <c r="E24" s="5" t="s">
        <v>88</v>
      </c>
      <c r="F24" s="46" t="n">
        <v>150</v>
      </c>
      <c r="H24" s="6" t="n">
        <f aca="false">IF((F24&lt;&gt;0),F24-G24," ")</f>
        <v>150</v>
      </c>
      <c r="I24" s="5"/>
      <c r="L24" s="7" t="n">
        <f aca="false">IF(F24&lt;&gt;0,F24-K24," ")</f>
        <v>150</v>
      </c>
      <c r="M24" s="8" t="n">
        <f aca="false">IF((F24-K24)&lt;&gt;0,M$1-A24," ")</f>
        <v>192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str">
        <f aca="false">IF((E24="g"),H24," ")</f>
        <v> </v>
      </c>
      <c r="AB24" s="17" t="str">
        <f aca="false">IF((E24="h"),H24," ")</f>
        <v> </v>
      </c>
      <c r="AC24" s="46" t="n">
        <f aca="false">IF((E24="v"),H24," ")</f>
        <v>150</v>
      </c>
      <c r="AD24" s="46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</row>
    <row r="25" customFormat="false" ht="12" hidden="false" customHeight="false" outlineLevel="0" collapsed="false">
      <c r="A25" s="28" t="n">
        <v>45945</v>
      </c>
      <c r="B25" s="2" t="s">
        <v>101</v>
      </c>
      <c r="E25" s="5" t="s">
        <v>75</v>
      </c>
      <c r="F25" s="46" t="n">
        <v>12</v>
      </c>
      <c r="H25" s="6" t="n">
        <f aca="false">IF((F25&lt;&gt;0),F25-G25," ")</f>
        <v>12</v>
      </c>
      <c r="I25" s="5"/>
      <c r="L25" s="7" t="n">
        <f aca="false">IF(F25&lt;&gt;0,F25-K25," ")</f>
        <v>12</v>
      </c>
      <c r="M25" s="8" t="n">
        <f aca="false">IF((F25-K25)&lt;&gt;0,M$1-A25," ")</f>
        <v>192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n">
        <f aca="false">IF((E25="g"),H25," ")</f>
        <v>12</v>
      </c>
      <c r="AB25" s="17" t="str">
        <f aca="false">IF((E25="h"),H25," ")</f>
        <v> </v>
      </c>
      <c r="AC25" s="46" t="str">
        <f aca="false">IF((E25="v"),H25," ")</f>
        <v> </v>
      </c>
      <c r="AD25" s="46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</row>
    <row r="26" customFormat="false" ht="12" hidden="false" customHeight="false" outlineLevel="0" collapsed="false">
      <c r="A26" s="28" t="n">
        <v>45945</v>
      </c>
      <c r="B26" s="2" t="s">
        <v>116</v>
      </c>
      <c r="E26" s="5" t="s">
        <v>96</v>
      </c>
      <c r="F26" s="46" t="n">
        <v>360</v>
      </c>
      <c r="H26" s="6" t="n">
        <f aca="false">IF((F26&lt;&gt;0),F26-G26," ")</f>
        <v>360</v>
      </c>
      <c r="I26" s="5"/>
      <c r="L26" s="7" t="n">
        <f aca="false">IF(F26&lt;&gt;0,F26-K26," ")</f>
        <v>360</v>
      </c>
      <c r="M26" s="8" t="n">
        <f aca="false">IF((F26-K26)&lt;&gt;0,M$1-A26," ")</f>
        <v>192</v>
      </c>
      <c r="N26" s="5"/>
      <c r="O26" s="17" t="n">
        <f aca="false">IF((E26="s"),H26," ")</f>
        <v>360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str">
        <f aca="false">IF((E26="g"),H26," ")</f>
        <v> </v>
      </c>
      <c r="AB26" s="17" t="str">
        <f aca="false">IF((E26="h"),H26," ")</f>
        <v> </v>
      </c>
      <c r="AC26" s="46" t="str">
        <f aca="false">IF((E26="v"),H26," ")</f>
        <v> </v>
      </c>
      <c r="AD26" s="46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</row>
    <row r="27" customFormat="false" ht="12" hidden="false" customHeight="false" outlineLevel="0" collapsed="false">
      <c r="A27" s="28" t="n">
        <v>45948</v>
      </c>
      <c r="B27" s="2" t="s">
        <v>138</v>
      </c>
      <c r="E27" s="5" t="s">
        <v>105</v>
      </c>
      <c r="F27" s="46" t="n">
        <v>240</v>
      </c>
      <c r="H27" s="6" t="n">
        <f aca="false">IF((F27&lt;&gt;0),F27-G27," ")</f>
        <v>240</v>
      </c>
      <c r="I27" s="5"/>
      <c r="L27" s="7" t="n">
        <f aca="false">IF(F27&lt;&gt;0,F27-K27," ")</f>
        <v>240</v>
      </c>
      <c r="M27" s="8" t="n">
        <f aca="false">IF((F27-K27)&lt;&gt;0,M$1-A27," ")</f>
        <v>189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n">
        <f aca="false">IF((E27="m"),H27," ")</f>
        <v>240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str">
        <f aca="false">IF((E27="h"),H27," ")</f>
        <v> </v>
      </c>
      <c r="AC27" s="46" t="str">
        <f aca="false">IF((E27="v"),H27," ")</f>
        <v> </v>
      </c>
      <c r="AD27" s="46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</row>
    <row r="28" customFormat="false" ht="12" hidden="false" customHeight="false" outlineLevel="0" collapsed="false">
      <c r="A28" s="28" t="n">
        <v>45948</v>
      </c>
      <c r="B28" s="2" t="s">
        <v>102</v>
      </c>
      <c r="E28" s="5" t="s">
        <v>88</v>
      </c>
      <c r="F28" s="46" t="n">
        <v>96</v>
      </c>
      <c r="H28" s="6" t="n">
        <f aca="false">IF((F28&lt;&gt;0),F28-G28," ")</f>
        <v>96</v>
      </c>
      <c r="I28" s="5"/>
      <c r="L28" s="7" t="n">
        <f aca="false">IF(F28&lt;&gt;0,F28-K28," ")</f>
        <v>96</v>
      </c>
      <c r="M28" s="8" t="n">
        <f aca="false">IF((F28-K28)&lt;&gt;0,M$1-A28," ")</f>
        <v>189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str">
        <f aca="false">IF((E28="g"),H28," ")</f>
        <v> </v>
      </c>
      <c r="AB28" s="17" t="str">
        <f aca="false">IF((E28="h"),H28," ")</f>
        <v> </v>
      </c>
      <c r="AC28" s="46" t="n">
        <f aca="false">IF((E28="v"),H28," ")</f>
        <v>96</v>
      </c>
      <c r="AD28" s="46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</row>
    <row r="29" customFormat="false" ht="12" hidden="false" customHeight="false" outlineLevel="0" collapsed="false">
      <c r="A29" s="28" t="n">
        <v>45950</v>
      </c>
      <c r="B29" s="2" t="s">
        <v>103</v>
      </c>
      <c r="E29" s="5" t="s">
        <v>75</v>
      </c>
      <c r="F29" s="46" t="n">
        <v>60</v>
      </c>
      <c r="H29" s="6" t="n">
        <f aca="false">IF((F29&lt;&gt;0),F29-G29," ")</f>
        <v>60</v>
      </c>
      <c r="I29" s="5"/>
      <c r="L29" s="7" t="n">
        <f aca="false">IF(F29&lt;&gt;0,F29-K29," ")</f>
        <v>60</v>
      </c>
      <c r="M29" s="8" t="n">
        <f aca="false">IF((F29-K29)&lt;&gt;0,M$1-A29," ")</f>
        <v>187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n">
        <f aca="false">IF((E29="g"),H29," ")</f>
        <v>60</v>
      </c>
      <c r="AB29" s="17" t="str">
        <f aca="false">IF((E29="h"),H29," ")</f>
        <v> </v>
      </c>
      <c r="AC29" s="46" t="str">
        <f aca="false">IF((E29="v"),H29," ")</f>
        <v> </v>
      </c>
      <c r="AD29" s="46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</row>
    <row r="30" customFormat="false" ht="12" hidden="false" customHeight="false" outlineLevel="0" collapsed="false">
      <c r="A30" s="28" t="n">
        <v>45950</v>
      </c>
      <c r="B30" s="2" t="s">
        <v>139</v>
      </c>
      <c r="E30" s="5" t="s">
        <v>140</v>
      </c>
      <c r="F30" s="46" t="n">
        <v>800</v>
      </c>
      <c r="H30" s="6" t="n">
        <f aca="false">IF((F30&lt;&gt;0),F30-G30," ")</f>
        <v>800</v>
      </c>
      <c r="I30" s="5"/>
      <c r="L30" s="7" t="n">
        <f aca="false">IF(F30&lt;&gt;0,F30-K30," ")</f>
        <v>800</v>
      </c>
      <c r="M30" s="8" t="n">
        <f aca="false">IF((F30-K30)&lt;&gt;0,M$1-A30," ")</f>
        <v>187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n">
        <f aca="false">IF((E30="w"),H30," ")</f>
        <v>800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str">
        <f aca="false">IF((E30="g"),H30," ")</f>
        <v> </v>
      </c>
      <c r="AB30" s="17" t="str">
        <f aca="false">IF((E30="h"),H30," ")</f>
        <v> </v>
      </c>
      <c r="AC30" s="46" t="str">
        <f aca="false">IF((E30="v"),H30," ")</f>
        <v> </v>
      </c>
      <c r="AD30" s="46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</row>
    <row r="31" customFormat="false" ht="12" hidden="false" customHeight="false" outlineLevel="0" collapsed="false">
      <c r="A31" s="28" t="n">
        <v>45950</v>
      </c>
      <c r="B31" s="2" t="s">
        <v>122</v>
      </c>
      <c r="E31" s="5" t="s">
        <v>96</v>
      </c>
      <c r="F31" s="46" t="n">
        <v>180</v>
      </c>
      <c r="H31" s="6" t="n">
        <f aca="false">IF((F31&lt;&gt;0),F31-G31," ")</f>
        <v>180</v>
      </c>
      <c r="I31" s="5"/>
      <c r="L31" s="7" t="n">
        <f aca="false">IF(F31&lt;&gt;0,F31-K31," ")</f>
        <v>180</v>
      </c>
      <c r="M31" s="8" t="n">
        <f aca="false">IF((F31-K31)&lt;&gt;0,M$1-A31," ")</f>
        <v>187</v>
      </c>
      <c r="N31" s="5"/>
      <c r="O31" s="17" t="n">
        <f aca="false">IF((E31="s"),H31," ")</f>
        <v>180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str">
        <f aca="false">IF((E31="u"),H31," ")</f>
        <v> 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46" t="str">
        <f aca="false">IF((E31="v"),H31," ")</f>
        <v> </v>
      </c>
      <c r="AD31" s="46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</row>
    <row r="32" customFormat="false" ht="12" hidden="false" customHeight="false" outlineLevel="0" collapsed="false">
      <c r="A32" s="28" t="n">
        <v>45951</v>
      </c>
      <c r="B32" s="2" t="s">
        <v>106</v>
      </c>
      <c r="E32" s="5" t="s">
        <v>91</v>
      </c>
      <c r="F32" s="46" t="n">
        <v>8</v>
      </c>
      <c r="H32" s="6" t="n">
        <f aca="false">IF((F32&lt;&gt;0),F32-G32," ")</f>
        <v>8</v>
      </c>
      <c r="I32" s="5"/>
      <c r="L32" s="7" t="n">
        <f aca="false">IF(F32&lt;&gt;0,F32-K32," ")</f>
        <v>8</v>
      </c>
      <c r="M32" s="8" t="n">
        <f aca="false">IF((F32-K32)&lt;&gt;0,M$1-A32," ")</f>
        <v>186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str">
        <f aca="false">IF((E32="u"),H32," ")</f>
        <v> </v>
      </c>
      <c r="Z32" s="17" t="str">
        <f aca="false">IF((E32="a"),H32," ")</f>
        <v> </v>
      </c>
      <c r="AA32" s="17" t="str">
        <f aca="false">IF((E32="g"),H32," ")</f>
        <v> </v>
      </c>
      <c r="AB32" s="17" t="n">
        <f aca="false">IF((E32="h"),H32," ")</f>
        <v>8</v>
      </c>
      <c r="AC32" s="46" t="str">
        <f aca="false">IF((E32="v"),H32," ")</f>
        <v> </v>
      </c>
      <c r="AD32" s="46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</row>
    <row r="33" customFormat="false" ht="12" hidden="false" customHeight="false" outlineLevel="0" collapsed="false">
      <c r="A33" s="28" t="n">
        <v>45952</v>
      </c>
      <c r="B33" s="2" t="s">
        <v>107</v>
      </c>
      <c r="E33" s="5" t="s">
        <v>85</v>
      </c>
      <c r="F33" s="46" t="n">
        <v>18</v>
      </c>
      <c r="H33" s="6" t="n">
        <f aca="false">IF((F33&lt;&gt;0),F33-G33," ")</f>
        <v>18</v>
      </c>
      <c r="I33" s="5"/>
      <c r="L33" s="7" t="n">
        <f aca="false">IF(F33&lt;&gt;0,F33-K33," ")</f>
        <v>18</v>
      </c>
      <c r="M33" s="8" t="n">
        <f aca="false">IF((F33-K33)&lt;&gt;0,M$1-A33," ")</f>
        <v>185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n">
        <f aca="false">IF((E33="u"),H33," ")</f>
        <v>18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46" t="str">
        <f aca="false">IF((E33="v"),H33," ")</f>
        <v> </v>
      </c>
      <c r="AD33" s="46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</row>
    <row r="34" customFormat="false" ht="12" hidden="false" customHeight="false" outlineLevel="0" collapsed="false">
      <c r="A34" s="28" t="n">
        <v>45955</v>
      </c>
      <c r="B34" s="2" t="s">
        <v>108</v>
      </c>
      <c r="E34" s="5" t="s">
        <v>85</v>
      </c>
      <c r="F34" s="46" t="n">
        <v>15</v>
      </c>
      <c r="H34" s="6" t="n">
        <f aca="false">IF((F34&lt;&gt;0),F34-G34," ")</f>
        <v>15</v>
      </c>
      <c r="I34" s="5"/>
      <c r="L34" s="7" t="n">
        <f aca="false">IF(F34&lt;&gt;0,F34-K34," ")</f>
        <v>15</v>
      </c>
      <c r="M34" s="8" t="n">
        <f aca="false">IF((F34-K34)&lt;&gt;0,M$1-A34," ")</f>
        <v>182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n">
        <f aca="false">IF((E34="u"),H34," ")</f>
        <v>15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46" t="str">
        <f aca="false">IF((E34="v"),H34," ")</f>
        <v> </v>
      </c>
      <c r="AD34" s="46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</row>
    <row r="35" customFormat="false" ht="12" hidden="false" customHeight="false" outlineLevel="0" collapsed="false">
      <c r="A35" s="28" t="n">
        <v>45955</v>
      </c>
      <c r="B35" s="2" t="s">
        <v>109</v>
      </c>
      <c r="E35" s="5" t="s">
        <v>88</v>
      </c>
      <c r="F35" s="46" t="n">
        <v>38.25</v>
      </c>
      <c r="H35" s="6" t="n">
        <f aca="false">IF((F35&lt;&gt;0),F35-G35," ")</f>
        <v>38.25</v>
      </c>
      <c r="I35" s="5"/>
      <c r="L35" s="7" t="n">
        <f aca="false">IF(F35&lt;&gt;0,F35-K35," ")</f>
        <v>38.25</v>
      </c>
      <c r="M35" s="8" t="n">
        <f aca="false">IF((F35-K35)&lt;&gt;0,M$1-A35," ")</f>
        <v>182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str">
        <f aca="false">IF((E35="u"),H35," ")</f>
        <v> 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46" t="n">
        <f aca="false">IF((E35="v"),H35," ")</f>
        <v>38.25</v>
      </c>
      <c r="AD35" s="46" t="str">
        <f aca="false">IF((E35="n"),H35," ")</f>
        <v> </v>
      </c>
      <c r="AE35" s="17" t="str">
        <f aca="false">IF((E35="f"),H35," ")</f>
        <v> </v>
      </c>
      <c r="AF35" s="17" t="str">
        <f aca="false">IF((E35="l"),H35," ")</f>
        <v> 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</row>
    <row r="36" customFormat="false" ht="12" hidden="false" customHeight="false" outlineLevel="0" collapsed="false">
      <c r="A36" s="28" t="n">
        <v>45958</v>
      </c>
      <c r="B36" s="2" t="s">
        <v>20</v>
      </c>
      <c r="E36" s="5" t="s">
        <v>88</v>
      </c>
      <c r="F36" s="46" t="n">
        <v>120</v>
      </c>
      <c r="H36" s="6" t="n">
        <f aca="false">IF((F36&lt;&gt;0),F36-G36," ")</f>
        <v>120</v>
      </c>
      <c r="I36" s="5"/>
      <c r="L36" s="7" t="n">
        <f aca="false">IF(F36&lt;&gt;0,F36-K36," ")</f>
        <v>120</v>
      </c>
      <c r="M36" s="8" t="n">
        <f aca="false">IF((F36-K36)&lt;&gt;0,M$1-A36," ")</f>
        <v>179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46" t="n">
        <f aca="false">IF((E36="v"),H36," ")</f>
        <v>120</v>
      </c>
      <c r="AD36" s="46" t="str">
        <f aca="false">IF((E36="n"),H36," ")</f>
        <v> </v>
      </c>
      <c r="AE36" s="17" t="str">
        <f aca="false">IF((E36="f"),H36," ")</f>
        <v> </v>
      </c>
      <c r="AF36" s="17" t="str">
        <f aca="false">IF((E36="l"),H36," ")</f>
        <v> 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</row>
    <row r="37" customFormat="false" ht="12" hidden="false" customHeight="false" outlineLevel="0" collapsed="false">
      <c r="A37" s="28" t="n">
        <v>45961</v>
      </c>
      <c r="B37" s="2" t="s">
        <v>16</v>
      </c>
      <c r="E37" s="5" t="s">
        <v>110</v>
      </c>
      <c r="F37" s="46" t="n">
        <v>300</v>
      </c>
      <c r="H37" s="6" t="n">
        <f aca="false">IF((F37&lt;&gt;0),F37-G37," ")</f>
        <v>300</v>
      </c>
      <c r="I37" s="5"/>
      <c r="L37" s="7" t="n">
        <f aca="false">IF(F37&lt;&gt;0,F37-K37," ")</f>
        <v>300</v>
      </c>
      <c r="M37" s="8" t="n">
        <f aca="false">IF((F37-K37)&lt;&gt;0,M$1-A37," ")</f>
        <v>176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46" t="str">
        <f aca="false">IF((E37="v"),H37," ")</f>
        <v> </v>
      </c>
      <c r="AD37" s="46" t="str">
        <f aca="false">IF((E37="n"),H37," ")</f>
        <v> </v>
      </c>
      <c r="AE37" s="17" t="str">
        <f aca="false">IF((E37="f"),H37," ")</f>
        <v> </v>
      </c>
      <c r="AF37" s="17" t="n">
        <f aca="false">IF((E37="l"),H37," ")</f>
        <v>300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</row>
    <row r="38" customFormat="false" ht="12" hidden="false" customHeight="false" outlineLevel="0" collapsed="false">
      <c r="A38" s="28"/>
      <c r="E38" s="2"/>
      <c r="F38" s="46"/>
      <c r="H38" s="6" t="str">
        <f aca="false">IF((F38&lt;&gt;0),F38-G38," ")</f>
        <v> </v>
      </c>
      <c r="I38" s="5"/>
      <c r="L38" s="7" t="str">
        <f aca="false">IF(F38&lt;&gt;0,F38-K38," ")</f>
        <v> </v>
      </c>
      <c r="M38" s="8" t="str">
        <f aca="false">IF((F38-K38)&lt;&gt;0,M$1-A38," ")</f>
        <v> 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46" t="str">
        <f aca="false">IF((E38="v"),H38," ")</f>
        <v> </v>
      </c>
      <c r="AD38" s="46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</row>
    <row r="39" customFormat="false" ht="12" hidden="false" customHeight="false" outlineLevel="0" collapsed="false">
      <c r="A39" s="28"/>
      <c r="E39" s="2"/>
      <c r="F39" s="46"/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46" t="str">
        <f aca="false">IF((E39="v"),H39," ")</f>
        <v> </v>
      </c>
      <c r="AD39" s="46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</row>
    <row r="40" customFormat="false" ht="12" hidden="false" customHeight="false" outlineLevel="0" collapsed="false">
      <c r="A40" s="28"/>
      <c r="E40" s="2"/>
      <c r="F40" s="46"/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46" t="str">
        <f aca="false">IF((E40="v"),H40," ")</f>
        <v> </v>
      </c>
      <c r="AD40" s="46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</row>
    <row r="41" customFormat="false" ht="12" hidden="false" customHeight="false" outlineLevel="0" collapsed="false">
      <c r="A41" s="28"/>
      <c r="E41" s="2"/>
      <c r="F41" s="46"/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46" t="str">
        <f aca="false">IF((E41="v"),H41," ")</f>
        <v> </v>
      </c>
      <c r="AD41" s="46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</row>
    <row r="42" customFormat="false" ht="12" hidden="false" customHeight="false" outlineLevel="0" collapsed="false">
      <c r="A42" s="28"/>
      <c r="E42" s="2"/>
      <c r="F42" s="46"/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46" t="str">
        <f aca="false">IF((E42="v"),H42," ")</f>
        <v> </v>
      </c>
      <c r="AD42" s="46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</row>
    <row r="43" customFormat="false" ht="12" hidden="false" customHeight="false" outlineLevel="0" collapsed="false">
      <c r="A43" s="28"/>
      <c r="E43" s="2"/>
      <c r="F43" s="46"/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46" t="str">
        <f aca="false">IF((E43="v"),H43," ")</f>
        <v> </v>
      </c>
      <c r="AD43" s="46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</row>
    <row r="44" customFormat="false" ht="12" hidden="false" customHeight="false" outlineLevel="0" collapsed="false">
      <c r="A44" s="28"/>
      <c r="E44" s="2"/>
      <c r="F44" s="46"/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46" t="str">
        <f aca="false">IF((E44="v"),H44," ")</f>
        <v> </v>
      </c>
      <c r="AD44" s="46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</row>
    <row r="45" customFormat="false" ht="12" hidden="false" customHeight="false" outlineLevel="0" collapsed="false">
      <c r="A45" s="28"/>
      <c r="E45" s="2"/>
      <c r="F45" s="46"/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46" t="str">
        <f aca="false">IF((E45="v"),H45," ")</f>
        <v> </v>
      </c>
      <c r="AD45" s="46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</row>
    <row r="46" customFormat="false" ht="12" hidden="false" customHeight="false" outlineLevel="0" collapsed="false">
      <c r="A46" s="28"/>
      <c r="E46" s="2"/>
      <c r="F46" s="46"/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46" t="str">
        <f aca="false">IF((E46="v"),H46," ")</f>
        <v> </v>
      </c>
      <c r="AD46" s="46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</row>
    <row r="47" customFormat="false" ht="12" hidden="false" customHeight="false" outlineLevel="0" collapsed="false">
      <c r="A47" s="28"/>
      <c r="E47" s="2"/>
      <c r="F47" s="46"/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46" t="str">
        <f aca="false">IF((E47="v"),H47," ")</f>
        <v> </v>
      </c>
      <c r="AD47" s="46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</row>
    <row r="48" customFormat="false" ht="12" hidden="false" customHeight="false" outlineLevel="0" collapsed="false">
      <c r="A48" s="28"/>
      <c r="E48" s="2"/>
      <c r="F48" s="46"/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46" t="str">
        <f aca="false">IF((E48="v"),H48," ")</f>
        <v> </v>
      </c>
      <c r="AD48" s="46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</row>
    <row r="49" customFormat="false" ht="12" hidden="false" customHeight="false" outlineLevel="0" collapsed="false">
      <c r="A49" s="28"/>
      <c r="E49" s="2"/>
      <c r="F49" s="46"/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46" t="str">
        <f aca="false">IF((E49="v"),H49," ")</f>
        <v> </v>
      </c>
      <c r="AD49" s="46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</row>
    <row r="50" customFormat="false" ht="12" hidden="false" customHeight="false" outlineLevel="0" collapsed="false">
      <c r="A50" s="28"/>
      <c r="E50" s="2"/>
      <c r="F50" s="46"/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46" t="str">
        <f aca="false">IF((E50="v"),H50," ")</f>
        <v> </v>
      </c>
      <c r="AD50" s="46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</row>
    <row r="51" customFormat="false" ht="12" hidden="false" customHeight="false" outlineLevel="0" collapsed="false">
      <c r="A51" s="28"/>
      <c r="E51" s="2"/>
      <c r="F51" s="46"/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46" t="str">
        <f aca="false">IF((E51="v"),H51," ")</f>
        <v> </v>
      </c>
      <c r="AD51" s="46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</row>
    <row r="52" customFormat="false" ht="12" hidden="false" customHeight="false" outlineLevel="0" collapsed="false">
      <c r="A52" s="28"/>
      <c r="E52" s="2"/>
      <c r="F52" s="46"/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46" t="str">
        <f aca="false">IF((E52="v"),H52," ")</f>
        <v> </v>
      </c>
      <c r="AD52" s="46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</row>
    <row r="53" customFormat="false" ht="12" hidden="false" customHeight="false" outlineLevel="0" collapsed="false">
      <c r="A53" s="28"/>
      <c r="E53" s="2"/>
      <c r="F53" s="46"/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46" t="str">
        <f aca="false">IF((E53="v"),H53," ")</f>
        <v> </v>
      </c>
      <c r="AD53" s="46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</row>
    <row r="54" customFormat="false" ht="12" hidden="false" customHeight="false" outlineLevel="0" collapsed="false">
      <c r="A54" s="28"/>
      <c r="E54" s="2"/>
      <c r="F54" s="46"/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46" t="str">
        <f aca="false">IF((E54="v"),H54," ")</f>
        <v> </v>
      </c>
      <c r="AD54" s="46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</row>
    <row r="55" customFormat="false" ht="12" hidden="false" customHeight="false" outlineLevel="0" collapsed="false">
      <c r="A55" s="28"/>
      <c r="E55" s="2"/>
      <c r="F55" s="46"/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46" t="str">
        <f aca="false">IF((E55="v"),H55," ")</f>
        <v> </v>
      </c>
      <c r="AD55" s="46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</row>
    <row r="56" customFormat="false" ht="12" hidden="false" customHeight="false" outlineLevel="0" collapsed="false">
      <c r="A56" s="28"/>
      <c r="E56" s="2"/>
      <c r="F56" s="46"/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46" t="str">
        <f aca="false">IF((E56="v"),H56," ")</f>
        <v> </v>
      </c>
      <c r="AD56" s="46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</row>
    <row r="57" customFormat="false" ht="12" hidden="false" customHeight="false" outlineLevel="0" collapsed="false">
      <c r="A57" s="28"/>
      <c r="E57" s="2"/>
      <c r="F57" s="46"/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46" t="str">
        <f aca="false">IF((E57="v"),H57," ")</f>
        <v> </v>
      </c>
      <c r="AD57" s="46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</row>
    <row r="58" customFormat="false" ht="12" hidden="false" customHeight="false" outlineLevel="0" collapsed="false">
      <c r="A58" s="28"/>
      <c r="E58" s="2"/>
      <c r="F58" s="46"/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46" t="str">
        <f aca="false">IF((E58="v"),H58," ")</f>
        <v> </v>
      </c>
      <c r="AD58" s="46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</row>
    <row r="59" customFormat="false" ht="12" hidden="false" customHeight="false" outlineLevel="0" collapsed="false">
      <c r="A59" s="28"/>
      <c r="E59" s="2"/>
      <c r="F59" s="46"/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46" t="str">
        <f aca="false">IF((E59="v"),H59," ")</f>
        <v> </v>
      </c>
      <c r="AD59" s="46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</row>
    <row r="60" customFormat="false" ht="12" hidden="false" customHeight="false" outlineLevel="0" collapsed="false">
      <c r="A60" s="28"/>
      <c r="E60" s="2"/>
      <c r="F60" s="46"/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46" t="str">
        <f aca="false">IF((E60="v"),H60," ")</f>
        <v> </v>
      </c>
      <c r="AD60" s="46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</row>
    <row r="61" customFormat="false" ht="12" hidden="false" customHeight="false" outlineLevel="0" collapsed="false">
      <c r="A61" s="28"/>
      <c r="E61" s="2"/>
      <c r="F61" s="46"/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46" t="str">
        <f aca="false">IF((E61="v"),H61," ")</f>
        <v> </v>
      </c>
      <c r="AD61" s="46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</row>
    <row r="62" customFormat="false" ht="12" hidden="false" customHeight="false" outlineLevel="0" collapsed="false">
      <c r="A62" s="28"/>
      <c r="E62" s="2"/>
      <c r="F62" s="46"/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46" t="str">
        <f aca="false">IF((E62="v"),H62," ")</f>
        <v> </v>
      </c>
      <c r="AD62" s="46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</row>
    <row r="63" customFormat="false" ht="12" hidden="false" customHeight="false" outlineLevel="0" collapsed="false">
      <c r="A63" s="28"/>
      <c r="E63" s="2"/>
      <c r="F63" s="46"/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46" t="str">
        <f aca="false">IF((E63="v"),H63," ")</f>
        <v> </v>
      </c>
      <c r="AD63" s="46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</row>
    <row r="64" customFormat="false" ht="12" hidden="false" customHeight="false" outlineLevel="0" collapsed="false">
      <c r="A64" s="28"/>
      <c r="E64" s="2"/>
      <c r="F64" s="46"/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46" t="str">
        <f aca="false">IF((E64="v"),H64," ")</f>
        <v> </v>
      </c>
      <c r="AD64" s="46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</row>
    <row r="65" customFormat="false" ht="12" hidden="false" customHeight="false" outlineLevel="0" collapsed="false">
      <c r="A65" s="28"/>
      <c r="E65" s="2"/>
      <c r="F65" s="46"/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46" t="str">
        <f aca="false">IF((E65="v"),H65," ")</f>
        <v> </v>
      </c>
      <c r="AD65" s="46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</row>
    <row r="66" customFormat="false" ht="12" hidden="false" customHeight="false" outlineLevel="0" collapsed="false">
      <c r="A66" s="28"/>
      <c r="E66" s="2"/>
      <c r="F66" s="46"/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46" t="str">
        <f aca="false">IF((E66="v"),H66," ")</f>
        <v> </v>
      </c>
      <c r="AD66" s="46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</row>
    <row r="67" customFormat="false" ht="12" hidden="false" customHeight="false" outlineLevel="0" collapsed="false">
      <c r="A67" s="28"/>
      <c r="E67" s="2"/>
      <c r="F67" s="46"/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46" t="str">
        <f aca="false">IF((E67="v"),H67," ")</f>
        <v> </v>
      </c>
      <c r="AD67" s="46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</row>
    <row r="68" customFormat="false" ht="12" hidden="false" customHeight="false" outlineLevel="0" collapsed="false">
      <c r="A68" s="28"/>
      <c r="E68" s="2"/>
      <c r="F68" s="46"/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46" t="str">
        <f aca="false">IF((E68="v"),H68," ")</f>
        <v> </v>
      </c>
      <c r="AD68" s="46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</row>
    <row r="69" customFormat="false" ht="12" hidden="false" customHeight="false" outlineLevel="0" collapsed="false">
      <c r="A69" s="28"/>
      <c r="E69" s="2"/>
      <c r="F69" s="46"/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46" t="str">
        <f aca="false">IF((E69="v"),H69," ")</f>
        <v> </v>
      </c>
      <c r="AD69" s="46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46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46" t="str">
        <f aca="false">IF((E70="v"),H70," ")</f>
        <v> </v>
      </c>
      <c r="AD70" s="46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46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46" t="str">
        <f aca="false">IF((E71="v"),H71," ")</f>
        <v> </v>
      </c>
      <c r="AD71" s="46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46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46" t="str">
        <f aca="false">IF((E72="v"),H72," ")</f>
        <v> </v>
      </c>
      <c r="AD72" s="46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46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46" t="str">
        <f aca="false">IF((E73="v"),H73," ")</f>
        <v> </v>
      </c>
      <c r="AD73" s="46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46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46" t="str">
        <f aca="false">IF((E74="v"),H74," ")</f>
        <v> </v>
      </c>
      <c r="AD74" s="46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46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46" t="str">
        <f aca="false">IF((E75="v"),H75," ")</f>
        <v> </v>
      </c>
      <c r="AD75" s="46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46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46" t="str">
        <f aca="false">IF((E76="v"),H76," ")</f>
        <v> </v>
      </c>
      <c r="AD76" s="46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46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46" t="str">
        <f aca="false">IF((E77="v"),H77," ")</f>
        <v> </v>
      </c>
      <c r="AD77" s="46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46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46" t="str">
        <f aca="false">IF((E78="v"),H78," ")</f>
        <v> </v>
      </c>
      <c r="AD78" s="46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46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46" t="str">
        <f aca="false">IF((E79="v"),H79," ")</f>
        <v> </v>
      </c>
      <c r="AD79" s="46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46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46" t="str">
        <f aca="false">IF((E80="v"),H80," ")</f>
        <v> </v>
      </c>
      <c r="AD80" s="46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46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46" t="str">
        <f aca="false">IF((E81="v"),H81," ")</f>
        <v> </v>
      </c>
      <c r="AD81" s="46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46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46" t="str">
        <f aca="false">IF((E82="v"),H82," ")</f>
        <v> </v>
      </c>
      <c r="AD82" s="46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46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46" t="str">
        <f aca="false">IF((E83="v"),H83," ")</f>
        <v> </v>
      </c>
      <c r="AD83" s="46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46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46" t="str">
        <f aca="false">IF((E84="v"),H84," ")</f>
        <v> </v>
      </c>
      <c r="AD84" s="46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46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46" t="str">
        <f aca="false">IF((E85="v"),H85," ")</f>
        <v> </v>
      </c>
      <c r="AD85" s="46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46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46" t="str">
        <f aca="false">IF((E86="v"),H86," ")</f>
        <v> </v>
      </c>
      <c r="AD86" s="46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46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46" t="str">
        <f aca="false">IF((E87="v"),H87," ")</f>
        <v> </v>
      </c>
      <c r="AD87" s="46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46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46" t="str">
        <f aca="false">IF((E88="v"),H88," ")</f>
        <v> </v>
      </c>
      <c r="AD88" s="46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46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46" t="str">
        <f aca="false">IF((E89="v"),H89," ")</f>
        <v> </v>
      </c>
      <c r="AD89" s="46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46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46" t="str">
        <f aca="false">IF((E90="v"),H90," ")</f>
        <v> </v>
      </c>
      <c r="AD90" s="46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46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46" t="str">
        <f aca="false">IF((E91="v"),H91," ")</f>
        <v> </v>
      </c>
      <c r="AD91" s="46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46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46" t="str">
        <f aca="false">IF((E92="v"),H92," ")</f>
        <v> </v>
      </c>
      <c r="AD92" s="46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46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46" t="str">
        <f aca="false">IF((E93="v"),H93," ")</f>
        <v> </v>
      </c>
      <c r="AD93" s="46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46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46" t="str">
        <f aca="false">IF((E94="v"),H94," ")</f>
        <v> </v>
      </c>
      <c r="AD94" s="46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46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46" t="str">
        <f aca="false">IF((E95="v"),H95," ")</f>
        <v> </v>
      </c>
      <c r="AD95" s="46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46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46" t="str">
        <f aca="false">IF((E96="v"),H96," ")</f>
        <v> </v>
      </c>
      <c r="AD96" s="46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46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46" t="str">
        <f aca="false">IF((E97="v"),H97," ")</f>
        <v> </v>
      </c>
      <c r="AD97" s="46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46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46" t="str">
        <f aca="false">IF((E98="v"),H98," ")</f>
        <v> </v>
      </c>
      <c r="AD98" s="46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46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46" t="str">
        <f aca="false">IF((E99="v"),H99," ")</f>
        <v> </v>
      </c>
      <c r="AD99" s="46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46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46" t="str">
        <f aca="false">IF((E100="v"),H100," ")</f>
        <v> </v>
      </c>
      <c r="AD100" s="46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46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46" t="str">
        <f aca="false">IF((E101="v"),H101," ")</f>
        <v> </v>
      </c>
      <c r="AD101" s="46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46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46" t="str">
        <f aca="false">IF((E102="v"),H102," ")</f>
        <v> </v>
      </c>
      <c r="AD102" s="46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46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46" t="str">
        <f aca="false">IF((E103="v"),H103," ")</f>
        <v> </v>
      </c>
      <c r="AD103" s="46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46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46" t="str">
        <f aca="false">IF((E104="v"),H104," ")</f>
        <v> </v>
      </c>
      <c r="AD104" s="46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46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46" t="str">
        <f aca="false">IF((E105="v"),H105," ")</f>
        <v> </v>
      </c>
      <c r="AD105" s="46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46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46" t="str">
        <f aca="false">IF((E106="v"),H106," ")</f>
        <v> </v>
      </c>
      <c r="AD106" s="46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46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46" t="str">
        <f aca="false">IF((E107="v"),H107," ")</f>
        <v> </v>
      </c>
      <c r="AD107" s="46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46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46" t="str">
        <f aca="false">IF((E108="v"),H108," ")</f>
        <v> </v>
      </c>
      <c r="AD108" s="46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46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46" t="str">
        <f aca="false">IF((E109="v"),H109," ")</f>
        <v> </v>
      </c>
      <c r="AD109" s="46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46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46" t="str">
        <f aca="false">IF((E110="v"),H110," ")</f>
        <v> </v>
      </c>
      <c r="AD110" s="46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46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46" t="str">
        <f aca="false">IF((E111="v"),H111," ")</f>
        <v> </v>
      </c>
      <c r="AD111" s="46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46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46" t="str">
        <f aca="false">IF((E112="v"),H112," ")</f>
        <v> </v>
      </c>
      <c r="AD112" s="46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46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46" t="str">
        <f aca="false">IF((E113="v"),H113," ")</f>
        <v> </v>
      </c>
      <c r="AD113" s="46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46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46" t="str">
        <f aca="false">IF((E114="v"),H114," ")</f>
        <v> </v>
      </c>
      <c r="AD114" s="46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46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46" t="str">
        <f aca="false">IF((E115="v"),H115," ")</f>
        <v> </v>
      </c>
      <c r="AD115" s="46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46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46" t="str">
        <f aca="false">IF((E116="v"),H116," ")</f>
        <v> </v>
      </c>
      <c r="AD116" s="46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46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46" t="str">
        <f aca="false">IF((E117="v"),H117," ")</f>
        <v> </v>
      </c>
      <c r="AD117" s="46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46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46" t="str">
        <f aca="false">IF((E118="v"),H118," ")</f>
        <v> </v>
      </c>
      <c r="AD118" s="46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46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46" t="str">
        <f aca="false">IF((E119="v"),H119," ")</f>
        <v> </v>
      </c>
      <c r="AD119" s="46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46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46" t="str">
        <f aca="false">IF((E120="v"),H120," ")</f>
        <v> </v>
      </c>
      <c r="AD120" s="46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46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46" t="str">
        <f aca="false">IF((E121="v"),H121," ")</f>
        <v> </v>
      </c>
      <c r="AD121" s="46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46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46" t="str">
        <f aca="false">IF((E122="v"),H122," ")</f>
        <v> </v>
      </c>
      <c r="AD122" s="46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46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46" t="str">
        <f aca="false">IF((E123="v"),H123," ")</f>
        <v> </v>
      </c>
      <c r="AD123" s="46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46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46" t="str">
        <f aca="false">IF((E124="v"),H124," ")</f>
        <v> </v>
      </c>
      <c r="AD124" s="46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46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46" t="str">
        <f aca="false">IF((E125="v"),H125," ")</f>
        <v> </v>
      </c>
      <c r="AD125" s="46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46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46" t="str">
        <f aca="false">IF((E126="v"),H126," ")</f>
        <v> </v>
      </c>
      <c r="AD126" s="46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46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46" t="str">
        <f aca="false">IF((E127="v"),H127," ")</f>
        <v> </v>
      </c>
      <c r="AD127" s="46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46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46" t="str">
        <f aca="false">IF((E128="v"),H128," ")</f>
        <v> </v>
      </c>
      <c r="AD128" s="46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46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46" t="str">
        <f aca="false">IF((E129="v"),H129," ")</f>
        <v> </v>
      </c>
      <c r="AD129" s="46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46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46" t="str">
        <f aca="false">IF((E130="v"),H130," ")</f>
        <v> </v>
      </c>
      <c r="AD130" s="46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46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46" t="str">
        <f aca="false">IF((E131="v"),H131," ")</f>
        <v> </v>
      </c>
      <c r="AD131" s="46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46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46" t="str">
        <f aca="false">IF((E132="v"),H132," ")</f>
        <v> </v>
      </c>
      <c r="AD132" s="46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46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46" t="str">
        <f aca="false">IF((E133="v"),H133," ")</f>
        <v> </v>
      </c>
      <c r="AD133" s="46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46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46" t="str">
        <f aca="false">IF((E134="v"),H134," ")</f>
        <v> </v>
      </c>
      <c r="AD134" s="46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46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46" t="str">
        <f aca="false">IF((E135="v"),H135," ")</f>
        <v> </v>
      </c>
      <c r="AD135" s="46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46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46" t="str">
        <f aca="false">IF((E136="v"),H136," ")</f>
        <v> </v>
      </c>
      <c r="AD136" s="46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46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46" t="str">
        <f aca="false">IF((E137="v"),H137," ")</f>
        <v> </v>
      </c>
      <c r="AD137" s="46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46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46" t="str">
        <f aca="false">IF((E138="v"),H138," ")</f>
        <v> </v>
      </c>
      <c r="AD138" s="46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46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46" t="str">
        <f aca="false">IF((E139="v"),H139," ")</f>
        <v> </v>
      </c>
      <c r="AD139" s="46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46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46" t="str">
        <f aca="false">IF((E140="v"),H140," ")</f>
        <v> </v>
      </c>
      <c r="AD140" s="46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46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46" t="str">
        <f aca="false">IF((E141="v"),H141," ")</f>
        <v> </v>
      </c>
      <c r="AD141" s="46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46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46" t="str">
        <f aca="false">IF((E142="v"),H142," ")</f>
        <v> </v>
      </c>
      <c r="AD142" s="46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46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46" t="str">
        <f aca="false">IF((E143="v"),H143," ")</f>
        <v> </v>
      </c>
      <c r="AD143" s="46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46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46" t="str">
        <f aca="false">IF((E144="v"),H144," ")</f>
        <v> </v>
      </c>
      <c r="AD144" s="46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46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46" t="str">
        <f aca="false">IF((E145="v"),H145," ")</f>
        <v> </v>
      </c>
      <c r="AD145" s="46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46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46" t="str">
        <f aca="false">IF((E146="v"),H146," ")</f>
        <v> </v>
      </c>
      <c r="AD146" s="46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46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46" t="str">
        <f aca="false">IF((E147="v"),H147," ")</f>
        <v> </v>
      </c>
      <c r="AD147" s="46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46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46" t="str">
        <f aca="false">IF((E148="v"),H148," ")</f>
        <v> </v>
      </c>
      <c r="AD148" s="46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46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46" t="str">
        <f aca="false">IF((E149="v"),H149," ")</f>
        <v> </v>
      </c>
      <c r="AD149" s="46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46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46" t="str">
        <f aca="false">IF((E150="v"),H150," ")</f>
        <v> </v>
      </c>
      <c r="AD150" s="46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46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46" t="str">
        <f aca="false">IF((E151="v"),H151," ")</f>
        <v> </v>
      </c>
      <c r="AD151" s="46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46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46" t="str">
        <f aca="false">IF((E152="v"),H152," ")</f>
        <v> </v>
      </c>
      <c r="AD152" s="46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46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46" t="str">
        <f aca="false">IF((E153="v"),H153," ")</f>
        <v> </v>
      </c>
      <c r="AD153" s="46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46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46" t="str">
        <f aca="false">IF((E154="v"),H154," ")</f>
        <v> </v>
      </c>
      <c r="AD154" s="46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46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46" t="str">
        <f aca="false">IF((E155="v"),H155," ")</f>
        <v> </v>
      </c>
      <c r="AD155" s="46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46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46" t="str">
        <f aca="false">IF((E156="v"),H156," ")</f>
        <v> </v>
      </c>
      <c r="AD156" s="46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46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46" t="str">
        <f aca="false">IF((E157="v"),H157," ")</f>
        <v> </v>
      </c>
      <c r="AD157" s="46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46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46" t="str">
        <f aca="false">IF((E158="v"),H158," ")</f>
        <v> </v>
      </c>
      <c r="AD158" s="46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46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46" t="str">
        <f aca="false">IF((E159="v"),H159," ")</f>
        <v> </v>
      </c>
      <c r="AD159" s="46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46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46" t="str">
        <f aca="false">IF((E160="v"),H160," ")</f>
        <v> </v>
      </c>
      <c r="AD160" s="46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46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46" t="str">
        <f aca="false">IF((E161="v"),H161," ")</f>
        <v> </v>
      </c>
      <c r="AD161" s="46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46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46" t="str">
        <f aca="false">IF((E162="v"),H162," ")</f>
        <v> </v>
      </c>
      <c r="AD162" s="46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46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46" t="str">
        <f aca="false">IF((E163="v"),H163," ")</f>
        <v> </v>
      </c>
      <c r="AD163" s="46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46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46" t="str">
        <f aca="false">IF((E164="v"),H164," ")</f>
        <v> </v>
      </c>
      <c r="AD164" s="46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46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46" t="str">
        <f aca="false">IF((E165="v"),H165," ")</f>
        <v> </v>
      </c>
      <c r="AD165" s="46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46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46" t="str">
        <f aca="false">IF((E166="v"),H166," ")</f>
        <v> </v>
      </c>
      <c r="AD166" s="46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46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46" t="str">
        <f aca="false">IF((E167="v"),H167," ")</f>
        <v> </v>
      </c>
      <c r="AD167" s="46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46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46" t="str">
        <f aca="false">IF((E168="v"),H168," ")</f>
        <v> </v>
      </c>
      <c r="AD168" s="46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46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46" t="str">
        <f aca="false">IF((E169="v"),H169," ")</f>
        <v> </v>
      </c>
      <c r="AD169" s="46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46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46" t="str">
        <f aca="false">IF((E170="v"),H170," ")</f>
        <v> </v>
      </c>
      <c r="AD170" s="46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46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46" t="str">
        <f aca="false">IF((E171="v"),H171," ")</f>
        <v> </v>
      </c>
      <c r="AD171" s="46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46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46" t="str">
        <f aca="false">IF((E172="v"),H172," ")</f>
        <v> </v>
      </c>
      <c r="AD172" s="46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46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46" t="str">
        <f aca="false">IF((E173="v"),H173," ")</f>
        <v> </v>
      </c>
      <c r="AD173" s="46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46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46" t="str">
        <f aca="false">IF((E174="v"),H174," ")</f>
        <v> </v>
      </c>
      <c r="AD174" s="46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46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46" t="str">
        <f aca="false">IF((E175="v"),H175," ")</f>
        <v> </v>
      </c>
      <c r="AD175" s="46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46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46" t="str">
        <f aca="false">IF((E176="v"),H176," ")</f>
        <v> </v>
      </c>
      <c r="AD176" s="46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46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46" t="str">
        <f aca="false">IF((E177="v"),H177," ")</f>
        <v> </v>
      </c>
      <c r="AD177" s="46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46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46" t="str">
        <f aca="false">IF((E178="v"),H178," ")</f>
        <v> </v>
      </c>
      <c r="AD178" s="46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46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46" t="str">
        <f aca="false">IF((E179="v"),H179," ")</f>
        <v> </v>
      </c>
      <c r="AD179" s="46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46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46" t="str">
        <f aca="false">IF((E180="v"),H180," ")</f>
        <v> </v>
      </c>
      <c r="AD180" s="46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46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46" t="str">
        <f aca="false">IF((E181="v"),H181," ")</f>
        <v> </v>
      </c>
      <c r="AD181" s="46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46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46" t="str">
        <f aca="false">IF((E182="v"),H182," ")</f>
        <v> </v>
      </c>
      <c r="AD182" s="46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46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46" t="str">
        <f aca="false">IF((E183="v"),H183," ")</f>
        <v> </v>
      </c>
      <c r="AD183" s="46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46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46" t="str">
        <f aca="false">IF((E184="v"),H184," ")</f>
        <v> </v>
      </c>
      <c r="AD184" s="46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46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46" t="str">
        <f aca="false">IF((E185="v"),H185," ")</f>
        <v> </v>
      </c>
      <c r="AD185" s="46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46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46" t="str">
        <f aca="false">IF((E186="v"),H186," ")</f>
        <v> </v>
      </c>
      <c r="AD186" s="46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46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46" t="str">
        <f aca="false">IF((E187="v"),H187," ")</f>
        <v> </v>
      </c>
      <c r="AD187" s="46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46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46" t="str">
        <f aca="false">IF((E188="v"),H188," ")</f>
        <v> </v>
      </c>
      <c r="AD188" s="46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46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46" t="str">
        <f aca="false">IF((E189="v"),H189," ")</f>
        <v> </v>
      </c>
      <c r="AD189" s="46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46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46" t="str">
        <f aca="false">IF((E190="v"),H190," ")</f>
        <v> </v>
      </c>
      <c r="AD190" s="46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46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46" t="str">
        <f aca="false">IF((E191="v"),H191," ")</f>
        <v> </v>
      </c>
      <c r="AD191" s="46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46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46" t="str">
        <f aca="false">IF((E192="v"),H192," ")</f>
        <v> </v>
      </c>
      <c r="AD192" s="46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46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46" t="str">
        <f aca="false">IF((E193="v"),H193," ")</f>
        <v> </v>
      </c>
      <c r="AD193" s="46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46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46" t="str">
        <f aca="false">IF((E194="v"),H194," ")</f>
        <v> </v>
      </c>
      <c r="AD194" s="46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46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46" t="str">
        <f aca="false">IF((E195="v"),H195," ")</f>
        <v> </v>
      </c>
      <c r="AD195" s="46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46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46" t="str">
        <f aca="false">IF((E196="v"),H196," ")</f>
        <v> </v>
      </c>
      <c r="AD196" s="46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46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46" t="str">
        <f aca="false">IF((E197="v"),H197," ")</f>
        <v> </v>
      </c>
      <c r="AD197" s="46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46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46" t="str">
        <f aca="false">IF((E198="v"),H198," ")</f>
        <v> </v>
      </c>
      <c r="AD198" s="46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46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46" t="str">
        <f aca="false">IF((E199="v"),H199," ")</f>
        <v> </v>
      </c>
      <c r="AD199" s="46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46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46" t="str">
        <f aca="false">IF((E200="v"),H200," ")</f>
        <v> </v>
      </c>
      <c r="AD200" s="46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46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46" t="str">
        <f aca="false">IF((E201="v"),H201," ")</f>
        <v> </v>
      </c>
      <c r="AD201" s="46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46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46" t="str">
        <f aca="false">IF((E202="v"),H202," ")</f>
        <v> </v>
      </c>
      <c r="AD202" s="46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46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46" t="str">
        <f aca="false">IF((E203="v"),H203," ")</f>
        <v> </v>
      </c>
      <c r="AD203" s="46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46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46" t="str">
        <f aca="false">IF((E204="v"),H204," ")</f>
        <v> </v>
      </c>
      <c r="AD204" s="46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46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46" t="str">
        <f aca="false">IF((E205="v"),H205," ")</f>
        <v> </v>
      </c>
      <c r="AD205" s="46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46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46" t="str">
        <f aca="false">IF((E206="v"),H206," ")</f>
        <v> </v>
      </c>
      <c r="AD206" s="46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46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46" t="str">
        <f aca="false">IF((E207="v"),H207," ")</f>
        <v> </v>
      </c>
      <c r="AD207" s="46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46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46" t="str">
        <f aca="false">IF((E208="v"),H208," ")</f>
        <v> </v>
      </c>
      <c r="AD208" s="46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46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46" t="str">
        <f aca="false">IF((E209="v"),H209," ")</f>
        <v> </v>
      </c>
      <c r="AD209" s="46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46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46" t="str">
        <f aca="false">IF((E210="v"),H210," ")</f>
        <v> </v>
      </c>
      <c r="AD210" s="46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46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46" t="str">
        <f aca="false">IF((E211="v"),H211," ")</f>
        <v> </v>
      </c>
      <c r="AD211" s="46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46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46" t="str">
        <f aca="false">IF((E212="v"),H212," ")</f>
        <v> </v>
      </c>
      <c r="AD212" s="46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46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46" t="str">
        <f aca="false">IF((E213="v"),H213," ")</f>
        <v> </v>
      </c>
      <c r="AD213" s="46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46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46" t="str">
        <f aca="false">IF((E214="v"),H214," ")</f>
        <v> </v>
      </c>
      <c r="AD214" s="46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46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46" t="str">
        <f aca="false">IF((E215="v"),H215," ")</f>
        <v> </v>
      </c>
      <c r="AD215" s="46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46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46" t="str">
        <f aca="false">IF((E216="v"),H216," ")</f>
        <v> </v>
      </c>
      <c r="AD216" s="46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46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46" t="str">
        <f aca="false">IF((E217="v"),H217," ")</f>
        <v> </v>
      </c>
      <c r="AD217" s="46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46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46" t="str">
        <f aca="false">IF((E218="v"),H218," ")</f>
        <v> </v>
      </c>
      <c r="AD218" s="46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46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46" t="str">
        <f aca="false">IF((E219="v"),H219," ")</f>
        <v> </v>
      </c>
      <c r="AD219" s="46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46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46" t="str">
        <f aca="false">IF((E220="v"),H220," ")</f>
        <v> </v>
      </c>
      <c r="AD220" s="46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46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46" t="str">
        <f aca="false">IF((E221="v"),H221," ")</f>
        <v> </v>
      </c>
      <c r="AD221" s="46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46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46" t="str">
        <f aca="false">IF((E222="v"),H222," ")</f>
        <v> </v>
      </c>
      <c r="AD222" s="46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46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46" t="str">
        <f aca="false">IF((E223="v"),H223," ")</f>
        <v> </v>
      </c>
      <c r="AD223" s="46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46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46" t="str">
        <f aca="false">IF((E224="v"),H224," ")</f>
        <v> </v>
      </c>
      <c r="AD224" s="46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46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46" t="str">
        <f aca="false">IF((E225="v"),H225," ")</f>
        <v> </v>
      </c>
      <c r="AD225" s="46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46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46" t="str">
        <f aca="false">IF((E226="v"),H226," ")</f>
        <v> </v>
      </c>
      <c r="AD226" s="46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46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46" t="str">
        <f aca="false">IF((E227="v"),H227," ")</f>
        <v> </v>
      </c>
      <c r="AD227" s="46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46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46" t="str">
        <f aca="false">IF((E228="v"),H228," ")</f>
        <v> </v>
      </c>
      <c r="AD228" s="46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46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46" t="str">
        <f aca="false">IF((E229="v"),H229," ")</f>
        <v> </v>
      </c>
      <c r="AD229" s="46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46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46" t="str">
        <f aca="false">IF((E230="v"),H230," ")</f>
        <v> </v>
      </c>
      <c r="AD230" s="46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46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46" t="str">
        <f aca="false">IF((E231="v"),H231," ")</f>
        <v> </v>
      </c>
      <c r="AD231" s="46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46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46" t="str">
        <f aca="false">IF((E232="v"),H232," ")</f>
        <v> </v>
      </c>
      <c r="AD232" s="46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46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46" t="str">
        <f aca="false">IF((E233="v"),H233," ")</f>
        <v> </v>
      </c>
      <c r="AD233" s="46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46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46" t="str">
        <f aca="false">IF((E234="v"),H234," ")</f>
        <v> </v>
      </c>
      <c r="AD234" s="46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46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46" t="str">
        <f aca="false">IF((E235="v"),H235," ")</f>
        <v> </v>
      </c>
      <c r="AD235" s="46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46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46" t="str">
        <f aca="false">IF((E236="v"),H236," ")</f>
        <v> </v>
      </c>
      <c r="AD236" s="46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46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46" t="str">
        <f aca="false">IF((E237="v"),H237," ")</f>
        <v> </v>
      </c>
      <c r="AD237" s="46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46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46" t="str">
        <f aca="false">IF((E238="v"),H238," ")</f>
        <v> </v>
      </c>
      <c r="AD238" s="46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46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46" t="str">
        <f aca="false">IF((E239="v"),H239," ")</f>
        <v> </v>
      </c>
      <c r="AD239" s="46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46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46" t="str">
        <f aca="false">IF((E240="v"),H240," ")</f>
        <v> </v>
      </c>
      <c r="AD240" s="46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46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46" t="str">
        <f aca="false">IF((E241="v"),H241," ")</f>
        <v> </v>
      </c>
      <c r="AD241" s="46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46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46" t="str">
        <f aca="false">IF((E242="v"),H242," ")</f>
        <v> </v>
      </c>
      <c r="AD242" s="46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46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46" t="str">
        <f aca="false">IF((E243="v"),H243," ")</f>
        <v> </v>
      </c>
      <c r="AD243" s="46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46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46" t="str">
        <f aca="false">IF((E244="v"),H244," ")</f>
        <v> </v>
      </c>
      <c r="AD244" s="46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46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46" t="str">
        <f aca="false">IF((E245="v"),H245," ")</f>
        <v> </v>
      </c>
      <c r="AD245" s="46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46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46" t="str">
        <f aca="false">IF((E246="v"),H246," ")</f>
        <v> </v>
      </c>
      <c r="AD246" s="46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46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46" t="str">
        <f aca="false">IF((E247="v"),H247," ")</f>
        <v> </v>
      </c>
      <c r="AD247" s="46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46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46" t="str">
        <f aca="false">IF((E248="v"),H248," ")</f>
        <v> </v>
      </c>
      <c r="AD248" s="46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46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46" t="str">
        <f aca="false">IF((E249="v"),H249," ")</f>
        <v> </v>
      </c>
      <c r="AD249" s="46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46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46" t="str">
        <f aca="false">IF((E250="v"),H250," ")</f>
        <v> </v>
      </c>
      <c r="AD250" s="46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46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46" t="str">
        <f aca="false">IF((E251="v"),H251," ")</f>
        <v> </v>
      </c>
      <c r="AD251" s="46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46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46" t="str">
        <f aca="false">IF((E252="v"),H252," ")</f>
        <v> </v>
      </c>
      <c r="AD252" s="46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46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46" t="str">
        <f aca="false">IF((E253="v"),H253," ")</f>
        <v> </v>
      </c>
      <c r="AD253" s="46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46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46" t="str">
        <f aca="false">IF((E254="v"),H254," ")</f>
        <v> </v>
      </c>
      <c r="AD254" s="46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46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46" t="str">
        <f aca="false">IF((E255="v"),H255," ")</f>
        <v> </v>
      </c>
      <c r="AD255" s="46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46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46" t="str">
        <f aca="false">IF((E256="v"),H256," ")</f>
        <v> </v>
      </c>
      <c r="AD256" s="46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46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46" t="str">
        <f aca="false">IF((E257="v"),H257," ")</f>
        <v> </v>
      </c>
      <c r="AD257" s="46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46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46" t="str">
        <f aca="false">IF((E258="v"),H258," ")</f>
        <v> </v>
      </c>
      <c r="AD258" s="46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46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46" t="str">
        <f aca="false">IF((E259="v"),H259," ")</f>
        <v> </v>
      </c>
      <c r="AD259" s="46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46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46" t="str">
        <f aca="false">IF((E260="v"),H260," ")</f>
        <v> </v>
      </c>
      <c r="AD260" s="46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46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46" t="str">
        <f aca="false">IF((E261="v"),H261," ")</f>
        <v> </v>
      </c>
      <c r="AD261" s="46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46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46" t="str">
        <f aca="false">IF((E262="v"),H262," ")</f>
        <v> </v>
      </c>
      <c r="AD262" s="46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46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46" t="str">
        <f aca="false">IF((E263="v"),H263," ")</f>
        <v> </v>
      </c>
      <c r="AD263" s="46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46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46" t="str">
        <f aca="false">IF((E264="v"),H264," ")</f>
        <v> </v>
      </c>
      <c r="AD264" s="46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46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46" t="str">
        <f aca="false">IF((E265="v"),H265," ")</f>
        <v> </v>
      </c>
      <c r="AD265" s="46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46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46" t="str">
        <f aca="false">IF((E266="v"),H266," ")</f>
        <v> </v>
      </c>
      <c r="AD266" s="46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46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46" t="str">
        <f aca="false">IF((E267="v"),H267," ")</f>
        <v> </v>
      </c>
      <c r="AD267" s="46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46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46" t="str">
        <f aca="false">IF((E268="v"),H268," ")</f>
        <v> </v>
      </c>
      <c r="AD268" s="46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46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46" t="str">
        <f aca="false">IF((E269="v"),H269," ")</f>
        <v> </v>
      </c>
      <c r="AD269" s="46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46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46" t="str">
        <f aca="false">IF((E270="v"),H270," ")</f>
        <v> </v>
      </c>
      <c r="AD270" s="46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46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46" t="str">
        <f aca="false">IF((E271="v"),H271," ")</f>
        <v> </v>
      </c>
      <c r="AD271" s="46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46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46" t="str">
        <f aca="false">IF((E272="v"),H272," ")</f>
        <v> </v>
      </c>
      <c r="AD272" s="46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46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46" t="str">
        <f aca="false">IF((E273="v"),H273," ")</f>
        <v> </v>
      </c>
      <c r="AD273" s="46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46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46" t="str">
        <f aca="false">IF((E274="v"),H274," ")</f>
        <v> </v>
      </c>
      <c r="AD274" s="46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46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46" t="str">
        <f aca="false">IF((E275="v"),H275," ")</f>
        <v> </v>
      </c>
      <c r="AD275" s="46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46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46" t="str">
        <f aca="false">IF((E276="v"),H276," ")</f>
        <v> </v>
      </c>
      <c r="AD276" s="46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46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46" t="str">
        <f aca="false">IF((E277="v"),H277," ")</f>
        <v> </v>
      </c>
      <c r="AD277" s="46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46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46" t="str">
        <f aca="false">IF((E278="v"),H278," ")</f>
        <v> </v>
      </c>
      <c r="AD278" s="46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46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46" t="str">
        <f aca="false">IF((E279="v"),H279," ")</f>
        <v> </v>
      </c>
      <c r="AD279" s="46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46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46" t="str">
        <f aca="false">IF((E280="v"),H280," ")</f>
        <v> </v>
      </c>
      <c r="AD280" s="46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46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46" t="str">
        <f aca="false">IF((E281="v"),H281," ")</f>
        <v> </v>
      </c>
      <c r="AD281" s="46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46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46" t="str">
        <f aca="false">IF((E282="v"),H282," ")</f>
        <v> </v>
      </c>
      <c r="AD282" s="46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46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46" t="str">
        <f aca="false">IF((E283="v"),H283," ")</f>
        <v> </v>
      </c>
      <c r="AD283" s="46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46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46" t="str">
        <f aca="false">IF((E284="v"),H284," ")</f>
        <v> </v>
      </c>
      <c r="AD284" s="46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46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46" t="str">
        <f aca="false">IF((E285="v"),H285," ")</f>
        <v> </v>
      </c>
      <c r="AD285" s="46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46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46" t="str">
        <f aca="false">IF((E286="v"),H286," ")</f>
        <v> </v>
      </c>
      <c r="AD286" s="46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46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46" t="str">
        <f aca="false">IF((E287="v"),H287," ")</f>
        <v> </v>
      </c>
      <c r="AD287" s="46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46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46" t="str">
        <f aca="false">IF((E288="v"),H288," ")</f>
        <v> </v>
      </c>
      <c r="AD288" s="46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46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46" t="str">
        <f aca="false">IF((E289="v"),H289," ")</f>
        <v> </v>
      </c>
      <c r="AD289" s="46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46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46" t="str">
        <f aca="false">IF((E290="v"),H290," ")</f>
        <v> </v>
      </c>
      <c r="AD290" s="46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46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46" t="str">
        <f aca="false">IF((E291="v"),H291," ")</f>
        <v> </v>
      </c>
      <c r="AD291" s="46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46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46" t="str">
        <f aca="false">IF((E292="v"),H292," ")</f>
        <v> </v>
      </c>
      <c r="AD292" s="46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46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46" t="str">
        <f aca="false">IF((E293="v"),H293," ")</f>
        <v> </v>
      </c>
      <c r="AD293" s="46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46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46" t="str">
        <f aca="false">IF((E294="v"),H294," ")</f>
        <v> </v>
      </c>
      <c r="AD294" s="46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46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46" t="str">
        <f aca="false">IF((E295="v"),H295," ")</f>
        <v> </v>
      </c>
      <c r="AD295" s="46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46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46" t="str">
        <f aca="false">IF((E296="v"),H296," ")</f>
        <v> </v>
      </c>
      <c r="AD296" s="46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46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46" t="str">
        <f aca="false">IF((E297="v"),H297," ")</f>
        <v> </v>
      </c>
      <c r="AD297" s="46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46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46" t="str">
        <f aca="false">IF((E298="v"),H298," ")</f>
        <v> </v>
      </c>
      <c r="AD298" s="46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46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46" t="str">
        <f aca="false">IF((E299="v"),H299," ")</f>
        <v> </v>
      </c>
      <c r="AD299" s="46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</row>
    <row r="300" customFormat="false" ht="12" hidden="false" customHeight="false" outlineLevel="0" collapsed="false">
      <c r="A300" s="31"/>
      <c r="B300" s="32"/>
      <c r="C300" s="33"/>
      <c r="D300" s="32"/>
      <c r="E300" s="47" t="str">
        <f aca="false">IF((F300&lt;&gt;0),"Enter Letter"," ")</f>
        <v> </v>
      </c>
      <c r="F300" s="48"/>
      <c r="G300" s="35" t="str">
        <f aca="false">IF(F300&lt;&gt;0,F300*G$2/(100+G$2)," ")</f>
        <v> </v>
      </c>
      <c r="H300" s="35" t="str">
        <f aca="false">IF((F300&lt;&gt;0),F300-G300," ")</f>
        <v> </v>
      </c>
      <c r="I300" s="49"/>
      <c r="J300" s="35"/>
      <c r="K300" s="35"/>
      <c r="L300" s="36" t="str">
        <f aca="false">IF(F300&lt;&gt;0,F300-K300," ")</f>
        <v> </v>
      </c>
      <c r="M300" s="37" t="str">
        <f aca="false">IF((F300-K300)&lt;&gt;0,M$1-A300," ")</f>
        <v> </v>
      </c>
      <c r="N300" s="49"/>
      <c r="O300" s="50" t="str">
        <f aca="false">IF((E300="s"),H300," ")</f>
        <v> </v>
      </c>
      <c r="P300" s="50" t="str">
        <f aca="false">IF((E300="c"),H300," ")</f>
        <v> </v>
      </c>
      <c r="Q300" s="50" t="str">
        <f aca="false">IF((E300="o"),H300," ")</f>
        <v> </v>
      </c>
      <c r="R300" s="50" t="str">
        <f aca="false">IF((E300="d"),H300," ")</f>
        <v> </v>
      </c>
      <c r="S300" s="50" t="str">
        <f aca="false">IF((E300="w"),H300," ")</f>
        <v> </v>
      </c>
      <c r="T300" s="50" t="str">
        <f aca="false">IF((E300="r"),H300," ")</f>
        <v> </v>
      </c>
      <c r="U300" s="50" t="str">
        <f aca="false">IF((E300="p"),H300," ")</f>
        <v> </v>
      </c>
      <c r="V300" s="50" t="str">
        <f aca="false">IF((E300="t"),H300," ")</f>
        <v> </v>
      </c>
      <c r="W300" s="50" t="str">
        <f aca="false">IF((E300="q"),H300," ")</f>
        <v> </v>
      </c>
      <c r="X300" s="50" t="str">
        <f aca="false">IF((E300="m"),H300," ")</f>
        <v> </v>
      </c>
      <c r="Y300" s="50" t="str">
        <f aca="false">IF((E300="u"),H300," ")</f>
        <v> </v>
      </c>
      <c r="Z300" s="50" t="str">
        <f aca="false">IF((E300="a"),H300," ")</f>
        <v> </v>
      </c>
      <c r="AA300" s="50" t="str">
        <f aca="false">IF((E300="g"),H300," ")</f>
        <v> </v>
      </c>
      <c r="AB300" s="50" t="str">
        <f aca="false">IF((E300="h"),H300," ")</f>
        <v> </v>
      </c>
      <c r="AC300" s="48" t="str">
        <f aca="false">IF((E300="v"),H300," ")</f>
        <v> </v>
      </c>
      <c r="AD300" s="48" t="str">
        <f aca="false">IF((E300="n"),H300," ")</f>
        <v> </v>
      </c>
      <c r="AE300" s="50" t="str">
        <f aca="false">IF((E300="f"),H300," ")</f>
        <v> </v>
      </c>
      <c r="AF300" s="50" t="str">
        <f aca="false">IF((E300="l"),H300," ")</f>
        <v> </v>
      </c>
      <c r="AG300" s="50" t="str">
        <f aca="false">IF((E300="y"),H300," ")</f>
        <v> </v>
      </c>
      <c r="AH300" s="50" t="str">
        <f aca="false">IF((E300="z"),H300," ")</f>
        <v> </v>
      </c>
      <c r="AI300" s="50" t="str">
        <f aca="false">IF((E300="fa"),H300," ")</f>
        <v> </v>
      </c>
      <c r="AJ300" s="50"/>
      <c r="AK300" s="50"/>
      <c r="AL300" s="50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8" width="10.5"/>
    <col collapsed="false" customWidth="true" hidden="false" outlineLevel="0" max="35" min="31" style="17" width="10.5"/>
    <col collapsed="false" customWidth="true" hidden="false" outlineLevel="0" max="36" min="36" style="17" width="0.82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s="17" customFormat="true" ht="12.75" hidden="false" customHeight="true" outlineLevel="0" collapsed="false">
      <c r="A1" s="39" t="n">
        <f aca="false">F1-G1-SUM(O1:AI1)</f>
        <v>0</v>
      </c>
      <c r="B1" s="40" t="s">
        <v>22</v>
      </c>
      <c r="C1" s="20" t="s">
        <v>5</v>
      </c>
      <c r="D1" s="41" t="s">
        <v>23</v>
      </c>
      <c r="E1" s="41"/>
      <c r="F1" s="12" t="n">
        <f aca="false">SUM(F5:F300)</f>
        <v>4975</v>
      </c>
      <c r="G1" s="12" t="n">
        <f aca="false">SUM(G5:G300)</f>
        <v>0</v>
      </c>
      <c r="H1" s="12" t="n">
        <f aca="false">SUM(H5:H300)</f>
        <v>4975</v>
      </c>
      <c r="I1" s="13"/>
      <c r="J1" s="14" t="s">
        <v>2</v>
      </c>
      <c r="K1" s="15" t="n">
        <f aca="false">SUM(K5:K300)</f>
        <v>0</v>
      </c>
      <c r="L1" s="15" t="n">
        <f aca="false">SUM(L5:L300)</f>
        <v>4975</v>
      </c>
      <c r="M1" s="16" t="n">
        <f aca="true">TODAY()</f>
        <v>46137</v>
      </c>
      <c r="N1" s="13"/>
      <c r="O1" s="12" t="n">
        <f aca="false">SUM(O5:O300)</f>
        <v>240</v>
      </c>
      <c r="P1" s="12" t="n">
        <f aca="false">SUM(P5:P300)</f>
        <v>0</v>
      </c>
      <c r="Q1" s="12" t="n">
        <f aca="false">SUM(Q5:Q300)</f>
        <v>249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1200</v>
      </c>
      <c r="U1" s="12" t="n">
        <f aca="false">SUM(U5:U300)</f>
        <v>300</v>
      </c>
      <c r="V1" s="12" t="n">
        <f aca="false">SUM(V5:V300)</f>
        <v>96</v>
      </c>
      <c r="W1" s="12" t="n">
        <f aca="false">SUM(W5:W300)</f>
        <v>360</v>
      </c>
      <c r="X1" s="12" t="n">
        <f aca="false">SUM(X5:X300)</f>
        <v>0</v>
      </c>
      <c r="Y1" s="12" t="n">
        <f aca="false">SUM(Y5:Y300)</f>
        <v>115</v>
      </c>
      <c r="Z1" s="12" t="n">
        <f aca="false">SUM(Z5:Z300)</f>
        <v>0</v>
      </c>
      <c r="AA1" s="12" t="n">
        <f aca="false">SUM(AA5:AA300)</f>
        <v>147</v>
      </c>
      <c r="AB1" s="12" t="n">
        <f aca="false">SUM(AB5:AB300)</f>
        <v>92</v>
      </c>
      <c r="AC1" s="12" t="n">
        <f aca="false">SUM(AC5:AC300)</f>
        <v>708</v>
      </c>
      <c r="AD1" s="12" t="n">
        <f aca="false">SUM(AD5:AD300)</f>
        <v>0</v>
      </c>
      <c r="AE1" s="12" t="n">
        <f aca="false">SUM(AE5:AE300)</f>
        <v>0</v>
      </c>
      <c r="AF1" s="12" t="n">
        <f aca="false">SUM(AF5:AF300)</f>
        <v>1468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0</v>
      </c>
      <c r="AJ1" s="42"/>
      <c r="AK1" s="12" t="n">
        <f aca="false">SUM(AK5:AK300)</f>
        <v>0</v>
      </c>
      <c r="AL1" s="43"/>
    </row>
    <row r="2" s="17" customFormat="tru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IF([2]Nov!$G$4&gt;0,0,[2]Nov!$G$2)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42"/>
      <c r="AK2" s="19" t="s">
        <v>43</v>
      </c>
      <c r="AL2" s="19"/>
    </row>
    <row r="3" s="26" customFormat="tru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44</v>
      </c>
      <c r="P3" s="21" t="s">
        <v>45</v>
      </c>
      <c r="Q3" s="21" t="s">
        <v>46</v>
      </c>
      <c r="R3" s="19"/>
      <c r="S3" s="19"/>
      <c r="T3" s="21" t="s">
        <v>47</v>
      </c>
      <c r="U3" s="21" t="s">
        <v>48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42"/>
      <c r="AK3" s="19" t="s">
        <v>49</v>
      </c>
      <c r="AL3" s="19"/>
    </row>
    <row r="4" s="27" customFormat="tru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50</v>
      </c>
      <c r="P4" s="44" t="s">
        <v>51</v>
      </c>
      <c r="Q4" s="44" t="s">
        <v>52</v>
      </c>
      <c r="R4" s="44" t="s">
        <v>53</v>
      </c>
      <c r="S4" s="44" t="s">
        <v>54</v>
      </c>
      <c r="T4" s="44" t="s">
        <v>55</v>
      </c>
      <c r="U4" s="44" t="s">
        <v>56</v>
      </c>
      <c r="V4" s="44" t="s">
        <v>57</v>
      </c>
      <c r="W4" s="44" t="s">
        <v>58</v>
      </c>
      <c r="X4" s="44" t="s">
        <v>59</v>
      </c>
      <c r="Y4" s="44" t="s">
        <v>60</v>
      </c>
      <c r="Z4" s="44" t="s">
        <v>61</v>
      </c>
      <c r="AA4" s="44" t="s">
        <v>62</v>
      </c>
      <c r="AB4" s="44" t="s">
        <v>63</v>
      </c>
      <c r="AC4" s="45" t="s">
        <v>64</v>
      </c>
      <c r="AD4" s="45" t="s">
        <v>65</v>
      </c>
      <c r="AE4" s="44" t="s">
        <v>66</v>
      </c>
      <c r="AF4" s="44" t="s">
        <v>67</v>
      </c>
      <c r="AG4" s="44" t="s">
        <v>68</v>
      </c>
      <c r="AH4" s="44" t="s">
        <v>69</v>
      </c>
      <c r="AI4" s="44" t="s">
        <v>70</v>
      </c>
      <c r="AJ4" s="42"/>
      <c r="AK4" s="19" t="s">
        <v>71</v>
      </c>
      <c r="AL4" s="19" t="s">
        <v>72</v>
      </c>
    </row>
    <row r="5" s="5" customFormat="true" ht="12" hidden="false" customHeight="false" outlineLevel="0" collapsed="false">
      <c r="A5" s="28" t="n">
        <v>45962</v>
      </c>
      <c r="B5" s="5" t="s">
        <v>14</v>
      </c>
      <c r="E5" s="5" t="s">
        <v>73</v>
      </c>
      <c r="F5" s="46" t="n">
        <v>1200</v>
      </c>
      <c r="H5" s="6" t="n">
        <f aca="false">IF((F5&lt;&gt;0),F5-G5," ")</f>
        <v>1200</v>
      </c>
      <c r="J5" s="6"/>
      <c r="K5" s="6"/>
      <c r="L5" s="7" t="n">
        <f aca="false">IF(F5&lt;&gt;0,F5-K5," ")</f>
        <v>1200</v>
      </c>
      <c r="M5" s="8" t="n">
        <f aca="false">IF((F5-K5)&lt;&gt;0,M$1-A5," ")</f>
        <v>175</v>
      </c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1200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46" t="str">
        <f aca="false">IF((E5="v"),H5," ")</f>
        <v> </v>
      </c>
      <c r="AD5" s="46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/>
      <c r="AK5" s="17"/>
      <c r="AL5" s="17"/>
    </row>
    <row r="6" customFormat="false" ht="12" hidden="false" customHeight="false" outlineLevel="0" collapsed="false">
      <c r="A6" s="28" t="n">
        <v>45962</v>
      </c>
      <c r="B6" s="2" t="s">
        <v>74</v>
      </c>
      <c r="E6" s="5" t="s">
        <v>75</v>
      </c>
      <c r="F6" s="46" t="n">
        <v>30</v>
      </c>
      <c r="H6" s="6" t="n">
        <f aca="false">IF((F6&lt;&gt;0),F6-G6," ")</f>
        <v>30</v>
      </c>
      <c r="I6" s="5"/>
      <c r="L6" s="7" t="n">
        <f aca="false">IF(F6&lt;&gt;0,F6-K6," ")</f>
        <v>30</v>
      </c>
      <c r="M6" s="8" t="n">
        <f aca="false">IF((F6-K6)&lt;&gt;0,M$1-A6," ")</f>
        <v>175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30</v>
      </c>
      <c r="AB6" s="17" t="str">
        <f aca="false">IF((E6="h"),H6," ")</f>
        <v> </v>
      </c>
      <c r="AC6" s="46" t="str">
        <f aca="false">IF((E6="v"),H6," ")</f>
        <v> </v>
      </c>
      <c r="AD6" s="46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</row>
    <row r="7" customFormat="false" ht="12" hidden="false" customHeight="false" outlineLevel="0" collapsed="false">
      <c r="A7" s="28" t="n">
        <v>45962</v>
      </c>
      <c r="B7" s="2" t="s">
        <v>76</v>
      </c>
      <c r="E7" s="5" t="s">
        <v>75</v>
      </c>
      <c r="F7" s="46" t="n">
        <v>15</v>
      </c>
      <c r="H7" s="6" t="n">
        <f aca="false">IF((F7&lt;&gt;0),F7-G7," ")</f>
        <v>15</v>
      </c>
      <c r="I7" s="5"/>
      <c r="L7" s="7" t="n">
        <f aca="false">IF(F7&lt;&gt;0,F7-K7," ")</f>
        <v>15</v>
      </c>
      <c r="M7" s="8" t="n">
        <f aca="false">IF((F7-K7)&lt;&gt;0,M$1-A7," ")</f>
        <v>175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15</v>
      </c>
      <c r="AB7" s="17" t="str">
        <f aca="false">IF((E7="h"),H7," ")</f>
        <v> </v>
      </c>
      <c r="AC7" s="46" t="str">
        <f aca="false">IF((E7="v"),H7," ")</f>
        <v> </v>
      </c>
      <c r="AD7" s="46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</row>
    <row r="8" customFormat="false" ht="12" hidden="false" customHeight="false" outlineLevel="0" collapsed="false">
      <c r="A8" s="28" t="n">
        <v>45962</v>
      </c>
      <c r="B8" s="2" t="s">
        <v>77</v>
      </c>
      <c r="E8" s="5" t="s">
        <v>78</v>
      </c>
      <c r="F8" s="46" t="n">
        <v>45</v>
      </c>
      <c r="H8" s="6" t="n">
        <f aca="false">IF((F8&lt;&gt;0),F8-G8," ")</f>
        <v>45</v>
      </c>
      <c r="I8" s="5"/>
      <c r="L8" s="7" t="n">
        <f aca="false">IF(F8&lt;&gt;0,F8-K8," ")</f>
        <v>45</v>
      </c>
      <c r="M8" s="8" t="n">
        <f aca="false">IF((F8-K8)&lt;&gt;0,M$1-A8," ")</f>
        <v>175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45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46" t="str">
        <f aca="false">IF((E8="v"),H8," ")</f>
        <v> </v>
      </c>
      <c r="AD8" s="46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</row>
    <row r="9" customFormat="false" ht="12" hidden="false" customHeight="false" outlineLevel="0" collapsed="false">
      <c r="A9" s="28" t="n">
        <v>45962</v>
      </c>
      <c r="B9" s="2" t="s">
        <v>81</v>
      </c>
      <c r="E9" s="5" t="s">
        <v>78</v>
      </c>
      <c r="F9" s="46" t="n">
        <v>24</v>
      </c>
      <c r="H9" s="6" t="n">
        <f aca="false">IF((F9&lt;&gt;0),F9-G9," ")</f>
        <v>24</v>
      </c>
      <c r="I9" s="5"/>
      <c r="L9" s="7" t="n">
        <f aca="false">IF(F9&lt;&gt;0,F9-K9," ")</f>
        <v>24</v>
      </c>
      <c r="M9" s="8" t="n">
        <f aca="false">IF((F9-K9)&lt;&gt;0,M$1-A9," ")</f>
        <v>175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n">
        <f aca="false">IF((E9="o"),H9," ")</f>
        <v>24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46" t="str">
        <f aca="false">IF((E9="v"),H9," ")</f>
        <v> </v>
      </c>
      <c r="AD9" s="46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</row>
    <row r="10" customFormat="false" ht="12" hidden="false" customHeight="false" outlineLevel="0" collapsed="false">
      <c r="A10" s="28" t="n">
        <v>45962</v>
      </c>
      <c r="B10" s="2" t="s">
        <v>82</v>
      </c>
      <c r="E10" s="5" t="s">
        <v>75</v>
      </c>
      <c r="F10" s="46" t="n">
        <v>18</v>
      </c>
      <c r="H10" s="6" t="n">
        <f aca="false">IF((F10&lt;&gt;0),F10-G10," ")</f>
        <v>18</v>
      </c>
      <c r="I10" s="5"/>
      <c r="L10" s="7" t="n">
        <f aca="false">IF(F10&lt;&gt;0,F10-K10," ")</f>
        <v>18</v>
      </c>
      <c r="M10" s="8" t="n">
        <f aca="false">IF((F10-K10)&lt;&gt;0,M$1-A10," ")</f>
        <v>175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str">
        <f aca="false">IF((E10="o"),H10," ")</f>
        <v> 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n">
        <f aca="false">IF((E10="g"),H10," ")</f>
        <v>18</v>
      </c>
      <c r="AB10" s="17" t="str">
        <f aca="false">IF((E10="h"),H10," ")</f>
        <v> </v>
      </c>
      <c r="AC10" s="46" t="str">
        <f aca="false">IF((E10="v"),H10," ")</f>
        <v> </v>
      </c>
      <c r="AD10" s="46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</row>
    <row r="11" customFormat="false" ht="12" hidden="false" customHeight="false" outlineLevel="0" collapsed="false">
      <c r="A11" s="28" t="n">
        <v>45964</v>
      </c>
      <c r="B11" s="2" t="s">
        <v>83</v>
      </c>
      <c r="E11" s="5" t="s">
        <v>78</v>
      </c>
      <c r="F11" s="46" t="n">
        <v>180</v>
      </c>
      <c r="H11" s="6" t="n">
        <f aca="false">IF((F11&lt;&gt;0),F11-G11," ")</f>
        <v>180</v>
      </c>
      <c r="I11" s="5"/>
      <c r="L11" s="7" t="n">
        <f aca="false">IF(F11&lt;&gt;0,F11-K11," ")</f>
        <v>180</v>
      </c>
      <c r="M11" s="8" t="n">
        <f aca="false">IF((F11-K11)&lt;&gt;0,M$1-A11," ")</f>
        <v>173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n">
        <f aca="false">IF((E11="o"),H11," ")</f>
        <v>180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str">
        <f aca="false">IF((E11="g"),H11," ")</f>
        <v> </v>
      </c>
      <c r="AB11" s="17" t="str">
        <f aca="false">IF((E11="h"),H11," ")</f>
        <v> </v>
      </c>
      <c r="AC11" s="46" t="str">
        <f aca="false">IF((E11="v"),H11," ")</f>
        <v> </v>
      </c>
      <c r="AD11" s="46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</row>
    <row r="12" customFormat="false" ht="12" hidden="false" customHeight="false" outlineLevel="0" collapsed="false">
      <c r="A12" s="28" t="n">
        <v>45964</v>
      </c>
      <c r="B12" s="2" t="s">
        <v>84</v>
      </c>
      <c r="E12" s="5" t="s">
        <v>85</v>
      </c>
      <c r="F12" s="46" t="n">
        <v>22</v>
      </c>
      <c r="H12" s="6" t="n">
        <f aca="false">IF((F12&lt;&gt;0),F12-G12," ")</f>
        <v>22</v>
      </c>
      <c r="I12" s="5"/>
      <c r="L12" s="7" t="n">
        <f aca="false">IF(F12&lt;&gt;0,F12-K12," ")</f>
        <v>22</v>
      </c>
      <c r="M12" s="8" t="n">
        <f aca="false">IF((F12-K12)&lt;&gt;0,M$1-A12," ")</f>
        <v>173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str">
        <f aca="false">IF((E12="o"),H12," ")</f>
        <v> 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n">
        <f aca="false">IF((E12="u"),H12," ")</f>
        <v>22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46" t="str">
        <f aca="false">IF((E12="v"),H12," ")</f>
        <v> </v>
      </c>
      <c r="AD12" s="46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</row>
    <row r="13" customFormat="false" ht="12" hidden="false" customHeight="false" outlineLevel="0" collapsed="false">
      <c r="A13" s="28" t="n">
        <v>45966</v>
      </c>
      <c r="B13" s="2" t="s">
        <v>86</v>
      </c>
      <c r="E13" s="5" t="s">
        <v>85</v>
      </c>
      <c r="F13" s="46" t="n">
        <v>24</v>
      </c>
      <c r="H13" s="6" t="n">
        <f aca="false">IF((F13&lt;&gt;0),F13-G13," ")</f>
        <v>24</v>
      </c>
      <c r="I13" s="5"/>
      <c r="L13" s="7" t="n">
        <f aca="false">IF(F13&lt;&gt;0,F13-K13," ")</f>
        <v>24</v>
      </c>
      <c r="M13" s="8" t="n">
        <f aca="false">IF((F13-K13)&lt;&gt;0,M$1-A13," ")</f>
        <v>171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24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46" t="str">
        <f aca="false">IF((E13="v"),H13," ")</f>
        <v> </v>
      </c>
      <c r="AD13" s="46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</row>
    <row r="14" customFormat="false" ht="12" hidden="false" customHeight="false" outlineLevel="0" collapsed="false">
      <c r="A14" s="28" t="n">
        <v>45966</v>
      </c>
      <c r="B14" s="2" t="s">
        <v>87</v>
      </c>
      <c r="E14" s="5" t="s">
        <v>88</v>
      </c>
      <c r="F14" s="46" t="n">
        <v>180</v>
      </c>
      <c r="H14" s="6" t="n">
        <f aca="false">IF((F14&lt;&gt;0),F14-G14," ")</f>
        <v>180</v>
      </c>
      <c r="I14" s="5"/>
      <c r="L14" s="7" t="n">
        <f aca="false">IF(F14&lt;&gt;0,F14-K14," ")</f>
        <v>180</v>
      </c>
      <c r="M14" s="8" t="n">
        <f aca="false">IF((F14-K14)&lt;&gt;0,M$1-A14," ")</f>
        <v>171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str">
        <f aca="false">IF((E14="u"),H14," ")</f>
        <v> 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46" t="n">
        <f aca="false">IF((E14="v"),H14," ")</f>
        <v>180</v>
      </c>
      <c r="AD14" s="46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</row>
    <row r="15" customFormat="false" ht="12" hidden="false" customHeight="false" outlineLevel="0" collapsed="false">
      <c r="A15" s="28" t="n">
        <v>45969</v>
      </c>
      <c r="B15" s="2" t="s">
        <v>90</v>
      </c>
      <c r="E15" s="5" t="s">
        <v>91</v>
      </c>
      <c r="F15" s="46" t="n">
        <v>48</v>
      </c>
      <c r="H15" s="6" t="n">
        <f aca="false">IF((F15&lt;&gt;0),F15-G15," ")</f>
        <v>48</v>
      </c>
      <c r="I15" s="5"/>
      <c r="L15" s="7" t="n">
        <f aca="false">IF(F15&lt;&gt;0,F15-K15," ")</f>
        <v>48</v>
      </c>
      <c r="M15" s="8" t="n">
        <f aca="false">IF((F15-K15)&lt;&gt;0,M$1-A15," ")</f>
        <v>168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str">
        <f aca="false">IF((E15="o"),H15," ")</f>
        <v> 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n">
        <f aca="false">IF((E15="h"),H15," ")</f>
        <v>48</v>
      </c>
      <c r="AC15" s="46" t="str">
        <f aca="false">IF((E15="v"),H15," ")</f>
        <v> </v>
      </c>
      <c r="AD15" s="46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</row>
    <row r="16" customFormat="false" ht="12" hidden="false" customHeight="false" outlineLevel="0" collapsed="false">
      <c r="A16" s="28" t="n">
        <v>45969</v>
      </c>
      <c r="B16" s="2" t="s">
        <v>112</v>
      </c>
      <c r="E16" s="5" t="s">
        <v>113</v>
      </c>
      <c r="F16" s="46" t="n">
        <v>360</v>
      </c>
      <c r="H16" s="6" t="n">
        <f aca="false">IF((F16&lt;&gt;0),F16-G16," ")</f>
        <v>360</v>
      </c>
      <c r="I16" s="5"/>
      <c r="L16" s="7" t="n">
        <f aca="false">IF(F16&lt;&gt;0,F16-K16," ")</f>
        <v>360</v>
      </c>
      <c r="M16" s="8" t="n">
        <f aca="false">IF((F16-K16)&lt;&gt;0,M$1-A16," ")</f>
        <v>168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n">
        <f aca="false">IF((E16="q"),H16," ")</f>
        <v>360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str">
        <f aca="false">IF((E16="h"),H16," ")</f>
        <v> </v>
      </c>
      <c r="AC16" s="46" t="str">
        <f aca="false">IF((E16="v"),H16," ")</f>
        <v> </v>
      </c>
      <c r="AD16" s="46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</row>
    <row r="17" customFormat="false" ht="12" hidden="false" customHeight="false" outlineLevel="0" collapsed="false">
      <c r="A17" s="28" t="n">
        <v>45971</v>
      </c>
      <c r="B17" s="2" t="s">
        <v>92</v>
      </c>
      <c r="E17" s="5" t="s">
        <v>85</v>
      </c>
      <c r="F17" s="46" t="n">
        <v>36</v>
      </c>
      <c r="H17" s="6" t="n">
        <f aca="false">IF((F17&lt;&gt;0),F17-G17," ")</f>
        <v>36</v>
      </c>
      <c r="I17" s="5"/>
      <c r="L17" s="7" t="n">
        <f aca="false">IF(F17&lt;&gt;0,F17-K17," ")</f>
        <v>36</v>
      </c>
      <c r="M17" s="8" t="n">
        <f aca="false">IF((F17-K17)&lt;&gt;0,M$1-A17," ")</f>
        <v>166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n">
        <f aca="false">IF((E17="u"),H17," ")</f>
        <v>36</v>
      </c>
      <c r="Z17" s="17" t="str">
        <f aca="false">IF((E17="a"),H17," ")</f>
        <v> </v>
      </c>
      <c r="AA17" s="17" t="str">
        <f aca="false">IF((E17="g"),H17," ")</f>
        <v> </v>
      </c>
      <c r="AB17" s="17" t="str">
        <f aca="false">IF((E17="h"),H17," ")</f>
        <v> </v>
      </c>
      <c r="AC17" s="46" t="str">
        <f aca="false">IF((E17="v"),H17," ")</f>
        <v> </v>
      </c>
      <c r="AD17" s="46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</row>
    <row r="18" customFormat="false" ht="12" hidden="false" customHeight="false" outlineLevel="0" collapsed="false">
      <c r="A18" s="28" t="n">
        <v>45971</v>
      </c>
      <c r="B18" s="2" t="s">
        <v>101</v>
      </c>
      <c r="E18" s="5" t="s">
        <v>121</v>
      </c>
      <c r="F18" s="46" t="n">
        <v>96</v>
      </c>
      <c r="H18" s="6" t="n">
        <f aca="false">IF((F18&lt;&gt;0),F18-G18," ")</f>
        <v>96</v>
      </c>
      <c r="I18" s="5"/>
      <c r="L18" s="7" t="n">
        <f aca="false">IF(F18&lt;&gt;0,F18-K18," ")</f>
        <v>96</v>
      </c>
      <c r="M18" s="8" t="n">
        <f aca="false">IF((F18-K18)&lt;&gt;0,M$1-A18," ")</f>
        <v>166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n">
        <f aca="false">IF((E18="t"),H18," ")</f>
        <v>96</v>
      </c>
      <c r="W18" s="17" t="str">
        <f aca="false">IF((E18="q"),H18," ")</f>
        <v> </v>
      </c>
      <c r="X18" s="17" t="str">
        <f aca="false">IF((E18="m"),H18," ")</f>
        <v> </v>
      </c>
      <c r="Y18" s="17" t="str">
        <f aca="false">IF((E18="u"),H18," ")</f>
        <v> 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46" t="str">
        <f aca="false">IF((E18="v"),H18," ")</f>
        <v> </v>
      </c>
      <c r="AD18" s="46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</row>
    <row r="19" customFormat="false" ht="12" hidden="false" customHeight="false" outlineLevel="0" collapsed="false">
      <c r="A19" s="28" t="n">
        <v>45973</v>
      </c>
      <c r="B19" s="2" t="s">
        <v>97</v>
      </c>
      <c r="E19" s="5" t="s">
        <v>88</v>
      </c>
      <c r="F19" s="46" t="n">
        <v>18</v>
      </c>
      <c r="H19" s="6" t="n">
        <f aca="false">IF((F19&lt;&gt;0),F19-G19," ")</f>
        <v>18</v>
      </c>
      <c r="I19" s="5"/>
      <c r="L19" s="7" t="n">
        <f aca="false">IF(F19&lt;&gt;0,F19-K19," ")</f>
        <v>18</v>
      </c>
      <c r="M19" s="8" t="n">
        <f aca="false">IF((F19-K19)&lt;&gt;0,M$1-A19," ")</f>
        <v>164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str">
        <f aca="false">IF((E19="h"),H19," ")</f>
        <v> </v>
      </c>
      <c r="AC19" s="46" t="n">
        <f aca="false">IF((E19="v"),H19," ")</f>
        <v>18</v>
      </c>
      <c r="AD19" s="46" t="str">
        <f aca="false">IF((E19="n"),H19," ")</f>
        <v> </v>
      </c>
      <c r="AE19" s="17" t="str">
        <f aca="false">IF((E19="f"),H19," ")</f>
        <v> 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</row>
    <row r="20" customFormat="false" ht="12" hidden="false" customHeight="false" outlineLevel="0" collapsed="false">
      <c r="A20" s="28" t="n">
        <v>45975</v>
      </c>
      <c r="B20" s="2" t="s">
        <v>99</v>
      </c>
      <c r="E20" s="5" t="s">
        <v>91</v>
      </c>
      <c r="F20" s="46" t="n">
        <v>24</v>
      </c>
      <c r="H20" s="6" t="n">
        <f aca="false">IF((F20&lt;&gt;0),F20-G20," ")</f>
        <v>24</v>
      </c>
      <c r="I20" s="5"/>
      <c r="L20" s="7" t="n">
        <f aca="false">IF(F20&lt;&gt;0,F20-K20," ")</f>
        <v>24</v>
      </c>
      <c r="M20" s="8" t="n">
        <f aca="false">IF((F20-K20)&lt;&gt;0,M$1-A20," ")</f>
        <v>162</v>
      </c>
      <c r="N20" s="5"/>
      <c r="O20" s="17" t="str">
        <f aca="false">IF((E20="s"),H20," ")</f>
        <v> 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n">
        <f aca="false">IF((E20="h"),H20," ")</f>
        <v>24</v>
      </c>
      <c r="AC20" s="46" t="str">
        <f aca="false">IF((E20="v"),H20," ")</f>
        <v> </v>
      </c>
      <c r="AD20" s="46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</row>
    <row r="21" customFormat="false" ht="12" hidden="false" customHeight="false" outlineLevel="0" collapsed="false">
      <c r="A21" s="28" t="n">
        <v>45975</v>
      </c>
      <c r="B21" s="2" t="s">
        <v>100</v>
      </c>
      <c r="E21" s="5" t="s">
        <v>91</v>
      </c>
      <c r="F21" s="46" t="n">
        <v>12</v>
      </c>
      <c r="H21" s="6" t="n">
        <f aca="false">IF((F21&lt;&gt;0),F21-G21," ")</f>
        <v>12</v>
      </c>
      <c r="I21" s="5"/>
      <c r="L21" s="7" t="n">
        <f aca="false">IF(F21&lt;&gt;0,F21-K21," ")</f>
        <v>12</v>
      </c>
      <c r="M21" s="8" t="n">
        <f aca="false">IF((F21-K21)&lt;&gt;0,M$1-A21," ")</f>
        <v>162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n">
        <f aca="false">IF((E21="h"),H21," ")</f>
        <v>12</v>
      </c>
      <c r="AC21" s="46" t="str">
        <f aca="false">IF((E21="v"),H21," ")</f>
        <v> </v>
      </c>
      <c r="AD21" s="46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</row>
    <row r="22" customFormat="false" ht="12" hidden="false" customHeight="false" outlineLevel="0" collapsed="false">
      <c r="A22" s="28" t="n">
        <v>45976</v>
      </c>
      <c r="B22" s="2" t="s">
        <v>20</v>
      </c>
      <c r="E22" s="5" t="s">
        <v>88</v>
      </c>
      <c r="F22" s="46" t="n">
        <v>150</v>
      </c>
      <c r="H22" s="6" t="n">
        <f aca="false">IF((F22&lt;&gt;0),F22-G22," ")</f>
        <v>150</v>
      </c>
      <c r="I22" s="5"/>
      <c r="L22" s="7" t="n">
        <f aca="false">IF(F22&lt;&gt;0,F22-K22," ")</f>
        <v>150</v>
      </c>
      <c r="M22" s="8" t="n">
        <f aca="false">IF((F22-K22)&lt;&gt;0,M$1-A22," ")</f>
        <v>161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str">
        <f aca="false">IF((E22="h"),H22," ")</f>
        <v> </v>
      </c>
      <c r="AC22" s="46" t="n">
        <f aca="false">IF((E22="v"),H22," ")</f>
        <v>150</v>
      </c>
      <c r="AD22" s="46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</row>
    <row r="23" customFormat="false" ht="12" hidden="false" customHeight="false" outlineLevel="0" collapsed="false">
      <c r="A23" s="28" t="n">
        <v>45976</v>
      </c>
      <c r="B23" s="2" t="s">
        <v>101</v>
      </c>
      <c r="E23" s="5" t="s">
        <v>75</v>
      </c>
      <c r="F23" s="46" t="n">
        <v>12</v>
      </c>
      <c r="H23" s="6" t="n">
        <f aca="false">IF((F23&lt;&gt;0),F23-G23," ")</f>
        <v>12</v>
      </c>
      <c r="I23" s="5"/>
      <c r="L23" s="7" t="n">
        <f aca="false">IF(F23&lt;&gt;0,F23-K23," ")</f>
        <v>12</v>
      </c>
      <c r="M23" s="8" t="n">
        <f aca="false">IF((F23-K23)&lt;&gt;0,M$1-A23," ")</f>
        <v>161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n">
        <f aca="false">IF((E23="g"),H23," ")</f>
        <v>12</v>
      </c>
      <c r="AB23" s="17" t="str">
        <f aca="false">IF((E23="h"),H23," ")</f>
        <v> </v>
      </c>
      <c r="AC23" s="46" t="str">
        <f aca="false">IF((E23="v"),H23," ")</f>
        <v> </v>
      </c>
      <c r="AD23" s="46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</row>
    <row r="24" customFormat="false" ht="12" hidden="false" customHeight="false" outlineLevel="0" collapsed="false">
      <c r="A24" s="28" t="n">
        <v>45976</v>
      </c>
      <c r="B24" s="2" t="s">
        <v>141</v>
      </c>
      <c r="E24" s="5" t="s">
        <v>110</v>
      </c>
      <c r="F24" s="46" t="n">
        <v>960</v>
      </c>
      <c r="H24" s="6" t="n">
        <f aca="false">IF((F24&lt;&gt;0),F24-G24," ")</f>
        <v>960</v>
      </c>
      <c r="I24" s="5"/>
      <c r="L24" s="7" t="n">
        <f aca="false">IF(F24&lt;&gt;0,F24-K24," ")</f>
        <v>960</v>
      </c>
      <c r="M24" s="8" t="n">
        <f aca="false">IF((F24-K24)&lt;&gt;0,M$1-A24," ")</f>
        <v>161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str">
        <f aca="false">IF((E24="g"),H24," ")</f>
        <v> </v>
      </c>
      <c r="AB24" s="17" t="str">
        <f aca="false">IF((E24="h"),H24," ")</f>
        <v> </v>
      </c>
      <c r="AC24" s="46" t="str">
        <f aca="false">IF((E24="v"),H24," ")</f>
        <v> </v>
      </c>
      <c r="AD24" s="46" t="str">
        <f aca="false">IF((E24="n"),H24," ")</f>
        <v> </v>
      </c>
      <c r="AE24" s="17" t="str">
        <f aca="false">IF((E24="f"),H24," ")</f>
        <v> </v>
      </c>
      <c r="AF24" s="17" t="n">
        <f aca="false">IF((E24="l"),H24," ")</f>
        <v>960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</row>
    <row r="25" customFormat="false" ht="12" hidden="false" customHeight="false" outlineLevel="0" collapsed="false">
      <c r="A25" s="28" t="n">
        <v>45977</v>
      </c>
      <c r="B25" s="2" t="s">
        <v>119</v>
      </c>
      <c r="E25" s="5" t="s">
        <v>75</v>
      </c>
      <c r="F25" s="46" t="n">
        <v>12</v>
      </c>
      <c r="H25" s="6" t="n">
        <f aca="false">IF((F25&lt;&gt;0),F25-G25," ")</f>
        <v>12</v>
      </c>
      <c r="I25" s="5"/>
      <c r="L25" s="7" t="n">
        <f aca="false">IF(F25&lt;&gt;0,F25-K25," ")</f>
        <v>12</v>
      </c>
      <c r="M25" s="8" t="n">
        <f aca="false">IF((F25-K25)&lt;&gt;0,M$1-A25," ")</f>
        <v>160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n">
        <f aca="false">IF((E25="g"),H25," ")</f>
        <v>12</v>
      </c>
      <c r="AB25" s="17" t="str">
        <f aca="false">IF((E25="h"),H25," ")</f>
        <v> </v>
      </c>
      <c r="AC25" s="46" t="str">
        <f aca="false">IF((E25="v"),H25," ")</f>
        <v> </v>
      </c>
      <c r="AD25" s="46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</row>
    <row r="26" customFormat="false" ht="12" hidden="false" customHeight="false" outlineLevel="0" collapsed="false">
      <c r="A26" s="28" t="n">
        <v>45979</v>
      </c>
      <c r="B26" s="2" t="s">
        <v>128</v>
      </c>
      <c r="E26" s="5" t="s">
        <v>96</v>
      </c>
      <c r="F26" s="46" t="n">
        <v>240</v>
      </c>
      <c r="H26" s="6" t="n">
        <f aca="false">IF((F26&lt;&gt;0),F26-G26," ")</f>
        <v>240</v>
      </c>
      <c r="I26" s="5"/>
      <c r="L26" s="7" t="n">
        <f aca="false">IF(F26&lt;&gt;0,F26-K26," ")</f>
        <v>240</v>
      </c>
      <c r="M26" s="8" t="n">
        <f aca="false">IF((F26-K26)&lt;&gt;0,M$1-A26," ")</f>
        <v>158</v>
      </c>
      <c r="N26" s="5"/>
      <c r="O26" s="17" t="n">
        <f aca="false">IF((E26="s"),H26," ")</f>
        <v>240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str">
        <f aca="false">IF((E26="g"),H26," ")</f>
        <v> </v>
      </c>
      <c r="AB26" s="17" t="str">
        <f aca="false">IF((E26="h"),H26," ")</f>
        <v> </v>
      </c>
      <c r="AC26" s="46" t="str">
        <f aca="false">IF((E26="v"),H26," ")</f>
        <v> </v>
      </c>
      <c r="AD26" s="46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</row>
    <row r="27" customFormat="false" ht="12" hidden="false" customHeight="false" outlineLevel="0" collapsed="false">
      <c r="A27" s="28" t="n">
        <v>45979</v>
      </c>
      <c r="B27" s="2" t="s">
        <v>102</v>
      </c>
      <c r="E27" s="5" t="s">
        <v>88</v>
      </c>
      <c r="F27" s="46" t="n">
        <v>96</v>
      </c>
      <c r="H27" s="6" t="n">
        <f aca="false">IF((F27&lt;&gt;0),F27-G27," ")</f>
        <v>96</v>
      </c>
      <c r="I27" s="5"/>
      <c r="L27" s="7" t="n">
        <f aca="false">IF(F27&lt;&gt;0,F27-K27," ")</f>
        <v>96</v>
      </c>
      <c r="M27" s="8" t="n">
        <f aca="false">IF((F27-K27)&lt;&gt;0,M$1-A27," ")</f>
        <v>158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str">
        <f aca="false">IF((E27="h"),H27," ")</f>
        <v> </v>
      </c>
      <c r="AC27" s="46" t="n">
        <f aca="false">IF((E27="v"),H27," ")</f>
        <v>96</v>
      </c>
      <c r="AD27" s="46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</row>
    <row r="28" customFormat="false" ht="12" hidden="false" customHeight="false" outlineLevel="0" collapsed="false">
      <c r="A28" s="28" t="n">
        <v>45981</v>
      </c>
      <c r="B28" s="2" t="s">
        <v>103</v>
      </c>
      <c r="E28" s="5" t="s">
        <v>75</v>
      </c>
      <c r="F28" s="46" t="n">
        <v>60</v>
      </c>
      <c r="H28" s="6" t="n">
        <f aca="false">IF((F28&lt;&gt;0),F28-G28," ")</f>
        <v>60</v>
      </c>
      <c r="I28" s="5"/>
      <c r="L28" s="7" t="n">
        <f aca="false">IF(F28&lt;&gt;0,F28-K28," ")</f>
        <v>60</v>
      </c>
      <c r="M28" s="8" t="n">
        <f aca="false">IF((F28-K28)&lt;&gt;0,M$1-A28," ")</f>
        <v>156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n">
        <f aca="false">IF((E28="g"),H28," ")</f>
        <v>60</v>
      </c>
      <c r="AB28" s="17" t="str">
        <f aca="false">IF((E28="h"),H28," ")</f>
        <v> </v>
      </c>
      <c r="AC28" s="46" t="str">
        <f aca="false">IF((E28="v"),H28," ")</f>
        <v> </v>
      </c>
      <c r="AD28" s="46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</row>
    <row r="29" customFormat="false" ht="12" hidden="false" customHeight="false" outlineLevel="0" collapsed="false">
      <c r="A29" s="28" t="n">
        <v>45982</v>
      </c>
      <c r="B29" s="2" t="s">
        <v>106</v>
      </c>
      <c r="E29" s="5" t="s">
        <v>91</v>
      </c>
      <c r="F29" s="46" t="n">
        <v>8</v>
      </c>
      <c r="H29" s="6" t="n">
        <f aca="false">IF((F29&lt;&gt;0),F29-G29," ")</f>
        <v>8</v>
      </c>
      <c r="I29" s="5"/>
      <c r="L29" s="7" t="n">
        <f aca="false">IF(F29&lt;&gt;0,F29-K29," ")</f>
        <v>8</v>
      </c>
      <c r="M29" s="8" t="n">
        <f aca="false">IF((F29-K29)&lt;&gt;0,M$1-A29," ")</f>
        <v>155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n">
        <f aca="false">IF((E29="h"),H29," ")</f>
        <v>8</v>
      </c>
      <c r="AC29" s="46" t="str">
        <f aca="false">IF((E29="v"),H29," ")</f>
        <v> </v>
      </c>
      <c r="AD29" s="46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</row>
    <row r="30" customFormat="false" ht="12" hidden="false" customHeight="false" outlineLevel="0" collapsed="false">
      <c r="A30" s="28" t="n">
        <v>45983</v>
      </c>
      <c r="B30" s="2" t="s">
        <v>107</v>
      </c>
      <c r="E30" s="5" t="s">
        <v>85</v>
      </c>
      <c r="F30" s="46" t="n">
        <v>18</v>
      </c>
      <c r="H30" s="6" t="n">
        <f aca="false">IF((F30&lt;&gt;0),F30-G30," ")</f>
        <v>18</v>
      </c>
      <c r="I30" s="5"/>
      <c r="L30" s="7" t="n">
        <f aca="false">IF(F30&lt;&gt;0,F30-K30," ")</f>
        <v>18</v>
      </c>
      <c r="M30" s="8" t="n">
        <f aca="false">IF((F30-K30)&lt;&gt;0,M$1-A30," ")</f>
        <v>154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n">
        <f aca="false">IF((E30="u"),H30," ")</f>
        <v>18</v>
      </c>
      <c r="Z30" s="17" t="str">
        <f aca="false">IF((E30="a"),H30," ")</f>
        <v> </v>
      </c>
      <c r="AA30" s="17" t="str">
        <f aca="false">IF((E30="g"),H30," ")</f>
        <v> </v>
      </c>
      <c r="AB30" s="17" t="str">
        <f aca="false">IF((E30="h"),H30," ")</f>
        <v> </v>
      </c>
      <c r="AC30" s="46" t="str">
        <f aca="false">IF((E30="v"),H30," ")</f>
        <v> </v>
      </c>
      <c r="AD30" s="46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</row>
    <row r="31" customFormat="false" ht="12" hidden="false" customHeight="false" outlineLevel="0" collapsed="false">
      <c r="A31" s="28" t="n">
        <v>45983</v>
      </c>
      <c r="B31" s="2" t="s">
        <v>123</v>
      </c>
      <c r="E31" s="5" t="s">
        <v>88</v>
      </c>
      <c r="F31" s="46" t="n">
        <v>72</v>
      </c>
      <c r="H31" s="6" t="n">
        <f aca="false">IF((F31&lt;&gt;0),F31-G31," ")</f>
        <v>72</v>
      </c>
      <c r="I31" s="5"/>
      <c r="L31" s="7" t="n">
        <f aca="false">IF(F31&lt;&gt;0,F31-K31," ")</f>
        <v>72</v>
      </c>
      <c r="M31" s="8" t="n">
        <f aca="false">IF((F31-K31)&lt;&gt;0,M$1-A31," ")</f>
        <v>154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str">
        <f aca="false">IF((E31="u"),H31," ")</f>
        <v> 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46" t="n">
        <f aca="false">IF((E31="v"),H31," ")</f>
        <v>72</v>
      </c>
      <c r="AD31" s="46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</row>
    <row r="32" customFormat="false" ht="12" hidden="false" customHeight="false" outlineLevel="0" collapsed="false">
      <c r="A32" s="28" t="n">
        <v>45986</v>
      </c>
      <c r="B32" s="2" t="s">
        <v>129</v>
      </c>
      <c r="E32" s="5" t="s">
        <v>130</v>
      </c>
      <c r="F32" s="46" t="n">
        <v>300</v>
      </c>
      <c r="H32" s="6" t="n">
        <f aca="false">IF((F32&lt;&gt;0),F32-G32," ")</f>
        <v>300</v>
      </c>
      <c r="I32" s="5"/>
      <c r="L32" s="7" t="n">
        <f aca="false">IF(F32&lt;&gt;0,F32-K32," ")</f>
        <v>300</v>
      </c>
      <c r="M32" s="8" t="n">
        <f aca="false">IF((F32-K32)&lt;&gt;0,M$1-A32," ")</f>
        <v>151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n">
        <f aca="false">IF((E32="p"),H32," ")</f>
        <v>300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str">
        <f aca="false">IF((E32="u"),H32," ")</f>
        <v> 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46" t="str">
        <f aca="false">IF((E32="v"),H32," ")</f>
        <v> </v>
      </c>
      <c r="AD32" s="46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</row>
    <row r="33" customFormat="false" ht="12" hidden="false" customHeight="false" outlineLevel="0" collapsed="false">
      <c r="A33" s="28" t="n">
        <v>45986</v>
      </c>
      <c r="B33" s="2" t="s">
        <v>108</v>
      </c>
      <c r="E33" s="5" t="s">
        <v>85</v>
      </c>
      <c r="F33" s="46" t="n">
        <v>15</v>
      </c>
      <c r="H33" s="6" t="n">
        <f aca="false">IF((F33&lt;&gt;0),F33-G33," ")</f>
        <v>15</v>
      </c>
      <c r="I33" s="5"/>
      <c r="L33" s="7" t="n">
        <f aca="false">IF(F33&lt;&gt;0,F33-K33," ")</f>
        <v>15</v>
      </c>
      <c r="M33" s="8" t="n">
        <f aca="false">IF((F33-K33)&lt;&gt;0,M$1-A33," ")</f>
        <v>151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n">
        <f aca="false">IF((E33="u"),H33," ")</f>
        <v>15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46" t="str">
        <f aca="false">IF((E33="v"),H33," ")</f>
        <v> </v>
      </c>
      <c r="AD33" s="46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</row>
    <row r="34" customFormat="false" ht="12" hidden="false" customHeight="false" outlineLevel="0" collapsed="false">
      <c r="A34" s="28" t="n">
        <v>45986</v>
      </c>
      <c r="B34" s="2" t="s">
        <v>109</v>
      </c>
      <c r="E34" s="5" t="s">
        <v>88</v>
      </c>
      <c r="F34" s="46" t="n">
        <v>72</v>
      </c>
      <c r="H34" s="6" t="n">
        <f aca="false">IF((F34&lt;&gt;0),F34-G34," ")</f>
        <v>72</v>
      </c>
      <c r="I34" s="5"/>
      <c r="L34" s="7" t="n">
        <f aca="false">IF(F34&lt;&gt;0,F34-K34," ")</f>
        <v>72</v>
      </c>
      <c r="M34" s="8" t="n">
        <f aca="false">IF((F34-K34)&lt;&gt;0,M$1-A34," ")</f>
        <v>151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str">
        <f aca="false">IF((E34="u"),H34," ")</f>
        <v> 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46" t="n">
        <f aca="false">IF((E34="v"),H34," ")</f>
        <v>72</v>
      </c>
      <c r="AD34" s="46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</row>
    <row r="35" customFormat="false" ht="12" hidden="false" customHeight="false" outlineLevel="0" collapsed="false">
      <c r="A35" s="28" t="n">
        <v>45989</v>
      </c>
      <c r="B35" s="2" t="s">
        <v>20</v>
      </c>
      <c r="E35" s="5" t="s">
        <v>88</v>
      </c>
      <c r="F35" s="46" t="n">
        <v>120</v>
      </c>
      <c r="H35" s="6" t="n">
        <f aca="false">IF((F35&lt;&gt;0),F35-G35," ")</f>
        <v>120</v>
      </c>
      <c r="I35" s="5"/>
      <c r="L35" s="7" t="n">
        <f aca="false">IF(F35&lt;&gt;0,F35-K35," ")</f>
        <v>120</v>
      </c>
      <c r="M35" s="8" t="n">
        <f aca="false">IF((F35-K35)&lt;&gt;0,M$1-A35," ")</f>
        <v>148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str">
        <f aca="false">IF((E35="u"),H35," ")</f>
        <v> 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46" t="n">
        <f aca="false">IF((E35="v"),H35," ")</f>
        <v>120</v>
      </c>
      <c r="AD35" s="46" t="str">
        <f aca="false">IF((E35="n"),H35," ")</f>
        <v> </v>
      </c>
      <c r="AE35" s="17" t="str">
        <f aca="false">IF((E35="f"),H35," ")</f>
        <v> </v>
      </c>
      <c r="AF35" s="17" t="str">
        <f aca="false">IF((E35="l"),H35," ")</f>
        <v> 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</row>
    <row r="36" customFormat="false" ht="12" hidden="false" customHeight="false" outlineLevel="0" collapsed="false">
      <c r="A36" s="28" t="n">
        <v>45991</v>
      </c>
      <c r="B36" s="2" t="s">
        <v>16</v>
      </c>
      <c r="E36" s="5" t="s">
        <v>110</v>
      </c>
      <c r="F36" s="46" t="n">
        <v>300</v>
      </c>
      <c r="H36" s="6" t="n">
        <f aca="false">IF((F36&lt;&gt;0),F36-G36," ")</f>
        <v>300</v>
      </c>
      <c r="I36" s="5"/>
      <c r="L36" s="7" t="n">
        <f aca="false">IF(F36&lt;&gt;0,F36-K36," ")</f>
        <v>300</v>
      </c>
      <c r="M36" s="8" t="n">
        <f aca="false">IF((F36-K36)&lt;&gt;0,M$1-A36," ")</f>
        <v>146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46" t="str">
        <f aca="false">IF((E36="v"),H36," ")</f>
        <v> </v>
      </c>
      <c r="AD36" s="46" t="str">
        <f aca="false">IF((E36="n"),H36," ")</f>
        <v> </v>
      </c>
      <c r="AE36" s="17" t="str">
        <f aca="false">IF((E36="f"),H36," ")</f>
        <v> </v>
      </c>
      <c r="AF36" s="17" t="n">
        <f aca="false">IF((E36="l"),H36," ")</f>
        <v>300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</row>
    <row r="37" customFormat="false" ht="12" hidden="false" customHeight="false" outlineLevel="0" collapsed="false">
      <c r="A37" s="28" t="n">
        <v>45991</v>
      </c>
      <c r="B37" s="2" t="s">
        <v>131</v>
      </c>
      <c r="E37" s="5" t="s">
        <v>110</v>
      </c>
      <c r="F37" s="46" t="n">
        <v>208</v>
      </c>
      <c r="H37" s="6" t="n">
        <f aca="false">IF((F37&lt;&gt;0),F37-G37," ")</f>
        <v>208</v>
      </c>
      <c r="I37" s="5"/>
      <c r="L37" s="7" t="n">
        <f aca="false">IF(F37&lt;&gt;0,F37-K37," ")</f>
        <v>208</v>
      </c>
      <c r="M37" s="8" t="n">
        <f aca="false">IF((F37-K37)&lt;&gt;0,M$1-A37," ")</f>
        <v>146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46" t="str">
        <f aca="false">IF((E37="v"),H37," ")</f>
        <v> </v>
      </c>
      <c r="AD37" s="46" t="str">
        <f aca="false">IF((E37="n"),H37," ")</f>
        <v> </v>
      </c>
      <c r="AE37" s="17" t="str">
        <f aca="false">IF((E37="f"),H37," ")</f>
        <v> </v>
      </c>
      <c r="AF37" s="17" t="n">
        <f aca="false">IF((E37="l"),H37," ")</f>
        <v>208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</row>
    <row r="38" customFormat="false" ht="12" hidden="false" customHeight="false" outlineLevel="0" collapsed="false">
      <c r="A38" s="28"/>
      <c r="E38" s="2"/>
      <c r="F38" s="46"/>
      <c r="H38" s="6" t="str">
        <f aca="false">IF((F38&lt;&gt;0),F38-G38," ")</f>
        <v> </v>
      </c>
      <c r="I38" s="5"/>
      <c r="L38" s="7" t="str">
        <f aca="false">IF(F38&lt;&gt;0,F38-K38," ")</f>
        <v> </v>
      </c>
      <c r="M38" s="8" t="str">
        <f aca="false">IF((F38-K38)&lt;&gt;0,M$1-A38," ")</f>
        <v> 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46" t="str">
        <f aca="false">IF((E38="v"),H38," ")</f>
        <v> </v>
      </c>
      <c r="AD38" s="46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</row>
    <row r="39" customFormat="false" ht="12" hidden="false" customHeight="false" outlineLevel="0" collapsed="false">
      <c r="A39" s="28"/>
      <c r="E39" s="2"/>
      <c r="F39" s="46"/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46" t="str">
        <f aca="false">IF((E39="v"),H39," ")</f>
        <v> </v>
      </c>
      <c r="AD39" s="46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</row>
    <row r="40" customFormat="false" ht="12" hidden="false" customHeight="false" outlineLevel="0" collapsed="false">
      <c r="A40" s="28"/>
      <c r="E40" s="2"/>
      <c r="F40" s="46"/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46" t="str">
        <f aca="false">IF((E40="v"),H40," ")</f>
        <v> </v>
      </c>
      <c r="AD40" s="46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</row>
    <row r="41" customFormat="false" ht="12" hidden="false" customHeight="false" outlineLevel="0" collapsed="false">
      <c r="A41" s="28"/>
      <c r="E41" s="2"/>
      <c r="F41" s="46"/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46" t="str">
        <f aca="false">IF((E41="v"),H41," ")</f>
        <v> </v>
      </c>
      <c r="AD41" s="46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</row>
    <row r="42" customFormat="false" ht="12" hidden="false" customHeight="false" outlineLevel="0" collapsed="false">
      <c r="A42" s="28"/>
      <c r="E42" s="2"/>
      <c r="F42" s="46"/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46" t="str">
        <f aca="false">IF((E42="v"),H42," ")</f>
        <v> </v>
      </c>
      <c r="AD42" s="46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</row>
    <row r="43" customFormat="false" ht="12" hidden="false" customHeight="false" outlineLevel="0" collapsed="false">
      <c r="A43" s="28"/>
      <c r="E43" s="2"/>
      <c r="F43" s="46"/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46" t="str">
        <f aca="false">IF((E43="v"),H43," ")</f>
        <v> </v>
      </c>
      <c r="AD43" s="46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</row>
    <row r="44" customFormat="false" ht="12" hidden="false" customHeight="false" outlineLevel="0" collapsed="false">
      <c r="A44" s="28"/>
      <c r="E44" s="2"/>
      <c r="F44" s="46"/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46" t="str">
        <f aca="false">IF((E44="v"),H44," ")</f>
        <v> </v>
      </c>
      <c r="AD44" s="46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</row>
    <row r="45" customFormat="false" ht="12" hidden="false" customHeight="false" outlineLevel="0" collapsed="false">
      <c r="A45" s="28"/>
      <c r="E45" s="2"/>
      <c r="F45" s="46"/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46" t="str">
        <f aca="false">IF((E45="v"),H45," ")</f>
        <v> </v>
      </c>
      <c r="AD45" s="46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</row>
    <row r="46" customFormat="false" ht="12" hidden="false" customHeight="false" outlineLevel="0" collapsed="false">
      <c r="A46" s="28"/>
      <c r="E46" s="2"/>
      <c r="F46" s="46"/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46" t="str">
        <f aca="false">IF((E46="v"),H46," ")</f>
        <v> </v>
      </c>
      <c r="AD46" s="46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</row>
    <row r="47" customFormat="false" ht="12" hidden="false" customHeight="false" outlineLevel="0" collapsed="false">
      <c r="A47" s="28"/>
      <c r="E47" s="2"/>
      <c r="F47" s="46"/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46" t="str">
        <f aca="false">IF((E47="v"),H47," ")</f>
        <v> </v>
      </c>
      <c r="AD47" s="46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</row>
    <row r="48" customFormat="false" ht="12" hidden="false" customHeight="false" outlineLevel="0" collapsed="false">
      <c r="A48" s="28"/>
      <c r="E48" s="2"/>
      <c r="F48" s="46"/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46" t="str">
        <f aca="false">IF((E48="v"),H48," ")</f>
        <v> </v>
      </c>
      <c r="AD48" s="46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</row>
    <row r="49" customFormat="false" ht="12" hidden="false" customHeight="false" outlineLevel="0" collapsed="false">
      <c r="A49" s="28"/>
      <c r="E49" s="2"/>
      <c r="F49" s="46"/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46" t="str">
        <f aca="false">IF((E49="v"),H49," ")</f>
        <v> </v>
      </c>
      <c r="AD49" s="46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</row>
    <row r="50" customFormat="false" ht="12" hidden="false" customHeight="false" outlineLevel="0" collapsed="false">
      <c r="A50" s="28"/>
      <c r="E50" s="2"/>
      <c r="F50" s="46"/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46" t="str">
        <f aca="false">IF((E50="v"),H50," ")</f>
        <v> </v>
      </c>
      <c r="AD50" s="46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</row>
    <row r="51" customFormat="false" ht="12" hidden="false" customHeight="false" outlineLevel="0" collapsed="false">
      <c r="A51" s="28"/>
      <c r="E51" s="2"/>
      <c r="F51" s="46"/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46" t="str">
        <f aca="false">IF((E51="v"),H51," ")</f>
        <v> </v>
      </c>
      <c r="AD51" s="46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</row>
    <row r="52" customFormat="false" ht="12" hidden="false" customHeight="false" outlineLevel="0" collapsed="false">
      <c r="A52" s="28"/>
      <c r="E52" s="2"/>
      <c r="F52" s="46"/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46" t="str">
        <f aca="false">IF((E52="v"),H52," ")</f>
        <v> </v>
      </c>
      <c r="AD52" s="46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</row>
    <row r="53" customFormat="false" ht="12" hidden="false" customHeight="false" outlineLevel="0" collapsed="false">
      <c r="A53" s="28"/>
      <c r="E53" s="2"/>
      <c r="F53" s="46"/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46" t="str">
        <f aca="false">IF((E53="v"),H53," ")</f>
        <v> </v>
      </c>
      <c r="AD53" s="46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</row>
    <row r="54" customFormat="false" ht="12" hidden="false" customHeight="false" outlineLevel="0" collapsed="false">
      <c r="A54" s="28"/>
      <c r="E54" s="2"/>
      <c r="F54" s="46"/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46" t="str">
        <f aca="false">IF((E54="v"),H54," ")</f>
        <v> </v>
      </c>
      <c r="AD54" s="46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</row>
    <row r="55" customFormat="false" ht="12" hidden="false" customHeight="false" outlineLevel="0" collapsed="false">
      <c r="A55" s="28"/>
      <c r="E55" s="2"/>
      <c r="F55" s="46"/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46" t="str">
        <f aca="false">IF((E55="v"),H55," ")</f>
        <v> </v>
      </c>
      <c r="AD55" s="46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</row>
    <row r="56" customFormat="false" ht="12" hidden="false" customHeight="false" outlineLevel="0" collapsed="false">
      <c r="A56" s="28"/>
      <c r="E56" s="2"/>
      <c r="F56" s="46"/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46" t="str">
        <f aca="false">IF((E56="v"),H56," ")</f>
        <v> </v>
      </c>
      <c r="AD56" s="46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</row>
    <row r="57" customFormat="false" ht="12" hidden="false" customHeight="false" outlineLevel="0" collapsed="false">
      <c r="A57" s="28"/>
      <c r="E57" s="2"/>
      <c r="F57" s="46"/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46" t="str">
        <f aca="false">IF((E57="v"),H57," ")</f>
        <v> </v>
      </c>
      <c r="AD57" s="46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</row>
    <row r="58" customFormat="false" ht="12" hidden="false" customHeight="false" outlineLevel="0" collapsed="false">
      <c r="A58" s="28"/>
      <c r="E58" s="2"/>
      <c r="F58" s="46"/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46" t="str">
        <f aca="false">IF((E58="v"),H58," ")</f>
        <v> </v>
      </c>
      <c r="AD58" s="46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</row>
    <row r="59" customFormat="false" ht="12" hidden="false" customHeight="false" outlineLevel="0" collapsed="false">
      <c r="A59" s="28"/>
      <c r="E59" s="2"/>
      <c r="F59" s="46"/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46" t="str">
        <f aca="false">IF((E59="v"),H59," ")</f>
        <v> </v>
      </c>
      <c r="AD59" s="46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</row>
    <row r="60" customFormat="false" ht="12" hidden="false" customHeight="false" outlineLevel="0" collapsed="false">
      <c r="A60" s="28"/>
      <c r="E60" s="2"/>
      <c r="F60" s="46"/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46" t="str">
        <f aca="false">IF((E60="v"),H60," ")</f>
        <v> </v>
      </c>
      <c r="AD60" s="46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</row>
    <row r="61" customFormat="false" ht="12" hidden="false" customHeight="false" outlineLevel="0" collapsed="false">
      <c r="A61" s="28"/>
      <c r="E61" s="2"/>
      <c r="F61" s="46"/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46" t="str">
        <f aca="false">IF((E61="v"),H61," ")</f>
        <v> </v>
      </c>
      <c r="AD61" s="46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</row>
    <row r="62" customFormat="false" ht="12" hidden="false" customHeight="false" outlineLevel="0" collapsed="false">
      <c r="A62" s="28"/>
      <c r="E62" s="2"/>
      <c r="F62" s="46"/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46" t="str">
        <f aca="false">IF((E62="v"),H62," ")</f>
        <v> </v>
      </c>
      <c r="AD62" s="46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</row>
    <row r="63" customFormat="false" ht="12" hidden="false" customHeight="false" outlineLevel="0" collapsed="false">
      <c r="A63" s="28"/>
      <c r="E63" s="2"/>
      <c r="F63" s="46"/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46" t="str">
        <f aca="false">IF((E63="v"),H63," ")</f>
        <v> </v>
      </c>
      <c r="AD63" s="46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</row>
    <row r="64" customFormat="false" ht="12" hidden="false" customHeight="false" outlineLevel="0" collapsed="false">
      <c r="A64" s="28"/>
      <c r="E64" s="2"/>
      <c r="F64" s="46"/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46" t="str">
        <f aca="false">IF((E64="v"),H64," ")</f>
        <v> </v>
      </c>
      <c r="AD64" s="46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</row>
    <row r="65" customFormat="false" ht="12" hidden="false" customHeight="false" outlineLevel="0" collapsed="false">
      <c r="A65" s="28"/>
      <c r="E65" s="2"/>
      <c r="F65" s="46"/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46" t="str">
        <f aca="false">IF((E65="v"),H65," ")</f>
        <v> </v>
      </c>
      <c r="AD65" s="46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</row>
    <row r="66" customFormat="false" ht="12" hidden="false" customHeight="false" outlineLevel="0" collapsed="false">
      <c r="A66" s="28"/>
      <c r="E66" s="2"/>
      <c r="F66" s="46"/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46" t="str">
        <f aca="false">IF((E66="v"),H66," ")</f>
        <v> </v>
      </c>
      <c r="AD66" s="46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</row>
    <row r="67" customFormat="false" ht="12" hidden="false" customHeight="false" outlineLevel="0" collapsed="false">
      <c r="A67" s="28"/>
      <c r="E67" s="2"/>
      <c r="F67" s="46"/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46" t="str">
        <f aca="false">IF((E67="v"),H67," ")</f>
        <v> </v>
      </c>
      <c r="AD67" s="46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</row>
    <row r="68" customFormat="false" ht="12" hidden="false" customHeight="false" outlineLevel="0" collapsed="false">
      <c r="A68" s="28"/>
      <c r="E68" s="2"/>
      <c r="F68" s="46"/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46" t="str">
        <f aca="false">IF((E68="v"),H68," ")</f>
        <v> </v>
      </c>
      <c r="AD68" s="46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</row>
    <row r="69" customFormat="false" ht="12" hidden="false" customHeight="false" outlineLevel="0" collapsed="false">
      <c r="A69" s="28"/>
      <c r="E69" s="2"/>
      <c r="F69" s="46"/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46" t="str">
        <f aca="false">IF((E69="v"),H69," ")</f>
        <v> </v>
      </c>
      <c r="AD69" s="46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46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46" t="str">
        <f aca="false">IF((E70="v"),H70," ")</f>
        <v> </v>
      </c>
      <c r="AD70" s="46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46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46" t="str">
        <f aca="false">IF((E71="v"),H71," ")</f>
        <v> </v>
      </c>
      <c r="AD71" s="46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46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46" t="str">
        <f aca="false">IF((E72="v"),H72," ")</f>
        <v> </v>
      </c>
      <c r="AD72" s="46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46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46" t="str">
        <f aca="false">IF((E73="v"),H73," ")</f>
        <v> </v>
      </c>
      <c r="AD73" s="46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46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46" t="str">
        <f aca="false">IF((E74="v"),H74," ")</f>
        <v> </v>
      </c>
      <c r="AD74" s="46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46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46" t="str">
        <f aca="false">IF((E75="v"),H75," ")</f>
        <v> </v>
      </c>
      <c r="AD75" s="46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46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46" t="str">
        <f aca="false">IF((E76="v"),H76," ")</f>
        <v> </v>
      </c>
      <c r="AD76" s="46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46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46" t="str">
        <f aca="false">IF((E77="v"),H77," ")</f>
        <v> </v>
      </c>
      <c r="AD77" s="46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46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46" t="str">
        <f aca="false">IF((E78="v"),H78," ")</f>
        <v> </v>
      </c>
      <c r="AD78" s="46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46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46" t="str">
        <f aca="false">IF((E79="v"),H79," ")</f>
        <v> </v>
      </c>
      <c r="AD79" s="46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46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46" t="str">
        <f aca="false">IF((E80="v"),H80," ")</f>
        <v> </v>
      </c>
      <c r="AD80" s="46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46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46" t="str">
        <f aca="false">IF((E81="v"),H81," ")</f>
        <v> </v>
      </c>
      <c r="AD81" s="46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46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46" t="str">
        <f aca="false">IF((E82="v"),H82," ")</f>
        <v> </v>
      </c>
      <c r="AD82" s="46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46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46" t="str">
        <f aca="false">IF((E83="v"),H83," ")</f>
        <v> </v>
      </c>
      <c r="AD83" s="46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46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46" t="str">
        <f aca="false">IF((E84="v"),H84," ")</f>
        <v> </v>
      </c>
      <c r="AD84" s="46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46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46" t="str">
        <f aca="false">IF((E85="v"),H85," ")</f>
        <v> </v>
      </c>
      <c r="AD85" s="46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46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46" t="str">
        <f aca="false">IF((E86="v"),H86," ")</f>
        <v> </v>
      </c>
      <c r="AD86" s="46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46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46" t="str">
        <f aca="false">IF((E87="v"),H87," ")</f>
        <v> </v>
      </c>
      <c r="AD87" s="46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46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46" t="str">
        <f aca="false">IF((E88="v"),H88," ")</f>
        <v> </v>
      </c>
      <c r="AD88" s="46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46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46" t="str">
        <f aca="false">IF((E89="v"),H89," ")</f>
        <v> </v>
      </c>
      <c r="AD89" s="46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46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46" t="str">
        <f aca="false">IF((E90="v"),H90," ")</f>
        <v> </v>
      </c>
      <c r="AD90" s="46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46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46" t="str">
        <f aca="false">IF((E91="v"),H91," ")</f>
        <v> </v>
      </c>
      <c r="AD91" s="46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46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46" t="str">
        <f aca="false">IF((E92="v"),H92," ")</f>
        <v> </v>
      </c>
      <c r="AD92" s="46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46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46" t="str">
        <f aca="false">IF((E93="v"),H93," ")</f>
        <v> </v>
      </c>
      <c r="AD93" s="46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46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46" t="str">
        <f aca="false">IF((E94="v"),H94," ")</f>
        <v> </v>
      </c>
      <c r="AD94" s="46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46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46" t="str">
        <f aca="false">IF((E95="v"),H95," ")</f>
        <v> </v>
      </c>
      <c r="AD95" s="46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46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46" t="str">
        <f aca="false">IF((E96="v"),H96," ")</f>
        <v> </v>
      </c>
      <c r="AD96" s="46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46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46" t="str">
        <f aca="false">IF((E97="v"),H97," ")</f>
        <v> </v>
      </c>
      <c r="AD97" s="46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46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46" t="str">
        <f aca="false">IF((E98="v"),H98," ")</f>
        <v> </v>
      </c>
      <c r="AD98" s="46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46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46" t="str">
        <f aca="false">IF((E99="v"),H99," ")</f>
        <v> </v>
      </c>
      <c r="AD99" s="46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46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46" t="str">
        <f aca="false">IF((E100="v"),H100," ")</f>
        <v> </v>
      </c>
      <c r="AD100" s="46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46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46" t="str">
        <f aca="false">IF((E101="v"),H101," ")</f>
        <v> </v>
      </c>
      <c r="AD101" s="46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46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46" t="str">
        <f aca="false">IF((E102="v"),H102," ")</f>
        <v> </v>
      </c>
      <c r="AD102" s="46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46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46" t="str">
        <f aca="false">IF((E103="v"),H103," ")</f>
        <v> </v>
      </c>
      <c r="AD103" s="46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46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46" t="str">
        <f aca="false">IF((E104="v"),H104," ")</f>
        <v> </v>
      </c>
      <c r="AD104" s="46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46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46" t="str">
        <f aca="false">IF((E105="v"),H105," ")</f>
        <v> </v>
      </c>
      <c r="AD105" s="46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46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46" t="str">
        <f aca="false">IF((E106="v"),H106," ")</f>
        <v> </v>
      </c>
      <c r="AD106" s="46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46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46" t="str">
        <f aca="false">IF((E107="v"),H107," ")</f>
        <v> </v>
      </c>
      <c r="AD107" s="46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46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46" t="str">
        <f aca="false">IF((E108="v"),H108," ")</f>
        <v> </v>
      </c>
      <c r="AD108" s="46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46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46" t="str">
        <f aca="false">IF((E109="v"),H109," ")</f>
        <v> </v>
      </c>
      <c r="AD109" s="46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46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46" t="str">
        <f aca="false">IF((E110="v"),H110," ")</f>
        <v> </v>
      </c>
      <c r="AD110" s="46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46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46" t="str">
        <f aca="false">IF((E111="v"),H111," ")</f>
        <v> </v>
      </c>
      <c r="AD111" s="46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46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46" t="str">
        <f aca="false">IF((E112="v"),H112," ")</f>
        <v> </v>
      </c>
      <c r="AD112" s="46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46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46" t="str">
        <f aca="false">IF((E113="v"),H113," ")</f>
        <v> </v>
      </c>
      <c r="AD113" s="46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46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46" t="str">
        <f aca="false">IF((E114="v"),H114," ")</f>
        <v> </v>
      </c>
      <c r="AD114" s="46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46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46" t="str">
        <f aca="false">IF((E115="v"),H115," ")</f>
        <v> </v>
      </c>
      <c r="AD115" s="46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46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46" t="str">
        <f aca="false">IF((E116="v"),H116," ")</f>
        <v> </v>
      </c>
      <c r="AD116" s="46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46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46" t="str">
        <f aca="false">IF((E117="v"),H117," ")</f>
        <v> </v>
      </c>
      <c r="AD117" s="46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46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46" t="str">
        <f aca="false">IF((E118="v"),H118," ")</f>
        <v> </v>
      </c>
      <c r="AD118" s="46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46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46" t="str">
        <f aca="false">IF((E119="v"),H119," ")</f>
        <v> </v>
      </c>
      <c r="AD119" s="46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46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46" t="str">
        <f aca="false">IF((E120="v"),H120," ")</f>
        <v> </v>
      </c>
      <c r="AD120" s="46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46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46" t="str">
        <f aca="false">IF((E121="v"),H121," ")</f>
        <v> </v>
      </c>
      <c r="AD121" s="46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46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46" t="str">
        <f aca="false">IF((E122="v"),H122," ")</f>
        <v> </v>
      </c>
      <c r="AD122" s="46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46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46" t="str">
        <f aca="false">IF((E123="v"),H123," ")</f>
        <v> </v>
      </c>
      <c r="AD123" s="46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46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46" t="str">
        <f aca="false">IF((E124="v"),H124," ")</f>
        <v> </v>
      </c>
      <c r="AD124" s="46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46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46" t="str">
        <f aca="false">IF((E125="v"),H125," ")</f>
        <v> </v>
      </c>
      <c r="AD125" s="46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46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46" t="str">
        <f aca="false">IF((E126="v"),H126," ")</f>
        <v> </v>
      </c>
      <c r="AD126" s="46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46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46" t="str">
        <f aca="false">IF((E127="v"),H127," ")</f>
        <v> </v>
      </c>
      <c r="AD127" s="46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46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46" t="str">
        <f aca="false">IF((E128="v"),H128," ")</f>
        <v> </v>
      </c>
      <c r="AD128" s="46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46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46" t="str">
        <f aca="false">IF((E129="v"),H129," ")</f>
        <v> </v>
      </c>
      <c r="AD129" s="46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46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46" t="str">
        <f aca="false">IF((E130="v"),H130," ")</f>
        <v> </v>
      </c>
      <c r="AD130" s="46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46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46" t="str">
        <f aca="false">IF((E131="v"),H131," ")</f>
        <v> </v>
      </c>
      <c r="AD131" s="46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46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46" t="str">
        <f aca="false">IF((E132="v"),H132," ")</f>
        <v> </v>
      </c>
      <c r="AD132" s="46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46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46" t="str">
        <f aca="false">IF((E133="v"),H133," ")</f>
        <v> </v>
      </c>
      <c r="AD133" s="46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46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46" t="str">
        <f aca="false">IF((E134="v"),H134," ")</f>
        <v> </v>
      </c>
      <c r="AD134" s="46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46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46" t="str">
        <f aca="false">IF((E135="v"),H135," ")</f>
        <v> </v>
      </c>
      <c r="AD135" s="46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46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46" t="str">
        <f aca="false">IF((E136="v"),H136," ")</f>
        <v> </v>
      </c>
      <c r="AD136" s="46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46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46" t="str">
        <f aca="false">IF((E137="v"),H137," ")</f>
        <v> </v>
      </c>
      <c r="AD137" s="46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46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46" t="str">
        <f aca="false">IF((E138="v"),H138," ")</f>
        <v> </v>
      </c>
      <c r="AD138" s="46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46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46" t="str">
        <f aca="false">IF((E139="v"),H139," ")</f>
        <v> </v>
      </c>
      <c r="AD139" s="46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46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46" t="str">
        <f aca="false">IF((E140="v"),H140," ")</f>
        <v> </v>
      </c>
      <c r="AD140" s="46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46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46" t="str">
        <f aca="false">IF((E141="v"),H141," ")</f>
        <v> </v>
      </c>
      <c r="AD141" s="46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46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46" t="str">
        <f aca="false">IF((E142="v"),H142," ")</f>
        <v> </v>
      </c>
      <c r="AD142" s="46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46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46" t="str">
        <f aca="false">IF((E143="v"),H143," ")</f>
        <v> </v>
      </c>
      <c r="AD143" s="46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46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46" t="str">
        <f aca="false">IF((E144="v"),H144," ")</f>
        <v> </v>
      </c>
      <c r="AD144" s="46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46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46" t="str">
        <f aca="false">IF((E145="v"),H145," ")</f>
        <v> </v>
      </c>
      <c r="AD145" s="46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46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46" t="str">
        <f aca="false">IF((E146="v"),H146," ")</f>
        <v> </v>
      </c>
      <c r="AD146" s="46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46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46" t="str">
        <f aca="false">IF((E147="v"),H147," ")</f>
        <v> </v>
      </c>
      <c r="AD147" s="46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46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46" t="str">
        <f aca="false">IF((E148="v"),H148," ")</f>
        <v> </v>
      </c>
      <c r="AD148" s="46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46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46" t="str">
        <f aca="false">IF((E149="v"),H149," ")</f>
        <v> </v>
      </c>
      <c r="AD149" s="46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46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46" t="str">
        <f aca="false">IF((E150="v"),H150," ")</f>
        <v> </v>
      </c>
      <c r="AD150" s="46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46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46" t="str">
        <f aca="false">IF((E151="v"),H151," ")</f>
        <v> </v>
      </c>
      <c r="AD151" s="46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46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46" t="str">
        <f aca="false">IF((E152="v"),H152," ")</f>
        <v> </v>
      </c>
      <c r="AD152" s="46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46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46" t="str">
        <f aca="false">IF((E153="v"),H153," ")</f>
        <v> </v>
      </c>
      <c r="AD153" s="46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46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46" t="str">
        <f aca="false">IF((E154="v"),H154," ")</f>
        <v> </v>
      </c>
      <c r="AD154" s="46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46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46" t="str">
        <f aca="false">IF((E155="v"),H155," ")</f>
        <v> </v>
      </c>
      <c r="AD155" s="46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46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46" t="str">
        <f aca="false">IF((E156="v"),H156," ")</f>
        <v> </v>
      </c>
      <c r="AD156" s="46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46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46" t="str">
        <f aca="false">IF((E157="v"),H157," ")</f>
        <v> </v>
      </c>
      <c r="AD157" s="46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46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46" t="str">
        <f aca="false">IF((E158="v"),H158," ")</f>
        <v> </v>
      </c>
      <c r="AD158" s="46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46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46" t="str">
        <f aca="false">IF((E159="v"),H159," ")</f>
        <v> </v>
      </c>
      <c r="AD159" s="46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46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46" t="str">
        <f aca="false">IF((E160="v"),H160," ")</f>
        <v> </v>
      </c>
      <c r="AD160" s="46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46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46" t="str">
        <f aca="false">IF((E161="v"),H161," ")</f>
        <v> </v>
      </c>
      <c r="AD161" s="46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46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46" t="str">
        <f aca="false">IF((E162="v"),H162," ")</f>
        <v> </v>
      </c>
      <c r="AD162" s="46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46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46" t="str">
        <f aca="false">IF((E163="v"),H163," ")</f>
        <v> </v>
      </c>
      <c r="AD163" s="46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46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46" t="str">
        <f aca="false">IF((E164="v"),H164," ")</f>
        <v> </v>
      </c>
      <c r="AD164" s="46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46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46" t="str">
        <f aca="false">IF((E165="v"),H165," ")</f>
        <v> </v>
      </c>
      <c r="AD165" s="46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46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46" t="str">
        <f aca="false">IF((E166="v"),H166," ")</f>
        <v> </v>
      </c>
      <c r="AD166" s="46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46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46" t="str">
        <f aca="false">IF((E167="v"),H167," ")</f>
        <v> </v>
      </c>
      <c r="AD167" s="46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46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46" t="str">
        <f aca="false">IF((E168="v"),H168," ")</f>
        <v> </v>
      </c>
      <c r="AD168" s="46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46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46" t="str">
        <f aca="false">IF((E169="v"),H169," ")</f>
        <v> </v>
      </c>
      <c r="AD169" s="46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46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46" t="str">
        <f aca="false">IF((E170="v"),H170," ")</f>
        <v> </v>
      </c>
      <c r="AD170" s="46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46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46" t="str">
        <f aca="false">IF((E171="v"),H171," ")</f>
        <v> </v>
      </c>
      <c r="AD171" s="46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46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46" t="str">
        <f aca="false">IF((E172="v"),H172," ")</f>
        <v> </v>
      </c>
      <c r="AD172" s="46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46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46" t="str">
        <f aca="false">IF((E173="v"),H173," ")</f>
        <v> </v>
      </c>
      <c r="AD173" s="46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46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46" t="str">
        <f aca="false">IF((E174="v"),H174," ")</f>
        <v> </v>
      </c>
      <c r="AD174" s="46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46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46" t="str">
        <f aca="false">IF((E175="v"),H175," ")</f>
        <v> </v>
      </c>
      <c r="AD175" s="46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46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46" t="str">
        <f aca="false">IF((E176="v"),H176," ")</f>
        <v> </v>
      </c>
      <c r="AD176" s="46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46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46" t="str">
        <f aca="false">IF((E177="v"),H177," ")</f>
        <v> </v>
      </c>
      <c r="AD177" s="46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46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46" t="str">
        <f aca="false">IF((E178="v"),H178," ")</f>
        <v> </v>
      </c>
      <c r="AD178" s="46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46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46" t="str">
        <f aca="false">IF((E179="v"),H179," ")</f>
        <v> </v>
      </c>
      <c r="AD179" s="46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46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46" t="str">
        <f aca="false">IF((E180="v"),H180," ")</f>
        <v> </v>
      </c>
      <c r="AD180" s="46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46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46" t="str">
        <f aca="false">IF((E181="v"),H181," ")</f>
        <v> </v>
      </c>
      <c r="AD181" s="46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46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46" t="str">
        <f aca="false">IF((E182="v"),H182," ")</f>
        <v> </v>
      </c>
      <c r="AD182" s="46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46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46" t="str">
        <f aca="false">IF((E183="v"),H183," ")</f>
        <v> </v>
      </c>
      <c r="AD183" s="46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46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46" t="str">
        <f aca="false">IF((E184="v"),H184," ")</f>
        <v> </v>
      </c>
      <c r="AD184" s="46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46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46" t="str">
        <f aca="false">IF((E185="v"),H185," ")</f>
        <v> </v>
      </c>
      <c r="AD185" s="46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46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46" t="str">
        <f aca="false">IF((E186="v"),H186," ")</f>
        <v> </v>
      </c>
      <c r="AD186" s="46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46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46" t="str">
        <f aca="false">IF((E187="v"),H187," ")</f>
        <v> </v>
      </c>
      <c r="AD187" s="46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46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46" t="str">
        <f aca="false">IF((E188="v"),H188," ")</f>
        <v> </v>
      </c>
      <c r="AD188" s="46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46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46" t="str">
        <f aca="false">IF((E189="v"),H189," ")</f>
        <v> </v>
      </c>
      <c r="AD189" s="46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46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46" t="str">
        <f aca="false">IF((E190="v"),H190," ")</f>
        <v> </v>
      </c>
      <c r="AD190" s="46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46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46" t="str">
        <f aca="false">IF((E191="v"),H191," ")</f>
        <v> </v>
      </c>
      <c r="AD191" s="46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46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46" t="str">
        <f aca="false">IF((E192="v"),H192," ")</f>
        <v> </v>
      </c>
      <c r="AD192" s="46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46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46" t="str">
        <f aca="false">IF((E193="v"),H193," ")</f>
        <v> </v>
      </c>
      <c r="AD193" s="46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46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46" t="str">
        <f aca="false">IF((E194="v"),H194," ")</f>
        <v> </v>
      </c>
      <c r="AD194" s="46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46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46" t="str">
        <f aca="false">IF((E195="v"),H195," ")</f>
        <v> </v>
      </c>
      <c r="AD195" s="46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46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46" t="str">
        <f aca="false">IF((E196="v"),H196," ")</f>
        <v> </v>
      </c>
      <c r="AD196" s="46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46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46" t="str">
        <f aca="false">IF((E197="v"),H197," ")</f>
        <v> </v>
      </c>
      <c r="AD197" s="46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46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46" t="str">
        <f aca="false">IF((E198="v"),H198," ")</f>
        <v> </v>
      </c>
      <c r="AD198" s="46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46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46" t="str">
        <f aca="false">IF((E199="v"),H199," ")</f>
        <v> </v>
      </c>
      <c r="AD199" s="46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46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46" t="str">
        <f aca="false">IF((E200="v"),H200," ")</f>
        <v> </v>
      </c>
      <c r="AD200" s="46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46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46" t="str">
        <f aca="false">IF((E201="v"),H201," ")</f>
        <v> </v>
      </c>
      <c r="AD201" s="46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46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46" t="str">
        <f aca="false">IF((E202="v"),H202," ")</f>
        <v> </v>
      </c>
      <c r="AD202" s="46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46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46" t="str">
        <f aca="false">IF((E203="v"),H203," ")</f>
        <v> </v>
      </c>
      <c r="AD203" s="46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46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46" t="str">
        <f aca="false">IF((E204="v"),H204," ")</f>
        <v> </v>
      </c>
      <c r="AD204" s="46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46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46" t="str">
        <f aca="false">IF((E205="v"),H205," ")</f>
        <v> </v>
      </c>
      <c r="AD205" s="46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46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46" t="str">
        <f aca="false">IF((E206="v"),H206," ")</f>
        <v> </v>
      </c>
      <c r="AD206" s="46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46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46" t="str">
        <f aca="false">IF((E207="v"),H207," ")</f>
        <v> </v>
      </c>
      <c r="AD207" s="46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46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46" t="str">
        <f aca="false">IF((E208="v"),H208," ")</f>
        <v> </v>
      </c>
      <c r="AD208" s="46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46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46" t="str">
        <f aca="false">IF((E209="v"),H209," ")</f>
        <v> </v>
      </c>
      <c r="AD209" s="46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46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46" t="str">
        <f aca="false">IF((E210="v"),H210," ")</f>
        <v> </v>
      </c>
      <c r="AD210" s="46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46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46" t="str">
        <f aca="false">IF((E211="v"),H211," ")</f>
        <v> </v>
      </c>
      <c r="AD211" s="46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46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46" t="str">
        <f aca="false">IF((E212="v"),H212," ")</f>
        <v> </v>
      </c>
      <c r="AD212" s="46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46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46" t="str">
        <f aca="false">IF((E213="v"),H213," ")</f>
        <v> </v>
      </c>
      <c r="AD213" s="46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46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46" t="str">
        <f aca="false">IF((E214="v"),H214," ")</f>
        <v> </v>
      </c>
      <c r="AD214" s="46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46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46" t="str">
        <f aca="false">IF((E215="v"),H215," ")</f>
        <v> </v>
      </c>
      <c r="AD215" s="46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46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46" t="str">
        <f aca="false">IF((E216="v"),H216," ")</f>
        <v> </v>
      </c>
      <c r="AD216" s="46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46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46" t="str">
        <f aca="false">IF((E217="v"),H217," ")</f>
        <v> </v>
      </c>
      <c r="AD217" s="46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46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46" t="str">
        <f aca="false">IF((E218="v"),H218," ")</f>
        <v> </v>
      </c>
      <c r="AD218" s="46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46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46" t="str">
        <f aca="false">IF((E219="v"),H219," ")</f>
        <v> </v>
      </c>
      <c r="AD219" s="46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46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46" t="str">
        <f aca="false">IF((E220="v"),H220," ")</f>
        <v> </v>
      </c>
      <c r="AD220" s="46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46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46" t="str">
        <f aca="false">IF((E221="v"),H221," ")</f>
        <v> </v>
      </c>
      <c r="AD221" s="46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46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46" t="str">
        <f aca="false">IF((E222="v"),H222," ")</f>
        <v> </v>
      </c>
      <c r="AD222" s="46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46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46" t="str">
        <f aca="false">IF((E223="v"),H223," ")</f>
        <v> </v>
      </c>
      <c r="AD223" s="46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46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46" t="str">
        <f aca="false">IF((E224="v"),H224," ")</f>
        <v> </v>
      </c>
      <c r="AD224" s="46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46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46" t="str">
        <f aca="false">IF((E225="v"),H225," ")</f>
        <v> </v>
      </c>
      <c r="AD225" s="46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46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46" t="str">
        <f aca="false">IF((E226="v"),H226," ")</f>
        <v> </v>
      </c>
      <c r="AD226" s="46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46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46" t="str">
        <f aca="false">IF((E227="v"),H227," ")</f>
        <v> </v>
      </c>
      <c r="AD227" s="46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46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46" t="str">
        <f aca="false">IF((E228="v"),H228," ")</f>
        <v> </v>
      </c>
      <c r="AD228" s="46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46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46" t="str">
        <f aca="false">IF((E229="v"),H229," ")</f>
        <v> </v>
      </c>
      <c r="AD229" s="46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46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46" t="str">
        <f aca="false">IF((E230="v"),H230," ")</f>
        <v> </v>
      </c>
      <c r="AD230" s="46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46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46" t="str">
        <f aca="false">IF((E231="v"),H231," ")</f>
        <v> </v>
      </c>
      <c r="AD231" s="46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46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46" t="str">
        <f aca="false">IF((E232="v"),H232," ")</f>
        <v> </v>
      </c>
      <c r="AD232" s="46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46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46" t="str">
        <f aca="false">IF((E233="v"),H233," ")</f>
        <v> </v>
      </c>
      <c r="AD233" s="46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46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46" t="str">
        <f aca="false">IF((E234="v"),H234," ")</f>
        <v> </v>
      </c>
      <c r="AD234" s="46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46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46" t="str">
        <f aca="false">IF((E235="v"),H235," ")</f>
        <v> </v>
      </c>
      <c r="AD235" s="46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46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46" t="str">
        <f aca="false">IF((E236="v"),H236," ")</f>
        <v> </v>
      </c>
      <c r="AD236" s="46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46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46" t="str">
        <f aca="false">IF((E237="v"),H237," ")</f>
        <v> </v>
      </c>
      <c r="AD237" s="46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46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46" t="str">
        <f aca="false">IF((E238="v"),H238," ")</f>
        <v> </v>
      </c>
      <c r="AD238" s="46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46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46" t="str">
        <f aca="false">IF((E239="v"),H239," ")</f>
        <v> </v>
      </c>
      <c r="AD239" s="46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46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46" t="str">
        <f aca="false">IF((E240="v"),H240," ")</f>
        <v> </v>
      </c>
      <c r="AD240" s="46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46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46" t="str">
        <f aca="false">IF((E241="v"),H241," ")</f>
        <v> </v>
      </c>
      <c r="AD241" s="46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46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46" t="str">
        <f aca="false">IF((E242="v"),H242," ")</f>
        <v> </v>
      </c>
      <c r="AD242" s="46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46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46" t="str">
        <f aca="false">IF((E243="v"),H243," ")</f>
        <v> </v>
      </c>
      <c r="AD243" s="46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46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46" t="str">
        <f aca="false">IF((E244="v"),H244," ")</f>
        <v> </v>
      </c>
      <c r="AD244" s="46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46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46" t="str">
        <f aca="false">IF((E245="v"),H245," ")</f>
        <v> </v>
      </c>
      <c r="AD245" s="46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46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46" t="str">
        <f aca="false">IF((E246="v"),H246," ")</f>
        <v> </v>
      </c>
      <c r="AD246" s="46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46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46" t="str">
        <f aca="false">IF((E247="v"),H247," ")</f>
        <v> </v>
      </c>
      <c r="AD247" s="46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46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46" t="str">
        <f aca="false">IF((E248="v"),H248," ")</f>
        <v> </v>
      </c>
      <c r="AD248" s="46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46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46" t="str">
        <f aca="false">IF((E249="v"),H249," ")</f>
        <v> </v>
      </c>
      <c r="AD249" s="46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46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46" t="str">
        <f aca="false">IF((E250="v"),H250," ")</f>
        <v> </v>
      </c>
      <c r="AD250" s="46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46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46" t="str">
        <f aca="false">IF((E251="v"),H251," ")</f>
        <v> </v>
      </c>
      <c r="AD251" s="46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46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46" t="str">
        <f aca="false">IF((E252="v"),H252," ")</f>
        <v> </v>
      </c>
      <c r="AD252" s="46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46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46" t="str">
        <f aca="false">IF((E253="v"),H253," ")</f>
        <v> </v>
      </c>
      <c r="AD253" s="46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46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46" t="str">
        <f aca="false">IF((E254="v"),H254," ")</f>
        <v> </v>
      </c>
      <c r="AD254" s="46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46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46" t="str">
        <f aca="false">IF((E255="v"),H255," ")</f>
        <v> </v>
      </c>
      <c r="AD255" s="46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46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46" t="str">
        <f aca="false">IF((E256="v"),H256," ")</f>
        <v> </v>
      </c>
      <c r="AD256" s="46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46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46" t="str">
        <f aca="false">IF((E257="v"),H257," ")</f>
        <v> </v>
      </c>
      <c r="AD257" s="46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46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46" t="str">
        <f aca="false">IF((E258="v"),H258," ")</f>
        <v> </v>
      </c>
      <c r="AD258" s="46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46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46" t="str">
        <f aca="false">IF((E259="v"),H259," ")</f>
        <v> </v>
      </c>
      <c r="AD259" s="46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46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46" t="str">
        <f aca="false">IF((E260="v"),H260," ")</f>
        <v> </v>
      </c>
      <c r="AD260" s="46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46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46" t="str">
        <f aca="false">IF((E261="v"),H261," ")</f>
        <v> </v>
      </c>
      <c r="AD261" s="46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46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46" t="str">
        <f aca="false">IF((E262="v"),H262," ")</f>
        <v> </v>
      </c>
      <c r="AD262" s="46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46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46" t="str">
        <f aca="false">IF((E263="v"),H263," ")</f>
        <v> </v>
      </c>
      <c r="AD263" s="46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46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46" t="str">
        <f aca="false">IF((E264="v"),H264," ")</f>
        <v> </v>
      </c>
      <c r="AD264" s="46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46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46" t="str">
        <f aca="false">IF((E265="v"),H265," ")</f>
        <v> </v>
      </c>
      <c r="AD265" s="46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46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46" t="str">
        <f aca="false">IF((E266="v"),H266," ")</f>
        <v> </v>
      </c>
      <c r="AD266" s="46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46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46" t="str">
        <f aca="false">IF((E267="v"),H267," ")</f>
        <v> </v>
      </c>
      <c r="AD267" s="46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46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46" t="str">
        <f aca="false">IF((E268="v"),H268," ")</f>
        <v> </v>
      </c>
      <c r="AD268" s="46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46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46" t="str">
        <f aca="false">IF((E269="v"),H269," ")</f>
        <v> </v>
      </c>
      <c r="AD269" s="46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46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46" t="str">
        <f aca="false">IF((E270="v"),H270," ")</f>
        <v> </v>
      </c>
      <c r="AD270" s="46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46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46" t="str">
        <f aca="false">IF((E271="v"),H271," ")</f>
        <v> </v>
      </c>
      <c r="AD271" s="46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46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46" t="str">
        <f aca="false">IF((E272="v"),H272," ")</f>
        <v> </v>
      </c>
      <c r="AD272" s="46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46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46" t="str">
        <f aca="false">IF((E273="v"),H273," ")</f>
        <v> </v>
      </c>
      <c r="AD273" s="46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46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46" t="str">
        <f aca="false">IF((E274="v"),H274," ")</f>
        <v> </v>
      </c>
      <c r="AD274" s="46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46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46" t="str">
        <f aca="false">IF((E275="v"),H275," ")</f>
        <v> </v>
      </c>
      <c r="AD275" s="46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46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46" t="str">
        <f aca="false">IF((E276="v"),H276," ")</f>
        <v> </v>
      </c>
      <c r="AD276" s="46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46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46" t="str">
        <f aca="false">IF((E277="v"),H277," ")</f>
        <v> </v>
      </c>
      <c r="AD277" s="46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46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46" t="str">
        <f aca="false">IF((E278="v"),H278," ")</f>
        <v> </v>
      </c>
      <c r="AD278" s="46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46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46" t="str">
        <f aca="false">IF((E279="v"),H279," ")</f>
        <v> </v>
      </c>
      <c r="AD279" s="46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46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46" t="str">
        <f aca="false">IF((E280="v"),H280," ")</f>
        <v> </v>
      </c>
      <c r="AD280" s="46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46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46" t="str">
        <f aca="false">IF((E281="v"),H281," ")</f>
        <v> </v>
      </c>
      <c r="AD281" s="46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46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46" t="str">
        <f aca="false">IF((E282="v"),H282," ")</f>
        <v> </v>
      </c>
      <c r="AD282" s="46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46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46" t="str">
        <f aca="false">IF((E283="v"),H283," ")</f>
        <v> </v>
      </c>
      <c r="AD283" s="46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46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46" t="str">
        <f aca="false">IF((E284="v"),H284," ")</f>
        <v> </v>
      </c>
      <c r="AD284" s="46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46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46" t="str">
        <f aca="false">IF((E285="v"),H285," ")</f>
        <v> </v>
      </c>
      <c r="AD285" s="46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46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46" t="str">
        <f aca="false">IF((E286="v"),H286," ")</f>
        <v> </v>
      </c>
      <c r="AD286" s="46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46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46" t="str">
        <f aca="false">IF((E287="v"),H287," ")</f>
        <v> </v>
      </c>
      <c r="AD287" s="46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46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46" t="str">
        <f aca="false">IF((E288="v"),H288," ")</f>
        <v> </v>
      </c>
      <c r="AD288" s="46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46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46" t="str">
        <f aca="false">IF((E289="v"),H289," ")</f>
        <v> </v>
      </c>
      <c r="AD289" s="46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46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46" t="str">
        <f aca="false">IF((E290="v"),H290," ")</f>
        <v> </v>
      </c>
      <c r="AD290" s="46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46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46" t="str">
        <f aca="false">IF((E291="v"),H291," ")</f>
        <v> </v>
      </c>
      <c r="AD291" s="46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46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46" t="str">
        <f aca="false">IF((E292="v"),H292," ")</f>
        <v> </v>
      </c>
      <c r="AD292" s="46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46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46" t="str">
        <f aca="false">IF((E293="v"),H293," ")</f>
        <v> </v>
      </c>
      <c r="AD293" s="46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46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46" t="str">
        <f aca="false">IF((E294="v"),H294," ")</f>
        <v> </v>
      </c>
      <c r="AD294" s="46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46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46" t="str">
        <f aca="false">IF((E295="v"),H295," ")</f>
        <v> </v>
      </c>
      <c r="AD295" s="46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46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46" t="str">
        <f aca="false">IF((E296="v"),H296," ")</f>
        <v> </v>
      </c>
      <c r="AD296" s="46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46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46" t="str">
        <f aca="false">IF((E297="v"),H297," ")</f>
        <v> </v>
      </c>
      <c r="AD297" s="46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46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46" t="str">
        <f aca="false">IF((E298="v"),H298," ")</f>
        <v> </v>
      </c>
      <c r="AD298" s="46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46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46" t="str">
        <f aca="false">IF((E299="v"),H299," ")</f>
        <v> </v>
      </c>
      <c r="AD299" s="46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</row>
    <row r="300" customFormat="false" ht="12" hidden="false" customHeight="false" outlineLevel="0" collapsed="false">
      <c r="A300" s="31"/>
      <c r="B300" s="32"/>
      <c r="C300" s="33"/>
      <c r="D300" s="32"/>
      <c r="E300" s="47" t="str">
        <f aca="false">IF((F300&lt;&gt;0),"Enter Letter"," ")</f>
        <v> </v>
      </c>
      <c r="F300" s="48"/>
      <c r="G300" s="35" t="str">
        <f aca="false">IF(F300&lt;&gt;0,F300*G$2/(100+G$2)," ")</f>
        <v> </v>
      </c>
      <c r="H300" s="35" t="str">
        <f aca="false">IF((F300&lt;&gt;0),F300-G300," ")</f>
        <v> </v>
      </c>
      <c r="I300" s="49"/>
      <c r="J300" s="35"/>
      <c r="K300" s="35"/>
      <c r="L300" s="36" t="str">
        <f aca="false">IF(F300&lt;&gt;0,F300-K300," ")</f>
        <v> </v>
      </c>
      <c r="M300" s="37" t="str">
        <f aca="false">IF((F300-K300)&lt;&gt;0,M$1-A300," ")</f>
        <v> </v>
      </c>
      <c r="N300" s="49"/>
      <c r="O300" s="50" t="str">
        <f aca="false">IF((E300="s"),H300," ")</f>
        <v> </v>
      </c>
      <c r="P300" s="50" t="str">
        <f aca="false">IF((E300="c"),H300," ")</f>
        <v> </v>
      </c>
      <c r="Q300" s="50" t="str">
        <f aca="false">IF((E300="o"),H300," ")</f>
        <v> </v>
      </c>
      <c r="R300" s="50" t="str">
        <f aca="false">IF((E300="d"),H300," ")</f>
        <v> </v>
      </c>
      <c r="S300" s="50" t="str">
        <f aca="false">IF((E300="w"),H300," ")</f>
        <v> </v>
      </c>
      <c r="T300" s="50" t="str">
        <f aca="false">IF((E300="r"),H300," ")</f>
        <v> </v>
      </c>
      <c r="U300" s="50" t="str">
        <f aca="false">IF((E300="p"),H300," ")</f>
        <v> </v>
      </c>
      <c r="V300" s="50" t="str">
        <f aca="false">IF((E300="t"),H300," ")</f>
        <v> </v>
      </c>
      <c r="W300" s="50" t="str">
        <f aca="false">IF((E300="q"),H300," ")</f>
        <v> </v>
      </c>
      <c r="X300" s="50" t="str">
        <f aca="false">IF((E300="m"),H300," ")</f>
        <v> </v>
      </c>
      <c r="Y300" s="50" t="str">
        <f aca="false">IF((E300="u"),H300," ")</f>
        <v> </v>
      </c>
      <c r="Z300" s="50" t="str">
        <f aca="false">IF((E300="a"),H300," ")</f>
        <v> </v>
      </c>
      <c r="AA300" s="50" t="str">
        <f aca="false">IF((E300="g"),H300," ")</f>
        <v> </v>
      </c>
      <c r="AB300" s="50" t="str">
        <f aca="false">IF((E300="h"),H300," ")</f>
        <v> </v>
      </c>
      <c r="AC300" s="48" t="str">
        <f aca="false">IF((E300="v"),H300," ")</f>
        <v> </v>
      </c>
      <c r="AD300" s="48" t="str">
        <f aca="false">IF((E300="n"),H300," ")</f>
        <v> </v>
      </c>
      <c r="AE300" s="50" t="str">
        <f aca="false">IF((E300="f"),H300," ")</f>
        <v> </v>
      </c>
      <c r="AF300" s="50" t="str">
        <f aca="false">IF((E300="l"),H300," ")</f>
        <v> </v>
      </c>
      <c r="AG300" s="50" t="str">
        <f aca="false">IF((E300="y"),H300," ")</f>
        <v> </v>
      </c>
      <c r="AH300" s="50" t="str">
        <f aca="false">IF((E300="z"),H300," ")</f>
        <v> </v>
      </c>
      <c r="AI300" s="50" t="str">
        <f aca="false">IF((E300="fa"),H300," ")</f>
        <v> </v>
      </c>
      <c r="AJ300" s="50"/>
      <c r="AK300" s="50"/>
      <c r="AL300" s="50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82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8" width="10.5"/>
    <col collapsed="false" customWidth="true" hidden="false" outlineLevel="0" max="35" min="31" style="17" width="10.5"/>
    <col collapsed="false" customWidth="true" hidden="false" outlineLevel="0" max="36" min="36" style="17" width="0.82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s="17" customFormat="true" ht="12.75" hidden="false" customHeight="true" outlineLevel="0" collapsed="false">
      <c r="A1" s="39" t="n">
        <f aca="false">F1-G1-SUM(O1:AI1)</f>
        <v>0</v>
      </c>
      <c r="B1" s="40" t="s">
        <v>22</v>
      </c>
      <c r="C1" s="20" t="s">
        <v>5</v>
      </c>
      <c r="D1" s="41" t="s">
        <v>23</v>
      </c>
      <c r="E1" s="41"/>
      <c r="F1" s="12" t="n">
        <f aca="false">SUM(F5:F300)</f>
        <v>43005.75</v>
      </c>
      <c r="G1" s="12" t="n">
        <f aca="false">SUM(G5:G300)</f>
        <v>0</v>
      </c>
      <c r="H1" s="12" t="n">
        <f aca="false">SUM(H5:H300)</f>
        <v>43005.75</v>
      </c>
      <c r="I1" s="13"/>
      <c r="J1" s="14" t="s">
        <v>2</v>
      </c>
      <c r="K1" s="15" t="n">
        <f aca="false">SUM(K5:K300)</f>
        <v>0</v>
      </c>
      <c r="L1" s="15" t="n">
        <f aca="false">SUM(L5:L300)</f>
        <v>43005.75</v>
      </c>
      <c r="M1" s="16" t="n">
        <f aca="true">TODAY()</f>
        <v>46137</v>
      </c>
      <c r="N1" s="13"/>
      <c r="O1" s="12" t="n">
        <f aca="false">SUM(O5:O300)</f>
        <v>480</v>
      </c>
      <c r="P1" s="12" t="n">
        <f aca="false">SUM(P5:P300)</f>
        <v>0</v>
      </c>
      <c r="Q1" s="12" t="n">
        <f aca="false">SUM(Q5:Q300)</f>
        <v>285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1200</v>
      </c>
      <c r="U1" s="12" t="n">
        <f aca="false">SUM(U5:U300)</f>
        <v>0</v>
      </c>
      <c r="V1" s="12" t="n">
        <f aca="false">SUM(V5:V300)</f>
        <v>0</v>
      </c>
      <c r="W1" s="12" t="n">
        <f aca="false">SUM(W5:W300)</f>
        <v>0</v>
      </c>
      <c r="X1" s="12" t="n">
        <f aca="false">SUM(X5:X300)</f>
        <v>96</v>
      </c>
      <c r="Y1" s="12" t="n">
        <f aca="false">SUM(Y5:Y300)</f>
        <v>151</v>
      </c>
      <c r="Z1" s="12" t="n">
        <f aca="false">SUM(Z5:Z300)</f>
        <v>3000</v>
      </c>
      <c r="AA1" s="12" t="n">
        <f aca="false">SUM(AA5:AA300)</f>
        <v>135</v>
      </c>
      <c r="AB1" s="12" t="n">
        <f aca="false">SUM(AB5:AB300)</f>
        <v>212</v>
      </c>
      <c r="AC1" s="12" t="n">
        <f aca="false">SUM(AC5:AC300)</f>
        <v>606.75</v>
      </c>
      <c r="AD1" s="12" t="n">
        <f aca="false">SUM(AD5:AD300)</f>
        <v>360</v>
      </c>
      <c r="AE1" s="12" t="n">
        <f aca="false">SUM(AE5:AE300)</f>
        <v>180</v>
      </c>
      <c r="AF1" s="12" t="n">
        <f aca="false">SUM(AF5:AF300)</f>
        <v>300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36000</v>
      </c>
      <c r="AJ1" s="42"/>
      <c r="AK1" s="12" t="n">
        <f aca="false">SUM(AK5:AK300)</f>
        <v>0</v>
      </c>
      <c r="AL1" s="43"/>
    </row>
    <row r="2" s="17" customFormat="tru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IF([2]Dec!$G$4&gt;0,0,[2]Dec!$G$2)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42"/>
      <c r="AK2" s="19" t="s">
        <v>43</v>
      </c>
      <c r="AL2" s="19"/>
    </row>
    <row r="3" s="26" customFormat="tru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44</v>
      </c>
      <c r="P3" s="21" t="s">
        <v>45</v>
      </c>
      <c r="Q3" s="21" t="s">
        <v>46</v>
      </c>
      <c r="R3" s="19"/>
      <c r="S3" s="19"/>
      <c r="T3" s="21" t="s">
        <v>47</v>
      </c>
      <c r="U3" s="21" t="s">
        <v>48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42"/>
      <c r="AK3" s="19" t="s">
        <v>49</v>
      </c>
      <c r="AL3" s="19"/>
    </row>
    <row r="4" s="27" customFormat="tru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50</v>
      </c>
      <c r="P4" s="44" t="s">
        <v>51</v>
      </c>
      <c r="Q4" s="44" t="s">
        <v>52</v>
      </c>
      <c r="R4" s="44" t="s">
        <v>53</v>
      </c>
      <c r="S4" s="44" t="s">
        <v>54</v>
      </c>
      <c r="T4" s="44" t="s">
        <v>55</v>
      </c>
      <c r="U4" s="44" t="s">
        <v>56</v>
      </c>
      <c r="V4" s="44" t="s">
        <v>57</v>
      </c>
      <c r="W4" s="44" t="s">
        <v>58</v>
      </c>
      <c r="X4" s="44" t="s">
        <v>59</v>
      </c>
      <c r="Y4" s="44" t="s">
        <v>60</v>
      </c>
      <c r="Z4" s="44" t="s">
        <v>61</v>
      </c>
      <c r="AA4" s="44" t="s">
        <v>62</v>
      </c>
      <c r="AB4" s="44" t="s">
        <v>63</v>
      </c>
      <c r="AC4" s="45" t="s">
        <v>64</v>
      </c>
      <c r="AD4" s="45" t="s">
        <v>65</v>
      </c>
      <c r="AE4" s="44" t="s">
        <v>66</v>
      </c>
      <c r="AF4" s="44" t="s">
        <v>67</v>
      </c>
      <c r="AG4" s="44" t="s">
        <v>68</v>
      </c>
      <c r="AH4" s="44" t="s">
        <v>69</v>
      </c>
      <c r="AI4" s="44" t="s">
        <v>70</v>
      </c>
      <c r="AJ4" s="42"/>
      <c r="AK4" s="19" t="s">
        <v>71</v>
      </c>
      <c r="AL4" s="19" t="s">
        <v>72</v>
      </c>
    </row>
    <row r="5" s="5" customFormat="true" ht="12" hidden="false" customHeight="false" outlineLevel="0" collapsed="false">
      <c r="A5" s="28" t="n">
        <v>45992</v>
      </c>
      <c r="B5" s="5" t="s">
        <v>14</v>
      </c>
      <c r="E5" s="5" t="s">
        <v>73</v>
      </c>
      <c r="F5" s="46" t="n">
        <v>1200</v>
      </c>
      <c r="H5" s="6" t="n">
        <f aca="false">IF((F5&lt;&gt;0),F5-G5," ")</f>
        <v>1200</v>
      </c>
      <c r="J5" s="6"/>
      <c r="K5" s="6"/>
      <c r="L5" s="7" t="n">
        <f aca="false">IF(F5&lt;&gt;0,F5-K5," ")</f>
        <v>1200</v>
      </c>
      <c r="M5" s="8" t="n">
        <f aca="false">IF((F5-K5)&lt;&gt;0,M$1-A5," ")</f>
        <v>145</v>
      </c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1200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46" t="str">
        <f aca="false">IF((E5="v"),H5," ")</f>
        <v> </v>
      </c>
      <c r="AD5" s="46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/>
      <c r="AK5" s="17"/>
      <c r="AL5" s="17"/>
    </row>
    <row r="6" customFormat="false" ht="12" hidden="false" customHeight="false" outlineLevel="0" collapsed="false">
      <c r="A6" s="28" t="n">
        <v>45992</v>
      </c>
      <c r="B6" s="2" t="s">
        <v>74</v>
      </c>
      <c r="E6" s="5" t="s">
        <v>75</v>
      </c>
      <c r="F6" s="46" t="n">
        <v>30</v>
      </c>
      <c r="H6" s="6" t="n">
        <f aca="false">IF((F6&lt;&gt;0),F6-G6," ")</f>
        <v>30</v>
      </c>
      <c r="I6" s="5"/>
      <c r="L6" s="7" t="n">
        <f aca="false">IF(F6&lt;&gt;0,F6-K6," ")</f>
        <v>30</v>
      </c>
      <c r="M6" s="8" t="n">
        <f aca="false">IF((F6-K6)&lt;&gt;0,M$1-A6," ")</f>
        <v>145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30</v>
      </c>
      <c r="AB6" s="17" t="str">
        <f aca="false">IF((E6="h"),H6," ")</f>
        <v> </v>
      </c>
      <c r="AC6" s="46" t="str">
        <f aca="false">IF((E6="v"),H6," ")</f>
        <v> </v>
      </c>
      <c r="AD6" s="46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</row>
    <row r="7" customFormat="false" ht="12" hidden="false" customHeight="false" outlineLevel="0" collapsed="false">
      <c r="A7" s="28" t="n">
        <v>45992</v>
      </c>
      <c r="B7" s="2" t="s">
        <v>76</v>
      </c>
      <c r="E7" s="5" t="s">
        <v>75</v>
      </c>
      <c r="F7" s="46" t="n">
        <v>15</v>
      </c>
      <c r="H7" s="6" t="n">
        <f aca="false">IF((F7&lt;&gt;0),F7-G7," ")</f>
        <v>15</v>
      </c>
      <c r="I7" s="5"/>
      <c r="L7" s="7" t="n">
        <f aca="false">IF(F7&lt;&gt;0,F7-K7," ")</f>
        <v>15</v>
      </c>
      <c r="M7" s="8" t="n">
        <f aca="false">IF((F7-K7)&lt;&gt;0,M$1-A7," ")</f>
        <v>145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15</v>
      </c>
      <c r="AB7" s="17" t="str">
        <f aca="false">IF((E7="h"),H7," ")</f>
        <v> </v>
      </c>
      <c r="AC7" s="46" t="str">
        <f aca="false">IF((E7="v"),H7," ")</f>
        <v> </v>
      </c>
      <c r="AD7" s="46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</row>
    <row r="8" customFormat="false" ht="12" hidden="false" customHeight="false" outlineLevel="0" collapsed="false">
      <c r="A8" s="28" t="n">
        <v>45992</v>
      </c>
      <c r="B8" s="2" t="s">
        <v>77</v>
      </c>
      <c r="E8" s="5" t="s">
        <v>78</v>
      </c>
      <c r="F8" s="46" t="n">
        <v>45</v>
      </c>
      <c r="H8" s="6" t="n">
        <f aca="false">IF((F8&lt;&gt;0),F8-G8," ")</f>
        <v>45</v>
      </c>
      <c r="I8" s="5"/>
      <c r="L8" s="7" t="n">
        <f aca="false">IF(F8&lt;&gt;0,F8-K8," ")</f>
        <v>45</v>
      </c>
      <c r="M8" s="8" t="n">
        <f aca="false">IF((F8-K8)&lt;&gt;0,M$1-A8," ")</f>
        <v>145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45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46" t="str">
        <f aca="false">IF((E8="v"),H8," ")</f>
        <v> </v>
      </c>
      <c r="AD8" s="46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</row>
    <row r="9" customFormat="false" ht="12" hidden="false" customHeight="false" outlineLevel="0" collapsed="false">
      <c r="A9" s="28" t="n">
        <v>45992</v>
      </c>
      <c r="B9" s="2" t="s">
        <v>142</v>
      </c>
      <c r="E9" s="5" t="s">
        <v>80</v>
      </c>
      <c r="F9" s="46" t="n">
        <v>360</v>
      </c>
      <c r="H9" s="6" t="n">
        <f aca="false">IF((F9&lt;&gt;0),F9-G9," ")</f>
        <v>360</v>
      </c>
      <c r="I9" s="5"/>
      <c r="L9" s="7" t="n">
        <f aca="false">IF(F9&lt;&gt;0,F9-K9," ")</f>
        <v>360</v>
      </c>
      <c r="M9" s="8" t="n">
        <f aca="false">IF((F9-K9)&lt;&gt;0,M$1-A9," ")</f>
        <v>145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str">
        <f aca="false">IF((E9="o"),H9," ")</f>
        <v> 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46" t="str">
        <f aca="false">IF((E9="v"),H9," ")</f>
        <v> </v>
      </c>
      <c r="AD9" s="46" t="n">
        <f aca="false">IF((E9="n"),H9," ")</f>
        <v>360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</row>
    <row r="10" customFormat="false" ht="12" hidden="false" customHeight="false" outlineLevel="0" collapsed="false">
      <c r="A10" s="28" t="n">
        <v>45992</v>
      </c>
      <c r="B10" s="2" t="s">
        <v>81</v>
      </c>
      <c r="E10" s="5" t="s">
        <v>78</v>
      </c>
      <c r="F10" s="46" t="n">
        <v>24</v>
      </c>
      <c r="H10" s="6" t="n">
        <f aca="false">IF((F10&lt;&gt;0),F10-G10," ")</f>
        <v>24</v>
      </c>
      <c r="I10" s="5"/>
      <c r="L10" s="7" t="n">
        <f aca="false">IF(F10&lt;&gt;0,F10-K10," ")</f>
        <v>24</v>
      </c>
      <c r="M10" s="8" t="n">
        <f aca="false">IF((F10-K10)&lt;&gt;0,M$1-A10," ")</f>
        <v>145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n">
        <f aca="false">IF((E10="o"),H10," ")</f>
        <v>24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str">
        <f aca="false">IF((E10="g"),H10," ")</f>
        <v> </v>
      </c>
      <c r="AB10" s="17" t="str">
        <f aca="false">IF((E10="h"),H10," ")</f>
        <v> </v>
      </c>
      <c r="AC10" s="46" t="str">
        <f aca="false">IF((E10="v"),H10," ")</f>
        <v> </v>
      </c>
      <c r="AD10" s="46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</row>
    <row r="11" customFormat="false" ht="12" hidden="false" customHeight="false" outlineLevel="0" collapsed="false">
      <c r="A11" s="28" t="n">
        <v>45992</v>
      </c>
      <c r="B11" s="2" t="s">
        <v>82</v>
      </c>
      <c r="E11" s="5" t="s">
        <v>75</v>
      </c>
      <c r="F11" s="46" t="n">
        <v>18</v>
      </c>
      <c r="H11" s="6" t="n">
        <f aca="false">IF((F11&lt;&gt;0),F11-G11," ")</f>
        <v>18</v>
      </c>
      <c r="I11" s="5"/>
      <c r="L11" s="7" t="n">
        <f aca="false">IF(F11&lt;&gt;0,F11-K11," ")</f>
        <v>18</v>
      </c>
      <c r="M11" s="8" t="n">
        <f aca="false">IF((F11-K11)&lt;&gt;0,M$1-A11," ")</f>
        <v>145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str">
        <f aca="false">IF((E11="o"),H11," ")</f>
        <v> 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n">
        <f aca="false">IF((E11="g"),H11," ")</f>
        <v>18</v>
      </c>
      <c r="AB11" s="17" t="str">
        <f aca="false">IF((E11="h"),H11," ")</f>
        <v> </v>
      </c>
      <c r="AC11" s="46" t="str">
        <f aca="false">IF((E11="v"),H11," ")</f>
        <v> </v>
      </c>
      <c r="AD11" s="46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</row>
    <row r="12" customFormat="false" ht="12" hidden="false" customHeight="false" outlineLevel="0" collapsed="false">
      <c r="A12" s="28" t="n">
        <v>45994</v>
      </c>
      <c r="B12" s="2" t="s">
        <v>83</v>
      </c>
      <c r="E12" s="5" t="s">
        <v>78</v>
      </c>
      <c r="F12" s="46" t="n">
        <v>180</v>
      </c>
      <c r="H12" s="6" t="n">
        <f aca="false">IF((F12&lt;&gt;0),F12-G12," ")</f>
        <v>180</v>
      </c>
      <c r="I12" s="5"/>
      <c r="L12" s="7" t="n">
        <f aca="false">IF(F12&lt;&gt;0,F12-K12," ")</f>
        <v>180</v>
      </c>
      <c r="M12" s="8" t="n">
        <f aca="false">IF((F12-K12)&lt;&gt;0,M$1-A12," ")</f>
        <v>143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n">
        <f aca="false">IF((E12="o"),H12," ")</f>
        <v>180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str">
        <f aca="false">IF((E12="u"),H12," ")</f>
        <v> 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46" t="str">
        <f aca="false">IF((E12="v"),H12," ")</f>
        <v> </v>
      </c>
      <c r="AD12" s="46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</row>
    <row r="13" customFormat="false" ht="12" hidden="false" customHeight="false" outlineLevel="0" collapsed="false">
      <c r="A13" s="28" t="n">
        <v>45994</v>
      </c>
      <c r="B13" s="2" t="s">
        <v>84</v>
      </c>
      <c r="E13" s="5" t="s">
        <v>85</v>
      </c>
      <c r="F13" s="46" t="n">
        <v>22</v>
      </c>
      <c r="H13" s="6" t="n">
        <f aca="false">IF((F13&lt;&gt;0),F13-G13," ")</f>
        <v>22</v>
      </c>
      <c r="I13" s="5"/>
      <c r="L13" s="7" t="n">
        <f aca="false">IF(F13&lt;&gt;0,F13-K13," ")</f>
        <v>22</v>
      </c>
      <c r="M13" s="8" t="n">
        <f aca="false">IF((F13-K13)&lt;&gt;0,M$1-A13," ")</f>
        <v>143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22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46" t="str">
        <f aca="false">IF((E13="v"),H13," ")</f>
        <v> </v>
      </c>
      <c r="AD13" s="46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</row>
    <row r="14" customFormat="false" ht="12" hidden="false" customHeight="false" outlineLevel="0" collapsed="false">
      <c r="A14" s="28" t="n">
        <v>45996</v>
      </c>
      <c r="B14" s="2" t="s">
        <v>86</v>
      </c>
      <c r="E14" s="5" t="s">
        <v>85</v>
      </c>
      <c r="F14" s="46" t="n">
        <v>24</v>
      </c>
      <c r="H14" s="6" t="n">
        <f aca="false">IF((F14&lt;&gt;0),F14-G14," ")</f>
        <v>24</v>
      </c>
      <c r="I14" s="5"/>
      <c r="L14" s="7" t="n">
        <f aca="false">IF(F14&lt;&gt;0,F14-K14," ")</f>
        <v>24</v>
      </c>
      <c r="M14" s="8" t="n">
        <f aca="false">IF((F14-K14)&lt;&gt;0,M$1-A14," ")</f>
        <v>141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n">
        <f aca="false">IF((E14="u"),H14," ")</f>
        <v>24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46" t="str">
        <f aca="false">IF((E14="v"),H14," ")</f>
        <v> </v>
      </c>
      <c r="AD14" s="46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</row>
    <row r="15" customFormat="false" ht="12" hidden="false" customHeight="false" outlineLevel="0" collapsed="false">
      <c r="A15" s="28" t="n">
        <v>45996</v>
      </c>
      <c r="B15" s="2" t="s">
        <v>87</v>
      </c>
      <c r="E15" s="5" t="s">
        <v>88</v>
      </c>
      <c r="F15" s="46" t="n">
        <v>180</v>
      </c>
      <c r="H15" s="6" t="n">
        <f aca="false">IF((F15&lt;&gt;0),F15-G15," ")</f>
        <v>180</v>
      </c>
      <c r="I15" s="5"/>
      <c r="L15" s="7" t="n">
        <f aca="false">IF(F15&lt;&gt;0,F15-K15," ")</f>
        <v>180</v>
      </c>
      <c r="M15" s="8" t="n">
        <f aca="false">IF((F15-K15)&lt;&gt;0,M$1-A15," ")</f>
        <v>141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str">
        <f aca="false">IF((E15="o"),H15," ")</f>
        <v> 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str">
        <f aca="false">IF((E15="h"),H15," ")</f>
        <v> </v>
      </c>
      <c r="AC15" s="46" t="n">
        <f aca="false">IF((E15="v"),H15," ")</f>
        <v>180</v>
      </c>
      <c r="AD15" s="46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</row>
    <row r="16" customFormat="false" ht="12" hidden="false" customHeight="false" outlineLevel="0" collapsed="false">
      <c r="A16" s="28" t="n">
        <v>45996</v>
      </c>
      <c r="B16" s="2" t="s">
        <v>89</v>
      </c>
      <c r="E16" s="5" t="s">
        <v>78</v>
      </c>
      <c r="F16" s="46" t="n">
        <v>36</v>
      </c>
      <c r="H16" s="6" t="n">
        <f aca="false">IF((F16&lt;&gt;0),F16-G16," ")</f>
        <v>36</v>
      </c>
      <c r="I16" s="5"/>
      <c r="L16" s="7" t="n">
        <f aca="false">IF(F16&lt;&gt;0,F16-K16," ")</f>
        <v>36</v>
      </c>
      <c r="M16" s="8" t="n">
        <f aca="false">IF((F16-K16)&lt;&gt;0,M$1-A16," ")</f>
        <v>141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n">
        <f aca="false">IF((E16="o"),H16," ")</f>
        <v>36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str">
        <f aca="false">IF((E16="h"),H16," ")</f>
        <v> </v>
      </c>
      <c r="AC16" s="46" t="str">
        <f aca="false">IF((E16="v"),H16," ")</f>
        <v> </v>
      </c>
      <c r="AD16" s="46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</row>
    <row r="17" customFormat="false" ht="12" hidden="false" customHeight="false" outlineLevel="0" collapsed="false">
      <c r="A17" s="28" t="n">
        <v>45999</v>
      </c>
      <c r="B17" s="2" t="s">
        <v>90</v>
      </c>
      <c r="E17" s="5" t="s">
        <v>91</v>
      </c>
      <c r="F17" s="46" t="n">
        <v>48</v>
      </c>
      <c r="H17" s="6" t="n">
        <f aca="false">IF((F17&lt;&gt;0),F17-G17," ")</f>
        <v>48</v>
      </c>
      <c r="I17" s="5"/>
      <c r="L17" s="7" t="n">
        <f aca="false">IF(F17&lt;&gt;0,F17-K17," ")</f>
        <v>48</v>
      </c>
      <c r="M17" s="8" t="n">
        <f aca="false">IF((F17-K17)&lt;&gt;0,M$1-A17," ")</f>
        <v>138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str">
        <f aca="false">IF((E17="u"),H17," ")</f>
        <v> </v>
      </c>
      <c r="Z17" s="17" t="str">
        <f aca="false">IF((E17="a"),H17," ")</f>
        <v> </v>
      </c>
      <c r="AA17" s="17" t="str">
        <f aca="false">IF((E17="g"),H17," ")</f>
        <v> </v>
      </c>
      <c r="AB17" s="17" t="n">
        <f aca="false">IF((E17="h"),H17," ")</f>
        <v>48</v>
      </c>
      <c r="AC17" s="46" t="str">
        <f aca="false">IF((E17="v"),H17," ")</f>
        <v> </v>
      </c>
      <c r="AD17" s="46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</row>
    <row r="18" customFormat="false" ht="12" hidden="false" customHeight="false" outlineLevel="0" collapsed="false">
      <c r="A18" s="28" t="n">
        <v>46001</v>
      </c>
      <c r="B18" s="2" t="s">
        <v>92</v>
      </c>
      <c r="E18" s="5" t="s">
        <v>85</v>
      </c>
      <c r="F18" s="46" t="n">
        <v>36</v>
      </c>
      <c r="H18" s="6" t="n">
        <f aca="false">IF((F18&lt;&gt;0),F18-G18," ")</f>
        <v>36</v>
      </c>
      <c r="I18" s="5"/>
      <c r="L18" s="7" t="n">
        <f aca="false">IF(F18&lt;&gt;0,F18-K18," ")</f>
        <v>36</v>
      </c>
      <c r="M18" s="8" t="n">
        <f aca="false">IF((F18-K18)&lt;&gt;0,M$1-A18," ")</f>
        <v>136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n">
        <f aca="false">IF((E18="u"),H18," ")</f>
        <v>36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46" t="str">
        <f aca="false">IF((E18="v"),H18," ")</f>
        <v> </v>
      </c>
      <c r="AD18" s="46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</row>
    <row r="19" customFormat="false" ht="12" hidden="false" customHeight="false" outlineLevel="0" collapsed="false">
      <c r="A19" s="28" t="n">
        <v>46001</v>
      </c>
      <c r="B19" s="2" t="s">
        <v>93</v>
      </c>
      <c r="E19" s="5" t="s">
        <v>94</v>
      </c>
      <c r="F19" s="46" t="n">
        <v>180</v>
      </c>
      <c r="H19" s="6" t="n">
        <f aca="false">IF((F19&lt;&gt;0),F19-G19," ")</f>
        <v>180</v>
      </c>
      <c r="I19" s="5"/>
      <c r="L19" s="7" t="n">
        <f aca="false">IF(F19&lt;&gt;0,F19-K19," ")</f>
        <v>180</v>
      </c>
      <c r="M19" s="8" t="n">
        <f aca="false">IF((F19-K19)&lt;&gt;0,M$1-A19," ")</f>
        <v>136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str">
        <f aca="false">IF((E19="h"),H19," ")</f>
        <v> </v>
      </c>
      <c r="AC19" s="46" t="str">
        <f aca="false">IF((E19="v"),H19," ")</f>
        <v> </v>
      </c>
      <c r="AD19" s="46" t="str">
        <f aca="false">IF((E19="n"),H19," ")</f>
        <v> </v>
      </c>
      <c r="AE19" s="17" t="n">
        <f aca="false">IF((E19="f"),H19," ")</f>
        <v>180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</row>
    <row r="20" customFormat="false" ht="12" hidden="false" customHeight="false" outlineLevel="0" collapsed="false">
      <c r="A20" s="28" t="n">
        <v>46001</v>
      </c>
      <c r="B20" s="2" t="s">
        <v>95</v>
      </c>
      <c r="E20" s="5" t="s">
        <v>96</v>
      </c>
      <c r="F20" s="46" t="n">
        <v>480</v>
      </c>
      <c r="H20" s="6" t="n">
        <f aca="false">IF((F20&lt;&gt;0),F20-G20," ")</f>
        <v>480</v>
      </c>
      <c r="I20" s="5"/>
      <c r="L20" s="7" t="n">
        <f aca="false">IF(F20&lt;&gt;0,F20-K20," ")</f>
        <v>480</v>
      </c>
      <c r="M20" s="8" t="n">
        <f aca="false">IF((F20-K20)&lt;&gt;0,M$1-A20," ")</f>
        <v>136</v>
      </c>
      <c r="N20" s="5"/>
      <c r="O20" s="17" t="n">
        <f aca="false">IF((E20="s"),H20," ")</f>
        <v>480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46" t="str">
        <f aca="false">IF((E20="v"),H20," ")</f>
        <v> </v>
      </c>
      <c r="AD20" s="46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</row>
    <row r="21" customFormat="false" ht="12" hidden="false" customHeight="false" outlineLevel="0" collapsed="false">
      <c r="A21" s="28" t="n">
        <v>46001</v>
      </c>
      <c r="B21" s="2" t="s">
        <v>114</v>
      </c>
      <c r="E21" s="5" t="s">
        <v>115</v>
      </c>
      <c r="F21" s="46" t="n">
        <v>1800</v>
      </c>
      <c r="H21" s="6" t="n">
        <f aca="false">IF((F21&lt;&gt;0),F21-G21," ")</f>
        <v>1800</v>
      </c>
      <c r="I21" s="5"/>
      <c r="L21" s="7" t="n">
        <f aca="false">IF(F21&lt;&gt;0,F21-K21," ")</f>
        <v>1800</v>
      </c>
      <c r="M21" s="8" t="n">
        <f aca="false">IF((F21-K21)&lt;&gt;0,M$1-A21," ")</f>
        <v>136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n">
        <f aca="false">IF((E21="a"),H21," ")</f>
        <v>1800</v>
      </c>
      <c r="AA21" s="17" t="str">
        <f aca="false">IF((E21="g"),H21," ")</f>
        <v> </v>
      </c>
      <c r="AB21" s="17" t="str">
        <f aca="false">IF((E21="h"),H21," ")</f>
        <v> </v>
      </c>
      <c r="AC21" s="46" t="str">
        <f aca="false">IF((E21="v"),H21," ")</f>
        <v> </v>
      </c>
      <c r="AD21" s="46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</row>
    <row r="22" customFormat="false" ht="12" hidden="false" customHeight="false" outlineLevel="0" collapsed="false">
      <c r="A22" s="28" t="n">
        <v>46003</v>
      </c>
      <c r="B22" s="2" t="s">
        <v>97</v>
      </c>
      <c r="E22" s="5" t="s">
        <v>88</v>
      </c>
      <c r="F22" s="46" t="n">
        <v>18</v>
      </c>
      <c r="H22" s="6" t="n">
        <f aca="false">IF((F22&lt;&gt;0),F22-G22," ")</f>
        <v>18</v>
      </c>
      <c r="I22" s="5"/>
      <c r="L22" s="7" t="n">
        <f aca="false">IF(F22&lt;&gt;0,F22-K22," ")</f>
        <v>18</v>
      </c>
      <c r="M22" s="8" t="n">
        <f aca="false">IF((F22-K22)&lt;&gt;0,M$1-A22," ")</f>
        <v>134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str">
        <f aca="false">IF((E22="h"),H22," ")</f>
        <v> </v>
      </c>
      <c r="AC22" s="46" t="n">
        <f aca="false">IF((E22="v"),H22," ")</f>
        <v>18</v>
      </c>
      <c r="AD22" s="46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</row>
    <row r="23" customFormat="false" ht="12" hidden="false" customHeight="false" outlineLevel="0" collapsed="false">
      <c r="A23" s="28" t="n">
        <v>46005</v>
      </c>
      <c r="B23" s="2" t="s">
        <v>98</v>
      </c>
      <c r="E23" s="5" t="s">
        <v>85</v>
      </c>
      <c r="F23" s="46" t="n">
        <v>36</v>
      </c>
      <c r="H23" s="6" t="n">
        <f aca="false">IF((F23&lt;&gt;0),F23-G23," ")</f>
        <v>36</v>
      </c>
      <c r="I23" s="5"/>
      <c r="L23" s="7" t="n">
        <f aca="false">IF(F23&lt;&gt;0,F23-K23," ")</f>
        <v>36</v>
      </c>
      <c r="M23" s="8" t="n">
        <f aca="false">IF((F23-K23)&lt;&gt;0,M$1-A23," ")</f>
        <v>132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n">
        <f aca="false">IF((E23="u"),H23," ")</f>
        <v>36</v>
      </c>
      <c r="Z23" s="17" t="str">
        <f aca="false">IF((E23="a"),H23," ")</f>
        <v> </v>
      </c>
      <c r="AA23" s="17" t="str">
        <f aca="false">IF((E23="g"),H23," ")</f>
        <v> </v>
      </c>
      <c r="AB23" s="17" t="str">
        <f aca="false">IF((E23="h"),H23," ")</f>
        <v> </v>
      </c>
      <c r="AC23" s="46" t="str">
        <f aca="false">IF((E23="v"),H23," ")</f>
        <v> </v>
      </c>
      <c r="AD23" s="46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</row>
    <row r="24" customFormat="false" ht="12" hidden="false" customHeight="false" outlineLevel="0" collapsed="false">
      <c r="A24" s="28" t="n">
        <v>46005</v>
      </c>
      <c r="B24" s="2" t="s">
        <v>99</v>
      </c>
      <c r="E24" s="5" t="s">
        <v>91</v>
      </c>
      <c r="F24" s="46" t="n">
        <v>24</v>
      </c>
      <c r="H24" s="6" t="n">
        <f aca="false">IF((F24&lt;&gt;0),F24-G24," ")</f>
        <v>24</v>
      </c>
      <c r="I24" s="5"/>
      <c r="L24" s="7" t="n">
        <f aca="false">IF(F24&lt;&gt;0,F24-K24," ")</f>
        <v>24</v>
      </c>
      <c r="M24" s="8" t="n">
        <f aca="false">IF((F24-K24)&lt;&gt;0,M$1-A24," ")</f>
        <v>132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str">
        <f aca="false">IF((E24="g"),H24," ")</f>
        <v> </v>
      </c>
      <c r="AB24" s="17" t="n">
        <f aca="false">IF((E24="h"),H24," ")</f>
        <v>24</v>
      </c>
      <c r="AC24" s="46" t="str">
        <f aca="false">IF((E24="v"),H24," ")</f>
        <v> </v>
      </c>
      <c r="AD24" s="46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</row>
    <row r="25" customFormat="false" ht="12" hidden="false" customHeight="false" outlineLevel="0" collapsed="false">
      <c r="A25" s="28" t="n">
        <v>46005</v>
      </c>
      <c r="B25" s="2" t="s">
        <v>100</v>
      </c>
      <c r="E25" s="5" t="s">
        <v>91</v>
      </c>
      <c r="F25" s="46" t="n">
        <v>12</v>
      </c>
      <c r="H25" s="6" t="n">
        <f aca="false">IF((F25&lt;&gt;0),F25-G25," ")</f>
        <v>12</v>
      </c>
      <c r="I25" s="5"/>
      <c r="L25" s="7" t="n">
        <f aca="false">IF(F25&lt;&gt;0,F25-K25," ")</f>
        <v>12</v>
      </c>
      <c r="M25" s="8" t="n">
        <f aca="false">IF((F25-K25)&lt;&gt;0,M$1-A25," ")</f>
        <v>132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str">
        <f aca="false">IF((E25="g"),H25," ")</f>
        <v> </v>
      </c>
      <c r="AB25" s="17" t="n">
        <f aca="false">IF((E25="h"),H25," ")</f>
        <v>12</v>
      </c>
      <c r="AC25" s="46" t="str">
        <f aca="false">IF((E25="v"),H25," ")</f>
        <v> </v>
      </c>
      <c r="AD25" s="46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</row>
    <row r="26" customFormat="false" ht="12" hidden="false" customHeight="false" outlineLevel="0" collapsed="false">
      <c r="A26" s="28" t="n">
        <v>46006</v>
      </c>
      <c r="B26" s="2" t="s">
        <v>20</v>
      </c>
      <c r="E26" s="5" t="s">
        <v>88</v>
      </c>
      <c r="F26" s="46" t="n">
        <v>150</v>
      </c>
      <c r="H26" s="6" t="n">
        <f aca="false">IF((F26&lt;&gt;0),F26-G26," ")</f>
        <v>150</v>
      </c>
      <c r="I26" s="5"/>
      <c r="L26" s="7" t="n">
        <f aca="false">IF(F26&lt;&gt;0,F26-K26," ")</f>
        <v>150</v>
      </c>
      <c r="M26" s="8" t="n">
        <f aca="false">IF((F26-K26)&lt;&gt;0,M$1-A26," ")</f>
        <v>131</v>
      </c>
      <c r="N26" s="5"/>
      <c r="O26" s="17" t="str">
        <f aca="false">IF((E26="s"),H26," ")</f>
        <v> 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str">
        <f aca="false">IF((E26="g"),H26," ")</f>
        <v> </v>
      </c>
      <c r="AB26" s="17" t="str">
        <f aca="false">IF((E26="h"),H26," ")</f>
        <v> </v>
      </c>
      <c r="AC26" s="46" t="n">
        <f aca="false">IF((E26="v"),H26," ")</f>
        <v>150</v>
      </c>
      <c r="AD26" s="46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</row>
    <row r="27" customFormat="false" ht="12" hidden="false" customHeight="false" outlineLevel="0" collapsed="false">
      <c r="A27" s="28" t="n">
        <v>46006</v>
      </c>
      <c r="B27" s="2" t="s">
        <v>101</v>
      </c>
      <c r="E27" s="5" t="s">
        <v>75</v>
      </c>
      <c r="F27" s="46" t="n">
        <v>12</v>
      </c>
      <c r="H27" s="6" t="n">
        <f aca="false">IF((F27&lt;&gt;0),F27-G27," ")</f>
        <v>12</v>
      </c>
      <c r="I27" s="5"/>
      <c r="L27" s="7" t="n">
        <f aca="false">IF(F27&lt;&gt;0,F27-K27," ")</f>
        <v>12</v>
      </c>
      <c r="M27" s="8" t="n">
        <f aca="false">IF((F27-K27)&lt;&gt;0,M$1-A27," ")</f>
        <v>131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n">
        <f aca="false">IF((E27="g"),H27," ")</f>
        <v>12</v>
      </c>
      <c r="AB27" s="17" t="str">
        <f aca="false">IF((E27="h"),H27," ")</f>
        <v> </v>
      </c>
      <c r="AC27" s="46" t="str">
        <f aca="false">IF((E27="v"),H27," ")</f>
        <v> </v>
      </c>
      <c r="AD27" s="46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</row>
    <row r="28" customFormat="false" ht="12" hidden="false" customHeight="false" outlineLevel="0" collapsed="false">
      <c r="A28" s="28" t="n">
        <v>46006</v>
      </c>
      <c r="B28" s="2" t="s">
        <v>143</v>
      </c>
      <c r="E28" s="5" t="s">
        <v>115</v>
      </c>
      <c r="F28" s="46" t="n">
        <v>1200</v>
      </c>
      <c r="H28" s="6" t="n">
        <f aca="false">IF((F28&lt;&gt;0),F28-G28," ")</f>
        <v>1200</v>
      </c>
      <c r="I28" s="5"/>
      <c r="L28" s="7" t="n">
        <f aca="false">IF(F28&lt;&gt;0,F28-K28," ")</f>
        <v>1200</v>
      </c>
      <c r="M28" s="8" t="n">
        <f aca="false">IF((F28-K28)&lt;&gt;0,M$1-A28," ")</f>
        <v>131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n">
        <f aca="false">IF((E28="a"),H28," ")</f>
        <v>1200</v>
      </c>
      <c r="AA28" s="17" t="str">
        <f aca="false">IF((E28="g"),H28," ")</f>
        <v> </v>
      </c>
      <c r="AB28" s="17" t="str">
        <f aca="false">IF((E28="h"),H28," ")</f>
        <v> </v>
      </c>
      <c r="AC28" s="46" t="str">
        <f aca="false">IF((E28="v"),H28," ")</f>
        <v> </v>
      </c>
      <c r="AD28" s="46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</row>
    <row r="29" customFormat="false" ht="12" hidden="false" customHeight="false" outlineLevel="0" collapsed="false">
      <c r="A29" s="28" t="n">
        <v>46009</v>
      </c>
      <c r="B29" s="2" t="s">
        <v>127</v>
      </c>
      <c r="E29" s="5" t="s">
        <v>91</v>
      </c>
      <c r="F29" s="46" t="n">
        <v>120</v>
      </c>
      <c r="H29" s="6" t="n">
        <f aca="false">IF((F29&lt;&gt;0),F29-G29," ")</f>
        <v>120</v>
      </c>
      <c r="I29" s="5"/>
      <c r="L29" s="7" t="n">
        <f aca="false">IF(F29&lt;&gt;0,F29-K29," ")</f>
        <v>120</v>
      </c>
      <c r="M29" s="8" t="n">
        <f aca="false">IF((F29-K29)&lt;&gt;0,M$1-A29," ")</f>
        <v>128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n">
        <f aca="false">IF((E29="h"),H29," ")</f>
        <v>120</v>
      </c>
      <c r="AC29" s="46" t="str">
        <f aca="false">IF((E29="v"),H29," ")</f>
        <v> </v>
      </c>
      <c r="AD29" s="46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</row>
    <row r="30" customFormat="false" ht="12" hidden="false" customHeight="false" outlineLevel="0" collapsed="false">
      <c r="A30" s="28" t="n">
        <v>46009</v>
      </c>
      <c r="B30" s="2" t="s">
        <v>102</v>
      </c>
      <c r="E30" s="5" t="s">
        <v>88</v>
      </c>
      <c r="F30" s="46" t="n">
        <v>96</v>
      </c>
      <c r="H30" s="6" t="n">
        <f aca="false">IF((F30&lt;&gt;0),F30-G30," ")</f>
        <v>96</v>
      </c>
      <c r="I30" s="5"/>
      <c r="L30" s="7" t="n">
        <f aca="false">IF(F30&lt;&gt;0,F30-K30," ")</f>
        <v>96</v>
      </c>
      <c r="M30" s="8" t="n">
        <f aca="false">IF((F30-K30)&lt;&gt;0,M$1-A30," ")</f>
        <v>128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str">
        <f aca="false">IF((E30="g"),H30," ")</f>
        <v> </v>
      </c>
      <c r="AB30" s="17" t="str">
        <f aca="false">IF((E30="h"),H30," ")</f>
        <v> </v>
      </c>
      <c r="AC30" s="46" t="n">
        <f aca="false">IF((E30="v"),H30," ")</f>
        <v>96</v>
      </c>
      <c r="AD30" s="46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</row>
    <row r="31" customFormat="false" ht="12" hidden="false" customHeight="false" outlineLevel="0" collapsed="false">
      <c r="A31" s="28" t="n">
        <v>46011</v>
      </c>
      <c r="B31" s="2" t="s">
        <v>103</v>
      </c>
      <c r="E31" s="5" t="s">
        <v>75</v>
      </c>
      <c r="F31" s="46" t="n">
        <v>60</v>
      </c>
      <c r="H31" s="6" t="n">
        <f aca="false">IF((F31&lt;&gt;0),F31-G31," ")</f>
        <v>60</v>
      </c>
      <c r="I31" s="5"/>
      <c r="L31" s="7" t="n">
        <f aca="false">IF(F31&lt;&gt;0,F31-K31," ")</f>
        <v>60</v>
      </c>
      <c r="M31" s="8" t="n">
        <f aca="false">IF((F31-K31)&lt;&gt;0,M$1-A31," ")</f>
        <v>126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str">
        <f aca="false">IF((E31="u"),H31," ")</f>
        <v> </v>
      </c>
      <c r="Z31" s="17" t="str">
        <f aca="false">IF((E31="a"),H31," ")</f>
        <v> </v>
      </c>
      <c r="AA31" s="17" t="n">
        <f aca="false">IF((E31="g"),H31," ")</f>
        <v>60</v>
      </c>
      <c r="AB31" s="17" t="str">
        <f aca="false">IF((E31="h"),H31," ")</f>
        <v> </v>
      </c>
      <c r="AC31" s="46" t="str">
        <f aca="false">IF((E31="v"),H31," ")</f>
        <v> </v>
      </c>
      <c r="AD31" s="46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</row>
    <row r="32" customFormat="false" ht="12" hidden="false" customHeight="false" outlineLevel="0" collapsed="false">
      <c r="A32" s="28" t="n">
        <v>46011</v>
      </c>
      <c r="B32" s="2" t="s">
        <v>104</v>
      </c>
      <c r="E32" s="5" t="s">
        <v>105</v>
      </c>
      <c r="F32" s="46" t="n">
        <v>96</v>
      </c>
      <c r="H32" s="6" t="n">
        <f aca="false">IF((F32&lt;&gt;0),F32-G32," ")</f>
        <v>96</v>
      </c>
      <c r="I32" s="5"/>
      <c r="L32" s="7" t="n">
        <f aca="false">IF(F32&lt;&gt;0,F32-K32," ")</f>
        <v>96</v>
      </c>
      <c r="M32" s="8" t="n">
        <f aca="false">IF((F32-K32)&lt;&gt;0,M$1-A32," ")</f>
        <v>126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n">
        <f aca="false">IF((E32="m"),H32," ")</f>
        <v>96</v>
      </c>
      <c r="Y32" s="17" t="str">
        <f aca="false">IF((E32="u"),H32," ")</f>
        <v> 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46" t="str">
        <f aca="false">IF((E32="v"),H32," ")</f>
        <v> </v>
      </c>
      <c r="AD32" s="46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</row>
    <row r="33" customFormat="false" ht="12" hidden="false" customHeight="false" outlineLevel="0" collapsed="false">
      <c r="A33" s="28" t="n">
        <v>46012</v>
      </c>
      <c r="B33" s="2" t="s">
        <v>106</v>
      </c>
      <c r="E33" s="5" t="s">
        <v>91</v>
      </c>
      <c r="F33" s="46" t="n">
        <v>8</v>
      </c>
      <c r="H33" s="6" t="n">
        <f aca="false">IF((F33&lt;&gt;0),F33-G33," ")</f>
        <v>8</v>
      </c>
      <c r="I33" s="5"/>
      <c r="L33" s="7" t="n">
        <f aca="false">IF(F33&lt;&gt;0,F33-K33," ")</f>
        <v>8</v>
      </c>
      <c r="M33" s="8" t="n">
        <f aca="false">IF((F33-K33)&lt;&gt;0,M$1-A33," ")</f>
        <v>125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str">
        <f aca="false">IF((E33="u"),H33," ")</f>
        <v> </v>
      </c>
      <c r="Z33" s="17" t="str">
        <f aca="false">IF((E33="a"),H33," ")</f>
        <v> </v>
      </c>
      <c r="AA33" s="17" t="str">
        <f aca="false">IF((E33="g"),H33," ")</f>
        <v> </v>
      </c>
      <c r="AB33" s="17" t="n">
        <f aca="false">IF((E33="h"),H33," ")</f>
        <v>8</v>
      </c>
      <c r="AC33" s="46" t="str">
        <f aca="false">IF((E33="v"),H33," ")</f>
        <v> </v>
      </c>
      <c r="AD33" s="46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</row>
    <row r="34" customFormat="false" ht="12" hidden="false" customHeight="false" outlineLevel="0" collapsed="false">
      <c r="A34" s="28" t="n">
        <v>46013</v>
      </c>
      <c r="B34" s="2" t="s">
        <v>107</v>
      </c>
      <c r="E34" s="5" t="s">
        <v>85</v>
      </c>
      <c r="F34" s="46" t="n">
        <v>18</v>
      </c>
      <c r="H34" s="6" t="n">
        <f aca="false">IF((F34&lt;&gt;0),F34-G34," ")</f>
        <v>18</v>
      </c>
      <c r="I34" s="5"/>
      <c r="L34" s="7" t="n">
        <f aca="false">IF(F34&lt;&gt;0,F34-K34," ")</f>
        <v>18</v>
      </c>
      <c r="M34" s="8" t="n">
        <f aca="false">IF((F34-K34)&lt;&gt;0,M$1-A34," ")</f>
        <v>124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n">
        <f aca="false">IF((E34="u"),H34," ")</f>
        <v>18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46" t="str">
        <f aca="false">IF((E34="v"),H34," ")</f>
        <v> </v>
      </c>
      <c r="AD34" s="46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</row>
    <row r="35" customFormat="false" ht="12" hidden="false" customHeight="false" outlineLevel="0" collapsed="false">
      <c r="A35" s="28" t="n">
        <v>46016</v>
      </c>
      <c r="B35" s="2" t="s">
        <v>108</v>
      </c>
      <c r="E35" s="5" t="s">
        <v>85</v>
      </c>
      <c r="F35" s="46" t="n">
        <v>15</v>
      </c>
      <c r="H35" s="6" t="n">
        <f aca="false">IF((F35&lt;&gt;0),F35-G35," ")</f>
        <v>15</v>
      </c>
      <c r="I35" s="5"/>
      <c r="L35" s="7" t="n">
        <f aca="false">IF(F35&lt;&gt;0,F35-K35," ")</f>
        <v>15</v>
      </c>
      <c r="M35" s="8" t="n">
        <f aca="false">IF((F35-K35)&lt;&gt;0,M$1-A35," ")</f>
        <v>121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n">
        <f aca="false">IF((E35="u"),H35," ")</f>
        <v>15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46" t="str">
        <f aca="false">IF((E35="v"),H35," ")</f>
        <v> </v>
      </c>
      <c r="AD35" s="46" t="str">
        <f aca="false">IF((E35="n"),H35," ")</f>
        <v> </v>
      </c>
      <c r="AE35" s="17" t="str">
        <f aca="false">IF((E35="f"),H35," ")</f>
        <v> </v>
      </c>
      <c r="AF35" s="17" t="str">
        <f aca="false">IF((E35="l"),H35," ")</f>
        <v> 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</row>
    <row r="36" customFormat="false" ht="12" hidden="false" customHeight="false" outlineLevel="0" collapsed="false">
      <c r="A36" s="28" t="n">
        <v>46016</v>
      </c>
      <c r="B36" s="2" t="s">
        <v>109</v>
      </c>
      <c r="E36" s="5" t="s">
        <v>88</v>
      </c>
      <c r="F36" s="46" t="n">
        <v>42.75</v>
      </c>
      <c r="H36" s="6" t="n">
        <f aca="false">IF((F36&lt;&gt;0),F36-G36," ")</f>
        <v>42.75</v>
      </c>
      <c r="I36" s="5"/>
      <c r="L36" s="7" t="n">
        <f aca="false">IF(F36&lt;&gt;0,F36-K36," ")</f>
        <v>42.75</v>
      </c>
      <c r="M36" s="8" t="n">
        <f aca="false">IF((F36-K36)&lt;&gt;0,M$1-A36," ")</f>
        <v>121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46" t="n">
        <f aca="false">IF((E36="v"),H36," ")</f>
        <v>42.75</v>
      </c>
      <c r="AD36" s="46" t="str">
        <f aca="false">IF((E36="n"),H36," ")</f>
        <v> </v>
      </c>
      <c r="AE36" s="17" t="str">
        <f aca="false">IF((E36="f"),H36," ")</f>
        <v> </v>
      </c>
      <c r="AF36" s="17" t="str">
        <f aca="false">IF((E36="l"),H36," ")</f>
        <v> 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</row>
    <row r="37" customFormat="false" ht="12" hidden="false" customHeight="false" outlineLevel="0" collapsed="false">
      <c r="A37" s="28" t="n">
        <v>46016</v>
      </c>
      <c r="B37" s="2" t="s">
        <v>144</v>
      </c>
      <c r="E37" s="5" t="s">
        <v>118</v>
      </c>
      <c r="F37" s="46" t="n">
        <v>36000</v>
      </c>
      <c r="H37" s="6" t="n">
        <f aca="false">IF((F37&lt;&gt;0),F37-G37," ")</f>
        <v>36000</v>
      </c>
      <c r="I37" s="5"/>
      <c r="L37" s="7" t="n">
        <f aca="false">IF(F37&lt;&gt;0,F37-K37," ")</f>
        <v>36000</v>
      </c>
      <c r="M37" s="8" t="n">
        <f aca="false">IF((F37-K37)&lt;&gt;0,M$1-A37," ")</f>
        <v>121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46" t="str">
        <f aca="false">IF((E37="v"),H37," ")</f>
        <v> </v>
      </c>
      <c r="AD37" s="46" t="str">
        <f aca="false">IF((E37="n"),H37," ")</f>
        <v> </v>
      </c>
      <c r="AE37" s="17" t="str">
        <f aca="false">IF((E37="f"),H37," ")</f>
        <v> </v>
      </c>
      <c r="AF37" s="17" t="str">
        <f aca="false">IF((E37="l"),H37," ")</f>
        <v> </v>
      </c>
      <c r="AG37" s="17" t="str">
        <f aca="false">IF((E37="y"),H37," ")</f>
        <v> </v>
      </c>
      <c r="AH37" s="17" t="str">
        <f aca="false">IF((E37="z"),H37," ")</f>
        <v> </v>
      </c>
      <c r="AI37" s="17" t="n">
        <f aca="false">IF((E37="fa"),H37," ")</f>
        <v>36000</v>
      </c>
    </row>
    <row r="38" customFormat="false" ht="12" hidden="false" customHeight="false" outlineLevel="0" collapsed="false">
      <c r="A38" s="28" t="n">
        <v>46019</v>
      </c>
      <c r="B38" s="2" t="s">
        <v>20</v>
      </c>
      <c r="E38" s="5" t="s">
        <v>88</v>
      </c>
      <c r="F38" s="46" t="n">
        <v>120</v>
      </c>
      <c r="H38" s="6" t="n">
        <f aca="false">IF((F38&lt;&gt;0),F38-G38," ")</f>
        <v>120</v>
      </c>
      <c r="I38" s="5"/>
      <c r="L38" s="7" t="n">
        <f aca="false">IF(F38&lt;&gt;0,F38-K38," ")</f>
        <v>120</v>
      </c>
      <c r="M38" s="8" t="n">
        <f aca="false">IF((F38-K38)&lt;&gt;0,M$1-A38," ")</f>
        <v>118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46" t="n">
        <f aca="false">IF((E38="v"),H38," ")</f>
        <v>120</v>
      </c>
      <c r="AD38" s="46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</row>
    <row r="39" customFormat="false" ht="12" hidden="false" customHeight="false" outlineLevel="0" collapsed="false">
      <c r="A39" s="28" t="n">
        <v>46022</v>
      </c>
      <c r="B39" s="2" t="s">
        <v>16</v>
      </c>
      <c r="E39" s="5" t="s">
        <v>110</v>
      </c>
      <c r="F39" s="46" t="n">
        <v>300</v>
      </c>
      <c r="H39" s="6" t="n">
        <f aca="false">IF((F39&lt;&gt;0),F39-G39," ")</f>
        <v>300</v>
      </c>
      <c r="I39" s="5"/>
      <c r="L39" s="7" t="n">
        <f aca="false">IF(F39&lt;&gt;0,F39-K39," ")</f>
        <v>300</v>
      </c>
      <c r="M39" s="8" t="n">
        <f aca="false">IF((F39-K39)&lt;&gt;0,M$1-A39," ")</f>
        <v>115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46" t="str">
        <f aca="false">IF((E39="v"),H39," ")</f>
        <v> </v>
      </c>
      <c r="AD39" s="46" t="str">
        <f aca="false">IF((E39="n"),H39," ")</f>
        <v> </v>
      </c>
      <c r="AE39" s="17" t="str">
        <f aca="false">IF((E39="f"),H39," ")</f>
        <v> </v>
      </c>
      <c r="AF39" s="17" t="n">
        <f aca="false">IF((E39="l"),H39," ")</f>
        <v>300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</row>
    <row r="40" customFormat="false" ht="12" hidden="false" customHeight="false" outlineLevel="0" collapsed="false">
      <c r="A40" s="28"/>
      <c r="E40" s="2"/>
      <c r="F40" s="46"/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46" t="str">
        <f aca="false">IF((E40="v"),H40," ")</f>
        <v> </v>
      </c>
      <c r="AD40" s="46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</row>
    <row r="41" customFormat="false" ht="12" hidden="false" customHeight="false" outlineLevel="0" collapsed="false">
      <c r="A41" s="28"/>
      <c r="E41" s="2"/>
      <c r="F41" s="46"/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46" t="str">
        <f aca="false">IF((E41="v"),H41," ")</f>
        <v> </v>
      </c>
      <c r="AD41" s="46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</row>
    <row r="42" customFormat="false" ht="12" hidden="false" customHeight="false" outlineLevel="0" collapsed="false">
      <c r="A42" s="28"/>
      <c r="E42" s="2"/>
      <c r="F42" s="46"/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46" t="str">
        <f aca="false">IF((E42="v"),H42," ")</f>
        <v> </v>
      </c>
      <c r="AD42" s="46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</row>
    <row r="43" customFormat="false" ht="12" hidden="false" customHeight="false" outlineLevel="0" collapsed="false">
      <c r="A43" s="28"/>
      <c r="E43" s="2"/>
      <c r="F43" s="46"/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46" t="str">
        <f aca="false">IF((E43="v"),H43," ")</f>
        <v> </v>
      </c>
      <c r="AD43" s="46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</row>
    <row r="44" customFormat="false" ht="12" hidden="false" customHeight="false" outlineLevel="0" collapsed="false">
      <c r="A44" s="28"/>
      <c r="E44" s="2"/>
      <c r="F44" s="46"/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46" t="str">
        <f aca="false">IF((E44="v"),H44," ")</f>
        <v> </v>
      </c>
      <c r="AD44" s="46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</row>
    <row r="45" customFormat="false" ht="12" hidden="false" customHeight="false" outlineLevel="0" collapsed="false">
      <c r="A45" s="28"/>
      <c r="E45" s="2"/>
      <c r="F45" s="46"/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46" t="str">
        <f aca="false">IF((E45="v"),H45," ")</f>
        <v> </v>
      </c>
      <c r="AD45" s="46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</row>
    <row r="46" customFormat="false" ht="12" hidden="false" customHeight="false" outlineLevel="0" collapsed="false">
      <c r="A46" s="28"/>
      <c r="E46" s="2"/>
      <c r="F46" s="46"/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46" t="str">
        <f aca="false">IF((E46="v"),H46," ")</f>
        <v> </v>
      </c>
      <c r="AD46" s="46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</row>
    <row r="47" customFormat="false" ht="12" hidden="false" customHeight="false" outlineLevel="0" collapsed="false">
      <c r="A47" s="28"/>
      <c r="E47" s="2"/>
      <c r="F47" s="46"/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46" t="str">
        <f aca="false">IF((E47="v"),H47," ")</f>
        <v> </v>
      </c>
      <c r="AD47" s="46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</row>
    <row r="48" customFormat="false" ht="12" hidden="false" customHeight="false" outlineLevel="0" collapsed="false">
      <c r="A48" s="28"/>
      <c r="E48" s="2"/>
      <c r="F48" s="46"/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46" t="str">
        <f aca="false">IF((E48="v"),H48," ")</f>
        <v> </v>
      </c>
      <c r="AD48" s="46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</row>
    <row r="49" customFormat="false" ht="12" hidden="false" customHeight="false" outlineLevel="0" collapsed="false">
      <c r="A49" s="28"/>
      <c r="E49" s="2"/>
      <c r="F49" s="46"/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46" t="str">
        <f aca="false">IF((E49="v"),H49," ")</f>
        <v> </v>
      </c>
      <c r="AD49" s="46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</row>
    <row r="50" customFormat="false" ht="12" hidden="false" customHeight="false" outlineLevel="0" collapsed="false">
      <c r="A50" s="28"/>
      <c r="E50" s="2"/>
      <c r="F50" s="46"/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46" t="str">
        <f aca="false">IF((E50="v"),H50," ")</f>
        <v> </v>
      </c>
      <c r="AD50" s="46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</row>
    <row r="51" customFormat="false" ht="12" hidden="false" customHeight="false" outlineLevel="0" collapsed="false">
      <c r="A51" s="28"/>
      <c r="E51" s="2"/>
      <c r="F51" s="46"/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46" t="str">
        <f aca="false">IF((E51="v"),H51," ")</f>
        <v> </v>
      </c>
      <c r="AD51" s="46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</row>
    <row r="52" customFormat="false" ht="12" hidden="false" customHeight="false" outlineLevel="0" collapsed="false">
      <c r="A52" s="28"/>
      <c r="E52" s="2"/>
      <c r="F52" s="46"/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46" t="str">
        <f aca="false">IF((E52="v"),H52," ")</f>
        <v> </v>
      </c>
      <c r="AD52" s="46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</row>
    <row r="53" customFormat="false" ht="12" hidden="false" customHeight="false" outlineLevel="0" collapsed="false">
      <c r="A53" s="28"/>
      <c r="E53" s="2"/>
      <c r="F53" s="46"/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46" t="str">
        <f aca="false">IF((E53="v"),H53," ")</f>
        <v> </v>
      </c>
      <c r="AD53" s="46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</row>
    <row r="54" customFormat="false" ht="12" hidden="false" customHeight="false" outlineLevel="0" collapsed="false">
      <c r="A54" s="28"/>
      <c r="E54" s="2"/>
      <c r="F54" s="46"/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46" t="str">
        <f aca="false">IF((E54="v"),H54," ")</f>
        <v> </v>
      </c>
      <c r="AD54" s="46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</row>
    <row r="55" customFormat="false" ht="12" hidden="false" customHeight="false" outlineLevel="0" collapsed="false">
      <c r="A55" s="28"/>
      <c r="E55" s="2"/>
      <c r="F55" s="46"/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46" t="str">
        <f aca="false">IF((E55="v"),H55," ")</f>
        <v> </v>
      </c>
      <c r="AD55" s="46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</row>
    <row r="56" customFormat="false" ht="12" hidden="false" customHeight="false" outlineLevel="0" collapsed="false">
      <c r="A56" s="28"/>
      <c r="E56" s="2"/>
      <c r="F56" s="46"/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46" t="str">
        <f aca="false">IF((E56="v"),H56," ")</f>
        <v> </v>
      </c>
      <c r="AD56" s="46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</row>
    <row r="57" customFormat="false" ht="12" hidden="false" customHeight="false" outlineLevel="0" collapsed="false">
      <c r="A57" s="28"/>
      <c r="E57" s="2"/>
      <c r="F57" s="46"/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46" t="str">
        <f aca="false">IF((E57="v"),H57," ")</f>
        <v> </v>
      </c>
      <c r="AD57" s="46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</row>
    <row r="58" customFormat="false" ht="12" hidden="false" customHeight="false" outlineLevel="0" collapsed="false">
      <c r="A58" s="28"/>
      <c r="E58" s="2"/>
      <c r="F58" s="46"/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46" t="str">
        <f aca="false">IF((E58="v"),H58," ")</f>
        <v> </v>
      </c>
      <c r="AD58" s="46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</row>
    <row r="59" customFormat="false" ht="12" hidden="false" customHeight="false" outlineLevel="0" collapsed="false">
      <c r="A59" s="28"/>
      <c r="E59" s="2"/>
      <c r="F59" s="46"/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46" t="str">
        <f aca="false">IF((E59="v"),H59," ")</f>
        <v> </v>
      </c>
      <c r="AD59" s="46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</row>
    <row r="60" customFormat="false" ht="12" hidden="false" customHeight="false" outlineLevel="0" collapsed="false">
      <c r="A60" s="28"/>
      <c r="E60" s="2"/>
      <c r="F60" s="46"/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46" t="str">
        <f aca="false">IF((E60="v"),H60," ")</f>
        <v> </v>
      </c>
      <c r="AD60" s="46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</row>
    <row r="61" customFormat="false" ht="12" hidden="false" customHeight="false" outlineLevel="0" collapsed="false">
      <c r="A61" s="28"/>
      <c r="E61" s="2"/>
      <c r="F61" s="46"/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46" t="str">
        <f aca="false">IF((E61="v"),H61," ")</f>
        <v> </v>
      </c>
      <c r="AD61" s="46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</row>
    <row r="62" customFormat="false" ht="12" hidden="false" customHeight="false" outlineLevel="0" collapsed="false">
      <c r="A62" s="28"/>
      <c r="E62" s="2"/>
      <c r="F62" s="46"/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46" t="str">
        <f aca="false">IF((E62="v"),H62," ")</f>
        <v> </v>
      </c>
      <c r="AD62" s="46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</row>
    <row r="63" customFormat="false" ht="12" hidden="false" customHeight="false" outlineLevel="0" collapsed="false">
      <c r="A63" s="28"/>
      <c r="E63" s="2"/>
      <c r="F63" s="46"/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46" t="str">
        <f aca="false">IF((E63="v"),H63," ")</f>
        <v> </v>
      </c>
      <c r="AD63" s="46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</row>
    <row r="64" customFormat="false" ht="12" hidden="false" customHeight="false" outlineLevel="0" collapsed="false">
      <c r="A64" s="28"/>
      <c r="E64" s="2"/>
      <c r="F64" s="46"/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46" t="str">
        <f aca="false">IF((E64="v"),H64," ")</f>
        <v> </v>
      </c>
      <c r="AD64" s="46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</row>
    <row r="65" customFormat="false" ht="12" hidden="false" customHeight="false" outlineLevel="0" collapsed="false">
      <c r="A65" s="28"/>
      <c r="E65" s="2"/>
      <c r="F65" s="46"/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46" t="str">
        <f aca="false">IF((E65="v"),H65," ")</f>
        <v> </v>
      </c>
      <c r="AD65" s="46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</row>
    <row r="66" customFormat="false" ht="12" hidden="false" customHeight="false" outlineLevel="0" collapsed="false">
      <c r="A66" s="28"/>
      <c r="E66" s="2"/>
      <c r="F66" s="46"/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46" t="str">
        <f aca="false">IF((E66="v"),H66," ")</f>
        <v> </v>
      </c>
      <c r="AD66" s="46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</row>
    <row r="67" customFormat="false" ht="12" hidden="false" customHeight="false" outlineLevel="0" collapsed="false">
      <c r="A67" s="28"/>
      <c r="E67" s="2"/>
      <c r="F67" s="46"/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46" t="str">
        <f aca="false">IF((E67="v"),H67," ")</f>
        <v> </v>
      </c>
      <c r="AD67" s="46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</row>
    <row r="68" customFormat="false" ht="12" hidden="false" customHeight="false" outlineLevel="0" collapsed="false">
      <c r="A68" s="28"/>
      <c r="E68" s="2"/>
      <c r="F68" s="46"/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46" t="str">
        <f aca="false">IF((E68="v"),H68," ")</f>
        <v> </v>
      </c>
      <c r="AD68" s="46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</row>
    <row r="69" customFormat="false" ht="12" hidden="false" customHeight="false" outlineLevel="0" collapsed="false">
      <c r="A69" s="28"/>
      <c r="E69" s="2"/>
      <c r="F69" s="46"/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46" t="str">
        <f aca="false">IF((E69="v"),H69," ")</f>
        <v> </v>
      </c>
      <c r="AD69" s="46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46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46" t="str">
        <f aca="false">IF((E70="v"),H70," ")</f>
        <v> </v>
      </c>
      <c r="AD70" s="46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46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46" t="str">
        <f aca="false">IF((E71="v"),H71," ")</f>
        <v> </v>
      </c>
      <c r="AD71" s="46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46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46" t="str">
        <f aca="false">IF((E72="v"),H72," ")</f>
        <v> </v>
      </c>
      <c r="AD72" s="46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46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46" t="str">
        <f aca="false">IF((E73="v"),H73," ")</f>
        <v> </v>
      </c>
      <c r="AD73" s="46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46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46" t="str">
        <f aca="false">IF((E74="v"),H74," ")</f>
        <v> </v>
      </c>
      <c r="AD74" s="46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46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46" t="str">
        <f aca="false">IF((E75="v"),H75," ")</f>
        <v> </v>
      </c>
      <c r="AD75" s="46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46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46" t="str">
        <f aca="false">IF((E76="v"),H76," ")</f>
        <v> </v>
      </c>
      <c r="AD76" s="46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46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46" t="str">
        <f aca="false">IF((E77="v"),H77," ")</f>
        <v> </v>
      </c>
      <c r="AD77" s="46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46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46" t="str">
        <f aca="false">IF((E78="v"),H78," ")</f>
        <v> </v>
      </c>
      <c r="AD78" s="46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46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46" t="str">
        <f aca="false">IF((E79="v"),H79," ")</f>
        <v> </v>
      </c>
      <c r="AD79" s="46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46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46" t="str">
        <f aca="false">IF((E80="v"),H80," ")</f>
        <v> </v>
      </c>
      <c r="AD80" s="46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46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46" t="str">
        <f aca="false">IF((E81="v"),H81," ")</f>
        <v> </v>
      </c>
      <c r="AD81" s="46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46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46" t="str">
        <f aca="false">IF((E82="v"),H82," ")</f>
        <v> </v>
      </c>
      <c r="AD82" s="46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46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46" t="str">
        <f aca="false">IF((E83="v"),H83," ")</f>
        <v> </v>
      </c>
      <c r="AD83" s="46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46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46" t="str">
        <f aca="false">IF((E84="v"),H84," ")</f>
        <v> </v>
      </c>
      <c r="AD84" s="46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46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46" t="str">
        <f aca="false">IF((E85="v"),H85," ")</f>
        <v> </v>
      </c>
      <c r="AD85" s="46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46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46" t="str">
        <f aca="false">IF((E86="v"),H86," ")</f>
        <v> </v>
      </c>
      <c r="AD86" s="46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46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46" t="str">
        <f aca="false">IF((E87="v"),H87," ")</f>
        <v> </v>
      </c>
      <c r="AD87" s="46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46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46" t="str">
        <f aca="false">IF((E88="v"),H88," ")</f>
        <v> </v>
      </c>
      <c r="AD88" s="46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46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46" t="str">
        <f aca="false">IF((E89="v"),H89," ")</f>
        <v> </v>
      </c>
      <c r="AD89" s="46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46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46" t="str">
        <f aca="false">IF((E90="v"),H90," ")</f>
        <v> </v>
      </c>
      <c r="AD90" s="46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46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46" t="str">
        <f aca="false">IF((E91="v"),H91," ")</f>
        <v> </v>
      </c>
      <c r="AD91" s="46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46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46" t="str">
        <f aca="false">IF((E92="v"),H92," ")</f>
        <v> </v>
      </c>
      <c r="AD92" s="46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46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46" t="str">
        <f aca="false">IF((E93="v"),H93," ")</f>
        <v> </v>
      </c>
      <c r="AD93" s="46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46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46" t="str">
        <f aca="false">IF((E94="v"),H94," ")</f>
        <v> </v>
      </c>
      <c r="AD94" s="46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46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46" t="str">
        <f aca="false">IF((E95="v"),H95," ")</f>
        <v> </v>
      </c>
      <c r="AD95" s="46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46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46" t="str">
        <f aca="false">IF((E96="v"),H96," ")</f>
        <v> </v>
      </c>
      <c r="AD96" s="46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46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46" t="str">
        <f aca="false">IF((E97="v"),H97," ")</f>
        <v> </v>
      </c>
      <c r="AD97" s="46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46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46" t="str">
        <f aca="false">IF((E98="v"),H98," ")</f>
        <v> </v>
      </c>
      <c r="AD98" s="46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46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46" t="str">
        <f aca="false">IF((E99="v"),H99," ")</f>
        <v> </v>
      </c>
      <c r="AD99" s="46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46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46" t="str">
        <f aca="false">IF((E100="v"),H100," ")</f>
        <v> </v>
      </c>
      <c r="AD100" s="46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46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46" t="str">
        <f aca="false">IF((E101="v"),H101," ")</f>
        <v> </v>
      </c>
      <c r="AD101" s="46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46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46" t="str">
        <f aca="false">IF((E102="v"),H102," ")</f>
        <v> </v>
      </c>
      <c r="AD102" s="46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46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46" t="str">
        <f aca="false">IF((E103="v"),H103," ")</f>
        <v> </v>
      </c>
      <c r="AD103" s="46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46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46" t="str">
        <f aca="false">IF((E104="v"),H104," ")</f>
        <v> </v>
      </c>
      <c r="AD104" s="46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46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46" t="str">
        <f aca="false">IF((E105="v"),H105," ")</f>
        <v> </v>
      </c>
      <c r="AD105" s="46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46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46" t="str">
        <f aca="false">IF((E106="v"),H106," ")</f>
        <v> </v>
      </c>
      <c r="AD106" s="46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46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46" t="str">
        <f aca="false">IF((E107="v"),H107," ")</f>
        <v> </v>
      </c>
      <c r="AD107" s="46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46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46" t="str">
        <f aca="false">IF((E108="v"),H108," ")</f>
        <v> </v>
      </c>
      <c r="AD108" s="46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46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46" t="str">
        <f aca="false">IF((E109="v"),H109," ")</f>
        <v> </v>
      </c>
      <c r="AD109" s="46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46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46" t="str">
        <f aca="false">IF((E110="v"),H110," ")</f>
        <v> </v>
      </c>
      <c r="AD110" s="46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46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46" t="str">
        <f aca="false">IF((E111="v"),H111," ")</f>
        <v> </v>
      </c>
      <c r="AD111" s="46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46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46" t="str">
        <f aca="false">IF((E112="v"),H112," ")</f>
        <v> </v>
      </c>
      <c r="AD112" s="46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46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46" t="str">
        <f aca="false">IF((E113="v"),H113," ")</f>
        <v> </v>
      </c>
      <c r="AD113" s="46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46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46" t="str">
        <f aca="false">IF((E114="v"),H114," ")</f>
        <v> </v>
      </c>
      <c r="AD114" s="46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46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46" t="str">
        <f aca="false">IF((E115="v"),H115," ")</f>
        <v> </v>
      </c>
      <c r="AD115" s="46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46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46" t="str">
        <f aca="false">IF((E116="v"),H116," ")</f>
        <v> </v>
      </c>
      <c r="AD116" s="46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46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46" t="str">
        <f aca="false">IF((E117="v"),H117," ")</f>
        <v> </v>
      </c>
      <c r="AD117" s="46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46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46" t="str">
        <f aca="false">IF((E118="v"),H118," ")</f>
        <v> </v>
      </c>
      <c r="AD118" s="46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46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46" t="str">
        <f aca="false">IF((E119="v"),H119," ")</f>
        <v> </v>
      </c>
      <c r="AD119" s="46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46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46" t="str">
        <f aca="false">IF((E120="v"),H120," ")</f>
        <v> </v>
      </c>
      <c r="AD120" s="46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46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46" t="str">
        <f aca="false">IF((E121="v"),H121," ")</f>
        <v> </v>
      </c>
      <c r="AD121" s="46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46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46" t="str">
        <f aca="false">IF((E122="v"),H122," ")</f>
        <v> </v>
      </c>
      <c r="AD122" s="46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46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46" t="str">
        <f aca="false">IF((E123="v"),H123," ")</f>
        <v> </v>
      </c>
      <c r="AD123" s="46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46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46" t="str">
        <f aca="false">IF((E124="v"),H124," ")</f>
        <v> </v>
      </c>
      <c r="AD124" s="46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46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46" t="str">
        <f aca="false">IF((E125="v"),H125," ")</f>
        <v> </v>
      </c>
      <c r="AD125" s="46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46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46" t="str">
        <f aca="false">IF((E126="v"),H126," ")</f>
        <v> </v>
      </c>
      <c r="AD126" s="46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46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46" t="str">
        <f aca="false">IF((E127="v"),H127," ")</f>
        <v> </v>
      </c>
      <c r="AD127" s="46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46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46" t="str">
        <f aca="false">IF((E128="v"),H128," ")</f>
        <v> </v>
      </c>
      <c r="AD128" s="46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46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46" t="str">
        <f aca="false">IF((E129="v"),H129," ")</f>
        <v> </v>
      </c>
      <c r="AD129" s="46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46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46" t="str">
        <f aca="false">IF((E130="v"),H130," ")</f>
        <v> </v>
      </c>
      <c r="AD130" s="46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46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46" t="str">
        <f aca="false">IF((E131="v"),H131," ")</f>
        <v> </v>
      </c>
      <c r="AD131" s="46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46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46" t="str">
        <f aca="false">IF((E132="v"),H132," ")</f>
        <v> </v>
      </c>
      <c r="AD132" s="46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46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46" t="str">
        <f aca="false">IF((E133="v"),H133," ")</f>
        <v> </v>
      </c>
      <c r="AD133" s="46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46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46" t="str">
        <f aca="false">IF((E134="v"),H134," ")</f>
        <v> </v>
      </c>
      <c r="AD134" s="46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46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46" t="str">
        <f aca="false">IF((E135="v"),H135," ")</f>
        <v> </v>
      </c>
      <c r="AD135" s="46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46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46" t="str">
        <f aca="false">IF((E136="v"),H136," ")</f>
        <v> </v>
      </c>
      <c r="AD136" s="46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46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46" t="str">
        <f aca="false">IF((E137="v"),H137," ")</f>
        <v> </v>
      </c>
      <c r="AD137" s="46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46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46" t="str">
        <f aca="false">IF((E138="v"),H138," ")</f>
        <v> </v>
      </c>
      <c r="AD138" s="46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46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46" t="str">
        <f aca="false">IF((E139="v"),H139," ")</f>
        <v> </v>
      </c>
      <c r="AD139" s="46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46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46" t="str">
        <f aca="false">IF((E140="v"),H140," ")</f>
        <v> </v>
      </c>
      <c r="AD140" s="46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46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46" t="str">
        <f aca="false">IF((E141="v"),H141," ")</f>
        <v> </v>
      </c>
      <c r="AD141" s="46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46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46" t="str">
        <f aca="false">IF((E142="v"),H142," ")</f>
        <v> </v>
      </c>
      <c r="AD142" s="46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46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46" t="str">
        <f aca="false">IF((E143="v"),H143," ")</f>
        <v> </v>
      </c>
      <c r="AD143" s="46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46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46" t="str">
        <f aca="false">IF((E144="v"),H144," ")</f>
        <v> </v>
      </c>
      <c r="AD144" s="46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46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46" t="str">
        <f aca="false">IF((E145="v"),H145," ")</f>
        <v> </v>
      </c>
      <c r="AD145" s="46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46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46" t="str">
        <f aca="false">IF((E146="v"),H146," ")</f>
        <v> </v>
      </c>
      <c r="AD146" s="46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46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46" t="str">
        <f aca="false">IF((E147="v"),H147," ")</f>
        <v> </v>
      </c>
      <c r="AD147" s="46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46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46" t="str">
        <f aca="false">IF((E148="v"),H148," ")</f>
        <v> </v>
      </c>
      <c r="AD148" s="46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46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46" t="str">
        <f aca="false">IF((E149="v"),H149," ")</f>
        <v> </v>
      </c>
      <c r="AD149" s="46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46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46" t="str">
        <f aca="false">IF((E150="v"),H150," ")</f>
        <v> </v>
      </c>
      <c r="AD150" s="46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46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46" t="str">
        <f aca="false">IF((E151="v"),H151," ")</f>
        <v> </v>
      </c>
      <c r="AD151" s="46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46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46" t="str">
        <f aca="false">IF((E152="v"),H152," ")</f>
        <v> </v>
      </c>
      <c r="AD152" s="46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46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46" t="str">
        <f aca="false">IF((E153="v"),H153," ")</f>
        <v> </v>
      </c>
      <c r="AD153" s="46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46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46" t="str">
        <f aca="false">IF((E154="v"),H154," ")</f>
        <v> </v>
      </c>
      <c r="AD154" s="46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46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46" t="str">
        <f aca="false">IF((E155="v"),H155," ")</f>
        <v> </v>
      </c>
      <c r="AD155" s="46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46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46" t="str">
        <f aca="false">IF((E156="v"),H156," ")</f>
        <v> </v>
      </c>
      <c r="AD156" s="46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46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46" t="str">
        <f aca="false">IF((E157="v"),H157," ")</f>
        <v> </v>
      </c>
      <c r="AD157" s="46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46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46" t="str">
        <f aca="false">IF((E158="v"),H158," ")</f>
        <v> </v>
      </c>
      <c r="AD158" s="46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46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46" t="str">
        <f aca="false">IF((E159="v"),H159," ")</f>
        <v> </v>
      </c>
      <c r="AD159" s="46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46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46" t="str">
        <f aca="false">IF((E160="v"),H160," ")</f>
        <v> </v>
      </c>
      <c r="AD160" s="46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46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46" t="str">
        <f aca="false">IF((E161="v"),H161," ")</f>
        <v> </v>
      </c>
      <c r="AD161" s="46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46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46" t="str">
        <f aca="false">IF((E162="v"),H162," ")</f>
        <v> </v>
      </c>
      <c r="AD162" s="46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46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46" t="str">
        <f aca="false">IF((E163="v"),H163," ")</f>
        <v> </v>
      </c>
      <c r="AD163" s="46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46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46" t="str">
        <f aca="false">IF((E164="v"),H164," ")</f>
        <v> </v>
      </c>
      <c r="AD164" s="46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46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46" t="str">
        <f aca="false">IF((E165="v"),H165," ")</f>
        <v> </v>
      </c>
      <c r="AD165" s="46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46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46" t="str">
        <f aca="false">IF((E166="v"),H166," ")</f>
        <v> </v>
      </c>
      <c r="AD166" s="46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46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46" t="str">
        <f aca="false">IF((E167="v"),H167," ")</f>
        <v> </v>
      </c>
      <c r="AD167" s="46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46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46" t="str">
        <f aca="false">IF((E168="v"),H168," ")</f>
        <v> </v>
      </c>
      <c r="AD168" s="46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46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46" t="str">
        <f aca="false">IF((E169="v"),H169," ")</f>
        <v> </v>
      </c>
      <c r="AD169" s="46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46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46" t="str">
        <f aca="false">IF((E170="v"),H170," ")</f>
        <v> </v>
      </c>
      <c r="AD170" s="46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46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46" t="str">
        <f aca="false">IF((E171="v"),H171," ")</f>
        <v> </v>
      </c>
      <c r="AD171" s="46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46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46" t="str">
        <f aca="false">IF((E172="v"),H172," ")</f>
        <v> </v>
      </c>
      <c r="AD172" s="46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46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46" t="str">
        <f aca="false">IF((E173="v"),H173," ")</f>
        <v> </v>
      </c>
      <c r="AD173" s="46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46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46" t="str">
        <f aca="false">IF((E174="v"),H174," ")</f>
        <v> </v>
      </c>
      <c r="AD174" s="46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46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46" t="str">
        <f aca="false">IF((E175="v"),H175," ")</f>
        <v> </v>
      </c>
      <c r="AD175" s="46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46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46" t="str">
        <f aca="false">IF((E176="v"),H176," ")</f>
        <v> </v>
      </c>
      <c r="AD176" s="46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46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46" t="str">
        <f aca="false">IF((E177="v"),H177," ")</f>
        <v> </v>
      </c>
      <c r="AD177" s="46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46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46" t="str">
        <f aca="false">IF((E178="v"),H178," ")</f>
        <v> </v>
      </c>
      <c r="AD178" s="46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46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46" t="str">
        <f aca="false">IF((E179="v"),H179," ")</f>
        <v> </v>
      </c>
      <c r="AD179" s="46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46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46" t="str">
        <f aca="false">IF((E180="v"),H180," ")</f>
        <v> </v>
      </c>
      <c r="AD180" s="46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46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46" t="str">
        <f aca="false">IF((E181="v"),H181," ")</f>
        <v> </v>
      </c>
      <c r="AD181" s="46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46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46" t="str">
        <f aca="false">IF((E182="v"),H182," ")</f>
        <v> </v>
      </c>
      <c r="AD182" s="46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46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46" t="str">
        <f aca="false">IF((E183="v"),H183," ")</f>
        <v> </v>
      </c>
      <c r="AD183" s="46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46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46" t="str">
        <f aca="false">IF((E184="v"),H184," ")</f>
        <v> </v>
      </c>
      <c r="AD184" s="46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46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46" t="str">
        <f aca="false">IF((E185="v"),H185," ")</f>
        <v> </v>
      </c>
      <c r="AD185" s="46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46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46" t="str">
        <f aca="false">IF((E186="v"),H186," ")</f>
        <v> </v>
      </c>
      <c r="AD186" s="46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46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46" t="str">
        <f aca="false">IF((E187="v"),H187," ")</f>
        <v> </v>
      </c>
      <c r="AD187" s="46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46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46" t="str">
        <f aca="false">IF((E188="v"),H188," ")</f>
        <v> </v>
      </c>
      <c r="AD188" s="46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46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46" t="str">
        <f aca="false">IF((E189="v"),H189," ")</f>
        <v> </v>
      </c>
      <c r="AD189" s="46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46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46" t="str">
        <f aca="false">IF((E190="v"),H190," ")</f>
        <v> </v>
      </c>
      <c r="AD190" s="46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46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46" t="str">
        <f aca="false">IF((E191="v"),H191," ")</f>
        <v> </v>
      </c>
      <c r="AD191" s="46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46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46" t="str">
        <f aca="false">IF((E192="v"),H192," ")</f>
        <v> </v>
      </c>
      <c r="AD192" s="46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46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46" t="str">
        <f aca="false">IF((E193="v"),H193," ")</f>
        <v> </v>
      </c>
      <c r="AD193" s="46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46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46" t="str">
        <f aca="false">IF((E194="v"),H194," ")</f>
        <v> </v>
      </c>
      <c r="AD194" s="46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46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46" t="str">
        <f aca="false">IF((E195="v"),H195," ")</f>
        <v> </v>
      </c>
      <c r="AD195" s="46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46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46" t="str">
        <f aca="false">IF((E196="v"),H196," ")</f>
        <v> </v>
      </c>
      <c r="AD196" s="46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46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46" t="str">
        <f aca="false">IF((E197="v"),H197," ")</f>
        <v> </v>
      </c>
      <c r="AD197" s="46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46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46" t="str">
        <f aca="false">IF((E198="v"),H198," ")</f>
        <v> </v>
      </c>
      <c r="AD198" s="46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46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46" t="str">
        <f aca="false">IF((E199="v"),H199," ")</f>
        <v> </v>
      </c>
      <c r="AD199" s="46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46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46" t="str">
        <f aca="false">IF((E200="v"),H200," ")</f>
        <v> </v>
      </c>
      <c r="AD200" s="46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46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46" t="str">
        <f aca="false">IF((E201="v"),H201," ")</f>
        <v> </v>
      </c>
      <c r="AD201" s="46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46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46" t="str">
        <f aca="false">IF((E202="v"),H202," ")</f>
        <v> </v>
      </c>
      <c r="AD202" s="46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46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46" t="str">
        <f aca="false">IF((E203="v"),H203," ")</f>
        <v> </v>
      </c>
      <c r="AD203" s="46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46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46" t="str">
        <f aca="false">IF((E204="v"),H204," ")</f>
        <v> </v>
      </c>
      <c r="AD204" s="46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46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46" t="str">
        <f aca="false">IF((E205="v"),H205," ")</f>
        <v> </v>
      </c>
      <c r="AD205" s="46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46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46" t="str">
        <f aca="false">IF((E206="v"),H206," ")</f>
        <v> </v>
      </c>
      <c r="AD206" s="46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46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46" t="str">
        <f aca="false">IF((E207="v"),H207," ")</f>
        <v> </v>
      </c>
      <c r="AD207" s="46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46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46" t="str">
        <f aca="false">IF((E208="v"),H208," ")</f>
        <v> </v>
      </c>
      <c r="AD208" s="46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46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46" t="str">
        <f aca="false">IF((E209="v"),H209," ")</f>
        <v> </v>
      </c>
      <c r="AD209" s="46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46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46" t="str">
        <f aca="false">IF((E210="v"),H210," ")</f>
        <v> </v>
      </c>
      <c r="AD210" s="46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46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46" t="str">
        <f aca="false">IF((E211="v"),H211," ")</f>
        <v> </v>
      </c>
      <c r="AD211" s="46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46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46" t="str">
        <f aca="false">IF((E212="v"),H212," ")</f>
        <v> </v>
      </c>
      <c r="AD212" s="46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46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46" t="str">
        <f aca="false">IF((E213="v"),H213," ")</f>
        <v> </v>
      </c>
      <c r="AD213" s="46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46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46" t="str">
        <f aca="false">IF((E214="v"),H214," ")</f>
        <v> </v>
      </c>
      <c r="AD214" s="46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46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46" t="str">
        <f aca="false">IF((E215="v"),H215," ")</f>
        <v> </v>
      </c>
      <c r="AD215" s="46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46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46" t="str">
        <f aca="false">IF((E216="v"),H216," ")</f>
        <v> </v>
      </c>
      <c r="AD216" s="46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46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46" t="str">
        <f aca="false">IF((E217="v"),H217," ")</f>
        <v> </v>
      </c>
      <c r="AD217" s="46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46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46" t="str">
        <f aca="false">IF((E218="v"),H218," ")</f>
        <v> </v>
      </c>
      <c r="AD218" s="46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46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46" t="str">
        <f aca="false">IF((E219="v"),H219," ")</f>
        <v> </v>
      </c>
      <c r="AD219" s="46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46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46" t="str">
        <f aca="false">IF((E220="v"),H220," ")</f>
        <v> </v>
      </c>
      <c r="AD220" s="46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46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46" t="str">
        <f aca="false">IF((E221="v"),H221," ")</f>
        <v> </v>
      </c>
      <c r="AD221" s="46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46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46" t="str">
        <f aca="false">IF((E222="v"),H222," ")</f>
        <v> </v>
      </c>
      <c r="AD222" s="46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46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46" t="str">
        <f aca="false">IF((E223="v"),H223," ")</f>
        <v> </v>
      </c>
      <c r="AD223" s="46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46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46" t="str">
        <f aca="false">IF((E224="v"),H224," ")</f>
        <v> </v>
      </c>
      <c r="AD224" s="46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46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46" t="str">
        <f aca="false">IF((E225="v"),H225," ")</f>
        <v> </v>
      </c>
      <c r="AD225" s="46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46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46" t="str">
        <f aca="false">IF((E226="v"),H226," ")</f>
        <v> </v>
      </c>
      <c r="AD226" s="46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46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46" t="str">
        <f aca="false">IF((E227="v"),H227," ")</f>
        <v> </v>
      </c>
      <c r="AD227" s="46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46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46" t="str">
        <f aca="false">IF((E228="v"),H228," ")</f>
        <v> </v>
      </c>
      <c r="AD228" s="46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46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46" t="str">
        <f aca="false">IF((E229="v"),H229," ")</f>
        <v> </v>
      </c>
      <c r="AD229" s="46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46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46" t="str">
        <f aca="false">IF((E230="v"),H230," ")</f>
        <v> </v>
      </c>
      <c r="AD230" s="46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46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46" t="str">
        <f aca="false">IF((E231="v"),H231," ")</f>
        <v> </v>
      </c>
      <c r="AD231" s="46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46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46" t="str">
        <f aca="false">IF((E232="v"),H232," ")</f>
        <v> </v>
      </c>
      <c r="AD232" s="46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46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46" t="str">
        <f aca="false">IF((E233="v"),H233," ")</f>
        <v> </v>
      </c>
      <c r="AD233" s="46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46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46" t="str">
        <f aca="false">IF((E234="v"),H234," ")</f>
        <v> </v>
      </c>
      <c r="AD234" s="46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46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46" t="str">
        <f aca="false">IF((E235="v"),H235," ")</f>
        <v> </v>
      </c>
      <c r="AD235" s="46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46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46" t="str">
        <f aca="false">IF((E236="v"),H236," ")</f>
        <v> </v>
      </c>
      <c r="AD236" s="46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46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46" t="str">
        <f aca="false">IF((E237="v"),H237," ")</f>
        <v> </v>
      </c>
      <c r="AD237" s="46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46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46" t="str">
        <f aca="false">IF((E238="v"),H238," ")</f>
        <v> </v>
      </c>
      <c r="AD238" s="46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46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46" t="str">
        <f aca="false">IF((E239="v"),H239," ")</f>
        <v> </v>
      </c>
      <c r="AD239" s="46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46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46" t="str">
        <f aca="false">IF((E240="v"),H240," ")</f>
        <v> </v>
      </c>
      <c r="AD240" s="46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46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46" t="str">
        <f aca="false">IF((E241="v"),H241," ")</f>
        <v> </v>
      </c>
      <c r="AD241" s="46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46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46" t="str">
        <f aca="false">IF((E242="v"),H242," ")</f>
        <v> </v>
      </c>
      <c r="AD242" s="46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46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46" t="str">
        <f aca="false">IF((E243="v"),H243," ")</f>
        <v> </v>
      </c>
      <c r="AD243" s="46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46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46" t="str">
        <f aca="false">IF((E244="v"),H244," ")</f>
        <v> </v>
      </c>
      <c r="AD244" s="46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46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46" t="str">
        <f aca="false">IF((E245="v"),H245," ")</f>
        <v> </v>
      </c>
      <c r="AD245" s="46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46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46" t="str">
        <f aca="false">IF((E246="v"),H246," ")</f>
        <v> </v>
      </c>
      <c r="AD246" s="46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46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46" t="str">
        <f aca="false">IF((E247="v"),H247," ")</f>
        <v> </v>
      </c>
      <c r="AD247" s="46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46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46" t="str">
        <f aca="false">IF((E248="v"),H248," ")</f>
        <v> </v>
      </c>
      <c r="AD248" s="46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46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46" t="str">
        <f aca="false">IF((E249="v"),H249," ")</f>
        <v> </v>
      </c>
      <c r="AD249" s="46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46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46" t="str">
        <f aca="false">IF((E250="v"),H250," ")</f>
        <v> </v>
      </c>
      <c r="AD250" s="46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46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46" t="str">
        <f aca="false">IF((E251="v"),H251," ")</f>
        <v> </v>
      </c>
      <c r="AD251" s="46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46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46" t="str">
        <f aca="false">IF((E252="v"),H252," ")</f>
        <v> </v>
      </c>
      <c r="AD252" s="46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46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46" t="str">
        <f aca="false">IF((E253="v"),H253," ")</f>
        <v> </v>
      </c>
      <c r="AD253" s="46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46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46" t="str">
        <f aca="false">IF((E254="v"),H254," ")</f>
        <v> </v>
      </c>
      <c r="AD254" s="46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46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46" t="str">
        <f aca="false">IF((E255="v"),H255," ")</f>
        <v> </v>
      </c>
      <c r="AD255" s="46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46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46" t="str">
        <f aca="false">IF((E256="v"),H256," ")</f>
        <v> </v>
      </c>
      <c r="AD256" s="46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46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46" t="str">
        <f aca="false">IF((E257="v"),H257," ")</f>
        <v> </v>
      </c>
      <c r="AD257" s="46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46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46" t="str">
        <f aca="false">IF((E258="v"),H258," ")</f>
        <v> </v>
      </c>
      <c r="AD258" s="46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46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46" t="str">
        <f aca="false">IF((E259="v"),H259," ")</f>
        <v> </v>
      </c>
      <c r="AD259" s="46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46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46" t="str">
        <f aca="false">IF((E260="v"),H260," ")</f>
        <v> </v>
      </c>
      <c r="AD260" s="46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46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46" t="str">
        <f aca="false">IF((E261="v"),H261," ")</f>
        <v> </v>
      </c>
      <c r="AD261" s="46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46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46" t="str">
        <f aca="false">IF((E262="v"),H262," ")</f>
        <v> </v>
      </c>
      <c r="AD262" s="46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46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46" t="str">
        <f aca="false">IF((E263="v"),H263," ")</f>
        <v> </v>
      </c>
      <c r="AD263" s="46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46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46" t="str">
        <f aca="false">IF((E264="v"),H264," ")</f>
        <v> </v>
      </c>
      <c r="AD264" s="46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46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46" t="str">
        <f aca="false">IF((E265="v"),H265," ")</f>
        <v> </v>
      </c>
      <c r="AD265" s="46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46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46" t="str">
        <f aca="false">IF((E266="v"),H266," ")</f>
        <v> </v>
      </c>
      <c r="AD266" s="46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46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46" t="str">
        <f aca="false">IF((E267="v"),H267," ")</f>
        <v> </v>
      </c>
      <c r="AD267" s="46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46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46" t="str">
        <f aca="false">IF((E268="v"),H268," ")</f>
        <v> </v>
      </c>
      <c r="AD268" s="46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46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46" t="str">
        <f aca="false">IF((E269="v"),H269," ")</f>
        <v> </v>
      </c>
      <c r="AD269" s="46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46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46" t="str">
        <f aca="false">IF((E270="v"),H270," ")</f>
        <v> </v>
      </c>
      <c r="AD270" s="46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46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46" t="str">
        <f aca="false">IF((E271="v"),H271," ")</f>
        <v> </v>
      </c>
      <c r="AD271" s="46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46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46" t="str">
        <f aca="false">IF((E272="v"),H272," ")</f>
        <v> </v>
      </c>
      <c r="AD272" s="46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46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46" t="str">
        <f aca="false">IF((E273="v"),H273," ")</f>
        <v> </v>
      </c>
      <c r="AD273" s="46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46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46" t="str">
        <f aca="false">IF((E274="v"),H274," ")</f>
        <v> </v>
      </c>
      <c r="AD274" s="46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46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46" t="str">
        <f aca="false">IF((E275="v"),H275," ")</f>
        <v> </v>
      </c>
      <c r="AD275" s="46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46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46" t="str">
        <f aca="false">IF((E276="v"),H276," ")</f>
        <v> </v>
      </c>
      <c r="AD276" s="46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46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46" t="str">
        <f aca="false">IF((E277="v"),H277," ")</f>
        <v> </v>
      </c>
      <c r="AD277" s="46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46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46" t="str">
        <f aca="false">IF((E278="v"),H278," ")</f>
        <v> </v>
      </c>
      <c r="AD278" s="46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46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46" t="str">
        <f aca="false">IF((E279="v"),H279," ")</f>
        <v> </v>
      </c>
      <c r="AD279" s="46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46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46" t="str">
        <f aca="false">IF((E280="v"),H280," ")</f>
        <v> </v>
      </c>
      <c r="AD280" s="46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46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46" t="str">
        <f aca="false">IF((E281="v"),H281," ")</f>
        <v> </v>
      </c>
      <c r="AD281" s="46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46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46" t="str">
        <f aca="false">IF((E282="v"),H282," ")</f>
        <v> </v>
      </c>
      <c r="AD282" s="46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46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46" t="str">
        <f aca="false">IF((E283="v"),H283," ")</f>
        <v> </v>
      </c>
      <c r="AD283" s="46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46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46" t="str">
        <f aca="false">IF((E284="v"),H284," ")</f>
        <v> </v>
      </c>
      <c r="AD284" s="46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46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46" t="str">
        <f aca="false">IF((E285="v"),H285," ")</f>
        <v> </v>
      </c>
      <c r="AD285" s="46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46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46" t="str">
        <f aca="false">IF((E286="v"),H286," ")</f>
        <v> </v>
      </c>
      <c r="AD286" s="46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46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46" t="str">
        <f aca="false">IF((E287="v"),H287," ")</f>
        <v> </v>
      </c>
      <c r="AD287" s="46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46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46" t="str">
        <f aca="false">IF((E288="v"),H288," ")</f>
        <v> </v>
      </c>
      <c r="AD288" s="46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46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46" t="str">
        <f aca="false">IF((E289="v"),H289," ")</f>
        <v> </v>
      </c>
      <c r="AD289" s="46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46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46" t="str">
        <f aca="false">IF((E290="v"),H290," ")</f>
        <v> </v>
      </c>
      <c r="AD290" s="46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46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46" t="str">
        <f aca="false">IF((E291="v"),H291," ")</f>
        <v> </v>
      </c>
      <c r="AD291" s="46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46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46" t="str">
        <f aca="false">IF((E292="v"),H292," ")</f>
        <v> </v>
      </c>
      <c r="AD292" s="46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46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46" t="str">
        <f aca="false">IF((E293="v"),H293," ")</f>
        <v> </v>
      </c>
      <c r="AD293" s="46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46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46" t="str">
        <f aca="false">IF((E294="v"),H294," ")</f>
        <v> </v>
      </c>
      <c r="AD294" s="46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46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46" t="str">
        <f aca="false">IF((E295="v"),H295," ")</f>
        <v> </v>
      </c>
      <c r="AD295" s="46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46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46" t="str">
        <f aca="false">IF((E296="v"),H296," ")</f>
        <v> </v>
      </c>
      <c r="AD296" s="46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46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46" t="str">
        <f aca="false">IF((E297="v"),H297," ")</f>
        <v> </v>
      </c>
      <c r="AD297" s="46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46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46" t="str">
        <f aca="false">IF((E298="v"),H298," ")</f>
        <v> </v>
      </c>
      <c r="AD298" s="46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46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46" t="str">
        <f aca="false">IF((E299="v"),H299," ")</f>
        <v> </v>
      </c>
      <c r="AD299" s="46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</row>
    <row r="300" customFormat="false" ht="12" hidden="false" customHeight="false" outlineLevel="0" collapsed="false">
      <c r="A300" s="31"/>
      <c r="B300" s="32"/>
      <c r="C300" s="33"/>
      <c r="D300" s="32"/>
      <c r="E300" s="47" t="str">
        <f aca="false">IF((F300&lt;&gt;0),"Enter Letter"," ")</f>
        <v> </v>
      </c>
      <c r="F300" s="48"/>
      <c r="G300" s="35" t="str">
        <f aca="false">IF(F300&lt;&gt;0,F300*G$2/(100+G$2)," ")</f>
        <v> </v>
      </c>
      <c r="H300" s="35" t="str">
        <f aca="false">IF((F300&lt;&gt;0),F300-G300," ")</f>
        <v> </v>
      </c>
      <c r="I300" s="49"/>
      <c r="J300" s="35"/>
      <c r="K300" s="35"/>
      <c r="L300" s="36" t="str">
        <f aca="false">IF(F300&lt;&gt;0,F300-K300," ")</f>
        <v> </v>
      </c>
      <c r="M300" s="37" t="str">
        <f aca="false">IF((F300-K300)&lt;&gt;0,M$1-A300," ")</f>
        <v> </v>
      </c>
      <c r="N300" s="49"/>
      <c r="O300" s="50" t="str">
        <f aca="false">IF((E300="s"),H300," ")</f>
        <v> </v>
      </c>
      <c r="P300" s="50" t="str">
        <f aca="false">IF((E300="c"),H300," ")</f>
        <v> </v>
      </c>
      <c r="Q300" s="50" t="str">
        <f aca="false">IF((E300="o"),H300," ")</f>
        <v> </v>
      </c>
      <c r="R300" s="50" t="str">
        <f aca="false">IF((E300="d"),H300," ")</f>
        <v> </v>
      </c>
      <c r="S300" s="50" t="str">
        <f aca="false">IF((E300="w"),H300," ")</f>
        <v> </v>
      </c>
      <c r="T300" s="50" t="str">
        <f aca="false">IF((E300="r"),H300," ")</f>
        <v> </v>
      </c>
      <c r="U300" s="50" t="str">
        <f aca="false">IF((E300="p"),H300," ")</f>
        <v> </v>
      </c>
      <c r="V300" s="50" t="str">
        <f aca="false">IF((E300="t"),H300," ")</f>
        <v> </v>
      </c>
      <c r="W300" s="50" t="str">
        <f aca="false">IF((E300="q"),H300," ")</f>
        <v> </v>
      </c>
      <c r="X300" s="50" t="str">
        <f aca="false">IF((E300="m"),H300," ")</f>
        <v> </v>
      </c>
      <c r="Y300" s="50" t="str">
        <f aca="false">IF((E300="u"),H300," ")</f>
        <v> </v>
      </c>
      <c r="Z300" s="50" t="str">
        <f aca="false">IF((E300="a"),H300," ")</f>
        <v> </v>
      </c>
      <c r="AA300" s="50" t="str">
        <f aca="false">IF((E300="g"),H300," ")</f>
        <v> </v>
      </c>
      <c r="AB300" s="50" t="str">
        <f aca="false">IF((E300="h"),H300," ")</f>
        <v> </v>
      </c>
      <c r="AC300" s="48" t="str">
        <f aca="false">IF((E300="v"),H300," ")</f>
        <v> </v>
      </c>
      <c r="AD300" s="48" t="str">
        <f aca="false">IF((E300="n"),H300," ")</f>
        <v> </v>
      </c>
      <c r="AE300" s="50" t="str">
        <f aca="false">IF((E300="f"),H300," ")</f>
        <v> </v>
      </c>
      <c r="AF300" s="50" t="str">
        <f aca="false">IF((E300="l"),H300," ")</f>
        <v> </v>
      </c>
      <c r="AG300" s="50" t="str">
        <f aca="false">IF((E300="y"),H300," ")</f>
        <v> </v>
      </c>
      <c r="AH300" s="50" t="str">
        <f aca="false">IF((E300="z"),H300," ")</f>
        <v> </v>
      </c>
      <c r="AI300" s="50" t="str">
        <f aca="false">IF((E300="fa"),H300," ")</f>
        <v> </v>
      </c>
      <c r="AJ300" s="50"/>
      <c r="AK300" s="50"/>
      <c r="AL300" s="50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8" width="10.5"/>
    <col collapsed="false" customWidth="true" hidden="false" outlineLevel="0" max="35" min="31" style="17" width="10.5"/>
    <col collapsed="false" customWidth="true" hidden="false" outlineLevel="0" max="36" min="36" style="17" width="0.82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s="17" customFormat="true" ht="12.75" hidden="false" customHeight="true" outlineLevel="0" collapsed="false">
      <c r="A1" s="39" t="n">
        <f aca="false">F1-G1-SUM(O1:AI1)</f>
        <v>0</v>
      </c>
      <c r="B1" s="40" t="s">
        <v>22</v>
      </c>
      <c r="C1" s="20" t="s">
        <v>5</v>
      </c>
      <c r="D1" s="41" t="s">
        <v>23</v>
      </c>
      <c r="E1" s="41"/>
      <c r="F1" s="12" t="n">
        <f aca="false">SUM(F5:F300)</f>
        <v>6918</v>
      </c>
      <c r="G1" s="12" t="n">
        <f aca="false">SUM(G5:G300)</f>
        <v>0</v>
      </c>
      <c r="H1" s="12" t="n">
        <f aca="false">SUM(H5:H300)</f>
        <v>6918</v>
      </c>
      <c r="I1" s="13"/>
      <c r="J1" s="14" t="s">
        <v>2</v>
      </c>
      <c r="K1" s="15" t="n">
        <f aca="false">SUM(K5:K300)</f>
        <v>0</v>
      </c>
      <c r="L1" s="15" t="n">
        <f aca="false">SUM(L5:L300)</f>
        <v>6918</v>
      </c>
      <c r="M1" s="16" t="n">
        <f aca="true">TODAY()</f>
        <v>46137</v>
      </c>
      <c r="N1" s="13"/>
      <c r="O1" s="12" t="n">
        <f aca="false">SUM(O5:O300)</f>
        <v>840</v>
      </c>
      <c r="P1" s="12" t="n">
        <f aca="false">SUM(P5:P300)</f>
        <v>3000</v>
      </c>
      <c r="Q1" s="12" t="n">
        <f aca="false">SUM(Q5:Q300)</f>
        <v>249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1200</v>
      </c>
      <c r="U1" s="12" t="n">
        <f aca="false">SUM(U5:U300)</f>
        <v>0</v>
      </c>
      <c r="V1" s="12" t="n">
        <f aca="false">SUM(V5:V300)</f>
        <v>240</v>
      </c>
      <c r="W1" s="12" t="n">
        <f aca="false">SUM(W5:W300)</f>
        <v>0</v>
      </c>
      <c r="X1" s="12" t="n">
        <f aca="false">SUM(X5:X300)</f>
        <v>0</v>
      </c>
      <c r="Y1" s="12" t="n">
        <f aca="false">SUM(Y5:Y300)</f>
        <v>115</v>
      </c>
      <c r="Z1" s="12" t="n">
        <f aca="false">SUM(Z5:Z300)</f>
        <v>0</v>
      </c>
      <c r="AA1" s="12" t="n">
        <f aca="false">SUM(AA5:AA300)</f>
        <v>165</v>
      </c>
      <c r="AB1" s="12" t="n">
        <f aca="false">SUM(AB5:AB300)</f>
        <v>164</v>
      </c>
      <c r="AC1" s="12" t="n">
        <f aca="false">SUM(AC5:AC300)</f>
        <v>645</v>
      </c>
      <c r="AD1" s="12" t="n">
        <f aca="false">SUM(AD5:AD300)</f>
        <v>0</v>
      </c>
      <c r="AE1" s="12" t="n">
        <f aca="false">SUM(AE5:AE300)</f>
        <v>0</v>
      </c>
      <c r="AF1" s="12" t="n">
        <f aca="false">SUM(AF5:AF300)</f>
        <v>300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0</v>
      </c>
      <c r="AJ1" s="42"/>
      <c r="AK1" s="12" t="n">
        <f aca="false">SUM(AK5:AK300)</f>
        <v>0</v>
      </c>
      <c r="AL1" s="43"/>
    </row>
    <row r="2" s="17" customFormat="tru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IF([2]Jan!$G$4&gt;0,0,[2]Jan!$G$2)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42"/>
      <c r="AK2" s="19" t="s">
        <v>43</v>
      </c>
      <c r="AL2" s="19"/>
    </row>
    <row r="3" s="26" customFormat="tru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44</v>
      </c>
      <c r="P3" s="21" t="s">
        <v>45</v>
      </c>
      <c r="Q3" s="21" t="s">
        <v>46</v>
      </c>
      <c r="R3" s="19"/>
      <c r="S3" s="19"/>
      <c r="T3" s="21" t="s">
        <v>47</v>
      </c>
      <c r="U3" s="21" t="s">
        <v>48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42"/>
      <c r="AK3" s="19" t="s">
        <v>49</v>
      </c>
      <c r="AL3" s="19"/>
    </row>
    <row r="4" s="27" customFormat="tru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50</v>
      </c>
      <c r="P4" s="44" t="s">
        <v>51</v>
      </c>
      <c r="Q4" s="44" t="s">
        <v>52</v>
      </c>
      <c r="R4" s="44" t="s">
        <v>53</v>
      </c>
      <c r="S4" s="44" t="s">
        <v>54</v>
      </c>
      <c r="T4" s="44" t="s">
        <v>55</v>
      </c>
      <c r="U4" s="44" t="s">
        <v>56</v>
      </c>
      <c r="V4" s="44" t="s">
        <v>57</v>
      </c>
      <c r="W4" s="44" t="s">
        <v>58</v>
      </c>
      <c r="X4" s="44" t="s">
        <v>59</v>
      </c>
      <c r="Y4" s="44" t="s">
        <v>60</v>
      </c>
      <c r="Z4" s="44" t="s">
        <v>61</v>
      </c>
      <c r="AA4" s="44" t="s">
        <v>62</v>
      </c>
      <c r="AB4" s="44" t="s">
        <v>63</v>
      </c>
      <c r="AC4" s="45" t="s">
        <v>64</v>
      </c>
      <c r="AD4" s="45" t="s">
        <v>65</v>
      </c>
      <c r="AE4" s="44" t="s">
        <v>66</v>
      </c>
      <c r="AF4" s="44" t="s">
        <v>67</v>
      </c>
      <c r="AG4" s="44" t="s">
        <v>68</v>
      </c>
      <c r="AH4" s="44" t="s">
        <v>69</v>
      </c>
      <c r="AI4" s="44" t="s">
        <v>70</v>
      </c>
      <c r="AJ4" s="42"/>
      <c r="AK4" s="19" t="s">
        <v>71</v>
      </c>
      <c r="AL4" s="19" t="s">
        <v>72</v>
      </c>
    </row>
    <row r="5" s="5" customFormat="true" ht="12" hidden="false" customHeight="false" outlineLevel="0" collapsed="false">
      <c r="A5" s="28" t="n">
        <v>46023</v>
      </c>
      <c r="B5" s="5" t="s">
        <v>14</v>
      </c>
      <c r="E5" s="5" t="s">
        <v>73</v>
      </c>
      <c r="F5" s="46" t="n">
        <v>1200</v>
      </c>
      <c r="H5" s="6" t="n">
        <f aca="false">IF((F5&lt;&gt;0),F5-G5," ")</f>
        <v>1200</v>
      </c>
      <c r="J5" s="6"/>
      <c r="K5" s="6"/>
      <c r="L5" s="7" t="n">
        <f aca="false">IF(F5&lt;&gt;0,F5-K5," ")</f>
        <v>1200</v>
      </c>
      <c r="M5" s="8" t="n">
        <f aca="false">IF((F5-K5)&lt;&gt;0,M$1-A5," ")</f>
        <v>114</v>
      </c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1200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46" t="str">
        <f aca="false">IF((E5="v"),H5," ")</f>
        <v> </v>
      </c>
      <c r="AD5" s="46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/>
      <c r="AK5" s="17"/>
      <c r="AL5" s="17"/>
    </row>
    <row r="6" customFormat="false" ht="12" hidden="false" customHeight="false" outlineLevel="0" collapsed="false">
      <c r="A6" s="28" t="n">
        <v>46023</v>
      </c>
      <c r="B6" s="2" t="s">
        <v>74</v>
      </c>
      <c r="E6" s="5" t="s">
        <v>75</v>
      </c>
      <c r="F6" s="46" t="n">
        <v>30</v>
      </c>
      <c r="H6" s="6" t="n">
        <f aca="false">IF((F6&lt;&gt;0),F6-G6," ")</f>
        <v>30</v>
      </c>
      <c r="I6" s="5"/>
      <c r="L6" s="7" t="n">
        <f aca="false">IF(F6&lt;&gt;0,F6-K6," ")</f>
        <v>30</v>
      </c>
      <c r="M6" s="8" t="n">
        <f aca="false">IF((F6-K6)&lt;&gt;0,M$1-A6," ")</f>
        <v>114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30</v>
      </c>
      <c r="AB6" s="17" t="str">
        <f aca="false">IF((E6="h"),H6," ")</f>
        <v> </v>
      </c>
      <c r="AC6" s="46" t="str">
        <f aca="false">IF((E6="v"),H6," ")</f>
        <v> </v>
      </c>
      <c r="AD6" s="46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</row>
    <row r="7" customFormat="false" ht="12" hidden="false" customHeight="false" outlineLevel="0" collapsed="false">
      <c r="A7" s="28" t="n">
        <v>46023</v>
      </c>
      <c r="B7" s="2" t="s">
        <v>76</v>
      </c>
      <c r="E7" s="5" t="s">
        <v>75</v>
      </c>
      <c r="F7" s="46" t="n">
        <v>15</v>
      </c>
      <c r="H7" s="6" t="n">
        <f aca="false">IF((F7&lt;&gt;0),F7-G7," ")</f>
        <v>15</v>
      </c>
      <c r="I7" s="5"/>
      <c r="L7" s="7" t="n">
        <f aca="false">IF(F7&lt;&gt;0,F7-K7," ")</f>
        <v>15</v>
      </c>
      <c r="M7" s="8" t="n">
        <f aca="false">IF((F7-K7)&lt;&gt;0,M$1-A7," ")</f>
        <v>114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15</v>
      </c>
      <c r="AB7" s="17" t="str">
        <f aca="false">IF((E7="h"),H7," ")</f>
        <v> </v>
      </c>
      <c r="AC7" s="46" t="str">
        <f aca="false">IF((E7="v"),H7," ")</f>
        <v> </v>
      </c>
      <c r="AD7" s="46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</row>
    <row r="8" customFormat="false" ht="12" hidden="false" customHeight="false" outlineLevel="0" collapsed="false">
      <c r="A8" s="28" t="n">
        <v>46023</v>
      </c>
      <c r="B8" s="2" t="s">
        <v>77</v>
      </c>
      <c r="E8" s="5" t="s">
        <v>78</v>
      </c>
      <c r="F8" s="46" t="n">
        <v>45</v>
      </c>
      <c r="H8" s="6" t="n">
        <f aca="false">IF((F8&lt;&gt;0),F8-G8," ")</f>
        <v>45</v>
      </c>
      <c r="I8" s="5"/>
      <c r="L8" s="7" t="n">
        <f aca="false">IF(F8&lt;&gt;0,F8-K8," ")</f>
        <v>45</v>
      </c>
      <c r="M8" s="8" t="n">
        <f aca="false">IF((F8-K8)&lt;&gt;0,M$1-A8," ")</f>
        <v>114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45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46" t="str">
        <f aca="false">IF((E8="v"),H8," ")</f>
        <v> </v>
      </c>
      <c r="AD8" s="46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</row>
    <row r="9" customFormat="false" ht="12" hidden="false" customHeight="false" outlineLevel="0" collapsed="false">
      <c r="A9" s="28" t="n">
        <v>46023</v>
      </c>
      <c r="B9" s="2" t="s">
        <v>81</v>
      </c>
      <c r="E9" s="5" t="s">
        <v>78</v>
      </c>
      <c r="F9" s="46" t="n">
        <v>24</v>
      </c>
      <c r="H9" s="6" t="n">
        <f aca="false">IF((F9&lt;&gt;0),F9-G9," ")</f>
        <v>24</v>
      </c>
      <c r="I9" s="5"/>
      <c r="L9" s="7" t="n">
        <f aca="false">IF(F9&lt;&gt;0,F9-K9," ")</f>
        <v>24</v>
      </c>
      <c r="M9" s="8" t="n">
        <f aca="false">IF((F9-K9)&lt;&gt;0,M$1-A9," ")</f>
        <v>114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n">
        <f aca="false">IF((E9="o"),H9," ")</f>
        <v>24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46" t="str">
        <f aca="false">IF((E9="v"),H9," ")</f>
        <v> </v>
      </c>
      <c r="AD9" s="46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</row>
    <row r="10" customFormat="false" ht="12" hidden="false" customHeight="false" outlineLevel="0" collapsed="false">
      <c r="A10" s="28" t="n">
        <v>46023</v>
      </c>
      <c r="B10" s="2" t="s">
        <v>82</v>
      </c>
      <c r="E10" s="5" t="s">
        <v>75</v>
      </c>
      <c r="F10" s="46" t="n">
        <v>18</v>
      </c>
      <c r="H10" s="6" t="n">
        <f aca="false">IF((F10&lt;&gt;0),F10-G10," ")</f>
        <v>18</v>
      </c>
      <c r="I10" s="5"/>
      <c r="L10" s="7" t="n">
        <f aca="false">IF(F10&lt;&gt;0,F10-K10," ")</f>
        <v>18</v>
      </c>
      <c r="M10" s="8" t="n">
        <f aca="false">IF((F10-K10)&lt;&gt;0,M$1-A10," ")</f>
        <v>114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str">
        <f aca="false">IF((E10="o"),H10," ")</f>
        <v> 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n">
        <f aca="false">IF((E10="g"),H10," ")</f>
        <v>18</v>
      </c>
      <c r="AB10" s="17" t="str">
        <f aca="false">IF((E10="h"),H10," ")</f>
        <v> </v>
      </c>
      <c r="AC10" s="46" t="str">
        <f aca="false">IF((E10="v"),H10," ")</f>
        <v> </v>
      </c>
      <c r="AD10" s="46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</row>
    <row r="11" customFormat="false" ht="12" hidden="false" customHeight="false" outlineLevel="0" collapsed="false">
      <c r="A11" s="28" t="n">
        <v>46025</v>
      </c>
      <c r="B11" s="2" t="s">
        <v>83</v>
      </c>
      <c r="E11" s="5" t="s">
        <v>78</v>
      </c>
      <c r="F11" s="46" t="n">
        <v>180</v>
      </c>
      <c r="H11" s="6" t="n">
        <f aca="false">IF((F11&lt;&gt;0),F11-G11," ")</f>
        <v>180</v>
      </c>
      <c r="I11" s="5"/>
      <c r="L11" s="7" t="n">
        <f aca="false">IF(F11&lt;&gt;0,F11-K11," ")</f>
        <v>180</v>
      </c>
      <c r="M11" s="8" t="n">
        <f aca="false">IF((F11-K11)&lt;&gt;0,M$1-A11," ")</f>
        <v>112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n">
        <f aca="false">IF((E11="o"),H11," ")</f>
        <v>180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str">
        <f aca="false">IF((E11="g"),H11," ")</f>
        <v> </v>
      </c>
      <c r="AB11" s="17" t="str">
        <f aca="false">IF((E11="h"),H11," ")</f>
        <v> </v>
      </c>
      <c r="AC11" s="46" t="str">
        <f aca="false">IF((E11="v"),H11," ")</f>
        <v> </v>
      </c>
      <c r="AD11" s="46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</row>
    <row r="12" customFormat="false" ht="12" hidden="false" customHeight="false" outlineLevel="0" collapsed="false">
      <c r="A12" s="28" t="n">
        <v>46025</v>
      </c>
      <c r="B12" s="2" t="s">
        <v>84</v>
      </c>
      <c r="E12" s="5" t="s">
        <v>85</v>
      </c>
      <c r="F12" s="46" t="n">
        <v>22</v>
      </c>
      <c r="H12" s="6" t="n">
        <f aca="false">IF((F12&lt;&gt;0),F12-G12," ")</f>
        <v>22</v>
      </c>
      <c r="I12" s="5"/>
      <c r="L12" s="7" t="n">
        <f aca="false">IF(F12&lt;&gt;0,F12-K12," ")</f>
        <v>22</v>
      </c>
      <c r="M12" s="8" t="n">
        <f aca="false">IF((F12-K12)&lt;&gt;0,M$1-A12," ")</f>
        <v>112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str">
        <f aca="false">IF((E12="o"),H12," ")</f>
        <v> 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n">
        <f aca="false">IF((E12="u"),H12," ")</f>
        <v>22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46" t="str">
        <f aca="false">IF((E12="v"),H12," ")</f>
        <v> </v>
      </c>
      <c r="AD12" s="46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</row>
    <row r="13" customFormat="false" ht="12" hidden="false" customHeight="false" outlineLevel="0" collapsed="false">
      <c r="A13" s="28" t="n">
        <v>46027</v>
      </c>
      <c r="B13" s="2" t="s">
        <v>86</v>
      </c>
      <c r="E13" s="5" t="s">
        <v>85</v>
      </c>
      <c r="F13" s="46" t="n">
        <v>24</v>
      </c>
      <c r="H13" s="6" t="n">
        <f aca="false">IF((F13&lt;&gt;0),F13-G13," ")</f>
        <v>24</v>
      </c>
      <c r="I13" s="5"/>
      <c r="L13" s="7" t="n">
        <f aca="false">IF(F13&lt;&gt;0,F13-K13," ")</f>
        <v>24</v>
      </c>
      <c r="M13" s="8" t="n">
        <f aca="false">IF((F13-K13)&lt;&gt;0,M$1-A13," ")</f>
        <v>110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24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46" t="str">
        <f aca="false">IF((E13="v"),H13," ")</f>
        <v> </v>
      </c>
      <c r="AD13" s="46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</row>
    <row r="14" customFormat="false" ht="12" hidden="false" customHeight="false" outlineLevel="0" collapsed="false">
      <c r="A14" s="28" t="n">
        <v>46027</v>
      </c>
      <c r="B14" s="2" t="s">
        <v>87</v>
      </c>
      <c r="E14" s="5" t="s">
        <v>88</v>
      </c>
      <c r="F14" s="46" t="n">
        <v>180</v>
      </c>
      <c r="H14" s="6" t="n">
        <f aca="false">IF((F14&lt;&gt;0),F14-G14," ")</f>
        <v>180</v>
      </c>
      <c r="I14" s="5"/>
      <c r="L14" s="7" t="n">
        <f aca="false">IF(F14&lt;&gt;0,F14-K14," ")</f>
        <v>180</v>
      </c>
      <c r="M14" s="8" t="n">
        <f aca="false">IF((F14-K14)&lt;&gt;0,M$1-A14," ")</f>
        <v>110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str">
        <f aca="false">IF((E14="u"),H14," ")</f>
        <v> 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46" t="n">
        <f aca="false">IF((E14="v"),H14," ")</f>
        <v>180</v>
      </c>
      <c r="AD14" s="46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</row>
    <row r="15" customFormat="false" ht="12" hidden="false" customHeight="false" outlineLevel="0" collapsed="false">
      <c r="A15" s="28" t="n">
        <v>46028</v>
      </c>
      <c r="B15" s="2" t="s">
        <v>111</v>
      </c>
      <c r="E15" s="5" t="s">
        <v>91</v>
      </c>
      <c r="F15" s="46" t="n">
        <v>72</v>
      </c>
      <c r="H15" s="6" t="n">
        <f aca="false">IF((F15&lt;&gt;0),F15-G15," ")</f>
        <v>72</v>
      </c>
      <c r="I15" s="5"/>
      <c r="L15" s="7" t="n">
        <f aca="false">IF(F15&lt;&gt;0,F15-K15," ")</f>
        <v>72</v>
      </c>
      <c r="M15" s="8" t="n">
        <f aca="false">IF((F15-K15)&lt;&gt;0,M$1-A15," ")</f>
        <v>109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str">
        <f aca="false">IF((E15="o"),H15," ")</f>
        <v> 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n">
        <f aca="false">IF((E15="h"),H15," ")</f>
        <v>72</v>
      </c>
      <c r="AC15" s="46" t="str">
        <f aca="false">IF((E15="v"),H15," ")</f>
        <v> </v>
      </c>
      <c r="AD15" s="46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</row>
    <row r="16" customFormat="false" ht="12" hidden="false" customHeight="false" outlineLevel="0" collapsed="false">
      <c r="A16" s="28" t="n">
        <v>46030</v>
      </c>
      <c r="B16" s="2" t="s">
        <v>90</v>
      </c>
      <c r="E16" s="5" t="s">
        <v>91</v>
      </c>
      <c r="F16" s="46" t="n">
        <v>48</v>
      </c>
      <c r="H16" s="6" t="n">
        <f aca="false">IF((F16&lt;&gt;0),F16-G16," ")</f>
        <v>48</v>
      </c>
      <c r="I16" s="5"/>
      <c r="L16" s="7" t="n">
        <f aca="false">IF(F16&lt;&gt;0,F16-K16," ")</f>
        <v>48</v>
      </c>
      <c r="M16" s="8" t="n">
        <f aca="false">IF((F16-K16)&lt;&gt;0,M$1-A16," ")</f>
        <v>107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n">
        <f aca="false">IF((E16="h"),H16," ")</f>
        <v>48</v>
      </c>
      <c r="AC16" s="46" t="str">
        <f aca="false">IF((E16="v"),H16," ")</f>
        <v> </v>
      </c>
      <c r="AD16" s="46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</row>
    <row r="17" customFormat="false" ht="12" hidden="false" customHeight="false" outlineLevel="0" collapsed="false">
      <c r="A17" s="28" t="n">
        <v>46032</v>
      </c>
      <c r="B17" s="2" t="s">
        <v>92</v>
      </c>
      <c r="E17" s="5" t="s">
        <v>85</v>
      </c>
      <c r="F17" s="46" t="n">
        <v>36</v>
      </c>
      <c r="H17" s="6" t="n">
        <f aca="false">IF((F17&lt;&gt;0),F17-G17," ")</f>
        <v>36</v>
      </c>
      <c r="I17" s="5"/>
      <c r="L17" s="7" t="n">
        <f aca="false">IF(F17&lt;&gt;0,F17-K17," ")</f>
        <v>36</v>
      </c>
      <c r="M17" s="8" t="n">
        <f aca="false">IF((F17-K17)&lt;&gt;0,M$1-A17," ")</f>
        <v>105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n">
        <f aca="false">IF((E17="u"),H17," ")</f>
        <v>36</v>
      </c>
      <c r="Z17" s="17" t="str">
        <f aca="false">IF((E17="a"),H17," ")</f>
        <v> </v>
      </c>
      <c r="AA17" s="17" t="str">
        <f aca="false">IF((E17="g"),H17," ")</f>
        <v> </v>
      </c>
      <c r="AB17" s="17" t="str">
        <f aca="false">IF((E17="h"),H17," ")</f>
        <v> </v>
      </c>
      <c r="AC17" s="46" t="str">
        <f aca="false">IF((E17="v"),H17," ")</f>
        <v> </v>
      </c>
      <c r="AD17" s="46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</row>
    <row r="18" customFormat="false" ht="12" hidden="false" customHeight="false" outlineLevel="0" collapsed="false">
      <c r="A18" s="28" t="n">
        <v>46034</v>
      </c>
      <c r="B18" s="2" t="s">
        <v>97</v>
      </c>
      <c r="E18" s="5" t="s">
        <v>88</v>
      </c>
      <c r="F18" s="46" t="n">
        <v>18</v>
      </c>
      <c r="H18" s="6" t="n">
        <f aca="false">IF((F18&lt;&gt;0),F18-G18," ")</f>
        <v>18</v>
      </c>
      <c r="I18" s="5"/>
      <c r="L18" s="7" t="n">
        <f aca="false">IF(F18&lt;&gt;0,F18-K18," ")</f>
        <v>18</v>
      </c>
      <c r="M18" s="8" t="n">
        <f aca="false">IF((F18-K18)&lt;&gt;0,M$1-A18," ")</f>
        <v>103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str">
        <f aca="false">IF((E18="u"),H18," ")</f>
        <v> 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46" t="n">
        <f aca="false">IF((E18="v"),H18," ")</f>
        <v>18</v>
      </c>
      <c r="AD18" s="46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</row>
    <row r="19" customFormat="false" ht="12" hidden="false" customHeight="false" outlineLevel="0" collapsed="false">
      <c r="A19" s="28" t="n">
        <v>46036</v>
      </c>
      <c r="B19" s="2" t="s">
        <v>99</v>
      </c>
      <c r="E19" s="5" t="s">
        <v>91</v>
      </c>
      <c r="F19" s="46" t="n">
        <v>24</v>
      </c>
      <c r="H19" s="6" t="n">
        <f aca="false">IF((F19&lt;&gt;0),F19-G19," ")</f>
        <v>24</v>
      </c>
      <c r="I19" s="5"/>
      <c r="L19" s="7" t="n">
        <f aca="false">IF(F19&lt;&gt;0,F19-K19," ")</f>
        <v>24</v>
      </c>
      <c r="M19" s="8" t="n">
        <f aca="false">IF((F19-K19)&lt;&gt;0,M$1-A19," ")</f>
        <v>101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n">
        <f aca="false">IF((E19="h"),H19," ")</f>
        <v>24</v>
      </c>
      <c r="AC19" s="46" t="str">
        <f aca="false">IF((E19="v"),H19," ")</f>
        <v> </v>
      </c>
      <c r="AD19" s="46" t="str">
        <f aca="false">IF((E19="n"),H19," ")</f>
        <v> </v>
      </c>
      <c r="AE19" s="17" t="str">
        <f aca="false">IF((E19="f"),H19," ")</f>
        <v> 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</row>
    <row r="20" customFormat="false" ht="12" hidden="false" customHeight="false" outlineLevel="0" collapsed="false">
      <c r="A20" s="28" t="n">
        <v>46036</v>
      </c>
      <c r="B20" s="2" t="s">
        <v>100</v>
      </c>
      <c r="E20" s="5" t="s">
        <v>91</v>
      </c>
      <c r="F20" s="46" t="n">
        <v>12</v>
      </c>
      <c r="H20" s="6" t="n">
        <f aca="false">IF((F20&lt;&gt;0),F20-G20," ")</f>
        <v>12</v>
      </c>
      <c r="I20" s="5"/>
      <c r="L20" s="7" t="n">
        <f aca="false">IF(F20&lt;&gt;0,F20-K20," ")</f>
        <v>12</v>
      </c>
      <c r="M20" s="8" t="n">
        <f aca="false">IF((F20-K20)&lt;&gt;0,M$1-A20," ")</f>
        <v>101</v>
      </c>
      <c r="N20" s="5"/>
      <c r="O20" s="17" t="str">
        <f aca="false">IF((E20="s"),H20," ")</f>
        <v> 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n">
        <f aca="false">IF((E20="h"),H20," ")</f>
        <v>12</v>
      </c>
      <c r="AC20" s="46" t="str">
        <f aca="false">IF((E20="v"),H20," ")</f>
        <v> </v>
      </c>
      <c r="AD20" s="46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</row>
    <row r="21" customFormat="false" ht="12" hidden="false" customHeight="false" outlineLevel="0" collapsed="false">
      <c r="A21" s="28" t="n">
        <v>46037</v>
      </c>
      <c r="B21" s="2" t="s">
        <v>20</v>
      </c>
      <c r="E21" s="5" t="s">
        <v>88</v>
      </c>
      <c r="F21" s="46" t="n">
        <v>150</v>
      </c>
      <c r="H21" s="6" t="n">
        <f aca="false">IF((F21&lt;&gt;0),F21-G21," ")</f>
        <v>150</v>
      </c>
      <c r="I21" s="5"/>
      <c r="L21" s="7" t="n">
        <f aca="false">IF(F21&lt;&gt;0,F21-K21," ")</f>
        <v>150</v>
      </c>
      <c r="M21" s="8" t="n">
        <f aca="false">IF((F21-K21)&lt;&gt;0,M$1-A21," ")</f>
        <v>100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str">
        <f aca="false">IF((E21="h"),H21," ")</f>
        <v> </v>
      </c>
      <c r="AC21" s="46" t="n">
        <f aca="false">IF((E21="v"),H21," ")</f>
        <v>150</v>
      </c>
      <c r="AD21" s="46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</row>
    <row r="22" customFormat="false" ht="12" hidden="false" customHeight="false" outlineLevel="0" collapsed="false">
      <c r="A22" s="28" t="n">
        <v>46037</v>
      </c>
      <c r="B22" s="2" t="s">
        <v>101</v>
      </c>
      <c r="E22" s="5" t="s">
        <v>75</v>
      </c>
      <c r="F22" s="46" t="n">
        <v>12</v>
      </c>
      <c r="H22" s="6" t="n">
        <f aca="false">IF((F22&lt;&gt;0),F22-G22," ")</f>
        <v>12</v>
      </c>
      <c r="I22" s="5"/>
      <c r="L22" s="7" t="n">
        <f aca="false">IF(F22&lt;&gt;0,F22-K22," ")</f>
        <v>12</v>
      </c>
      <c r="M22" s="8" t="n">
        <f aca="false">IF((F22-K22)&lt;&gt;0,M$1-A22," ")</f>
        <v>100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n">
        <f aca="false">IF((E22="g"),H22," ")</f>
        <v>12</v>
      </c>
      <c r="AB22" s="17" t="str">
        <f aca="false">IF((E22="h"),H22," ")</f>
        <v> </v>
      </c>
      <c r="AC22" s="46" t="str">
        <f aca="false">IF((E22="v"),H22," ")</f>
        <v> </v>
      </c>
      <c r="AD22" s="46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</row>
    <row r="23" customFormat="false" ht="12" hidden="false" customHeight="false" outlineLevel="0" collapsed="false">
      <c r="A23" s="28" t="n">
        <v>46037</v>
      </c>
      <c r="B23" s="2" t="s">
        <v>116</v>
      </c>
      <c r="E23" s="5" t="s">
        <v>96</v>
      </c>
      <c r="F23" s="46" t="n">
        <v>540</v>
      </c>
      <c r="H23" s="6" t="n">
        <f aca="false">IF((F23&lt;&gt;0),F23-G23," ")</f>
        <v>540</v>
      </c>
      <c r="I23" s="5"/>
      <c r="L23" s="7" t="n">
        <f aca="false">IF(F23&lt;&gt;0,F23-K23," ")</f>
        <v>540</v>
      </c>
      <c r="M23" s="8" t="n">
        <f aca="false">IF((F23-K23)&lt;&gt;0,M$1-A23," ")</f>
        <v>100</v>
      </c>
      <c r="N23" s="5"/>
      <c r="O23" s="17" t="n">
        <f aca="false">IF((E23="s"),H23," ")</f>
        <v>540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str">
        <f aca="false">IF((E23="h"),H23," ")</f>
        <v> </v>
      </c>
      <c r="AC23" s="46" t="str">
        <f aca="false">IF((E23="v"),H23," ")</f>
        <v> </v>
      </c>
      <c r="AD23" s="46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</row>
    <row r="24" customFormat="false" ht="12" hidden="false" customHeight="false" outlineLevel="0" collapsed="false">
      <c r="A24" s="28" t="n">
        <v>46037</v>
      </c>
      <c r="B24" s="2" t="s">
        <v>125</v>
      </c>
      <c r="E24" s="5" t="s">
        <v>126</v>
      </c>
      <c r="F24" s="46" t="n">
        <v>3000</v>
      </c>
      <c r="H24" s="6" t="n">
        <f aca="false">IF((F24&lt;&gt;0),F24-G24," ")</f>
        <v>3000</v>
      </c>
      <c r="I24" s="5"/>
      <c r="L24" s="7" t="n">
        <f aca="false">IF(F24&lt;&gt;0,F24-K24," ")</f>
        <v>3000</v>
      </c>
      <c r="M24" s="8" t="n">
        <f aca="false">IF((F24-K24)&lt;&gt;0,M$1-A24," ")</f>
        <v>100</v>
      </c>
      <c r="N24" s="5"/>
      <c r="O24" s="17" t="str">
        <f aca="false">IF((E24="s"),H24," ")</f>
        <v> </v>
      </c>
      <c r="P24" s="17" t="n">
        <f aca="false">IF((E24="c"),H24," ")</f>
        <v>3000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str">
        <f aca="false">IF((E24="g"),H24," ")</f>
        <v> </v>
      </c>
      <c r="AB24" s="17" t="str">
        <f aca="false">IF((E24="h"),H24," ")</f>
        <v> </v>
      </c>
      <c r="AC24" s="46" t="str">
        <f aca="false">IF((E24="v"),H24," ")</f>
        <v> </v>
      </c>
      <c r="AD24" s="46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</row>
    <row r="25" customFormat="false" ht="12" hidden="false" customHeight="false" outlineLevel="0" collapsed="false">
      <c r="A25" s="28" t="n">
        <v>46038</v>
      </c>
      <c r="B25" s="2" t="s">
        <v>119</v>
      </c>
      <c r="E25" s="5" t="s">
        <v>75</v>
      </c>
      <c r="F25" s="46" t="n">
        <v>30</v>
      </c>
      <c r="H25" s="6" t="n">
        <f aca="false">IF((F25&lt;&gt;0),F25-G25," ")</f>
        <v>30</v>
      </c>
      <c r="I25" s="5"/>
      <c r="L25" s="7" t="n">
        <f aca="false">IF(F25&lt;&gt;0,F25-K25," ")</f>
        <v>30</v>
      </c>
      <c r="M25" s="8" t="n">
        <f aca="false">IF((F25-K25)&lt;&gt;0,M$1-A25," ")</f>
        <v>99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n">
        <f aca="false">IF((E25="g"),H25," ")</f>
        <v>30</v>
      </c>
      <c r="AB25" s="17" t="str">
        <f aca="false">IF((E25="h"),H25," ")</f>
        <v> </v>
      </c>
      <c r="AC25" s="46" t="str">
        <f aca="false">IF((E25="v"),H25," ")</f>
        <v> </v>
      </c>
      <c r="AD25" s="46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</row>
    <row r="26" customFormat="false" ht="12" hidden="false" customHeight="false" outlineLevel="0" collapsed="false">
      <c r="A26" s="28" t="n">
        <v>46040</v>
      </c>
      <c r="B26" s="2" t="s">
        <v>102</v>
      </c>
      <c r="E26" s="5" t="s">
        <v>88</v>
      </c>
      <c r="F26" s="46" t="n">
        <v>96</v>
      </c>
      <c r="H26" s="6" t="n">
        <f aca="false">IF((F26&lt;&gt;0),F26-G26," ")</f>
        <v>96</v>
      </c>
      <c r="I26" s="5"/>
      <c r="L26" s="7" t="n">
        <f aca="false">IF(F26&lt;&gt;0,F26-K26," ")</f>
        <v>96</v>
      </c>
      <c r="M26" s="8" t="n">
        <f aca="false">IF((F26-K26)&lt;&gt;0,M$1-A26," ")</f>
        <v>97</v>
      </c>
      <c r="N26" s="5"/>
      <c r="O26" s="17" t="str">
        <f aca="false">IF((E26="s"),H26," ")</f>
        <v> 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str">
        <f aca="false">IF((E26="g"),H26," ")</f>
        <v> </v>
      </c>
      <c r="AB26" s="17" t="str">
        <f aca="false">IF((E26="h"),H26," ")</f>
        <v> </v>
      </c>
      <c r="AC26" s="46" t="n">
        <f aca="false">IF((E26="v"),H26," ")</f>
        <v>96</v>
      </c>
      <c r="AD26" s="46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</row>
    <row r="27" customFormat="false" ht="12" hidden="false" customHeight="false" outlineLevel="0" collapsed="false">
      <c r="A27" s="28" t="n">
        <v>46042</v>
      </c>
      <c r="B27" s="2" t="s">
        <v>103</v>
      </c>
      <c r="E27" s="5" t="s">
        <v>75</v>
      </c>
      <c r="F27" s="46" t="n">
        <v>60</v>
      </c>
      <c r="H27" s="6" t="n">
        <f aca="false">IF((F27&lt;&gt;0),F27-G27," ")</f>
        <v>60</v>
      </c>
      <c r="I27" s="5"/>
      <c r="L27" s="7" t="n">
        <f aca="false">IF(F27&lt;&gt;0,F27-K27," ")</f>
        <v>60</v>
      </c>
      <c r="M27" s="8" t="n">
        <f aca="false">IF((F27-K27)&lt;&gt;0,M$1-A27," ")</f>
        <v>95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n">
        <f aca="false">IF((E27="g"),H27," ")</f>
        <v>60</v>
      </c>
      <c r="AB27" s="17" t="str">
        <f aca="false">IF((E27="h"),H27," ")</f>
        <v> </v>
      </c>
      <c r="AC27" s="46" t="str">
        <f aca="false">IF((E27="v"),H27," ")</f>
        <v> </v>
      </c>
      <c r="AD27" s="46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</row>
    <row r="28" customFormat="false" ht="12" hidden="false" customHeight="false" outlineLevel="0" collapsed="false">
      <c r="A28" s="28" t="n">
        <v>46042</v>
      </c>
      <c r="B28" s="2" t="s">
        <v>120</v>
      </c>
      <c r="E28" s="5" t="s">
        <v>121</v>
      </c>
      <c r="F28" s="46" t="n">
        <v>240</v>
      </c>
      <c r="H28" s="6" t="n">
        <f aca="false">IF((F28&lt;&gt;0),F28-G28," ")</f>
        <v>240</v>
      </c>
      <c r="I28" s="5"/>
      <c r="L28" s="7" t="n">
        <f aca="false">IF(F28&lt;&gt;0,F28-K28," ")</f>
        <v>240</v>
      </c>
      <c r="M28" s="8" t="n">
        <f aca="false">IF((F28-K28)&lt;&gt;0,M$1-A28," ")</f>
        <v>95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n">
        <f aca="false">IF((E28="t"),H28," ")</f>
        <v>240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str">
        <f aca="false">IF((E28="g"),H28," ")</f>
        <v> </v>
      </c>
      <c r="AB28" s="17" t="str">
        <f aca="false">IF((E28="h"),H28," ")</f>
        <v> </v>
      </c>
      <c r="AC28" s="46" t="str">
        <f aca="false">IF((E28="v"),H28," ")</f>
        <v> </v>
      </c>
      <c r="AD28" s="46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</row>
    <row r="29" customFormat="false" ht="12" hidden="false" customHeight="false" outlineLevel="0" collapsed="false">
      <c r="A29" s="28" t="n">
        <v>46042</v>
      </c>
      <c r="B29" s="2" t="s">
        <v>122</v>
      </c>
      <c r="E29" s="5" t="s">
        <v>96</v>
      </c>
      <c r="F29" s="46" t="n">
        <v>300</v>
      </c>
      <c r="H29" s="6" t="n">
        <f aca="false">IF((F29&lt;&gt;0),F29-G29," ")</f>
        <v>300</v>
      </c>
      <c r="I29" s="5"/>
      <c r="L29" s="7" t="n">
        <f aca="false">IF(F29&lt;&gt;0,F29-K29," ")</f>
        <v>300</v>
      </c>
      <c r="M29" s="8" t="n">
        <f aca="false">IF((F29-K29)&lt;&gt;0,M$1-A29," ")</f>
        <v>95</v>
      </c>
      <c r="N29" s="5"/>
      <c r="O29" s="17" t="n">
        <f aca="false">IF((E29="s"),H29," ")</f>
        <v>300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str">
        <f aca="false">IF((E29="h"),H29," ")</f>
        <v> </v>
      </c>
      <c r="AC29" s="46" t="str">
        <f aca="false">IF((E29="v"),H29," ")</f>
        <v> </v>
      </c>
      <c r="AD29" s="46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</row>
    <row r="30" customFormat="false" ht="12" hidden="false" customHeight="false" outlineLevel="0" collapsed="false">
      <c r="A30" s="28" t="n">
        <v>46043</v>
      </c>
      <c r="B30" s="2" t="s">
        <v>106</v>
      </c>
      <c r="E30" s="5" t="s">
        <v>91</v>
      </c>
      <c r="F30" s="46" t="n">
        <v>8</v>
      </c>
      <c r="H30" s="6" t="n">
        <f aca="false">IF((F30&lt;&gt;0),F30-G30," ")</f>
        <v>8</v>
      </c>
      <c r="I30" s="5"/>
      <c r="L30" s="7" t="n">
        <f aca="false">IF(F30&lt;&gt;0,F30-K30," ")</f>
        <v>8</v>
      </c>
      <c r="M30" s="8" t="n">
        <f aca="false">IF((F30-K30)&lt;&gt;0,M$1-A30," ")</f>
        <v>94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str">
        <f aca="false">IF((E30="g"),H30," ")</f>
        <v> </v>
      </c>
      <c r="AB30" s="17" t="n">
        <f aca="false">IF((E30="h"),H30," ")</f>
        <v>8</v>
      </c>
      <c r="AC30" s="46" t="str">
        <f aca="false">IF((E30="v"),H30," ")</f>
        <v> </v>
      </c>
      <c r="AD30" s="46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</row>
    <row r="31" customFormat="false" ht="12" hidden="false" customHeight="false" outlineLevel="0" collapsed="false">
      <c r="A31" s="28" t="n">
        <v>46044</v>
      </c>
      <c r="B31" s="2" t="s">
        <v>107</v>
      </c>
      <c r="E31" s="5" t="s">
        <v>85</v>
      </c>
      <c r="F31" s="46" t="n">
        <v>18</v>
      </c>
      <c r="H31" s="6" t="n">
        <f aca="false">IF((F31&lt;&gt;0),F31-G31," ")</f>
        <v>18</v>
      </c>
      <c r="I31" s="5"/>
      <c r="L31" s="7" t="n">
        <f aca="false">IF(F31&lt;&gt;0,F31-K31," ")</f>
        <v>18</v>
      </c>
      <c r="M31" s="8" t="n">
        <f aca="false">IF((F31-K31)&lt;&gt;0,M$1-A31," ")</f>
        <v>93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n">
        <f aca="false">IF((E31="u"),H31," ")</f>
        <v>18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46" t="str">
        <f aca="false">IF((E31="v"),H31," ")</f>
        <v> </v>
      </c>
      <c r="AD31" s="46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</row>
    <row r="32" customFormat="false" ht="12" hidden="false" customHeight="false" outlineLevel="0" collapsed="false">
      <c r="A32" s="28" t="n">
        <v>46047</v>
      </c>
      <c r="B32" s="2" t="s">
        <v>108</v>
      </c>
      <c r="E32" s="5" t="s">
        <v>85</v>
      </c>
      <c r="F32" s="46" t="n">
        <v>15</v>
      </c>
      <c r="H32" s="6" t="n">
        <f aca="false">IF((F32&lt;&gt;0),F32-G32," ")</f>
        <v>15</v>
      </c>
      <c r="I32" s="5"/>
      <c r="L32" s="7" t="n">
        <f aca="false">IF(F32&lt;&gt;0,F32-K32," ")</f>
        <v>15</v>
      </c>
      <c r="M32" s="8" t="n">
        <f aca="false">IF((F32-K32)&lt;&gt;0,M$1-A32," ")</f>
        <v>90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n">
        <f aca="false">IF((E32="u"),H32," ")</f>
        <v>15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46" t="str">
        <f aca="false">IF((E32="v"),H32," ")</f>
        <v> </v>
      </c>
      <c r="AD32" s="46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</row>
    <row r="33" customFormat="false" ht="12" hidden="false" customHeight="false" outlineLevel="0" collapsed="false">
      <c r="A33" s="28" t="n">
        <v>46047</v>
      </c>
      <c r="B33" s="2" t="s">
        <v>109</v>
      </c>
      <c r="E33" s="5" t="s">
        <v>88</v>
      </c>
      <c r="F33" s="46" t="n">
        <v>81</v>
      </c>
      <c r="H33" s="6" t="n">
        <f aca="false">IF((F33&lt;&gt;0),F33-G33," ")</f>
        <v>81</v>
      </c>
      <c r="I33" s="5"/>
      <c r="L33" s="7" t="n">
        <f aca="false">IF(F33&lt;&gt;0,F33-K33," ")</f>
        <v>81</v>
      </c>
      <c r="M33" s="8" t="n">
        <f aca="false">IF((F33-K33)&lt;&gt;0,M$1-A33," ")</f>
        <v>90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str">
        <f aca="false">IF((E33="u"),H33," ")</f>
        <v> 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46" t="n">
        <f aca="false">IF((E33="v"),H33," ")</f>
        <v>81</v>
      </c>
      <c r="AD33" s="46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</row>
    <row r="34" customFormat="false" ht="12" hidden="false" customHeight="false" outlineLevel="0" collapsed="false">
      <c r="A34" s="28" t="n">
        <v>46050</v>
      </c>
      <c r="B34" s="2" t="s">
        <v>20</v>
      </c>
      <c r="E34" s="5" t="s">
        <v>88</v>
      </c>
      <c r="F34" s="46" t="n">
        <v>120</v>
      </c>
      <c r="H34" s="6" t="n">
        <f aca="false">IF((F34&lt;&gt;0),F34-G34," ")</f>
        <v>120</v>
      </c>
      <c r="I34" s="5"/>
      <c r="L34" s="7" t="n">
        <f aca="false">IF(F34&lt;&gt;0,F34-K34," ")</f>
        <v>120</v>
      </c>
      <c r="M34" s="8" t="n">
        <f aca="false">IF((F34-K34)&lt;&gt;0,M$1-A34," ")</f>
        <v>87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str">
        <f aca="false">IF((E34="u"),H34," ")</f>
        <v> 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46" t="n">
        <f aca="false">IF((E34="v"),H34," ")</f>
        <v>120</v>
      </c>
      <c r="AD34" s="46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</row>
    <row r="35" customFormat="false" ht="12" hidden="false" customHeight="false" outlineLevel="0" collapsed="false">
      <c r="A35" s="28" t="n">
        <v>46052</v>
      </c>
      <c r="B35" s="2" t="s">
        <v>16</v>
      </c>
      <c r="E35" s="5" t="s">
        <v>110</v>
      </c>
      <c r="F35" s="46" t="n">
        <v>300</v>
      </c>
      <c r="H35" s="6" t="n">
        <f aca="false">IF((F35&lt;&gt;0),F35-G35," ")</f>
        <v>300</v>
      </c>
      <c r="I35" s="5"/>
      <c r="L35" s="7" t="n">
        <f aca="false">IF(F35&lt;&gt;0,F35-K35," ")</f>
        <v>300</v>
      </c>
      <c r="M35" s="8" t="n">
        <f aca="false">IF((F35-K35)&lt;&gt;0,M$1-A35," ")</f>
        <v>85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str">
        <f aca="false">IF((E35="u"),H35," ")</f>
        <v> 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46" t="str">
        <f aca="false">IF((E35="v"),H35," ")</f>
        <v> </v>
      </c>
      <c r="AD35" s="46" t="str">
        <f aca="false">IF((E35="n"),H35," ")</f>
        <v> </v>
      </c>
      <c r="AE35" s="17" t="str">
        <f aca="false">IF((E35="f"),H35," ")</f>
        <v> </v>
      </c>
      <c r="AF35" s="17" t="n">
        <f aca="false">IF((E35="l"),H35," ")</f>
        <v>300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</row>
    <row r="36" customFormat="false" ht="12" hidden="false" customHeight="false" outlineLevel="0" collapsed="false">
      <c r="A36" s="28"/>
      <c r="E36" s="2"/>
      <c r="F36" s="46"/>
      <c r="H36" s="6" t="str">
        <f aca="false">IF((F36&lt;&gt;0),F36-G36," ")</f>
        <v> </v>
      </c>
      <c r="I36" s="5"/>
      <c r="L36" s="7" t="str">
        <f aca="false">IF(F36&lt;&gt;0,F36-K36," ")</f>
        <v> </v>
      </c>
      <c r="M36" s="8" t="str">
        <f aca="false">IF((F36-K36)&lt;&gt;0,M$1-A36," ")</f>
        <v> 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46" t="str">
        <f aca="false">IF((E36="v"),H36," ")</f>
        <v> </v>
      </c>
      <c r="AD36" s="46" t="str">
        <f aca="false">IF((E36="n"),H36," ")</f>
        <v> </v>
      </c>
      <c r="AE36" s="17" t="str">
        <f aca="false">IF((E36="f"),H36," ")</f>
        <v> </v>
      </c>
      <c r="AF36" s="17" t="str">
        <f aca="false">IF((E36="l"),H36," ")</f>
        <v> 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</row>
    <row r="37" customFormat="false" ht="12" hidden="false" customHeight="false" outlineLevel="0" collapsed="false">
      <c r="A37" s="28"/>
      <c r="E37" s="2"/>
      <c r="F37" s="46"/>
      <c r="H37" s="6" t="str">
        <f aca="false">IF((F37&lt;&gt;0),F37-G37," ")</f>
        <v> </v>
      </c>
      <c r="I37" s="5"/>
      <c r="L37" s="7" t="str">
        <f aca="false">IF(F37&lt;&gt;0,F37-K37," ")</f>
        <v> </v>
      </c>
      <c r="M37" s="8" t="str">
        <f aca="false">IF((F37-K37)&lt;&gt;0,M$1-A37," ")</f>
        <v> 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46" t="str">
        <f aca="false">IF((E37="v"),H37," ")</f>
        <v> </v>
      </c>
      <c r="AD37" s="46" t="str">
        <f aca="false">IF((E37="n"),H37," ")</f>
        <v> </v>
      </c>
      <c r="AE37" s="17" t="str">
        <f aca="false">IF((E37="f"),H37," ")</f>
        <v> </v>
      </c>
      <c r="AF37" s="17" t="str">
        <f aca="false">IF((E37="l"),H37," ")</f>
        <v> 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</row>
    <row r="38" customFormat="false" ht="12" hidden="false" customHeight="false" outlineLevel="0" collapsed="false">
      <c r="A38" s="28"/>
      <c r="E38" s="2"/>
      <c r="F38" s="46"/>
      <c r="H38" s="6" t="str">
        <f aca="false">IF((F38&lt;&gt;0),F38-G38," ")</f>
        <v> </v>
      </c>
      <c r="I38" s="5"/>
      <c r="L38" s="7" t="str">
        <f aca="false">IF(F38&lt;&gt;0,F38-K38," ")</f>
        <v> </v>
      </c>
      <c r="M38" s="8" t="str">
        <f aca="false">IF((F38-K38)&lt;&gt;0,M$1-A38," ")</f>
        <v> 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46" t="str">
        <f aca="false">IF((E38="v"),H38," ")</f>
        <v> </v>
      </c>
      <c r="AD38" s="46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</row>
    <row r="39" customFormat="false" ht="12" hidden="false" customHeight="false" outlineLevel="0" collapsed="false">
      <c r="A39" s="28"/>
      <c r="E39" s="2"/>
      <c r="F39" s="46"/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46" t="str">
        <f aca="false">IF((E39="v"),H39," ")</f>
        <v> </v>
      </c>
      <c r="AD39" s="46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</row>
    <row r="40" customFormat="false" ht="12" hidden="false" customHeight="false" outlineLevel="0" collapsed="false">
      <c r="A40" s="28"/>
      <c r="E40" s="2"/>
      <c r="F40" s="46"/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46" t="str">
        <f aca="false">IF((E40="v"),H40," ")</f>
        <v> </v>
      </c>
      <c r="AD40" s="46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</row>
    <row r="41" customFormat="false" ht="12" hidden="false" customHeight="false" outlineLevel="0" collapsed="false">
      <c r="A41" s="28"/>
      <c r="E41" s="2"/>
      <c r="F41" s="46"/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46" t="str">
        <f aca="false">IF((E41="v"),H41," ")</f>
        <v> </v>
      </c>
      <c r="AD41" s="46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</row>
    <row r="42" customFormat="false" ht="12" hidden="false" customHeight="false" outlineLevel="0" collapsed="false">
      <c r="A42" s="28"/>
      <c r="E42" s="2"/>
      <c r="F42" s="46"/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46" t="str">
        <f aca="false">IF((E42="v"),H42," ")</f>
        <v> </v>
      </c>
      <c r="AD42" s="46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</row>
    <row r="43" customFormat="false" ht="12" hidden="false" customHeight="false" outlineLevel="0" collapsed="false">
      <c r="A43" s="28"/>
      <c r="E43" s="2"/>
      <c r="F43" s="46"/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46" t="str">
        <f aca="false">IF((E43="v"),H43," ")</f>
        <v> </v>
      </c>
      <c r="AD43" s="46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</row>
    <row r="44" customFormat="false" ht="12" hidden="false" customHeight="false" outlineLevel="0" collapsed="false">
      <c r="A44" s="28"/>
      <c r="E44" s="2"/>
      <c r="F44" s="46"/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46" t="str">
        <f aca="false">IF((E44="v"),H44," ")</f>
        <v> </v>
      </c>
      <c r="AD44" s="46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</row>
    <row r="45" customFormat="false" ht="12" hidden="false" customHeight="false" outlineLevel="0" collapsed="false">
      <c r="A45" s="28"/>
      <c r="E45" s="2"/>
      <c r="F45" s="46"/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46" t="str">
        <f aca="false">IF((E45="v"),H45," ")</f>
        <v> </v>
      </c>
      <c r="AD45" s="46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</row>
    <row r="46" customFormat="false" ht="12" hidden="false" customHeight="false" outlineLevel="0" collapsed="false">
      <c r="A46" s="28"/>
      <c r="E46" s="2"/>
      <c r="F46" s="46"/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46" t="str">
        <f aca="false">IF((E46="v"),H46," ")</f>
        <v> </v>
      </c>
      <c r="AD46" s="46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</row>
    <row r="47" customFormat="false" ht="12" hidden="false" customHeight="false" outlineLevel="0" collapsed="false">
      <c r="A47" s="28"/>
      <c r="E47" s="2"/>
      <c r="F47" s="46"/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46" t="str">
        <f aca="false">IF((E47="v"),H47," ")</f>
        <v> </v>
      </c>
      <c r="AD47" s="46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</row>
    <row r="48" customFormat="false" ht="12" hidden="false" customHeight="false" outlineLevel="0" collapsed="false">
      <c r="A48" s="28"/>
      <c r="E48" s="2"/>
      <c r="F48" s="46"/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46" t="str">
        <f aca="false">IF((E48="v"),H48," ")</f>
        <v> </v>
      </c>
      <c r="AD48" s="46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</row>
    <row r="49" customFormat="false" ht="12" hidden="false" customHeight="false" outlineLevel="0" collapsed="false">
      <c r="A49" s="28"/>
      <c r="E49" s="2"/>
      <c r="F49" s="46"/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46" t="str">
        <f aca="false">IF((E49="v"),H49," ")</f>
        <v> </v>
      </c>
      <c r="AD49" s="46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</row>
    <row r="50" customFormat="false" ht="12" hidden="false" customHeight="false" outlineLevel="0" collapsed="false">
      <c r="A50" s="28"/>
      <c r="E50" s="2"/>
      <c r="F50" s="46"/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46" t="str">
        <f aca="false">IF((E50="v"),H50," ")</f>
        <v> </v>
      </c>
      <c r="AD50" s="46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</row>
    <row r="51" customFormat="false" ht="12" hidden="false" customHeight="false" outlineLevel="0" collapsed="false">
      <c r="A51" s="28"/>
      <c r="E51" s="2"/>
      <c r="F51" s="46"/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46" t="str">
        <f aca="false">IF((E51="v"),H51," ")</f>
        <v> </v>
      </c>
      <c r="AD51" s="46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</row>
    <row r="52" customFormat="false" ht="12" hidden="false" customHeight="false" outlineLevel="0" collapsed="false">
      <c r="A52" s="28"/>
      <c r="E52" s="2"/>
      <c r="F52" s="46"/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46" t="str">
        <f aca="false">IF((E52="v"),H52," ")</f>
        <v> </v>
      </c>
      <c r="AD52" s="46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</row>
    <row r="53" customFormat="false" ht="12" hidden="false" customHeight="false" outlineLevel="0" collapsed="false">
      <c r="A53" s="28"/>
      <c r="E53" s="2"/>
      <c r="F53" s="46"/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46" t="str">
        <f aca="false">IF((E53="v"),H53," ")</f>
        <v> </v>
      </c>
      <c r="AD53" s="46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</row>
    <row r="54" customFormat="false" ht="12" hidden="false" customHeight="false" outlineLevel="0" collapsed="false">
      <c r="A54" s="28"/>
      <c r="E54" s="2"/>
      <c r="F54" s="46"/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46" t="str">
        <f aca="false">IF((E54="v"),H54," ")</f>
        <v> </v>
      </c>
      <c r="AD54" s="46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</row>
    <row r="55" customFormat="false" ht="12" hidden="false" customHeight="false" outlineLevel="0" collapsed="false">
      <c r="A55" s="28"/>
      <c r="E55" s="2"/>
      <c r="F55" s="46"/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46" t="str">
        <f aca="false">IF((E55="v"),H55," ")</f>
        <v> </v>
      </c>
      <c r="AD55" s="46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</row>
    <row r="56" customFormat="false" ht="12" hidden="false" customHeight="false" outlineLevel="0" collapsed="false">
      <c r="A56" s="28"/>
      <c r="E56" s="2"/>
      <c r="F56" s="46"/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46" t="str">
        <f aca="false">IF((E56="v"),H56," ")</f>
        <v> </v>
      </c>
      <c r="AD56" s="46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</row>
    <row r="57" customFormat="false" ht="12" hidden="false" customHeight="false" outlineLevel="0" collapsed="false">
      <c r="A57" s="28"/>
      <c r="E57" s="2"/>
      <c r="F57" s="46"/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46" t="str">
        <f aca="false">IF((E57="v"),H57," ")</f>
        <v> </v>
      </c>
      <c r="AD57" s="46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</row>
    <row r="58" customFormat="false" ht="12" hidden="false" customHeight="false" outlineLevel="0" collapsed="false">
      <c r="A58" s="28"/>
      <c r="E58" s="2"/>
      <c r="F58" s="46"/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46" t="str">
        <f aca="false">IF((E58="v"),H58," ")</f>
        <v> </v>
      </c>
      <c r="AD58" s="46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</row>
    <row r="59" customFormat="false" ht="12" hidden="false" customHeight="false" outlineLevel="0" collapsed="false">
      <c r="A59" s="28"/>
      <c r="E59" s="2"/>
      <c r="F59" s="46"/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46" t="str">
        <f aca="false">IF((E59="v"),H59," ")</f>
        <v> </v>
      </c>
      <c r="AD59" s="46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</row>
    <row r="60" customFormat="false" ht="12" hidden="false" customHeight="false" outlineLevel="0" collapsed="false">
      <c r="A60" s="28"/>
      <c r="E60" s="2"/>
      <c r="F60" s="46"/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46" t="str">
        <f aca="false">IF((E60="v"),H60," ")</f>
        <v> </v>
      </c>
      <c r="AD60" s="46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</row>
    <row r="61" customFormat="false" ht="12" hidden="false" customHeight="false" outlineLevel="0" collapsed="false">
      <c r="A61" s="28"/>
      <c r="E61" s="2"/>
      <c r="F61" s="46"/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46" t="str">
        <f aca="false">IF((E61="v"),H61," ")</f>
        <v> </v>
      </c>
      <c r="AD61" s="46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</row>
    <row r="62" customFormat="false" ht="12" hidden="false" customHeight="false" outlineLevel="0" collapsed="false">
      <c r="A62" s="28"/>
      <c r="E62" s="2"/>
      <c r="F62" s="46"/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46" t="str">
        <f aca="false">IF((E62="v"),H62," ")</f>
        <v> </v>
      </c>
      <c r="AD62" s="46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</row>
    <row r="63" customFormat="false" ht="12" hidden="false" customHeight="false" outlineLevel="0" collapsed="false">
      <c r="A63" s="28"/>
      <c r="E63" s="2"/>
      <c r="F63" s="46"/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46" t="str">
        <f aca="false">IF((E63="v"),H63," ")</f>
        <v> </v>
      </c>
      <c r="AD63" s="46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</row>
    <row r="64" customFormat="false" ht="12" hidden="false" customHeight="false" outlineLevel="0" collapsed="false">
      <c r="A64" s="28"/>
      <c r="E64" s="2"/>
      <c r="F64" s="46"/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46" t="str">
        <f aca="false">IF((E64="v"),H64," ")</f>
        <v> </v>
      </c>
      <c r="AD64" s="46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</row>
    <row r="65" customFormat="false" ht="12" hidden="false" customHeight="false" outlineLevel="0" collapsed="false">
      <c r="A65" s="28"/>
      <c r="E65" s="2"/>
      <c r="F65" s="46"/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46" t="str">
        <f aca="false">IF((E65="v"),H65," ")</f>
        <v> </v>
      </c>
      <c r="AD65" s="46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</row>
    <row r="66" customFormat="false" ht="12" hidden="false" customHeight="false" outlineLevel="0" collapsed="false">
      <c r="A66" s="28"/>
      <c r="E66" s="2"/>
      <c r="F66" s="46"/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46" t="str">
        <f aca="false">IF((E66="v"),H66," ")</f>
        <v> </v>
      </c>
      <c r="AD66" s="46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</row>
    <row r="67" customFormat="false" ht="12" hidden="false" customHeight="false" outlineLevel="0" collapsed="false">
      <c r="A67" s="28"/>
      <c r="E67" s="2"/>
      <c r="F67" s="46"/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46" t="str">
        <f aca="false">IF((E67="v"),H67," ")</f>
        <v> </v>
      </c>
      <c r="AD67" s="46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</row>
    <row r="68" customFormat="false" ht="12" hidden="false" customHeight="false" outlineLevel="0" collapsed="false">
      <c r="A68" s="28"/>
      <c r="E68" s="2"/>
      <c r="F68" s="46"/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46" t="str">
        <f aca="false">IF((E68="v"),H68," ")</f>
        <v> </v>
      </c>
      <c r="AD68" s="46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</row>
    <row r="69" customFormat="false" ht="12" hidden="false" customHeight="false" outlineLevel="0" collapsed="false">
      <c r="A69" s="28"/>
      <c r="E69" s="2"/>
      <c r="F69" s="46"/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46" t="str">
        <f aca="false">IF((E69="v"),H69," ")</f>
        <v> </v>
      </c>
      <c r="AD69" s="46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46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46" t="str">
        <f aca="false">IF((E70="v"),H70," ")</f>
        <v> </v>
      </c>
      <c r="AD70" s="46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46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46" t="str">
        <f aca="false">IF((E71="v"),H71," ")</f>
        <v> </v>
      </c>
      <c r="AD71" s="46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46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46" t="str">
        <f aca="false">IF((E72="v"),H72," ")</f>
        <v> </v>
      </c>
      <c r="AD72" s="46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46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46" t="str">
        <f aca="false">IF((E73="v"),H73," ")</f>
        <v> </v>
      </c>
      <c r="AD73" s="46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46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46" t="str">
        <f aca="false">IF((E74="v"),H74," ")</f>
        <v> </v>
      </c>
      <c r="AD74" s="46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46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46" t="str">
        <f aca="false">IF((E75="v"),H75," ")</f>
        <v> </v>
      </c>
      <c r="AD75" s="46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46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46" t="str">
        <f aca="false">IF((E76="v"),H76," ")</f>
        <v> </v>
      </c>
      <c r="AD76" s="46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46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46" t="str">
        <f aca="false">IF((E77="v"),H77," ")</f>
        <v> </v>
      </c>
      <c r="AD77" s="46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46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46" t="str">
        <f aca="false">IF((E78="v"),H78," ")</f>
        <v> </v>
      </c>
      <c r="AD78" s="46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46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46" t="str">
        <f aca="false">IF((E79="v"),H79," ")</f>
        <v> </v>
      </c>
      <c r="AD79" s="46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46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46" t="str">
        <f aca="false">IF((E80="v"),H80," ")</f>
        <v> </v>
      </c>
      <c r="AD80" s="46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46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46" t="str">
        <f aca="false">IF((E81="v"),H81," ")</f>
        <v> </v>
      </c>
      <c r="AD81" s="46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46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46" t="str">
        <f aca="false">IF((E82="v"),H82," ")</f>
        <v> </v>
      </c>
      <c r="AD82" s="46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46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46" t="str">
        <f aca="false">IF((E83="v"),H83," ")</f>
        <v> </v>
      </c>
      <c r="AD83" s="46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46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46" t="str">
        <f aca="false">IF((E84="v"),H84," ")</f>
        <v> </v>
      </c>
      <c r="AD84" s="46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46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46" t="str">
        <f aca="false">IF((E85="v"),H85," ")</f>
        <v> </v>
      </c>
      <c r="AD85" s="46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46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46" t="str">
        <f aca="false">IF((E86="v"),H86," ")</f>
        <v> </v>
      </c>
      <c r="AD86" s="46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46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46" t="str">
        <f aca="false">IF((E87="v"),H87," ")</f>
        <v> </v>
      </c>
      <c r="AD87" s="46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46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46" t="str">
        <f aca="false">IF((E88="v"),H88," ")</f>
        <v> </v>
      </c>
      <c r="AD88" s="46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46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46" t="str">
        <f aca="false">IF((E89="v"),H89," ")</f>
        <v> </v>
      </c>
      <c r="AD89" s="46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46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46" t="str">
        <f aca="false">IF((E90="v"),H90," ")</f>
        <v> </v>
      </c>
      <c r="AD90" s="46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46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46" t="str">
        <f aca="false">IF((E91="v"),H91," ")</f>
        <v> </v>
      </c>
      <c r="AD91" s="46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46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46" t="str">
        <f aca="false">IF((E92="v"),H92," ")</f>
        <v> </v>
      </c>
      <c r="AD92" s="46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46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46" t="str">
        <f aca="false">IF((E93="v"),H93," ")</f>
        <v> </v>
      </c>
      <c r="AD93" s="46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46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46" t="str">
        <f aca="false">IF((E94="v"),H94," ")</f>
        <v> </v>
      </c>
      <c r="AD94" s="46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46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46" t="str">
        <f aca="false">IF((E95="v"),H95," ")</f>
        <v> </v>
      </c>
      <c r="AD95" s="46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46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46" t="str">
        <f aca="false">IF((E96="v"),H96," ")</f>
        <v> </v>
      </c>
      <c r="AD96" s="46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46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46" t="str">
        <f aca="false">IF((E97="v"),H97," ")</f>
        <v> </v>
      </c>
      <c r="AD97" s="46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46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46" t="str">
        <f aca="false">IF((E98="v"),H98," ")</f>
        <v> </v>
      </c>
      <c r="AD98" s="46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46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46" t="str">
        <f aca="false">IF((E99="v"),H99," ")</f>
        <v> </v>
      </c>
      <c r="AD99" s="46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46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46" t="str">
        <f aca="false">IF((E100="v"),H100," ")</f>
        <v> </v>
      </c>
      <c r="AD100" s="46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46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46" t="str">
        <f aca="false">IF((E101="v"),H101," ")</f>
        <v> </v>
      </c>
      <c r="AD101" s="46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46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46" t="str">
        <f aca="false">IF((E102="v"),H102," ")</f>
        <v> </v>
      </c>
      <c r="AD102" s="46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46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46" t="str">
        <f aca="false">IF((E103="v"),H103," ")</f>
        <v> </v>
      </c>
      <c r="AD103" s="46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46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46" t="str">
        <f aca="false">IF((E104="v"),H104," ")</f>
        <v> </v>
      </c>
      <c r="AD104" s="46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46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46" t="str">
        <f aca="false">IF((E105="v"),H105," ")</f>
        <v> </v>
      </c>
      <c r="AD105" s="46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46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46" t="str">
        <f aca="false">IF((E106="v"),H106," ")</f>
        <v> </v>
      </c>
      <c r="AD106" s="46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46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46" t="str">
        <f aca="false">IF((E107="v"),H107," ")</f>
        <v> </v>
      </c>
      <c r="AD107" s="46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46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46" t="str">
        <f aca="false">IF((E108="v"),H108," ")</f>
        <v> </v>
      </c>
      <c r="AD108" s="46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46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46" t="str">
        <f aca="false">IF((E109="v"),H109," ")</f>
        <v> </v>
      </c>
      <c r="AD109" s="46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46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46" t="str">
        <f aca="false">IF((E110="v"),H110," ")</f>
        <v> </v>
      </c>
      <c r="AD110" s="46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46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46" t="str">
        <f aca="false">IF((E111="v"),H111," ")</f>
        <v> </v>
      </c>
      <c r="AD111" s="46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46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46" t="str">
        <f aca="false">IF((E112="v"),H112," ")</f>
        <v> </v>
      </c>
      <c r="AD112" s="46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46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46" t="str">
        <f aca="false">IF((E113="v"),H113," ")</f>
        <v> </v>
      </c>
      <c r="AD113" s="46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46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46" t="str">
        <f aca="false">IF((E114="v"),H114," ")</f>
        <v> </v>
      </c>
      <c r="AD114" s="46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46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46" t="str">
        <f aca="false">IF((E115="v"),H115," ")</f>
        <v> </v>
      </c>
      <c r="AD115" s="46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46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46" t="str">
        <f aca="false">IF((E116="v"),H116," ")</f>
        <v> </v>
      </c>
      <c r="AD116" s="46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46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46" t="str">
        <f aca="false">IF((E117="v"),H117," ")</f>
        <v> </v>
      </c>
      <c r="AD117" s="46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46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46" t="str">
        <f aca="false">IF((E118="v"),H118," ")</f>
        <v> </v>
      </c>
      <c r="AD118" s="46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46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46" t="str">
        <f aca="false">IF((E119="v"),H119," ")</f>
        <v> </v>
      </c>
      <c r="AD119" s="46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46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46" t="str">
        <f aca="false">IF((E120="v"),H120," ")</f>
        <v> </v>
      </c>
      <c r="AD120" s="46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46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46" t="str">
        <f aca="false">IF((E121="v"),H121," ")</f>
        <v> </v>
      </c>
      <c r="AD121" s="46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46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46" t="str">
        <f aca="false">IF((E122="v"),H122," ")</f>
        <v> </v>
      </c>
      <c r="AD122" s="46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46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46" t="str">
        <f aca="false">IF((E123="v"),H123," ")</f>
        <v> </v>
      </c>
      <c r="AD123" s="46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46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46" t="str">
        <f aca="false">IF((E124="v"),H124," ")</f>
        <v> </v>
      </c>
      <c r="AD124" s="46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46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46" t="str">
        <f aca="false">IF((E125="v"),H125," ")</f>
        <v> </v>
      </c>
      <c r="AD125" s="46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46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46" t="str">
        <f aca="false">IF((E126="v"),H126," ")</f>
        <v> </v>
      </c>
      <c r="AD126" s="46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46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46" t="str">
        <f aca="false">IF((E127="v"),H127," ")</f>
        <v> </v>
      </c>
      <c r="AD127" s="46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46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46" t="str">
        <f aca="false">IF((E128="v"),H128," ")</f>
        <v> </v>
      </c>
      <c r="AD128" s="46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46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46" t="str">
        <f aca="false">IF((E129="v"),H129," ")</f>
        <v> </v>
      </c>
      <c r="AD129" s="46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46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46" t="str">
        <f aca="false">IF((E130="v"),H130," ")</f>
        <v> </v>
      </c>
      <c r="AD130" s="46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46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46" t="str">
        <f aca="false">IF((E131="v"),H131," ")</f>
        <v> </v>
      </c>
      <c r="AD131" s="46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46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46" t="str">
        <f aca="false">IF((E132="v"),H132," ")</f>
        <v> </v>
      </c>
      <c r="AD132" s="46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46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46" t="str">
        <f aca="false">IF((E133="v"),H133," ")</f>
        <v> </v>
      </c>
      <c r="AD133" s="46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46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46" t="str">
        <f aca="false">IF((E134="v"),H134," ")</f>
        <v> </v>
      </c>
      <c r="AD134" s="46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46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46" t="str">
        <f aca="false">IF((E135="v"),H135," ")</f>
        <v> </v>
      </c>
      <c r="AD135" s="46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46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46" t="str">
        <f aca="false">IF((E136="v"),H136," ")</f>
        <v> </v>
      </c>
      <c r="AD136" s="46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46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46" t="str">
        <f aca="false">IF((E137="v"),H137," ")</f>
        <v> </v>
      </c>
      <c r="AD137" s="46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46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46" t="str">
        <f aca="false">IF((E138="v"),H138," ")</f>
        <v> </v>
      </c>
      <c r="AD138" s="46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46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46" t="str">
        <f aca="false">IF((E139="v"),H139," ")</f>
        <v> </v>
      </c>
      <c r="AD139" s="46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46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46" t="str">
        <f aca="false">IF((E140="v"),H140," ")</f>
        <v> </v>
      </c>
      <c r="AD140" s="46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46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46" t="str">
        <f aca="false">IF((E141="v"),H141," ")</f>
        <v> </v>
      </c>
      <c r="AD141" s="46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46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46" t="str">
        <f aca="false">IF((E142="v"),H142," ")</f>
        <v> </v>
      </c>
      <c r="AD142" s="46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46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46" t="str">
        <f aca="false">IF((E143="v"),H143," ")</f>
        <v> </v>
      </c>
      <c r="AD143" s="46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46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46" t="str">
        <f aca="false">IF((E144="v"),H144," ")</f>
        <v> </v>
      </c>
      <c r="AD144" s="46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46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46" t="str">
        <f aca="false">IF((E145="v"),H145," ")</f>
        <v> </v>
      </c>
      <c r="AD145" s="46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46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46" t="str">
        <f aca="false">IF((E146="v"),H146," ")</f>
        <v> </v>
      </c>
      <c r="AD146" s="46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46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46" t="str">
        <f aca="false">IF((E147="v"),H147," ")</f>
        <v> </v>
      </c>
      <c r="AD147" s="46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46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46" t="str">
        <f aca="false">IF((E148="v"),H148," ")</f>
        <v> </v>
      </c>
      <c r="AD148" s="46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46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46" t="str">
        <f aca="false">IF((E149="v"),H149," ")</f>
        <v> </v>
      </c>
      <c r="AD149" s="46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46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46" t="str">
        <f aca="false">IF((E150="v"),H150," ")</f>
        <v> </v>
      </c>
      <c r="AD150" s="46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46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46" t="str">
        <f aca="false">IF((E151="v"),H151," ")</f>
        <v> </v>
      </c>
      <c r="AD151" s="46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46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46" t="str">
        <f aca="false">IF((E152="v"),H152," ")</f>
        <v> </v>
      </c>
      <c r="AD152" s="46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46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46" t="str">
        <f aca="false">IF((E153="v"),H153," ")</f>
        <v> </v>
      </c>
      <c r="AD153" s="46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46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46" t="str">
        <f aca="false">IF((E154="v"),H154," ")</f>
        <v> </v>
      </c>
      <c r="AD154" s="46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46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46" t="str">
        <f aca="false">IF((E155="v"),H155," ")</f>
        <v> </v>
      </c>
      <c r="AD155" s="46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46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46" t="str">
        <f aca="false">IF((E156="v"),H156," ")</f>
        <v> </v>
      </c>
      <c r="AD156" s="46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46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46" t="str">
        <f aca="false">IF((E157="v"),H157," ")</f>
        <v> </v>
      </c>
      <c r="AD157" s="46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46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46" t="str">
        <f aca="false">IF((E158="v"),H158," ")</f>
        <v> </v>
      </c>
      <c r="AD158" s="46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46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46" t="str">
        <f aca="false">IF((E159="v"),H159," ")</f>
        <v> </v>
      </c>
      <c r="AD159" s="46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46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46" t="str">
        <f aca="false">IF((E160="v"),H160," ")</f>
        <v> </v>
      </c>
      <c r="AD160" s="46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46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46" t="str">
        <f aca="false">IF((E161="v"),H161," ")</f>
        <v> </v>
      </c>
      <c r="AD161" s="46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46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46" t="str">
        <f aca="false">IF((E162="v"),H162," ")</f>
        <v> </v>
      </c>
      <c r="AD162" s="46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46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46" t="str">
        <f aca="false">IF((E163="v"),H163," ")</f>
        <v> </v>
      </c>
      <c r="AD163" s="46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46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46" t="str">
        <f aca="false">IF((E164="v"),H164," ")</f>
        <v> </v>
      </c>
      <c r="AD164" s="46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46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46" t="str">
        <f aca="false">IF((E165="v"),H165," ")</f>
        <v> </v>
      </c>
      <c r="AD165" s="46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46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46" t="str">
        <f aca="false">IF((E166="v"),H166," ")</f>
        <v> </v>
      </c>
      <c r="AD166" s="46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46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46" t="str">
        <f aca="false">IF((E167="v"),H167," ")</f>
        <v> </v>
      </c>
      <c r="AD167" s="46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46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46" t="str">
        <f aca="false">IF((E168="v"),H168," ")</f>
        <v> </v>
      </c>
      <c r="AD168" s="46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46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46" t="str">
        <f aca="false">IF((E169="v"),H169," ")</f>
        <v> </v>
      </c>
      <c r="AD169" s="46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46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46" t="str">
        <f aca="false">IF((E170="v"),H170," ")</f>
        <v> </v>
      </c>
      <c r="AD170" s="46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46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46" t="str">
        <f aca="false">IF((E171="v"),H171," ")</f>
        <v> </v>
      </c>
      <c r="AD171" s="46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46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46" t="str">
        <f aca="false">IF((E172="v"),H172," ")</f>
        <v> </v>
      </c>
      <c r="AD172" s="46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46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46" t="str">
        <f aca="false">IF((E173="v"),H173," ")</f>
        <v> </v>
      </c>
      <c r="AD173" s="46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46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46" t="str">
        <f aca="false">IF((E174="v"),H174," ")</f>
        <v> </v>
      </c>
      <c r="AD174" s="46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46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46" t="str">
        <f aca="false">IF((E175="v"),H175," ")</f>
        <v> </v>
      </c>
      <c r="AD175" s="46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46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46" t="str">
        <f aca="false">IF((E176="v"),H176," ")</f>
        <v> </v>
      </c>
      <c r="AD176" s="46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46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46" t="str">
        <f aca="false">IF((E177="v"),H177," ")</f>
        <v> </v>
      </c>
      <c r="AD177" s="46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46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46" t="str">
        <f aca="false">IF((E178="v"),H178," ")</f>
        <v> </v>
      </c>
      <c r="AD178" s="46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46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46" t="str">
        <f aca="false">IF((E179="v"),H179," ")</f>
        <v> </v>
      </c>
      <c r="AD179" s="46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46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46" t="str">
        <f aca="false">IF((E180="v"),H180," ")</f>
        <v> </v>
      </c>
      <c r="AD180" s="46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46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46" t="str">
        <f aca="false">IF((E181="v"),H181," ")</f>
        <v> </v>
      </c>
      <c r="AD181" s="46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46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46" t="str">
        <f aca="false">IF((E182="v"),H182," ")</f>
        <v> </v>
      </c>
      <c r="AD182" s="46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46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46" t="str">
        <f aca="false">IF((E183="v"),H183," ")</f>
        <v> </v>
      </c>
      <c r="AD183" s="46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46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46" t="str">
        <f aca="false">IF((E184="v"),H184," ")</f>
        <v> </v>
      </c>
      <c r="AD184" s="46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46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46" t="str">
        <f aca="false">IF((E185="v"),H185," ")</f>
        <v> </v>
      </c>
      <c r="AD185" s="46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46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46" t="str">
        <f aca="false">IF((E186="v"),H186," ")</f>
        <v> </v>
      </c>
      <c r="AD186" s="46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46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46" t="str">
        <f aca="false">IF((E187="v"),H187," ")</f>
        <v> </v>
      </c>
      <c r="AD187" s="46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46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46" t="str">
        <f aca="false">IF((E188="v"),H188," ")</f>
        <v> </v>
      </c>
      <c r="AD188" s="46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46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46" t="str">
        <f aca="false">IF((E189="v"),H189," ")</f>
        <v> </v>
      </c>
      <c r="AD189" s="46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46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46" t="str">
        <f aca="false">IF((E190="v"),H190," ")</f>
        <v> </v>
      </c>
      <c r="AD190" s="46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46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46" t="str">
        <f aca="false">IF((E191="v"),H191," ")</f>
        <v> </v>
      </c>
      <c r="AD191" s="46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46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46" t="str">
        <f aca="false">IF((E192="v"),H192," ")</f>
        <v> </v>
      </c>
      <c r="AD192" s="46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46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46" t="str">
        <f aca="false">IF((E193="v"),H193," ")</f>
        <v> </v>
      </c>
      <c r="AD193" s="46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46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46" t="str">
        <f aca="false">IF((E194="v"),H194," ")</f>
        <v> </v>
      </c>
      <c r="AD194" s="46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46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46" t="str">
        <f aca="false">IF((E195="v"),H195," ")</f>
        <v> </v>
      </c>
      <c r="AD195" s="46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46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46" t="str">
        <f aca="false">IF((E196="v"),H196," ")</f>
        <v> </v>
      </c>
      <c r="AD196" s="46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46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46" t="str">
        <f aca="false">IF((E197="v"),H197," ")</f>
        <v> </v>
      </c>
      <c r="AD197" s="46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46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46" t="str">
        <f aca="false">IF((E198="v"),H198," ")</f>
        <v> </v>
      </c>
      <c r="AD198" s="46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46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46" t="str">
        <f aca="false">IF((E199="v"),H199," ")</f>
        <v> </v>
      </c>
      <c r="AD199" s="46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46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46" t="str">
        <f aca="false">IF((E200="v"),H200," ")</f>
        <v> </v>
      </c>
      <c r="AD200" s="46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46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46" t="str">
        <f aca="false">IF((E201="v"),H201," ")</f>
        <v> </v>
      </c>
      <c r="AD201" s="46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46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46" t="str">
        <f aca="false">IF((E202="v"),H202," ")</f>
        <v> </v>
      </c>
      <c r="AD202" s="46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46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46" t="str">
        <f aca="false">IF((E203="v"),H203," ")</f>
        <v> </v>
      </c>
      <c r="AD203" s="46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46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46" t="str">
        <f aca="false">IF((E204="v"),H204," ")</f>
        <v> </v>
      </c>
      <c r="AD204" s="46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46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46" t="str">
        <f aca="false">IF((E205="v"),H205," ")</f>
        <v> </v>
      </c>
      <c r="AD205" s="46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46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46" t="str">
        <f aca="false">IF((E206="v"),H206," ")</f>
        <v> </v>
      </c>
      <c r="AD206" s="46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46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46" t="str">
        <f aca="false">IF((E207="v"),H207," ")</f>
        <v> </v>
      </c>
      <c r="AD207" s="46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46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46" t="str">
        <f aca="false">IF((E208="v"),H208," ")</f>
        <v> </v>
      </c>
      <c r="AD208" s="46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46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46" t="str">
        <f aca="false">IF((E209="v"),H209," ")</f>
        <v> </v>
      </c>
      <c r="AD209" s="46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46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46" t="str">
        <f aca="false">IF((E210="v"),H210," ")</f>
        <v> </v>
      </c>
      <c r="AD210" s="46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46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46" t="str">
        <f aca="false">IF((E211="v"),H211," ")</f>
        <v> </v>
      </c>
      <c r="AD211" s="46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46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46" t="str">
        <f aca="false">IF((E212="v"),H212," ")</f>
        <v> </v>
      </c>
      <c r="AD212" s="46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46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46" t="str">
        <f aca="false">IF((E213="v"),H213," ")</f>
        <v> </v>
      </c>
      <c r="AD213" s="46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46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46" t="str">
        <f aca="false">IF((E214="v"),H214," ")</f>
        <v> </v>
      </c>
      <c r="AD214" s="46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46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46" t="str">
        <f aca="false">IF((E215="v"),H215," ")</f>
        <v> </v>
      </c>
      <c r="AD215" s="46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46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46" t="str">
        <f aca="false">IF((E216="v"),H216," ")</f>
        <v> </v>
      </c>
      <c r="AD216" s="46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46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46" t="str">
        <f aca="false">IF((E217="v"),H217," ")</f>
        <v> </v>
      </c>
      <c r="AD217" s="46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46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46" t="str">
        <f aca="false">IF((E218="v"),H218," ")</f>
        <v> </v>
      </c>
      <c r="AD218" s="46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46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46" t="str">
        <f aca="false">IF((E219="v"),H219," ")</f>
        <v> </v>
      </c>
      <c r="AD219" s="46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46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46" t="str">
        <f aca="false">IF((E220="v"),H220," ")</f>
        <v> </v>
      </c>
      <c r="AD220" s="46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46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46" t="str">
        <f aca="false">IF((E221="v"),H221," ")</f>
        <v> </v>
      </c>
      <c r="AD221" s="46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46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46" t="str">
        <f aca="false">IF((E222="v"),H222," ")</f>
        <v> </v>
      </c>
      <c r="AD222" s="46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46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46" t="str">
        <f aca="false">IF((E223="v"),H223," ")</f>
        <v> </v>
      </c>
      <c r="AD223" s="46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46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46" t="str">
        <f aca="false">IF((E224="v"),H224," ")</f>
        <v> </v>
      </c>
      <c r="AD224" s="46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46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46" t="str">
        <f aca="false">IF((E225="v"),H225," ")</f>
        <v> </v>
      </c>
      <c r="AD225" s="46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46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46" t="str">
        <f aca="false">IF((E226="v"),H226," ")</f>
        <v> </v>
      </c>
      <c r="AD226" s="46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46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46" t="str">
        <f aca="false">IF((E227="v"),H227," ")</f>
        <v> </v>
      </c>
      <c r="AD227" s="46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46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46" t="str">
        <f aca="false">IF((E228="v"),H228," ")</f>
        <v> </v>
      </c>
      <c r="AD228" s="46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46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46" t="str">
        <f aca="false">IF((E229="v"),H229," ")</f>
        <v> </v>
      </c>
      <c r="AD229" s="46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46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46" t="str">
        <f aca="false">IF((E230="v"),H230," ")</f>
        <v> </v>
      </c>
      <c r="AD230" s="46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46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46" t="str">
        <f aca="false">IF((E231="v"),H231," ")</f>
        <v> </v>
      </c>
      <c r="AD231" s="46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46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46" t="str">
        <f aca="false">IF((E232="v"),H232," ")</f>
        <v> </v>
      </c>
      <c r="AD232" s="46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46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46" t="str">
        <f aca="false">IF((E233="v"),H233," ")</f>
        <v> </v>
      </c>
      <c r="AD233" s="46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46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46" t="str">
        <f aca="false">IF((E234="v"),H234," ")</f>
        <v> </v>
      </c>
      <c r="AD234" s="46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46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46" t="str">
        <f aca="false">IF((E235="v"),H235," ")</f>
        <v> </v>
      </c>
      <c r="AD235" s="46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46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46" t="str">
        <f aca="false">IF((E236="v"),H236," ")</f>
        <v> </v>
      </c>
      <c r="AD236" s="46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46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46" t="str">
        <f aca="false">IF((E237="v"),H237," ")</f>
        <v> </v>
      </c>
      <c r="AD237" s="46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46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46" t="str">
        <f aca="false">IF((E238="v"),H238," ")</f>
        <v> </v>
      </c>
      <c r="AD238" s="46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46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46" t="str">
        <f aca="false">IF((E239="v"),H239," ")</f>
        <v> </v>
      </c>
      <c r="AD239" s="46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46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46" t="str">
        <f aca="false">IF((E240="v"),H240," ")</f>
        <v> </v>
      </c>
      <c r="AD240" s="46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46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46" t="str">
        <f aca="false">IF((E241="v"),H241," ")</f>
        <v> </v>
      </c>
      <c r="AD241" s="46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46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46" t="str">
        <f aca="false">IF((E242="v"),H242," ")</f>
        <v> </v>
      </c>
      <c r="AD242" s="46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46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46" t="str">
        <f aca="false">IF((E243="v"),H243," ")</f>
        <v> </v>
      </c>
      <c r="AD243" s="46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46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46" t="str">
        <f aca="false">IF((E244="v"),H244," ")</f>
        <v> </v>
      </c>
      <c r="AD244" s="46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46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46" t="str">
        <f aca="false">IF((E245="v"),H245," ")</f>
        <v> </v>
      </c>
      <c r="AD245" s="46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46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46" t="str">
        <f aca="false">IF((E246="v"),H246," ")</f>
        <v> </v>
      </c>
      <c r="AD246" s="46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46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46" t="str">
        <f aca="false">IF((E247="v"),H247," ")</f>
        <v> </v>
      </c>
      <c r="AD247" s="46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46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46" t="str">
        <f aca="false">IF((E248="v"),H248," ")</f>
        <v> </v>
      </c>
      <c r="AD248" s="46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46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46" t="str">
        <f aca="false">IF((E249="v"),H249," ")</f>
        <v> </v>
      </c>
      <c r="AD249" s="46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46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46" t="str">
        <f aca="false">IF((E250="v"),H250," ")</f>
        <v> </v>
      </c>
      <c r="AD250" s="46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46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46" t="str">
        <f aca="false">IF((E251="v"),H251," ")</f>
        <v> </v>
      </c>
      <c r="AD251" s="46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46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46" t="str">
        <f aca="false">IF((E252="v"),H252," ")</f>
        <v> </v>
      </c>
      <c r="AD252" s="46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46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46" t="str">
        <f aca="false">IF((E253="v"),H253," ")</f>
        <v> </v>
      </c>
      <c r="AD253" s="46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46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46" t="str">
        <f aca="false">IF((E254="v"),H254," ")</f>
        <v> </v>
      </c>
      <c r="AD254" s="46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46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46" t="str">
        <f aca="false">IF((E255="v"),H255," ")</f>
        <v> </v>
      </c>
      <c r="AD255" s="46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46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46" t="str">
        <f aca="false">IF((E256="v"),H256," ")</f>
        <v> </v>
      </c>
      <c r="AD256" s="46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46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46" t="str">
        <f aca="false">IF((E257="v"),H257," ")</f>
        <v> </v>
      </c>
      <c r="AD257" s="46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46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46" t="str">
        <f aca="false">IF((E258="v"),H258," ")</f>
        <v> </v>
      </c>
      <c r="AD258" s="46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46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46" t="str">
        <f aca="false">IF((E259="v"),H259," ")</f>
        <v> </v>
      </c>
      <c r="AD259" s="46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46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46" t="str">
        <f aca="false">IF((E260="v"),H260," ")</f>
        <v> </v>
      </c>
      <c r="AD260" s="46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46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46" t="str">
        <f aca="false">IF((E261="v"),H261," ")</f>
        <v> </v>
      </c>
      <c r="AD261" s="46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46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46" t="str">
        <f aca="false">IF((E262="v"),H262," ")</f>
        <v> </v>
      </c>
      <c r="AD262" s="46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46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46" t="str">
        <f aca="false">IF((E263="v"),H263," ")</f>
        <v> </v>
      </c>
      <c r="AD263" s="46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46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46" t="str">
        <f aca="false">IF((E264="v"),H264," ")</f>
        <v> </v>
      </c>
      <c r="AD264" s="46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46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46" t="str">
        <f aca="false">IF((E265="v"),H265," ")</f>
        <v> </v>
      </c>
      <c r="AD265" s="46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46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46" t="str">
        <f aca="false">IF((E266="v"),H266," ")</f>
        <v> </v>
      </c>
      <c r="AD266" s="46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46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46" t="str">
        <f aca="false">IF((E267="v"),H267," ")</f>
        <v> </v>
      </c>
      <c r="AD267" s="46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46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46" t="str">
        <f aca="false">IF((E268="v"),H268," ")</f>
        <v> </v>
      </c>
      <c r="AD268" s="46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46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46" t="str">
        <f aca="false">IF((E269="v"),H269," ")</f>
        <v> </v>
      </c>
      <c r="AD269" s="46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46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46" t="str">
        <f aca="false">IF((E270="v"),H270," ")</f>
        <v> </v>
      </c>
      <c r="AD270" s="46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46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46" t="str">
        <f aca="false">IF((E271="v"),H271," ")</f>
        <v> </v>
      </c>
      <c r="AD271" s="46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46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46" t="str">
        <f aca="false">IF((E272="v"),H272," ")</f>
        <v> </v>
      </c>
      <c r="AD272" s="46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46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46" t="str">
        <f aca="false">IF((E273="v"),H273," ")</f>
        <v> </v>
      </c>
      <c r="AD273" s="46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46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46" t="str">
        <f aca="false">IF((E274="v"),H274," ")</f>
        <v> </v>
      </c>
      <c r="AD274" s="46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46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46" t="str">
        <f aca="false">IF((E275="v"),H275," ")</f>
        <v> </v>
      </c>
      <c r="AD275" s="46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46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46" t="str">
        <f aca="false">IF((E276="v"),H276," ")</f>
        <v> </v>
      </c>
      <c r="AD276" s="46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46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46" t="str">
        <f aca="false">IF((E277="v"),H277," ")</f>
        <v> </v>
      </c>
      <c r="AD277" s="46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46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46" t="str">
        <f aca="false">IF((E278="v"),H278," ")</f>
        <v> </v>
      </c>
      <c r="AD278" s="46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46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46" t="str">
        <f aca="false">IF((E279="v"),H279," ")</f>
        <v> </v>
      </c>
      <c r="AD279" s="46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46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46" t="str">
        <f aca="false">IF((E280="v"),H280," ")</f>
        <v> </v>
      </c>
      <c r="AD280" s="46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46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46" t="str">
        <f aca="false">IF((E281="v"),H281," ")</f>
        <v> </v>
      </c>
      <c r="AD281" s="46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46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46" t="str">
        <f aca="false">IF((E282="v"),H282," ")</f>
        <v> </v>
      </c>
      <c r="AD282" s="46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46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46" t="str">
        <f aca="false">IF((E283="v"),H283," ")</f>
        <v> </v>
      </c>
      <c r="AD283" s="46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46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46" t="str">
        <f aca="false">IF((E284="v"),H284," ")</f>
        <v> </v>
      </c>
      <c r="AD284" s="46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46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46" t="str">
        <f aca="false">IF((E285="v"),H285," ")</f>
        <v> </v>
      </c>
      <c r="AD285" s="46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46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46" t="str">
        <f aca="false">IF((E286="v"),H286," ")</f>
        <v> </v>
      </c>
      <c r="AD286" s="46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46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46" t="str">
        <f aca="false">IF((E287="v"),H287," ")</f>
        <v> </v>
      </c>
      <c r="AD287" s="46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46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46" t="str">
        <f aca="false">IF((E288="v"),H288," ")</f>
        <v> </v>
      </c>
      <c r="AD288" s="46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46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46" t="str">
        <f aca="false">IF((E289="v"),H289," ")</f>
        <v> </v>
      </c>
      <c r="AD289" s="46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46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46" t="str">
        <f aca="false">IF((E290="v"),H290," ")</f>
        <v> </v>
      </c>
      <c r="AD290" s="46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46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46" t="str">
        <f aca="false">IF((E291="v"),H291," ")</f>
        <v> </v>
      </c>
      <c r="AD291" s="46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46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46" t="str">
        <f aca="false">IF((E292="v"),H292," ")</f>
        <v> </v>
      </c>
      <c r="AD292" s="46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46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46" t="str">
        <f aca="false">IF((E293="v"),H293," ")</f>
        <v> </v>
      </c>
      <c r="AD293" s="46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46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46" t="str">
        <f aca="false">IF((E294="v"),H294," ")</f>
        <v> </v>
      </c>
      <c r="AD294" s="46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46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46" t="str">
        <f aca="false">IF((E295="v"),H295," ")</f>
        <v> </v>
      </c>
      <c r="AD295" s="46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46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46" t="str">
        <f aca="false">IF((E296="v"),H296," ")</f>
        <v> </v>
      </c>
      <c r="AD296" s="46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46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46" t="str">
        <f aca="false">IF((E297="v"),H297," ")</f>
        <v> </v>
      </c>
      <c r="AD297" s="46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46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46" t="str">
        <f aca="false">IF((E298="v"),H298," ")</f>
        <v> </v>
      </c>
      <c r="AD298" s="46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46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46" t="str">
        <f aca="false">IF((E299="v"),H299," ")</f>
        <v> </v>
      </c>
      <c r="AD299" s="46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</row>
    <row r="300" customFormat="false" ht="12" hidden="false" customHeight="false" outlineLevel="0" collapsed="false">
      <c r="A300" s="31"/>
      <c r="B300" s="32"/>
      <c r="C300" s="33"/>
      <c r="D300" s="32"/>
      <c r="E300" s="47" t="str">
        <f aca="false">IF((F300&lt;&gt;0),"Enter Letter"," ")</f>
        <v> </v>
      </c>
      <c r="F300" s="48"/>
      <c r="G300" s="35" t="str">
        <f aca="false">IF(F300&lt;&gt;0,F300*G$2/(100+G$2)," ")</f>
        <v> </v>
      </c>
      <c r="H300" s="35" t="str">
        <f aca="false">IF((F300&lt;&gt;0),F300-G300," ")</f>
        <v> </v>
      </c>
      <c r="I300" s="49"/>
      <c r="J300" s="35"/>
      <c r="K300" s="35"/>
      <c r="L300" s="36" t="str">
        <f aca="false">IF(F300&lt;&gt;0,F300-K300," ")</f>
        <v> </v>
      </c>
      <c r="M300" s="37" t="str">
        <f aca="false">IF((F300-K300)&lt;&gt;0,M$1-A300," ")</f>
        <v> </v>
      </c>
      <c r="N300" s="49"/>
      <c r="O300" s="50" t="str">
        <f aca="false">IF((E300="s"),H300," ")</f>
        <v> </v>
      </c>
      <c r="P300" s="50" t="str">
        <f aca="false">IF((E300="c"),H300," ")</f>
        <v> </v>
      </c>
      <c r="Q300" s="50" t="str">
        <f aca="false">IF((E300="o"),H300," ")</f>
        <v> </v>
      </c>
      <c r="R300" s="50" t="str">
        <f aca="false">IF((E300="d"),H300," ")</f>
        <v> </v>
      </c>
      <c r="S300" s="50" t="str">
        <f aca="false">IF((E300="w"),H300," ")</f>
        <v> </v>
      </c>
      <c r="T300" s="50" t="str">
        <f aca="false">IF((E300="r"),H300," ")</f>
        <v> </v>
      </c>
      <c r="U300" s="50" t="str">
        <f aca="false">IF((E300="p"),H300," ")</f>
        <v> </v>
      </c>
      <c r="V300" s="50" t="str">
        <f aca="false">IF((E300="t"),H300," ")</f>
        <v> </v>
      </c>
      <c r="W300" s="50" t="str">
        <f aca="false">IF((E300="q"),H300," ")</f>
        <v> </v>
      </c>
      <c r="X300" s="50" t="str">
        <f aca="false">IF((E300="m"),H300," ")</f>
        <v> </v>
      </c>
      <c r="Y300" s="50" t="str">
        <f aca="false">IF((E300="u"),H300," ")</f>
        <v> </v>
      </c>
      <c r="Z300" s="50" t="str">
        <f aca="false">IF((E300="a"),H300," ")</f>
        <v> </v>
      </c>
      <c r="AA300" s="50" t="str">
        <f aca="false">IF((E300="g"),H300," ")</f>
        <v> </v>
      </c>
      <c r="AB300" s="50" t="str">
        <f aca="false">IF((E300="h"),H300," ")</f>
        <v> </v>
      </c>
      <c r="AC300" s="48" t="str">
        <f aca="false">IF((E300="v"),H300," ")</f>
        <v> </v>
      </c>
      <c r="AD300" s="48" t="str">
        <f aca="false">IF((E300="n"),H300," ")</f>
        <v> </v>
      </c>
      <c r="AE300" s="50" t="str">
        <f aca="false">IF((E300="f"),H300," ")</f>
        <v> </v>
      </c>
      <c r="AF300" s="50" t="str">
        <f aca="false">IF((E300="l"),H300," ")</f>
        <v> </v>
      </c>
      <c r="AG300" s="50" t="str">
        <f aca="false">IF((E300="y"),H300," ")</f>
        <v> </v>
      </c>
      <c r="AH300" s="50" t="str">
        <f aca="false">IF((E300="z"),H300," ")</f>
        <v> </v>
      </c>
      <c r="AI300" s="50" t="str">
        <f aca="false">IF((E300="fa"),H300," ")</f>
        <v> </v>
      </c>
      <c r="AJ300" s="50"/>
      <c r="AK300" s="50"/>
      <c r="AL300" s="50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8" width="10.5"/>
    <col collapsed="false" customWidth="true" hidden="false" outlineLevel="0" max="35" min="31" style="17" width="10.5"/>
    <col collapsed="false" customWidth="true" hidden="false" outlineLevel="0" max="36" min="36" style="17" width="0.82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s="17" customFormat="true" ht="12.75" hidden="false" customHeight="true" outlineLevel="0" collapsed="false">
      <c r="A1" s="39" t="n">
        <f aca="false">F1-G1-SUM(O1:AI1)</f>
        <v>0</v>
      </c>
      <c r="B1" s="40" t="s">
        <v>22</v>
      </c>
      <c r="C1" s="20" t="s">
        <v>5</v>
      </c>
      <c r="D1" s="41" t="s">
        <v>23</v>
      </c>
      <c r="E1" s="41"/>
      <c r="F1" s="12" t="n">
        <f aca="false">SUM(F5:F300)</f>
        <v>3984.5</v>
      </c>
      <c r="G1" s="12" t="n">
        <f aca="false">SUM(G5:G300)</f>
        <v>0</v>
      </c>
      <c r="H1" s="12" t="n">
        <f aca="false">SUM(H5:H300)</f>
        <v>3984.5</v>
      </c>
      <c r="I1" s="13"/>
      <c r="J1" s="14" t="s">
        <v>2</v>
      </c>
      <c r="K1" s="15" t="n">
        <f aca="false">SUM(K5:K300)</f>
        <v>0</v>
      </c>
      <c r="L1" s="15" t="n">
        <f aca="false">SUM(L5:L300)</f>
        <v>3984.5</v>
      </c>
      <c r="M1" s="16" t="n">
        <f aca="true">TODAY()</f>
        <v>46137</v>
      </c>
      <c r="N1" s="13"/>
      <c r="O1" s="12" t="n">
        <f aca="false">SUM(O5:O300)</f>
        <v>480</v>
      </c>
      <c r="P1" s="12" t="n">
        <f aca="false">SUM(P5:P300)</f>
        <v>0</v>
      </c>
      <c r="Q1" s="12" t="n">
        <f aca="false">SUM(Q5:Q300)</f>
        <v>285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1200</v>
      </c>
      <c r="U1" s="12" t="n">
        <f aca="false">SUM(U5:U300)</f>
        <v>420</v>
      </c>
      <c r="V1" s="12" t="n">
        <f aca="false">SUM(V5:V300)</f>
        <v>0</v>
      </c>
      <c r="W1" s="12" t="n">
        <f aca="false">SUM(W5:W300)</f>
        <v>0</v>
      </c>
      <c r="X1" s="12" t="n">
        <f aca="false">SUM(X5:X300)</f>
        <v>0</v>
      </c>
      <c r="Y1" s="12" t="n">
        <f aca="false">SUM(Y5:Y300)</f>
        <v>139</v>
      </c>
      <c r="Z1" s="12" t="n">
        <f aca="false">SUM(Z5:Z300)</f>
        <v>0</v>
      </c>
      <c r="AA1" s="12" t="n">
        <f aca="false">SUM(AA5:AA300)</f>
        <v>255</v>
      </c>
      <c r="AB1" s="12" t="n">
        <f aca="false">SUM(AB5:AB300)</f>
        <v>92</v>
      </c>
      <c r="AC1" s="12" t="n">
        <f aca="false">SUM(AC5:AC300)</f>
        <v>613.5</v>
      </c>
      <c r="AD1" s="12" t="n">
        <f aca="false">SUM(AD5:AD300)</f>
        <v>0</v>
      </c>
      <c r="AE1" s="12" t="n">
        <f aca="false">SUM(AE5:AE300)</f>
        <v>0</v>
      </c>
      <c r="AF1" s="12" t="n">
        <f aca="false">SUM(AF5:AF300)</f>
        <v>0</v>
      </c>
      <c r="AG1" s="12" t="n">
        <f aca="false">SUM(AG5:AG300)</f>
        <v>500</v>
      </c>
      <c r="AH1" s="12" t="n">
        <f aca="false">SUM(AH5:AH300)</f>
        <v>0</v>
      </c>
      <c r="AI1" s="12" t="n">
        <f aca="false">SUM(AI5:AI300)</f>
        <v>0</v>
      </c>
      <c r="AJ1" s="42"/>
      <c r="AK1" s="12" t="n">
        <f aca="false">SUM(AK5:AK300)</f>
        <v>0</v>
      </c>
      <c r="AL1" s="43"/>
    </row>
    <row r="2" s="17" customFormat="tru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IF([2]Feb!$G$4&gt;0,0,[2]Feb!$G$2)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42"/>
      <c r="AK2" s="19" t="s">
        <v>43</v>
      </c>
      <c r="AL2" s="19"/>
    </row>
    <row r="3" s="26" customFormat="tru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44</v>
      </c>
      <c r="P3" s="21" t="s">
        <v>45</v>
      </c>
      <c r="Q3" s="21" t="s">
        <v>46</v>
      </c>
      <c r="R3" s="19"/>
      <c r="S3" s="19"/>
      <c r="T3" s="21" t="s">
        <v>47</v>
      </c>
      <c r="U3" s="21" t="s">
        <v>48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42"/>
      <c r="AK3" s="19" t="s">
        <v>49</v>
      </c>
      <c r="AL3" s="19"/>
    </row>
    <row r="4" s="27" customFormat="tru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50</v>
      </c>
      <c r="P4" s="44" t="s">
        <v>51</v>
      </c>
      <c r="Q4" s="44" t="s">
        <v>52</v>
      </c>
      <c r="R4" s="44" t="s">
        <v>53</v>
      </c>
      <c r="S4" s="44" t="s">
        <v>54</v>
      </c>
      <c r="T4" s="44" t="s">
        <v>55</v>
      </c>
      <c r="U4" s="44" t="s">
        <v>56</v>
      </c>
      <c r="V4" s="44" t="s">
        <v>57</v>
      </c>
      <c r="W4" s="44" t="s">
        <v>58</v>
      </c>
      <c r="X4" s="44" t="s">
        <v>59</v>
      </c>
      <c r="Y4" s="44" t="s">
        <v>60</v>
      </c>
      <c r="Z4" s="44" t="s">
        <v>61</v>
      </c>
      <c r="AA4" s="44" t="s">
        <v>62</v>
      </c>
      <c r="AB4" s="44" t="s">
        <v>63</v>
      </c>
      <c r="AC4" s="45" t="s">
        <v>64</v>
      </c>
      <c r="AD4" s="45" t="s">
        <v>65</v>
      </c>
      <c r="AE4" s="44" t="s">
        <v>66</v>
      </c>
      <c r="AF4" s="44" t="s">
        <v>67</v>
      </c>
      <c r="AG4" s="44" t="s">
        <v>68</v>
      </c>
      <c r="AH4" s="44" t="s">
        <v>69</v>
      </c>
      <c r="AI4" s="44" t="s">
        <v>70</v>
      </c>
      <c r="AJ4" s="42"/>
      <c r="AK4" s="19" t="s">
        <v>71</v>
      </c>
      <c r="AL4" s="19" t="s">
        <v>72</v>
      </c>
    </row>
    <row r="5" s="5" customFormat="true" ht="12" hidden="false" customHeight="false" outlineLevel="0" collapsed="false">
      <c r="A5" s="28" t="n">
        <v>46054</v>
      </c>
      <c r="B5" s="5" t="s">
        <v>14</v>
      </c>
      <c r="E5" s="5" t="s">
        <v>73</v>
      </c>
      <c r="F5" s="46" t="n">
        <v>1200</v>
      </c>
      <c r="H5" s="6" t="n">
        <f aca="false">IF((F5&lt;&gt;0),F5-G5," ")</f>
        <v>1200</v>
      </c>
      <c r="J5" s="6"/>
      <c r="K5" s="6"/>
      <c r="L5" s="7" t="n">
        <f aca="false">IF(F5&lt;&gt;0,F5-K5," ")</f>
        <v>1200</v>
      </c>
      <c r="M5" s="8" t="n">
        <f aca="false">IF((F5-K5)&lt;&gt;0,M$1-A5," ")</f>
        <v>83</v>
      </c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1200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46" t="str">
        <f aca="false">IF((E5="v"),H5," ")</f>
        <v> </v>
      </c>
      <c r="AD5" s="46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/>
      <c r="AK5" s="17"/>
      <c r="AL5" s="17"/>
    </row>
    <row r="6" customFormat="false" ht="12" hidden="false" customHeight="false" outlineLevel="0" collapsed="false">
      <c r="A6" s="28" t="n">
        <v>46054</v>
      </c>
      <c r="B6" s="2" t="s">
        <v>74</v>
      </c>
      <c r="E6" s="5" t="s">
        <v>75</v>
      </c>
      <c r="F6" s="46" t="n">
        <v>30</v>
      </c>
      <c r="H6" s="6" t="n">
        <f aca="false">IF((F6&lt;&gt;0),F6-G6," ")</f>
        <v>30</v>
      </c>
      <c r="I6" s="5"/>
      <c r="L6" s="7" t="n">
        <f aca="false">IF(F6&lt;&gt;0,F6-K6," ")</f>
        <v>30</v>
      </c>
      <c r="M6" s="8" t="n">
        <f aca="false">IF((F6-K6)&lt;&gt;0,M$1-A6," ")</f>
        <v>83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30</v>
      </c>
      <c r="AB6" s="17" t="str">
        <f aca="false">IF((E6="h"),H6," ")</f>
        <v> </v>
      </c>
      <c r="AC6" s="46" t="str">
        <f aca="false">IF((E6="v"),H6," ")</f>
        <v> </v>
      </c>
      <c r="AD6" s="46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</row>
    <row r="7" customFormat="false" ht="12" hidden="false" customHeight="false" outlineLevel="0" collapsed="false">
      <c r="A7" s="28" t="n">
        <v>46054</v>
      </c>
      <c r="B7" s="2" t="s">
        <v>76</v>
      </c>
      <c r="E7" s="5" t="s">
        <v>75</v>
      </c>
      <c r="F7" s="46" t="n">
        <v>15</v>
      </c>
      <c r="H7" s="6" t="n">
        <f aca="false">IF((F7&lt;&gt;0),F7-G7," ")</f>
        <v>15</v>
      </c>
      <c r="I7" s="5"/>
      <c r="L7" s="7" t="n">
        <f aca="false">IF(F7&lt;&gt;0,F7-K7," ")</f>
        <v>15</v>
      </c>
      <c r="M7" s="8" t="n">
        <f aca="false">IF((F7-K7)&lt;&gt;0,M$1-A7," ")</f>
        <v>83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15</v>
      </c>
      <c r="AB7" s="17" t="str">
        <f aca="false">IF((E7="h"),H7," ")</f>
        <v> </v>
      </c>
      <c r="AC7" s="46" t="str">
        <f aca="false">IF((E7="v"),H7," ")</f>
        <v> </v>
      </c>
      <c r="AD7" s="46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</row>
    <row r="8" customFormat="false" ht="12" hidden="false" customHeight="false" outlineLevel="0" collapsed="false">
      <c r="A8" s="28" t="n">
        <v>46054</v>
      </c>
      <c r="B8" s="2" t="s">
        <v>77</v>
      </c>
      <c r="E8" s="5" t="s">
        <v>78</v>
      </c>
      <c r="F8" s="46" t="n">
        <v>45</v>
      </c>
      <c r="H8" s="6" t="n">
        <f aca="false">IF((F8&lt;&gt;0),F8-G8," ")</f>
        <v>45</v>
      </c>
      <c r="I8" s="5"/>
      <c r="L8" s="7" t="n">
        <f aca="false">IF(F8&lt;&gt;0,F8-K8," ")</f>
        <v>45</v>
      </c>
      <c r="M8" s="8" t="n">
        <f aca="false">IF((F8-K8)&lt;&gt;0,M$1-A8," ")</f>
        <v>83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45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46" t="str">
        <f aca="false">IF((E8="v"),H8," ")</f>
        <v> </v>
      </c>
      <c r="AD8" s="46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</row>
    <row r="9" customFormat="false" ht="12" hidden="false" customHeight="false" outlineLevel="0" collapsed="false">
      <c r="A9" s="28" t="n">
        <v>46054</v>
      </c>
      <c r="B9" s="2" t="s">
        <v>81</v>
      </c>
      <c r="E9" s="5" t="s">
        <v>78</v>
      </c>
      <c r="F9" s="46" t="n">
        <v>24</v>
      </c>
      <c r="H9" s="6" t="n">
        <f aca="false">IF((F9&lt;&gt;0),F9-G9," ")</f>
        <v>24</v>
      </c>
      <c r="I9" s="5"/>
      <c r="L9" s="7" t="n">
        <f aca="false">IF(F9&lt;&gt;0,F9-K9," ")</f>
        <v>24</v>
      </c>
      <c r="M9" s="8" t="n">
        <f aca="false">IF((F9-K9)&lt;&gt;0,M$1-A9," ")</f>
        <v>83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n">
        <f aca="false">IF((E9="o"),H9," ")</f>
        <v>24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46" t="str">
        <f aca="false">IF((E9="v"),H9," ")</f>
        <v> </v>
      </c>
      <c r="AD9" s="46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</row>
    <row r="10" customFormat="false" ht="12" hidden="false" customHeight="false" outlineLevel="0" collapsed="false">
      <c r="A10" s="28" t="n">
        <v>46054</v>
      </c>
      <c r="B10" s="2" t="s">
        <v>82</v>
      </c>
      <c r="E10" s="5" t="s">
        <v>75</v>
      </c>
      <c r="F10" s="46" t="n">
        <v>18</v>
      </c>
      <c r="H10" s="6" t="n">
        <f aca="false">IF((F10&lt;&gt;0),F10-G10," ")</f>
        <v>18</v>
      </c>
      <c r="I10" s="5"/>
      <c r="L10" s="7" t="n">
        <f aca="false">IF(F10&lt;&gt;0,F10-K10," ")</f>
        <v>18</v>
      </c>
      <c r="M10" s="8" t="n">
        <f aca="false">IF((F10-K10)&lt;&gt;0,M$1-A10," ")</f>
        <v>83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str">
        <f aca="false">IF((E10="o"),H10," ")</f>
        <v> 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n">
        <f aca="false">IF((E10="g"),H10," ")</f>
        <v>18</v>
      </c>
      <c r="AB10" s="17" t="str">
        <f aca="false">IF((E10="h"),H10," ")</f>
        <v> </v>
      </c>
      <c r="AC10" s="46" t="str">
        <f aca="false">IF((E10="v"),H10," ")</f>
        <v> </v>
      </c>
      <c r="AD10" s="46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</row>
    <row r="11" customFormat="false" ht="12" hidden="false" customHeight="false" outlineLevel="0" collapsed="false">
      <c r="A11" s="28" t="n">
        <v>46056</v>
      </c>
      <c r="B11" s="2" t="s">
        <v>83</v>
      </c>
      <c r="E11" s="5" t="s">
        <v>78</v>
      </c>
      <c r="F11" s="46" t="n">
        <v>180</v>
      </c>
      <c r="H11" s="6" t="n">
        <f aca="false">IF((F11&lt;&gt;0),F11-G11," ")</f>
        <v>180</v>
      </c>
      <c r="I11" s="5"/>
      <c r="L11" s="7" t="n">
        <f aca="false">IF(F11&lt;&gt;0,F11-K11," ")</f>
        <v>180</v>
      </c>
      <c r="M11" s="8" t="n">
        <f aca="false">IF((F11-K11)&lt;&gt;0,M$1-A11," ")</f>
        <v>81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n">
        <f aca="false">IF((E11="o"),H11," ")</f>
        <v>180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str">
        <f aca="false">IF((E11="g"),H11," ")</f>
        <v> </v>
      </c>
      <c r="AB11" s="17" t="str">
        <f aca="false">IF((E11="h"),H11," ")</f>
        <v> </v>
      </c>
      <c r="AC11" s="46" t="str">
        <f aca="false">IF((E11="v"),H11," ")</f>
        <v> </v>
      </c>
      <c r="AD11" s="46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</row>
    <row r="12" customFormat="false" ht="12" hidden="false" customHeight="false" outlineLevel="0" collapsed="false">
      <c r="A12" s="28" t="n">
        <v>46056</v>
      </c>
      <c r="B12" s="2" t="s">
        <v>84</v>
      </c>
      <c r="E12" s="5" t="s">
        <v>85</v>
      </c>
      <c r="F12" s="46" t="n">
        <v>22</v>
      </c>
      <c r="H12" s="6" t="n">
        <f aca="false">IF((F12&lt;&gt;0),F12-G12," ")</f>
        <v>22</v>
      </c>
      <c r="I12" s="5"/>
      <c r="L12" s="7" t="n">
        <f aca="false">IF(F12&lt;&gt;0,F12-K12," ")</f>
        <v>22</v>
      </c>
      <c r="M12" s="8" t="n">
        <f aca="false">IF((F12-K12)&lt;&gt;0,M$1-A12," ")</f>
        <v>81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str">
        <f aca="false">IF((E12="o"),H12," ")</f>
        <v> 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n">
        <f aca="false">IF((E12="u"),H12," ")</f>
        <v>22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46" t="str">
        <f aca="false">IF((E12="v"),H12," ")</f>
        <v> </v>
      </c>
      <c r="AD12" s="46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</row>
    <row r="13" customFormat="false" ht="12" hidden="false" customHeight="false" outlineLevel="0" collapsed="false">
      <c r="A13" s="28" t="n">
        <v>46058</v>
      </c>
      <c r="B13" s="2" t="s">
        <v>86</v>
      </c>
      <c r="E13" s="5" t="s">
        <v>85</v>
      </c>
      <c r="F13" s="46" t="n">
        <v>24</v>
      </c>
      <c r="H13" s="6" t="n">
        <f aca="false">IF((F13&lt;&gt;0),F13-G13," ")</f>
        <v>24</v>
      </c>
      <c r="I13" s="5"/>
      <c r="L13" s="7" t="n">
        <f aca="false">IF(F13&lt;&gt;0,F13-K13," ")</f>
        <v>24</v>
      </c>
      <c r="M13" s="8" t="n">
        <f aca="false">IF((F13-K13)&lt;&gt;0,M$1-A13," ")</f>
        <v>79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24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46" t="str">
        <f aca="false">IF((E13="v"),H13," ")</f>
        <v> </v>
      </c>
      <c r="AD13" s="46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</row>
    <row r="14" customFormat="false" ht="12" hidden="false" customHeight="false" outlineLevel="0" collapsed="false">
      <c r="A14" s="28" t="n">
        <v>46058</v>
      </c>
      <c r="B14" s="2" t="s">
        <v>87</v>
      </c>
      <c r="E14" s="5" t="s">
        <v>88</v>
      </c>
      <c r="F14" s="46" t="n">
        <v>180</v>
      </c>
      <c r="H14" s="6" t="n">
        <f aca="false">IF((F14&lt;&gt;0),F14-G14," ")</f>
        <v>180</v>
      </c>
      <c r="I14" s="5"/>
      <c r="L14" s="7" t="n">
        <f aca="false">IF(F14&lt;&gt;0,F14-K14," ")</f>
        <v>180</v>
      </c>
      <c r="M14" s="8" t="n">
        <f aca="false">IF((F14-K14)&lt;&gt;0,M$1-A14," ")</f>
        <v>79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str">
        <f aca="false">IF((E14="u"),H14," ")</f>
        <v> 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46" t="n">
        <f aca="false">IF((E14="v"),H14," ")</f>
        <v>180</v>
      </c>
      <c r="AD14" s="46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</row>
    <row r="15" customFormat="false" ht="12" hidden="false" customHeight="false" outlineLevel="0" collapsed="false">
      <c r="A15" s="28" t="n">
        <v>46058</v>
      </c>
      <c r="B15" s="2" t="s">
        <v>89</v>
      </c>
      <c r="E15" s="5" t="s">
        <v>78</v>
      </c>
      <c r="F15" s="46" t="n">
        <v>36</v>
      </c>
      <c r="H15" s="6" t="n">
        <f aca="false">IF((F15&lt;&gt;0),F15-G15," ")</f>
        <v>36</v>
      </c>
      <c r="I15" s="5"/>
      <c r="L15" s="7" t="n">
        <f aca="false">IF(F15&lt;&gt;0,F15-K15," ")</f>
        <v>36</v>
      </c>
      <c r="M15" s="8" t="n">
        <f aca="false">IF((F15-K15)&lt;&gt;0,M$1-A15," ")</f>
        <v>79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n">
        <f aca="false">IF((E15="o"),H15," ")</f>
        <v>36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str">
        <f aca="false">IF((E15="h"),H15," ")</f>
        <v> </v>
      </c>
      <c r="AC15" s="46" t="str">
        <f aca="false">IF((E15="v"),H15," ")</f>
        <v> </v>
      </c>
      <c r="AD15" s="46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</row>
    <row r="16" customFormat="false" ht="12" hidden="false" customHeight="false" outlineLevel="0" collapsed="false">
      <c r="A16" s="28" t="n">
        <v>46061</v>
      </c>
      <c r="B16" s="2" t="s">
        <v>90</v>
      </c>
      <c r="E16" s="5" t="s">
        <v>91</v>
      </c>
      <c r="F16" s="46" t="n">
        <v>48</v>
      </c>
      <c r="H16" s="6" t="n">
        <f aca="false">IF((F16&lt;&gt;0),F16-G16," ")</f>
        <v>48</v>
      </c>
      <c r="I16" s="5"/>
      <c r="L16" s="7" t="n">
        <f aca="false">IF(F16&lt;&gt;0,F16-K16," ")</f>
        <v>48</v>
      </c>
      <c r="M16" s="8" t="n">
        <f aca="false">IF((F16-K16)&lt;&gt;0,M$1-A16," ")</f>
        <v>76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n">
        <f aca="false">IF((E16="h"),H16," ")</f>
        <v>48</v>
      </c>
      <c r="AC16" s="46" t="str">
        <f aca="false">IF((E16="v"),H16," ")</f>
        <v> </v>
      </c>
      <c r="AD16" s="46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</row>
    <row r="17" customFormat="false" ht="12" hidden="false" customHeight="false" outlineLevel="0" collapsed="false">
      <c r="A17" s="28" t="n">
        <v>46063</v>
      </c>
      <c r="B17" s="2" t="s">
        <v>92</v>
      </c>
      <c r="E17" s="5" t="s">
        <v>85</v>
      </c>
      <c r="F17" s="46" t="n">
        <v>36</v>
      </c>
      <c r="H17" s="6" t="n">
        <f aca="false">IF((F17&lt;&gt;0),F17-G17," ")</f>
        <v>36</v>
      </c>
      <c r="I17" s="5"/>
      <c r="L17" s="7" t="n">
        <f aca="false">IF(F17&lt;&gt;0,F17-K17," ")</f>
        <v>36</v>
      </c>
      <c r="M17" s="8" t="n">
        <f aca="false">IF((F17-K17)&lt;&gt;0,M$1-A17," ")</f>
        <v>74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n">
        <f aca="false">IF((E17="u"),H17," ")</f>
        <v>36</v>
      </c>
      <c r="Z17" s="17" t="str">
        <f aca="false">IF((E17="a"),H17," ")</f>
        <v> </v>
      </c>
      <c r="AA17" s="17" t="str">
        <f aca="false">IF((E17="g"),H17," ")</f>
        <v> </v>
      </c>
      <c r="AB17" s="17" t="str">
        <f aca="false">IF((E17="h"),H17," ")</f>
        <v> </v>
      </c>
      <c r="AC17" s="46" t="str">
        <f aca="false">IF((E17="v"),H17," ")</f>
        <v> </v>
      </c>
      <c r="AD17" s="46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</row>
    <row r="18" customFormat="false" ht="12" hidden="false" customHeight="false" outlineLevel="0" collapsed="false">
      <c r="A18" s="28" t="n">
        <v>46063</v>
      </c>
      <c r="B18" s="2" t="s">
        <v>124</v>
      </c>
      <c r="E18" s="5" t="s">
        <v>75</v>
      </c>
      <c r="F18" s="46" t="n">
        <v>120</v>
      </c>
      <c r="H18" s="6" t="n">
        <f aca="false">IF((F18&lt;&gt;0),F18-G18," ")</f>
        <v>120</v>
      </c>
      <c r="I18" s="5"/>
      <c r="L18" s="7" t="n">
        <f aca="false">IF(F18&lt;&gt;0,F18-K18," ")</f>
        <v>120</v>
      </c>
      <c r="M18" s="8" t="n">
        <f aca="false">IF((F18-K18)&lt;&gt;0,M$1-A18," ")</f>
        <v>74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str">
        <f aca="false">IF((E18="u"),H18," ")</f>
        <v> </v>
      </c>
      <c r="Z18" s="17" t="str">
        <f aca="false">IF((E18="a"),H18," ")</f>
        <v> </v>
      </c>
      <c r="AA18" s="17" t="n">
        <f aca="false">IF((E18="g"),H18," ")</f>
        <v>120</v>
      </c>
      <c r="AB18" s="17" t="str">
        <f aca="false">IF((E18="h"),H18," ")</f>
        <v> </v>
      </c>
      <c r="AC18" s="46" t="str">
        <f aca="false">IF((E18="v"),H18," ")</f>
        <v> </v>
      </c>
      <c r="AD18" s="46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</row>
    <row r="19" customFormat="false" ht="12" hidden="false" customHeight="false" outlineLevel="0" collapsed="false">
      <c r="A19" s="28" t="n">
        <v>46065</v>
      </c>
      <c r="B19" s="2" t="s">
        <v>97</v>
      </c>
      <c r="E19" s="5" t="s">
        <v>88</v>
      </c>
      <c r="F19" s="46" t="n">
        <v>18</v>
      </c>
      <c r="H19" s="6" t="n">
        <f aca="false">IF((F19&lt;&gt;0),F19-G19," ")</f>
        <v>18</v>
      </c>
      <c r="I19" s="5"/>
      <c r="L19" s="7" t="n">
        <f aca="false">IF(F19&lt;&gt;0,F19-K19," ")</f>
        <v>18</v>
      </c>
      <c r="M19" s="8" t="n">
        <f aca="false">IF((F19-K19)&lt;&gt;0,M$1-A19," ")</f>
        <v>72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str">
        <f aca="false">IF((E19="h"),H19," ")</f>
        <v> </v>
      </c>
      <c r="AC19" s="46" t="n">
        <f aca="false">IF((E19="v"),H19," ")</f>
        <v>18</v>
      </c>
      <c r="AD19" s="46" t="str">
        <f aca="false">IF((E19="n"),H19," ")</f>
        <v> </v>
      </c>
      <c r="AE19" s="17" t="str">
        <f aca="false">IF((E19="f"),H19," ")</f>
        <v> 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</row>
    <row r="20" customFormat="false" ht="12" hidden="false" customHeight="false" outlineLevel="0" collapsed="false">
      <c r="A20" s="28" t="n">
        <v>46067</v>
      </c>
      <c r="B20" s="2" t="s">
        <v>98</v>
      </c>
      <c r="E20" s="5" t="s">
        <v>85</v>
      </c>
      <c r="F20" s="46" t="n">
        <v>24</v>
      </c>
      <c r="H20" s="6" t="n">
        <f aca="false">IF((F20&lt;&gt;0),F20-G20," ")</f>
        <v>24</v>
      </c>
      <c r="I20" s="5"/>
      <c r="L20" s="7" t="n">
        <f aca="false">IF(F20&lt;&gt;0,F20-K20," ")</f>
        <v>24</v>
      </c>
      <c r="M20" s="8" t="n">
        <f aca="false">IF((F20-K20)&lt;&gt;0,M$1-A20," ")</f>
        <v>70</v>
      </c>
      <c r="N20" s="5"/>
      <c r="O20" s="17" t="str">
        <f aca="false">IF((E20="s"),H20," ")</f>
        <v> 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n">
        <f aca="false">IF((E20="u"),H20," ")</f>
        <v>24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46" t="str">
        <f aca="false">IF((E20="v"),H20," ")</f>
        <v> </v>
      </c>
      <c r="AD20" s="46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</row>
    <row r="21" customFormat="false" ht="12" hidden="false" customHeight="false" outlineLevel="0" collapsed="false">
      <c r="A21" s="28" t="n">
        <v>46067</v>
      </c>
      <c r="B21" s="2" t="s">
        <v>99</v>
      </c>
      <c r="E21" s="5" t="s">
        <v>91</v>
      </c>
      <c r="F21" s="46" t="n">
        <v>24</v>
      </c>
      <c r="H21" s="6" t="n">
        <f aca="false">IF((F21&lt;&gt;0),F21-G21," ")</f>
        <v>24</v>
      </c>
      <c r="I21" s="5"/>
      <c r="L21" s="7" t="n">
        <f aca="false">IF(F21&lt;&gt;0,F21-K21," ")</f>
        <v>24</v>
      </c>
      <c r="M21" s="8" t="n">
        <f aca="false">IF((F21-K21)&lt;&gt;0,M$1-A21," ")</f>
        <v>70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n">
        <f aca="false">IF((E21="h"),H21," ")</f>
        <v>24</v>
      </c>
      <c r="AC21" s="46" t="str">
        <f aca="false">IF((E21="v"),H21," ")</f>
        <v> </v>
      </c>
      <c r="AD21" s="46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</row>
    <row r="22" customFormat="false" ht="12" hidden="false" customHeight="false" outlineLevel="0" collapsed="false">
      <c r="A22" s="28" t="n">
        <v>46067</v>
      </c>
      <c r="B22" s="2" t="s">
        <v>100</v>
      </c>
      <c r="E22" s="5" t="s">
        <v>91</v>
      </c>
      <c r="F22" s="46" t="n">
        <v>12</v>
      </c>
      <c r="H22" s="6" t="n">
        <f aca="false">IF((F22&lt;&gt;0),F22-G22," ")</f>
        <v>12</v>
      </c>
      <c r="I22" s="5"/>
      <c r="L22" s="7" t="n">
        <f aca="false">IF(F22&lt;&gt;0,F22-K22," ")</f>
        <v>12</v>
      </c>
      <c r="M22" s="8" t="n">
        <f aca="false">IF((F22-K22)&lt;&gt;0,M$1-A22," ")</f>
        <v>70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n">
        <f aca="false">IF((E22="h"),H22," ")</f>
        <v>12</v>
      </c>
      <c r="AC22" s="46" t="str">
        <f aca="false">IF((E22="v"),H22," ")</f>
        <v> </v>
      </c>
      <c r="AD22" s="46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</row>
    <row r="23" customFormat="false" ht="12" hidden="false" customHeight="false" outlineLevel="0" collapsed="false">
      <c r="A23" s="28" t="n">
        <v>46068</v>
      </c>
      <c r="B23" s="2" t="s">
        <v>20</v>
      </c>
      <c r="E23" s="5" t="s">
        <v>88</v>
      </c>
      <c r="F23" s="46" t="n">
        <v>150</v>
      </c>
      <c r="H23" s="6" t="n">
        <f aca="false">IF((F23&lt;&gt;0),F23-G23," ")</f>
        <v>150</v>
      </c>
      <c r="I23" s="5"/>
      <c r="L23" s="7" t="n">
        <f aca="false">IF(F23&lt;&gt;0,F23-K23," ")</f>
        <v>150</v>
      </c>
      <c r="M23" s="8" t="n">
        <f aca="false">IF((F23-K23)&lt;&gt;0,M$1-A23," ")</f>
        <v>69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str">
        <f aca="false">IF((E23="h"),H23," ")</f>
        <v> </v>
      </c>
      <c r="AC23" s="46" t="n">
        <f aca="false">IF((E23="v"),H23," ")</f>
        <v>150</v>
      </c>
      <c r="AD23" s="46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</row>
    <row r="24" customFormat="false" ht="12" hidden="false" customHeight="false" outlineLevel="0" collapsed="false">
      <c r="A24" s="28" t="n">
        <v>46068</v>
      </c>
      <c r="B24" s="2" t="s">
        <v>101</v>
      </c>
      <c r="E24" s="5" t="s">
        <v>75</v>
      </c>
      <c r="F24" s="46" t="n">
        <v>12</v>
      </c>
      <c r="H24" s="6" t="n">
        <f aca="false">IF((F24&lt;&gt;0),F24-G24," ")</f>
        <v>12</v>
      </c>
      <c r="I24" s="5"/>
      <c r="L24" s="7" t="n">
        <f aca="false">IF(F24&lt;&gt;0,F24-K24," ")</f>
        <v>12</v>
      </c>
      <c r="M24" s="8" t="n">
        <f aca="false">IF((F24-K24)&lt;&gt;0,M$1-A24," ")</f>
        <v>69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n">
        <f aca="false">IF((E24="g"),H24," ")</f>
        <v>12</v>
      </c>
      <c r="AB24" s="17" t="str">
        <f aca="false">IF((E24="h"),H24," ")</f>
        <v> </v>
      </c>
      <c r="AC24" s="46" t="str">
        <f aca="false">IF((E24="v"),H24," ")</f>
        <v> </v>
      </c>
      <c r="AD24" s="46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</row>
    <row r="25" customFormat="false" ht="12" hidden="false" customHeight="false" outlineLevel="0" collapsed="false">
      <c r="A25" s="28" t="n">
        <v>46068</v>
      </c>
      <c r="B25" s="2" t="s">
        <v>145</v>
      </c>
      <c r="E25" s="5" t="s">
        <v>146</v>
      </c>
      <c r="F25" s="46" t="n">
        <v>500</v>
      </c>
      <c r="H25" s="6" t="n">
        <f aca="false">IF((F25&lt;&gt;0),F25-G25," ")</f>
        <v>500</v>
      </c>
      <c r="I25" s="5"/>
      <c r="L25" s="7" t="n">
        <f aca="false">IF(F25&lt;&gt;0,F25-K25," ")</f>
        <v>500</v>
      </c>
      <c r="M25" s="8" t="n">
        <f aca="false">IF((F25-K25)&lt;&gt;0,M$1-A25," ")</f>
        <v>69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str">
        <f aca="false">IF((E25="g"),H25," ")</f>
        <v> </v>
      </c>
      <c r="AB25" s="17" t="str">
        <f aca="false">IF((E25="h"),H25," ")</f>
        <v> </v>
      </c>
      <c r="AC25" s="46" t="str">
        <f aca="false">IF((E25="v"),H25," ")</f>
        <v> </v>
      </c>
      <c r="AD25" s="46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n">
        <f aca="false">IF((E25="y"),H25," ")</f>
        <v>500</v>
      </c>
      <c r="AH25" s="17" t="str">
        <f aca="false">IF((E25="z"),H25," ")</f>
        <v> </v>
      </c>
      <c r="AI25" s="17" t="str">
        <f aca="false">IF((E25="fa"),H25," ")</f>
        <v> </v>
      </c>
    </row>
    <row r="26" customFormat="false" ht="12" hidden="false" customHeight="false" outlineLevel="0" collapsed="false">
      <c r="A26" s="28" t="n">
        <v>46071</v>
      </c>
      <c r="B26" s="2" t="s">
        <v>128</v>
      </c>
      <c r="E26" s="5" t="s">
        <v>96</v>
      </c>
      <c r="F26" s="46" t="n">
        <v>480</v>
      </c>
      <c r="H26" s="6" t="n">
        <f aca="false">IF((F26&lt;&gt;0),F26-G26," ")</f>
        <v>480</v>
      </c>
      <c r="I26" s="5"/>
      <c r="L26" s="7" t="n">
        <f aca="false">IF(F26&lt;&gt;0,F26-K26," ")</f>
        <v>480</v>
      </c>
      <c r="M26" s="8" t="n">
        <f aca="false">IF((F26-K26)&lt;&gt;0,M$1-A26," ")</f>
        <v>66</v>
      </c>
      <c r="N26" s="5"/>
      <c r="O26" s="17" t="n">
        <f aca="false">IF((E26="s"),H26," ")</f>
        <v>480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str">
        <f aca="false">IF((E26="g"),H26," ")</f>
        <v> </v>
      </c>
      <c r="AB26" s="17" t="str">
        <f aca="false">IF((E26="h"),H26," ")</f>
        <v> </v>
      </c>
      <c r="AC26" s="46" t="str">
        <f aca="false">IF((E26="v"),H26," ")</f>
        <v> </v>
      </c>
      <c r="AD26" s="46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</row>
    <row r="27" customFormat="false" ht="12" hidden="false" customHeight="false" outlineLevel="0" collapsed="false">
      <c r="A27" s="28" t="n">
        <v>46071</v>
      </c>
      <c r="B27" s="2" t="s">
        <v>102</v>
      </c>
      <c r="E27" s="5" t="s">
        <v>88</v>
      </c>
      <c r="F27" s="46" t="n">
        <v>96</v>
      </c>
      <c r="H27" s="6" t="n">
        <f aca="false">IF((F27&lt;&gt;0),F27-G27," ")</f>
        <v>96</v>
      </c>
      <c r="I27" s="5"/>
      <c r="L27" s="7" t="n">
        <f aca="false">IF(F27&lt;&gt;0,F27-K27," ")</f>
        <v>96</v>
      </c>
      <c r="M27" s="8" t="n">
        <f aca="false">IF((F27-K27)&lt;&gt;0,M$1-A27," ")</f>
        <v>66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str">
        <f aca="false">IF((E27="h"),H27," ")</f>
        <v> </v>
      </c>
      <c r="AC27" s="46" t="n">
        <f aca="false">IF((E27="v"),H27," ")</f>
        <v>96</v>
      </c>
      <c r="AD27" s="46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</row>
    <row r="28" customFormat="false" ht="12" hidden="false" customHeight="false" outlineLevel="0" collapsed="false">
      <c r="A28" s="28" t="n">
        <v>46073</v>
      </c>
      <c r="B28" s="2" t="s">
        <v>103</v>
      </c>
      <c r="E28" s="5" t="s">
        <v>75</v>
      </c>
      <c r="F28" s="46" t="n">
        <v>60</v>
      </c>
      <c r="H28" s="6" t="n">
        <f aca="false">IF((F28&lt;&gt;0),F28-G28," ")</f>
        <v>60</v>
      </c>
      <c r="I28" s="5"/>
      <c r="L28" s="7" t="n">
        <f aca="false">IF(F28&lt;&gt;0,F28-K28," ")</f>
        <v>60</v>
      </c>
      <c r="M28" s="8" t="n">
        <f aca="false">IF((F28-K28)&lt;&gt;0,M$1-A28," ")</f>
        <v>64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n">
        <f aca="false">IF((E28="g"),H28," ")</f>
        <v>60</v>
      </c>
      <c r="AB28" s="17" t="str">
        <f aca="false">IF((E28="h"),H28," ")</f>
        <v> </v>
      </c>
      <c r="AC28" s="46" t="str">
        <f aca="false">IF((E28="v"),H28," ")</f>
        <v> </v>
      </c>
      <c r="AD28" s="46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</row>
    <row r="29" customFormat="false" ht="12" hidden="false" customHeight="false" outlineLevel="0" collapsed="false">
      <c r="A29" s="28" t="n">
        <v>46074</v>
      </c>
      <c r="B29" s="2" t="s">
        <v>106</v>
      </c>
      <c r="E29" s="5" t="s">
        <v>91</v>
      </c>
      <c r="F29" s="46" t="n">
        <v>8</v>
      </c>
      <c r="H29" s="6" t="n">
        <f aca="false">IF((F29&lt;&gt;0),F29-G29," ")</f>
        <v>8</v>
      </c>
      <c r="I29" s="5"/>
      <c r="L29" s="7" t="n">
        <f aca="false">IF(F29&lt;&gt;0,F29-K29," ")</f>
        <v>8</v>
      </c>
      <c r="M29" s="8" t="n">
        <f aca="false">IF((F29-K29)&lt;&gt;0,M$1-A29," ")</f>
        <v>63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n">
        <f aca="false">IF((E29="h"),H29," ")</f>
        <v>8</v>
      </c>
      <c r="AC29" s="46" t="str">
        <f aca="false">IF((E29="v"),H29," ")</f>
        <v> </v>
      </c>
      <c r="AD29" s="46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</row>
    <row r="30" customFormat="false" ht="12" hidden="false" customHeight="false" outlineLevel="0" collapsed="false">
      <c r="A30" s="28" t="n">
        <v>46075</v>
      </c>
      <c r="B30" s="2" t="s">
        <v>107</v>
      </c>
      <c r="E30" s="5" t="s">
        <v>85</v>
      </c>
      <c r="F30" s="46" t="n">
        <v>18</v>
      </c>
      <c r="H30" s="6" t="n">
        <f aca="false">IF((F30&lt;&gt;0),F30-G30," ")</f>
        <v>18</v>
      </c>
      <c r="I30" s="5"/>
      <c r="L30" s="7" t="n">
        <f aca="false">IF(F30&lt;&gt;0,F30-K30," ")</f>
        <v>18</v>
      </c>
      <c r="M30" s="8" t="n">
        <f aca="false">IF((F30-K30)&lt;&gt;0,M$1-A30," ")</f>
        <v>62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n">
        <f aca="false">IF((E30="u"),H30," ")</f>
        <v>18</v>
      </c>
      <c r="Z30" s="17" t="str">
        <f aca="false">IF((E30="a"),H30," ")</f>
        <v> </v>
      </c>
      <c r="AA30" s="17" t="str">
        <f aca="false">IF((E30="g"),H30," ")</f>
        <v> </v>
      </c>
      <c r="AB30" s="17" t="str">
        <f aca="false">IF((E30="h"),H30," ")</f>
        <v> </v>
      </c>
      <c r="AC30" s="46" t="str">
        <f aca="false">IF((E30="v"),H30," ")</f>
        <v> </v>
      </c>
      <c r="AD30" s="46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</row>
    <row r="31" customFormat="false" ht="12" hidden="false" customHeight="false" outlineLevel="0" collapsed="false">
      <c r="A31" s="28" t="n">
        <v>46078</v>
      </c>
      <c r="B31" s="2" t="s">
        <v>129</v>
      </c>
      <c r="E31" s="5" t="s">
        <v>130</v>
      </c>
      <c r="F31" s="46" t="n">
        <v>420</v>
      </c>
      <c r="H31" s="6" t="n">
        <f aca="false">IF((F31&lt;&gt;0),F31-G31," ")</f>
        <v>420</v>
      </c>
      <c r="I31" s="5"/>
      <c r="L31" s="7" t="n">
        <f aca="false">IF(F31&lt;&gt;0,F31-K31," ")</f>
        <v>420</v>
      </c>
      <c r="M31" s="8" t="n">
        <f aca="false">IF((F31-K31)&lt;&gt;0,M$1-A31," ")</f>
        <v>59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n">
        <f aca="false">IF((E31="p"),H31," ")</f>
        <v>420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str">
        <f aca="false">IF((E31="u"),H31," ")</f>
        <v> 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46" t="str">
        <f aca="false">IF((E31="v"),H31," ")</f>
        <v> </v>
      </c>
      <c r="AD31" s="46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</row>
    <row r="32" customFormat="false" ht="12" hidden="false" customHeight="false" outlineLevel="0" collapsed="false">
      <c r="A32" s="28" t="n">
        <v>46078</v>
      </c>
      <c r="B32" s="2" t="s">
        <v>108</v>
      </c>
      <c r="E32" s="5" t="s">
        <v>85</v>
      </c>
      <c r="F32" s="46" t="n">
        <v>15</v>
      </c>
      <c r="H32" s="6" t="n">
        <f aca="false">IF((F32&lt;&gt;0),F32-G32," ")</f>
        <v>15</v>
      </c>
      <c r="I32" s="5"/>
      <c r="L32" s="7" t="n">
        <f aca="false">IF(F32&lt;&gt;0,F32-K32," ")</f>
        <v>15</v>
      </c>
      <c r="M32" s="8" t="n">
        <f aca="false">IF((F32-K32)&lt;&gt;0,M$1-A32," ")</f>
        <v>59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n">
        <f aca="false">IF((E32="u"),H32," ")</f>
        <v>15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46" t="str">
        <f aca="false">IF((E32="v"),H32," ")</f>
        <v> </v>
      </c>
      <c r="AD32" s="46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</row>
    <row r="33" customFormat="false" ht="12" hidden="false" customHeight="false" outlineLevel="0" collapsed="false">
      <c r="A33" s="28" t="n">
        <v>46078</v>
      </c>
      <c r="B33" s="2" t="s">
        <v>109</v>
      </c>
      <c r="E33" s="5" t="s">
        <v>88</v>
      </c>
      <c r="F33" s="46" t="n">
        <v>49.5</v>
      </c>
      <c r="H33" s="6" t="n">
        <f aca="false">IF((F33&lt;&gt;0),F33-G33," ")</f>
        <v>49.5</v>
      </c>
      <c r="I33" s="5"/>
      <c r="L33" s="7" t="n">
        <f aca="false">IF(F33&lt;&gt;0,F33-K33," ")</f>
        <v>49.5</v>
      </c>
      <c r="M33" s="8" t="n">
        <f aca="false">IF((F33-K33)&lt;&gt;0,M$1-A33," ")</f>
        <v>59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str">
        <f aca="false">IF((E33="u"),H33," ")</f>
        <v> 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46" t="n">
        <f aca="false">IF((E33="v"),H33," ")</f>
        <v>49.5</v>
      </c>
      <c r="AD33" s="46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</row>
    <row r="34" customFormat="false" ht="12" hidden="false" customHeight="false" outlineLevel="0" collapsed="false">
      <c r="A34" s="28" t="n">
        <v>46081</v>
      </c>
      <c r="B34" s="2" t="s">
        <v>20</v>
      </c>
      <c r="E34" s="5" t="s">
        <v>88</v>
      </c>
      <c r="F34" s="46" t="n">
        <v>120</v>
      </c>
      <c r="H34" s="6" t="n">
        <f aca="false">IF((F34&lt;&gt;0),F34-G34," ")</f>
        <v>120</v>
      </c>
      <c r="I34" s="5"/>
      <c r="L34" s="7" t="n">
        <f aca="false">IF(F34&lt;&gt;0,F34-K34," ")</f>
        <v>120</v>
      </c>
      <c r="M34" s="8" t="n">
        <f aca="false">IF((F34-K34)&lt;&gt;0,M$1-A34," ")</f>
        <v>56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str">
        <f aca="false">IF((E34="u"),H34," ")</f>
        <v> 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46" t="n">
        <f aca="false">IF((E34="v"),H34," ")</f>
        <v>120</v>
      </c>
      <c r="AD34" s="46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</row>
    <row r="35" customFormat="false" ht="12" hidden="false" customHeight="false" outlineLevel="0" collapsed="false">
      <c r="A35" s="28"/>
      <c r="E35" s="2"/>
      <c r="F35" s="46"/>
      <c r="H35" s="6" t="str">
        <f aca="false">IF((F35&lt;&gt;0),F35-G35," ")</f>
        <v> </v>
      </c>
      <c r="I35" s="5"/>
      <c r="L35" s="7" t="str">
        <f aca="false">IF(F35&lt;&gt;0,F35-K35," ")</f>
        <v> </v>
      </c>
      <c r="M35" s="8" t="str">
        <f aca="false">IF((F35-K35)&lt;&gt;0,M$1-A35," ")</f>
        <v> 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str">
        <f aca="false">IF((E35="u"),H35," ")</f>
        <v> 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46" t="str">
        <f aca="false">IF((E35="v"),H35," ")</f>
        <v> </v>
      </c>
      <c r="AD35" s="46" t="str">
        <f aca="false">IF((E35="n"),H35," ")</f>
        <v> </v>
      </c>
      <c r="AE35" s="17" t="str">
        <f aca="false">IF((E35="f"),H35," ")</f>
        <v> </v>
      </c>
      <c r="AF35" s="17" t="str">
        <f aca="false">IF((E35="l"),H35," ")</f>
        <v> 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</row>
    <row r="36" customFormat="false" ht="12" hidden="false" customHeight="false" outlineLevel="0" collapsed="false">
      <c r="A36" s="28"/>
      <c r="E36" s="2"/>
      <c r="F36" s="46"/>
      <c r="H36" s="6" t="str">
        <f aca="false">IF((F36&lt;&gt;0),F36-G36," ")</f>
        <v> </v>
      </c>
      <c r="I36" s="5"/>
      <c r="L36" s="7" t="str">
        <f aca="false">IF(F36&lt;&gt;0,F36-K36," ")</f>
        <v> </v>
      </c>
      <c r="M36" s="8" t="str">
        <f aca="false">IF((F36-K36)&lt;&gt;0,M$1-A36," ")</f>
        <v> 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46" t="str">
        <f aca="false">IF((E36="v"),H36," ")</f>
        <v> </v>
      </c>
      <c r="AD36" s="46" t="str">
        <f aca="false">IF((E36="n"),H36," ")</f>
        <v> </v>
      </c>
      <c r="AE36" s="17" t="str">
        <f aca="false">IF((E36="f"),H36," ")</f>
        <v> </v>
      </c>
      <c r="AF36" s="17" t="str">
        <f aca="false">IF((E36="l"),H36," ")</f>
        <v> 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</row>
    <row r="37" customFormat="false" ht="12" hidden="false" customHeight="false" outlineLevel="0" collapsed="false">
      <c r="A37" s="28"/>
      <c r="E37" s="2"/>
      <c r="F37" s="46"/>
      <c r="H37" s="6" t="str">
        <f aca="false">IF((F37&lt;&gt;0),F37-G37," ")</f>
        <v> </v>
      </c>
      <c r="I37" s="5"/>
      <c r="L37" s="7" t="str">
        <f aca="false">IF(F37&lt;&gt;0,F37-K37," ")</f>
        <v> </v>
      </c>
      <c r="M37" s="8" t="str">
        <f aca="false">IF((F37-K37)&lt;&gt;0,M$1-A37," ")</f>
        <v> 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46" t="str">
        <f aca="false">IF((E37="v"),H37," ")</f>
        <v> </v>
      </c>
      <c r="AD37" s="46" t="str">
        <f aca="false">IF((E37="n"),H37," ")</f>
        <v> </v>
      </c>
      <c r="AE37" s="17" t="str">
        <f aca="false">IF((E37="f"),H37," ")</f>
        <v> </v>
      </c>
      <c r="AF37" s="17" t="str">
        <f aca="false">IF((E37="l"),H37," ")</f>
        <v> 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</row>
    <row r="38" customFormat="false" ht="12" hidden="false" customHeight="false" outlineLevel="0" collapsed="false">
      <c r="A38" s="28"/>
      <c r="E38" s="2"/>
      <c r="F38" s="46"/>
      <c r="H38" s="6" t="str">
        <f aca="false">IF((F38&lt;&gt;0),F38-G38," ")</f>
        <v> </v>
      </c>
      <c r="I38" s="5"/>
      <c r="L38" s="7" t="str">
        <f aca="false">IF(F38&lt;&gt;0,F38-K38," ")</f>
        <v> </v>
      </c>
      <c r="M38" s="8" t="str">
        <f aca="false">IF((F38-K38)&lt;&gt;0,M$1-A38," ")</f>
        <v> 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46" t="str">
        <f aca="false">IF((E38="v"),H38," ")</f>
        <v> </v>
      </c>
      <c r="AD38" s="46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</row>
    <row r="39" customFormat="false" ht="12" hidden="false" customHeight="false" outlineLevel="0" collapsed="false">
      <c r="A39" s="28"/>
      <c r="E39" s="2"/>
      <c r="F39" s="46"/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46" t="str">
        <f aca="false">IF((E39="v"),H39," ")</f>
        <v> </v>
      </c>
      <c r="AD39" s="46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</row>
    <row r="40" customFormat="false" ht="12" hidden="false" customHeight="false" outlineLevel="0" collapsed="false">
      <c r="A40" s="28"/>
      <c r="E40" s="2"/>
      <c r="F40" s="46"/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46" t="str">
        <f aca="false">IF((E40="v"),H40," ")</f>
        <v> </v>
      </c>
      <c r="AD40" s="46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</row>
    <row r="41" customFormat="false" ht="12" hidden="false" customHeight="false" outlineLevel="0" collapsed="false">
      <c r="A41" s="28"/>
      <c r="E41" s="2"/>
      <c r="F41" s="46"/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46" t="str">
        <f aca="false">IF((E41="v"),H41," ")</f>
        <v> </v>
      </c>
      <c r="AD41" s="46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</row>
    <row r="42" customFormat="false" ht="12" hidden="false" customHeight="false" outlineLevel="0" collapsed="false">
      <c r="A42" s="28"/>
      <c r="E42" s="2"/>
      <c r="F42" s="46"/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46" t="str">
        <f aca="false">IF((E42="v"),H42," ")</f>
        <v> </v>
      </c>
      <c r="AD42" s="46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</row>
    <row r="43" customFormat="false" ht="12" hidden="false" customHeight="false" outlineLevel="0" collapsed="false">
      <c r="A43" s="28"/>
      <c r="E43" s="2"/>
      <c r="F43" s="46"/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46" t="str">
        <f aca="false">IF((E43="v"),H43," ")</f>
        <v> </v>
      </c>
      <c r="AD43" s="46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</row>
    <row r="44" customFormat="false" ht="12" hidden="false" customHeight="false" outlineLevel="0" collapsed="false">
      <c r="A44" s="28"/>
      <c r="E44" s="2"/>
      <c r="F44" s="46"/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46" t="str">
        <f aca="false">IF((E44="v"),H44," ")</f>
        <v> </v>
      </c>
      <c r="AD44" s="46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</row>
    <row r="45" customFormat="false" ht="12" hidden="false" customHeight="false" outlineLevel="0" collapsed="false">
      <c r="A45" s="28"/>
      <c r="E45" s="2"/>
      <c r="F45" s="46"/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46" t="str">
        <f aca="false">IF((E45="v"),H45," ")</f>
        <v> </v>
      </c>
      <c r="AD45" s="46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</row>
    <row r="46" customFormat="false" ht="12" hidden="false" customHeight="false" outlineLevel="0" collapsed="false">
      <c r="A46" s="28"/>
      <c r="E46" s="2"/>
      <c r="F46" s="46"/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46" t="str">
        <f aca="false">IF((E46="v"),H46," ")</f>
        <v> </v>
      </c>
      <c r="AD46" s="46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</row>
    <row r="47" customFormat="false" ht="12" hidden="false" customHeight="false" outlineLevel="0" collapsed="false">
      <c r="A47" s="28"/>
      <c r="E47" s="2"/>
      <c r="F47" s="46"/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46" t="str">
        <f aca="false">IF((E47="v"),H47," ")</f>
        <v> </v>
      </c>
      <c r="AD47" s="46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</row>
    <row r="48" customFormat="false" ht="12" hidden="false" customHeight="false" outlineLevel="0" collapsed="false">
      <c r="A48" s="28"/>
      <c r="E48" s="2"/>
      <c r="F48" s="46"/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46" t="str">
        <f aca="false">IF((E48="v"),H48," ")</f>
        <v> </v>
      </c>
      <c r="AD48" s="46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</row>
    <row r="49" customFormat="false" ht="12" hidden="false" customHeight="false" outlineLevel="0" collapsed="false">
      <c r="A49" s="28"/>
      <c r="E49" s="2"/>
      <c r="F49" s="46"/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46" t="str">
        <f aca="false">IF((E49="v"),H49," ")</f>
        <v> </v>
      </c>
      <c r="AD49" s="46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</row>
    <row r="50" customFormat="false" ht="12" hidden="false" customHeight="false" outlineLevel="0" collapsed="false">
      <c r="A50" s="28"/>
      <c r="E50" s="2"/>
      <c r="F50" s="46"/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46" t="str">
        <f aca="false">IF((E50="v"),H50," ")</f>
        <v> </v>
      </c>
      <c r="AD50" s="46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</row>
    <row r="51" customFormat="false" ht="12" hidden="false" customHeight="false" outlineLevel="0" collapsed="false">
      <c r="A51" s="28"/>
      <c r="E51" s="2"/>
      <c r="F51" s="46"/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46" t="str">
        <f aca="false">IF((E51="v"),H51," ")</f>
        <v> </v>
      </c>
      <c r="AD51" s="46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</row>
    <row r="52" customFormat="false" ht="12" hidden="false" customHeight="false" outlineLevel="0" collapsed="false">
      <c r="A52" s="28"/>
      <c r="E52" s="2"/>
      <c r="F52" s="46"/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46" t="str">
        <f aca="false">IF((E52="v"),H52," ")</f>
        <v> </v>
      </c>
      <c r="AD52" s="46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</row>
    <row r="53" customFormat="false" ht="12" hidden="false" customHeight="false" outlineLevel="0" collapsed="false">
      <c r="A53" s="28"/>
      <c r="E53" s="2"/>
      <c r="F53" s="46"/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46" t="str">
        <f aca="false">IF((E53="v"),H53," ")</f>
        <v> </v>
      </c>
      <c r="AD53" s="46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</row>
    <row r="54" customFormat="false" ht="12" hidden="false" customHeight="false" outlineLevel="0" collapsed="false">
      <c r="A54" s="28"/>
      <c r="E54" s="2"/>
      <c r="F54" s="46"/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46" t="str">
        <f aca="false">IF((E54="v"),H54," ")</f>
        <v> </v>
      </c>
      <c r="AD54" s="46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</row>
    <row r="55" customFormat="false" ht="12" hidden="false" customHeight="false" outlineLevel="0" collapsed="false">
      <c r="A55" s="28"/>
      <c r="E55" s="2"/>
      <c r="F55" s="46"/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46" t="str">
        <f aca="false">IF((E55="v"),H55," ")</f>
        <v> </v>
      </c>
      <c r="AD55" s="46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</row>
    <row r="56" customFormat="false" ht="12" hidden="false" customHeight="false" outlineLevel="0" collapsed="false">
      <c r="A56" s="28"/>
      <c r="E56" s="2"/>
      <c r="F56" s="46"/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46" t="str">
        <f aca="false">IF((E56="v"),H56," ")</f>
        <v> </v>
      </c>
      <c r="AD56" s="46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</row>
    <row r="57" customFormat="false" ht="12" hidden="false" customHeight="false" outlineLevel="0" collapsed="false">
      <c r="A57" s="28"/>
      <c r="E57" s="2"/>
      <c r="F57" s="46"/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46" t="str">
        <f aca="false">IF((E57="v"),H57," ")</f>
        <v> </v>
      </c>
      <c r="AD57" s="46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</row>
    <row r="58" customFormat="false" ht="12" hidden="false" customHeight="false" outlineLevel="0" collapsed="false">
      <c r="A58" s="28"/>
      <c r="E58" s="2"/>
      <c r="F58" s="46"/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46" t="str">
        <f aca="false">IF((E58="v"),H58," ")</f>
        <v> </v>
      </c>
      <c r="AD58" s="46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</row>
    <row r="59" customFormat="false" ht="12" hidden="false" customHeight="false" outlineLevel="0" collapsed="false">
      <c r="A59" s="28"/>
      <c r="E59" s="2"/>
      <c r="F59" s="46"/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46" t="str">
        <f aca="false">IF((E59="v"),H59," ")</f>
        <v> </v>
      </c>
      <c r="AD59" s="46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</row>
    <row r="60" customFormat="false" ht="12" hidden="false" customHeight="false" outlineLevel="0" collapsed="false">
      <c r="A60" s="28"/>
      <c r="E60" s="2"/>
      <c r="F60" s="46"/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46" t="str">
        <f aca="false">IF((E60="v"),H60," ")</f>
        <v> </v>
      </c>
      <c r="AD60" s="46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</row>
    <row r="61" customFormat="false" ht="12" hidden="false" customHeight="false" outlineLevel="0" collapsed="false">
      <c r="A61" s="28"/>
      <c r="E61" s="2"/>
      <c r="F61" s="46"/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46" t="str">
        <f aca="false">IF((E61="v"),H61," ")</f>
        <v> </v>
      </c>
      <c r="AD61" s="46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</row>
    <row r="62" customFormat="false" ht="12" hidden="false" customHeight="false" outlineLevel="0" collapsed="false">
      <c r="A62" s="28"/>
      <c r="E62" s="2"/>
      <c r="F62" s="46"/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46" t="str">
        <f aca="false">IF((E62="v"),H62," ")</f>
        <v> </v>
      </c>
      <c r="AD62" s="46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</row>
    <row r="63" customFormat="false" ht="12" hidden="false" customHeight="false" outlineLevel="0" collapsed="false">
      <c r="A63" s="28"/>
      <c r="E63" s="2"/>
      <c r="F63" s="46"/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46" t="str">
        <f aca="false">IF((E63="v"),H63," ")</f>
        <v> </v>
      </c>
      <c r="AD63" s="46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</row>
    <row r="64" customFormat="false" ht="12" hidden="false" customHeight="false" outlineLevel="0" collapsed="false">
      <c r="A64" s="28"/>
      <c r="E64" s="2"/>
      <c r="F64" s="46"/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46" t="str">
        <f aca="false">IF((E64="v"),H64," ")</f>
        <v> </v>
      </c>
      <c r="AD64" s="46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</row>
    <row r="65" customFormat="false" ht="12" hidden="false" customHeight="false" outlineLevel="0" collapsed="false">
      <c r="A65" s="28"/>
      <c r="E65" s="2"/>
      <c r="F65" s="46"/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46" t="str">
        <f aca="false">IF((E65="v"),H65," ")</f>
        <v> </v>
      </c>
      <c r="AD65" s="46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</row>
    <row r="66" customFormat="false" ht="12" hidden="false" customHeight="false" outlineLevel="0" collapsed="false">
      <c r="A66" s="28"/>
      <c r="E66" s="2"/>
      <c r="F66" s="46"/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46" t="str">
        <f aca="false">IF((E66="v"),H66," ")</f>
        <v> </v>
      </c>
      <c r="AD66" s="46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</row>
    <row r="67" customFormat="false" ht="12" hidden="false" customHeight="false" outlineLevel="0" collapsed="false">
      <c r="A67" s="28"/>
      <c r="E67" s="2"/>
      <c r="F67" s="46"/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46" t="str">
        <f aca="false">IF((E67="v"),H67," ")</f>
        <v> </v>
      </c>
      <c r="AD67" s="46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</row>
    <row r="68" customFormat="false" ht="12" hidden="false" customHeight="false" outlineLevel="0" collapsed="false">
      <c r="A68" s="28"/>
      <c r="E68" s="2"/>
      <c r="F68" s="46"/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46" t="str">
        <f aca="false">IF((E68="v"),H68," ")</f>
        <v> </v>
      </c>
      <c r="AD68" s="46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</row>
    <row r="69" customFormat="false" ht="12" hidden="false" customHeight="false" outlineLevel="0" collapsed="false">
      <c r="A69" s="28"/>
      <c r="E69" s="2"/>
      <c r="F69" s="46"/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46" t="str">
        <f aca="false">IF((E69="v"),H69," ")</f>
        <v> </v>
      </c>
      <c r="AD69" s="46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46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46" t="str">
        <f aca="false">IF((E70="v"),H70," ")</f>
        <v> </v>
      </c>
      <c r="AD70" s="46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46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46" t="str">
        <f aca="false">IF((E71="v"),H71," ")</f>
        <v> </v>
      </c>
      <c r="AD71" s="46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46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46" t="str">
        <f aca="false">IF((E72="v"),H72," ")</f>
        <v> </v>
      </c>
      <c r="AD72" s="46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46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46" t="str">
        <f aca="false">IF((E73="v"),H73," ")</f>
        <v> </v>
      </c>
      <c r="AD73" s="46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46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46" t="str">
        <f aca="false">IF((E74="v"),H74," ")</f>
        <v> </v>
      </c>
      <c r="AD74" s="46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46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46" t="str">
        <f aca="false">IF((E75="v"),H75," ")</f>
        <v> </v>
      </c>
      <c r="AD75" s="46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46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46" t="str">
        <f aca="false">IF((E76="v"),H76," ")</f>
        <v> </v>
      </c>
      <c r="AD76" s="46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46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46" t="str">
        <f aca="false">IF((E77="v"),H77," ")</f>
        <v> </v>
      </c>
      <c r="AD77" s="46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46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46" t="str">
        <f aca="false">IF((E78="v"),H78," ")</f>
        <v> </v>
      </c>
      <c r="AD78" s="46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46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46" t="str">
        <f aca="false">IF((E79="v"),H79," ")</f>
        <v> </v>
      </c>
      <c r="AD79" s="46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46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46" t="str">
        <f aca="false">IF((E80="v"),H80," ")</f>
        <v> </v>
      </c>
      <c r="AD80" s="46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46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46" t="str">
        <f aca="false">IF((E81="v"),H81," ")</f>
        <v> </v>
      </c>
      <c r="AD81" s="46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46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46" t="str">
        <f aca="false">IF((E82="v"),H82," ")</f>
        <v> </v>
      </c>
      <c r="AD82" s="46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46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46" t="str">
        <f aca="false">IF((E83="v"),H83," ")</f>
        <v> </v>
      </c>
      <c r="AD83" s="46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46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46" t="str">
        <f aca="false">IF((E84="v"),H84," ")</f>
        <v> </v>
      </c>
      <c r="AD84" s="46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46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46" t="str">
        <f aca="false">IF((E85="v"),H85," ")</f>
        <v> </v>
      </c>
      <c r="AD85" s="46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46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46" t="str">
        <f aca="false">IF((E86="v"),H86," ")</f>
        <v> </v>
      </c>
      <c r="AD86" s="46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46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46" t="str">
        <f aca="false">IF((E87="v"),H87," ")</f>
        <v> </v>
      </c>
      <c r="AD87" s="46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46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46" t="str">
        <f aca="false">IF((E88="v"),H88," ")</f>
        <v> </v>
      </c>
      <c r="AD88" s="46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46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46" t="str">
        <f aca="false">IF((E89="v"),H89," ")</f>
        <v> </v>
      </c>
      <c r="AD89" s="46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46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46" t="str">
        <f aca="false">IF((E90="v"),H90," ")</f>
        <v> </v>
      </c>
      <c r="AD90" s="46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46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46" t="str">
        <f aca="false">IF((E91="v"),H91," ")</f>
        <v> </v>
      </c>
      <c r="AD91" s="46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46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46" t="str">
        <f aca="false">IF((E92="v"),H92," ")</f>
        <v> </v>
      </c>
      <c r="AD92" s="46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46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46" t="str">
        <f aca="false">IF((E93="v"),H93," ")</f>
        <v> </v>
      </c>
      <c r="AD93" s="46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46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46" t="str">
        <f aca="false">IF((E94="v"),H94," ")</f>
        <v> </v>
      </c>
      <c r="AD94" s="46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46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46" t="str">
        <f aca="false">IF((E95="v"),H95," ")</f>
        <v> </v>
      </c>
      <c r="AD95" s="46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46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46" t="str">
        <f aca="false">IF((E96="v"),H96," ")</f>
        <v> </v>
      </c>
      <c r="AD96" s="46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46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46" t="str">
        <f aca="false">IF((E97="v"),H97," ")</f>
        <v> </v>
      </c>
      <c r="AD97" s="46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46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46" t="str">
        <f aca="false">IF((E98="v"),H98," ")</f>
        <v> </v>
      </c>
      <c r="AD98" s="46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46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46" t="str">
        <f aca="false">IF((E99="v"),H99," ")</f>
        <v> </v>
      </c>
      <c r="AD99" s="46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46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46" t="str">
        <f aca="false">IF((E100="v"),H100," ")</f>
        <v> </v>
      </c>
      <c r="AD100" s="46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46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46" t="str">
        <f aca="false">IF((E101="v"),H101," ")</f>
        <v> </v>
      </c>
      <c r="AD101" s="46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46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46" t="str">
        <f aca="false">IF((E102="v"),H102," ")</f>
        <v> </v>
      </c>
      <c r="AD102" s="46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46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46" t="str">
        <f aca="false">IF((E103="v"),H103," ")</f>
        <v> </v>
      </c>
      <c r="AD103" s="46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46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46" t="str">
        <f aca="false">IF((E104="v"),H104," ")</f>
        <v> </v>
      </c>
      <c r="AD104" s="46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46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46" t="str">
        <f aca="false">IF((E105="v"),H105," ")</f>
        <v> </v>
      </c>
      <c r="AD105" s="46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46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46" t="str">
        <f aca="false">IF((E106="v"),H106," ")</f>
        <v> </v>
      </c>
      <c r="AD106" s="46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46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46" t="str">
        <f aca="false">IF((E107="v"),H107," ")</f>
        <v> </v>
      </c>
      <c r="AD107" s="46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46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46" t="str">
        <f aca="false">IF((E108="v"),H108," ")</f>
        <v> </v>
      </c>
      <c r="AD108" s="46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46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46" t="str">
        <f aca="false">IF((E109="v"),H109," ")</f>
        <v> </v>
      </c>
      <c r="AD109" s="46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46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46" t="str">
        <f aca="false">IF((E110="v"),H110," ")</f>
        <v> </v>
      </c>
      <c r="AD110" s="46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46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46" t="str">
        <f aca="false">IF((E111="v"),H111," ")</f>
        <v> </v>
      </c>
      <c r="AD111" s="46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46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46" t="str">
        <f aca="false">IF((E112="v"),H112," ")</f>
        <v> </v>
      </c>
      <c r="AD112" s="46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46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46" t="str">
        <f aca="false">IF((E113="v"),H113," ")</f>
        <v> </v>
      </c>
      <c r="AD113" s="46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46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46" t="str">
        <f aca="false">IF((E114="v"),H114," ")</f>
        <v> </v>
      </c>
      <c r="AD114" s="46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46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46" t="str">
        <f aca="false">IF((E115="v"),H115," ")</f>
        <v> </v>
      </c>
      <c r="AD115" s="46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46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46" t="str">
        <f aca="false">IF((E116="v"),H116," ")</f>
        <v> </v>
      </c>
      <c r="AD116" s="46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46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46" t="str">
        <f aca="false">IF((E117="v"),H117," ")</f>
        <v> </v>
      </c>
      <c r="AD117" s="46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46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46" t="str">
        <f aca="false">IF((E118="v"),H118," ")</f>
        <v> </v>
      </c>
      <c r="AD118" s="46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46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46" t="str">
        <f aca="false">IF((E119="v"),H119," ")</f>
        <v> </v>
      </c>
      <c r="AD119" s="46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46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46" t="str">
        <f aca="false">IF((E120="v"),H120," ")</f>
        <v> </v>
      </c>
      <c r="AD120" s="46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46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46" t="str">
        <f aca="false">IF((E121="v"),H121," ")</f>
        <v> </v>
      </c>
      <c r="AD121" s="46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46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46" t="str">
        <f aca="false">IF((E122="v"),H122," ")</f>
        <v> </v>
      </c>
      <c r="AD122" s="46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46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46" t="str">
        <f aca="false">IF((E123="v"),H123," ")</f>
        <v> </v>
      </c>
      <c r="AD123" s="46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46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46" t="str">
        <f aca="false">IF((E124="v"),H124," ")</f>
        <v> </v>
      </c>
      <c r="AD124" s="46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46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46" t="str">
        <f aca="false">IF((E125="v"),H125," ")</f>
        <v> </v>
      </c>
      <c r="AD125" s="46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46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46" t="str">
        <f aca="false">IF((E126="v"),H126," ")</f>
        <v> </v>
      </c>
      <c r="AD126" s="46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46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46" t="str">
        <f aca="false">IF((E127="v"),H127," ")</f>
        <v> </v>
      </c>
      <c r="AD127" s="46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46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46" t="str">
        <f aca="false">IF((E128="v"),H128," ")</f>
        <v> </v>
      </c>
      <c r="AD128" s="46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46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46" t="str">
        <f aca="false">IF((E129="v"),H129," ")</f>
        <v> </v>
      </c>
      <c r="AD129" s="46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46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46" t="str">
        <f aca="false">IF((E130="v"),H130," ")</f>
        <v> </v>
      </c>
      <c r="AD130" s="46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46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46" t="str">
        <f aca="false">IF((E131="v"),H131," ")</f>
        <v> </v>
      </c>
      <c r="AD131" s="46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46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46" t="str">
        <f aca="false">IF((E132="v"),H132," ")</f>
        <v> </v>
      </c>
      <c r="AD132" s="46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46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46" t="str">
        <f aca="false">IF((E133="v"),H133," ")</f>
        <v> </v>
      </c>
      <c r="AD133" s="46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46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46" t="str">
        <f aca="false">IF((E134="v"),H134," ")</f>
        <v> </v>
      </c>
      <c r="AD134" s="46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46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46" t="str">
        <f aca="false">IF((E135="v"),H135," ")</f>
        <v> </v>
      </c>
      <c r="AD135" s="46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46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46" t="str">
        <f aca="false">IF((E136="v"),H136," ")</f>
        <v> </v>
      </c>
      <c r="AD136" s="46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46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46" t="str">
        <f aca="false">IF((E137="v"),H137," ")</f>
        <v> </v>
      </c>
      <c r="AD137" s="46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46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46" t="str">
        <f aca="false">IF((E138="v"),H138," ")</f>
        <v> </v>
      </c>
      <c r="AD138" s="46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46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46" t="str">
        <f aca="false">IF((E139="v"),H139," ")</f>
        <v> </v>
      </c>
      <c r="AD139" s="46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46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46" t="str">
        <f aca="false">IF((E140="v"),H140," ")</f>
        <v> </v>
      </c>
      <c r="AD140" s="46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46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46" t="str">
        <f aca="false">IF((E141="v"),H141," ")</f>
        <v> </v>
      </c>
      <c r="AD141" s="46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46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46" t="str">
        <f aca="false">IF((E142="v"),H142," ")</f>
        <v> </v>
      </c>
      <c r="AD142" s="46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46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46" t="str">
        <f aca="false">IF((E143="v"),H143," ")</f>
        <v> </v>
      </c>
      <c r="AD143" s="46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46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46" t="str">
        <f aca="false">IF((E144="v"),H144," ")</f>
        <v> </v>
      </c>
      <c r="AD144" s="46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46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46" t="str">
        <f aca="false">IF((E145="v"),H145," ")</f>
        <v> </v>
      </c>
      <c r="AD145" s="46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46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46" t="str">
        <f aca="false">IF((E146="v"),H146," ")</f>
        <v> </v>
      </c>
      <c r="AD146" s="46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46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46" t="str">
        <f aca="false">IF((E147="v"),H147," ")</f>
        <v> </v>
      </c>
      <c r="AD147" s="46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46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46" t="str">
        <f aca="false">IF((E148="v"),H148," ")</f>
        <v> </v>
      </c>
      <c r="AD148" s="46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46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46" t="str">
        <f aca="false">IF((E149="v"),H149," ")</f>
        <v> </v>
      </c>
      <c r="AD149" s="46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46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46" t="str">
        <f aca="false">IF((E150="v"),H150," ")</f>
        <v> </v>
      </c>
      <c r="AD150" s="46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46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46" t="str">
        <f aca="false">IF((E151="v"),H151," ")</f>
        <v> </v>
      </c>
      <c r="AD151" s="46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46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46" t="str">
        <f aca="false">IF((E152="v"),H152," ")</f>
        <v> </v>
      </c>
      <c r="AD152" s="46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46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46" t="str">
        <f aca="false">IF((E153="v"),H153," ")</f>
        <v> </v>
      </c>
      <c r="AD153" s="46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46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46" t="str">
        <f aca="false">IF((E154="v"),H154," ")</f>
        <v> </v>
      </c>
      <c r="AD154" s="46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46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46" t="str">
        <f aca="false">IF((E155="v"),H155," ")</f>
        <v> </v>
      </c>
      <c r="AD155" s="46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46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46" t="str">
        <f aca="false">IF((E156="v"),H156," ")</f>
        <v> </v>
      </c>
      <c r="AD156" s="46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46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46" t="str">
        <f aca="false">IF((E157="v"),H157," ")</f>
        <v> </v>
      </c>
      <c r="AD157" s="46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46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46" t="str">
        <f aca="false">IF((E158="v"),H158," ")</f>
        <v> </v>
      </c>
      <c r="AD158" s="46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46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46" t="str">
        <f aca="false">IF((E159="v"),H159," ")</f>
        <v> </v>
      </c>
      <c r="AD159" s="46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46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46" t="str">
        <f aca="false">IF((E160="v"),H160," ")</f>
        <v> </v>
      </c>
      <c r="AD160" s="46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46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46" t="str">
        <f aca="false">IF((E161="v"),H161," ")</f>
        <v> </v>
      </c>
      <c r="AD161" s="46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46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46" t="str">
        <f aca="false">IF((E162="v"),H162," ")</f>
        <v> </v>
      </c>
      <c r="AD162" s="46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46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46" t="str">
        <f aca="false">IF((E163="v"),H163," ")</f>
        <v> </v>
      </c>
      <c r="AD163" s="46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46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46" t="str">
        <f aca="false">IF((E164="v"),H164," ")</f>
        <v> </v>
      </c>
      <c r="AD164" s="46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46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46" t="str">
        <f aca="false">IF((E165="v"),H165," ")</f>
        <v> </v>
      </c>
      <c r="AD165" s="46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46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46" t="str">
        <f aca="false">IF((E166="v"),H166," ")</f>
        <v> </v>
      </c>
      <c r="AD166" s="46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46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46" t="str">
        <f aca="false">IF((E167="v"),H167," ")</f>
        <v> </v>
      </c>
      <c r="AD167" s="46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46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46" t="str">
        <f aca="false">IF((E168="v"),H168," ")</f>
        <v> </v>
      </c>
      <c r="AD168" s="46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46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46" t="str">
        <f aca="false">IF((E169="v"),H169," ")</f>
        <v> </v>
      </c>
      <c r="AD169" s="46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46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46" t="str">
        <f aca="false">IF((E170="v"),H170," ")</f>
        <v> </v>
      </c>
      <c r="AD170" s="46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46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46" t="str">
        <f aca="false">IF((E171="v"),H171," ")</f>
        <v> </v>
      </c>
      <c r="AD171" s="46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46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46" t="str">
        <f aca="false">IF((E172="v"),H172," ")</f>
        <v> </v>
      </c>
      <c r="AD172" s="46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46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46" t="str">
        <f aca="false">IF((E173="v"),H173," ")</f>
        <v> </v>
      </c>
      <c r="AD173" s="46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46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46" t="str">
        <f aca="false">IF((E174="v"),H174," ")</f>
        <v> </v>
      </c>
      <c r="AD174" s="46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46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46" t="str">
        <f aca="false">IF((E175="v"),H175," ")</f>
        <v> </v>
      </c>
      <c r="AD175" s="46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46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46" t="str">
        <f aca="false">IF((E176="v"),H176," ")</f>
        <v> </v>
      </c>
      <c r="AD176" s="46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46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46" t="str">
        <f aca="false">IF((E177="v"),H177," ")</f>
        <v> </v>
      </c>
      <c r="AD177" s="46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46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46" t="str">
        <f aca="false">IF((E178="v"),H178," ")</f>
        <v> </v>
      </c>
      <c r="AD178" s="46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46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46" t="str">
        <f aca="false">IF((E179="v"),H179," ")</f>
        <v> </v>
      </c>
      <c r="AD179" s="46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46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46" t="str">
        <f aca="false">IF((E180="v"),H180," ")</f>
        <v> </v>
      </c>
      <c r="AD180" s="46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46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46" t="str">
        <f aca="false">IF((E181="v"),H181," ")</f>
        <v> </v>
      </c>
      <c r="AD181" s="46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46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46" t="str">
        <f aca="false">IF((E182="v"),H182," ")</f>
        <v> </v>
      </c>
      <c r="AD182" s="46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46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46" t="str">
        <f aca="false">IF((E183="v"),H183," ")</f>
        <v> </v>
      </c>
      <c r="AD183" s="46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46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46" t="str">
        <f aca="false">IF((E184="v"),H184," ")</f>
        <v> </v>
      </c>
      <c r="AD184" s="46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46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46" t="str">
        <f aca="false">IF((E185="v"),H185," ")</f>
        <v> </v>
      </c>
      <c r="AD185" s="46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46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46" t="str">
        <f aca="false">IF((E186="v"),H186," ")</f>
        <v> </v>
      </c>
      <c r="AD186" s="46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46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46" t="str">
        <f aca="false">IF((E187="v"),H187," ")</f>
        <v> </v>
      </c>
      <c r="AD187" s="46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46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46" t="str">
        <f aca="false">IF((E188="v"),H188," ")</f>
        <v> </v>
      </c>
      <c r="AD188" s="46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46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46" t="str">
        <f aca="false">IF((E189="v"),H189," ")</f>
        <v> </v>
      </c>
      <c r="AD189" s="46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46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46" t="str">
        <f aca="false">IF((E190="v"),H190," ")</f>
        <v> </v>
      </c>
      <c r="AD190" s="46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46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46" t="str">
        <f aca="false">IF((E191="v"),H191," ")</f>
        <v> </v>
      </c>
      <c r="AD191" s="46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46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46" t="str">
        <f aca="false">IF((E192="v"),H192," ")</f>
        <v> </v>
      </c>
      <c r="AD192" s="46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46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46" t="str">
        <f aca="false">IF((E193="v"),H193," ")</f>
        <v> </v>
      </c>
      <c r="AD193" s="46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46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46" t="str">
        <f aca="false">IF((E194="v"),H194," ")</f>
        <v> </v>
      </c>
      <c r="AD194" s="46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46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46" t="str">
        <f aca="false">IF((E195="v"),H195," ")</f>
        <v> </v>
      </c>
      <c r="AD195" s="46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46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46" t="str">
        <f aca="false">IF((E196="v"),H196," ")</f>
        <v> </v>
      </c>
      <c r="AD196" s="46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46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46" t="str">
        <f aca="false">IF((E197="v"),H197," ")</f>
        <v> </v>
      </c>
      <c r="AD197" s="46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46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46" t="str">
        <f aca="false">IF((E198="v"),H198," ")</f>
        <v> </v>
      </c>
      <c r="AD198" s="46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46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46" t="str">
        <f aca="false">IF((E199="v"),H199," ")</f>
        <v> </v>
      </c>
      <c r="AD199" s="46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46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46" t="str">
        <f aca="false">IF((E200="v"),H200," ")</f>
        <v> </v>
      </c>
      <c r="AD200" s="46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46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46" t="str">
        <f aca="false">IF((E201="v"),H201," ")</f>
        <v> </v>
      </c>
      <c r="AD201" s="46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46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46" t="str">
        <f aca="false">IF((E202="v"),H202," ")</f>
        <v> </v>
      </c>
      <c r="AD202" s="46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46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46" t="str">
        <f aca="false">IF((E203="v"),H203," ")</f>
        <v> </v>
      </c>
      <c r="AD203" s="46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46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46" t="str">
        <f aca="false">IF((E204="v"),H204," ")</f>
        <v> </v>
      </c>
      <c r="AD204" s="46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46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46" t="str">
        <f aca="false">IF((E205="v"),H205," ")</f>
        <v> </v>
      </c>
      <c r="AD205" s="46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46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46" t="str">
        <f aca="false">IF((E206="v"),H206," ")</f>
        <v> </v>
      </c>
      <c r="AD206" s="46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46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46" t="str">
        <f aca="false">IF((E207="v"),H207," ")</f>
        <v> </v>
      </c>
      <c r="AD207" s="46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46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46" t="str">
        <f aca="false">IF((E208="v"),H208," ")</f>
        <v> </v>
      </c>
      <c r="AD208" s="46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46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46" t="str">
        <f aca="false">IF((E209="v"),H209," ")</f>
        <v> </v>
      </c>
      <c r="AD209" s="46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46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46" t="str">
        <f aca="false">IF((E210="v"),H210," ")</f>
        <v> </v>
      </c>
      <c r="AD210" s="46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46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46" t="str">
        <f aca="false">IF((E211="v"),H211," ")</f>
        <v> </v>
      </c>
      <c r="AD211" s="46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46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46" t="str">
        <f aca="false">IF((E212="v"),H212," ")</f>
        <v> </v>
      </c>
      <c r="AD212" s="46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46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46" t="str">
        <f aca="false">IF((E213="v"),H213," ")</f>
        <v> </v>
      </c>
      <c r="AD213" s="46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46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46" t="str">
        <f aca="false">IF((E214="v"),H214," ")</f>
        <v> </v>
      </c>
      <c r="AD214" s="46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46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46" t="str">
        <f aca="false">IF((E215="v"),H215," ")</f>
        <v> </v>
      </c>
      <c r="AD215" s="46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46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46" t="str">
        <f aca="false">IF((E216="v"),H216," ")</f>
        <v> </v>
      </c>
      <c r="AD216" s="46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46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46" t="str">
        <f aca="false">IF((E217="v"),H217," ")</f>
        <v> </v>
      </c>
      <c r="AD217" s="46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46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46" t="str">
        <f aca="false">IF((E218="v"),H218," ")</f>
        <v> </v>
      </c>
      <c r="AD218" s="46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46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46" t="str">
        <f aca="false">IF((E219="v"),H219," ")</f>
        <v> </v>
      </c>
      <c r="AD219" s="46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46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46" t="str">
        <f aca="false">IF((E220="v"),H220," ")</f>
        <v> </v>
      </c>
      <c r="AD220" s="46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46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46" t="str">
        <f aca="false">IF((E221="v"),H221," ")</f>
        <v> </v>
      </c>
      <c r="AD221" s="46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46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46" t="str">
        <f aca="false">IF((E222="v"),H222," ")</f>
        <v> </v>
      </c>
      <c r="AD222" s="46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46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46" t="str">
        <f aca="false">IF((E223="v"),H223," ")</f>
        <v> </v>
      </c>
      <c r="AD223" s="46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46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46" t="str">
        <f aca="false">IF((E224="v"),H224," ")</f>
        <v> </v>
      </c>
      <c r="AD224" s="46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46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46" t="str">
        <f aca="false">IF((E225="v"),H225," ")</f>
        <v> </v>
      </c>
      <c r="AD225" s="46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46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46" t="str">
        <f aca="false">IF((E226="v"),H226," ")</f>
        <v> </v>
      </c>
      <c r="AD226" s="46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46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46" t="str">
        <f aca="false">IF((E227="v"),H227," ")</f>
        <v> </v>
      </c>
      <c r="AD227" s="46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46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46" t="str">
        <f aca="false">IF((E228="v"),H228," ")</f>
        <v> </v>
      </c>
      <c r="AD228" s="46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46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46" t="str">
        <f aca="false">IF((E229="v"),H229," ")</f>
        <v> </v>
      </c>
      <c r="AD229" s="46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46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46" t="str">
        <f aca="false">IF((E230="v"),H230," ")</f>
        <v> </v>
      </c>
      <c r="AD230" s="46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46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46" t="str">
        <f aca="false">IF((E231="v"),H231," ")</f>
        <v> </v>
      </c>
      <c r="AD231" s="46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46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46" t="str">
        <f aca="false">IF((E232="v"),H232," ")</f>
        <v> </v>
      </c>
      <c r="AD232" s="46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46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46" t="str">
        <f aca="false">IF((E233="v"),H233," ")</f>
        <v> </v>
      </c>
      <c r="AD233" s="46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46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46" t="str">
        <f aca="false">IF((E234="v"),H234," ")</f>
        <v> </v>
      </c>
      <c r="AD234" s="46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46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46" t="str">
        <f aca="false">IF((E235="v"),H235," ")</f>
        <v> </v>
      </c>
      <c r="AD235" s="46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46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46" t="str">
        <f aca="false">IF((E236="v"),H236," ")</f>
        <v> </v>
      </c>
      <c r="AD236" s="46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46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46" t="str">
        <f aca="false">IF((E237="v"),H237," ")</f>
        <v> </v>
      </c>
      <c r="AD237" s="46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46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46" t="str">
        <f aca="false">IF((E238="v"),H238," ")</f>
        <v> </v>
      </c>
      <c r="AD238" s="46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46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46" t="str">
        <f aca="false">IF((E239="v"),H239," ")</f>
        <v> </v>
      </c>
      <c r="AD239" s="46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46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46" t="str">
        <f aca="false">IF((E240="v"),H240," ")</f>
        <v> </v>
      </c>
      <c r="AD240" s="46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46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46" t="str">
        <f aca="false">IF((E241="v"),H241," ")</f>
        <v> </v>
      </c>
      <c r="AD241" s="46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46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46" t="str">
        <f aca="false">IF((E242="v"),H242," ")</f>
        <v> </v>
      </c>
      <c r="AD242" s="46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46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46" t="str">
        <f aca="false">IF((E243="v"),H243," ")</f>
        <v> </v>
      </c>
      <c r="AD243" s="46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46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46" t="str">
        <f aca="false">IF((E244="v"),H244," ")</f>
        <v> </v>
      </c>
      <c r="AD244" s="46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46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46" t="str">
        <f aca="false">IF((E245="v"),H245," ")</f>
        <v> </v>
      </c>
      <c r="AD245" s="46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46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46" t="str">
        <f aca="false">IF((E246="v"),H246," ")</f>
        <v> </v>
      </c>
      <c r="AD246" s="46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46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46" t="str">
        <f aca="false">IF((E247="v"),H247," ")</f>
        <v> </v>
      </c>
      <c r="AD247" s="46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46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46" t="str">
        <f aca="false">IF((E248="v"),H248," ")</f>
        <v> </v>
      </c>
      <c r="AD248" s="46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46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46" t="str">
        <f aca="false">IF((E249="v"),H249," ")</f>
        <v> </v>
      </c>
      <c r="AD249" s="46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46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46" t="str">
        <f aca="false">IF((E250="v"),H250," ")</f>
        <v> </v>
      </c>
      <c r="AD250" s="46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46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46" t="str">
        <f aca="false">IF((E251="v"),H251," ")</f>
        <v> </v>
      </c>
      <c r="AD251" s="46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46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46" t="str">
        <f aca="false">IF((E252="v"),H252," ")</f>
        <v> </v>
      </c>
      <c r="AD252" s="46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46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46" t="str">
        <f aca="false">IF((E253="v"),H253," ")</f>
        <v> </v>
      </c>
      <c r="AD253" s="46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46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46" t="str">
        <f aca="false">IF((E254="v"),H254," ")</f>
        <v> </v>
      </c>
      <c r="AD254" s="46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46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46" t="str">
        <f aca="false">IF((E255="v"),H255," ")</f>
        <v> </v>
      </c>
      <c r="AD255" s="46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46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46" t="str">
        <f aca="false">IF((E256="v"),H256," ")</f>
        <v> </v>
      </c>
      <c r="AD256" s="46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46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46" t="str">
        <f aca="false">IF((E257="v"),H257," ")</f>
        <v> </v>
      </c>
      <c r="AD257" s="46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46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46" t="str">
        <f aca="false">IF((E258="v"),H258," ")</f>
        <v> </v>
      </c>
      <c r="AD258" s="46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46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46" t="str">
        <f aca="false">IF((E259="v"),H259," ")</f>
        <v> </v>
      </c>
      <c r="AD259" s="46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46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46" t="str">
        <f aca="false">IF((E260="v"),H260," ")</f>
        <v> </v>
      </c>
      <c r="AD260" s="46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46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46" t="str">
        <f aca="false">IF((E261="v"),H261," ")</f>
        <v> </v>
      </c>
      <c r="AD261" s="46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46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46" t="str">
        <f aca="false">IF((E262="v"),H262," ")</f>
        <v> </v>
      </c>
      <c r="AD262" s="46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46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46" t="str">
        <f aca="false">IF((E263="v"),H263," ")</f>
        <v> </v>
      </c>
      <c r="AD263" s="46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46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46" t="str">
        <f aca="false">IF((E264="v"),H264," ")</f>
        <v> </v>
      </c>
      <c r="AD264" s="46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46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46" t="str">
        <f aca="false">IF((E265="v"),H265," ")</f>
        <v> </v>
      </c>
      <c r="AD265" s="46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46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46" t="str">
        <f aca="false">IF((E266="v"),H266," ")</f>
        <v> </v>
      </c>
      <c r="AD266" s="46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46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46" t="str">
        <f aca="false">IF((E267="v"),H267," ")</f>
        <v> </v>
      </c>
      <c r="AD267" s="46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46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46" t="str">
        <f aca="false">IF((E268="v"),H268," ")</f>
        <v> </v>
      </c>
      <c r="AD268" s="46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46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46" t="str">
        <f aca="false">IF((E269="v"),H269," ")</f>
        <v> </v>
      </c>
      <c r="AD269" s="46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46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46" t="str">
        <f aca="false">IF((E270="v"),H270," ")</f>
        <v> </v>
      </c>
      <c r="AD270" s="46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46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46" t="str">
        <f aca="false">IF((E271="v"),H271," ")</f>
        <v> </v>
      </c>
      <c r="AD271" s="46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46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46" t="str">
        <f aca="false">IF((E272="v"),H272," ")</f>
        <v> </v>
      </c>
      <c r="AD272" s="46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46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46" t="str">
        <f aca="false">IF((E273="v"),H273," ")</f>
        <v> </v>
      </c>
      <c r="AD273" s="46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46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46" t="str">
        <f aca="false">IF((E274="v"),H274," ")</f>
        <v> </v>
      </c>
      <c r="AD274" s="46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46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46" t="str">
        <f aca="false">IF((E275="v"),H275," ")</f>
        <v> </v>
      </c>
      <c r="AD275" s="46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46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46" t="str">
        <f aca="false">IF((E276="v"),H276," ")</f>
        <v> </v>
      </c>
      <c r="AD276" s="46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46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46" t="str">
        <f aca="false">IF((E277="v"),H277," ")</f>
        <v> </v>
      </c>
      <c r="AD277" s="46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46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46" t="str">
        <f aca="false">IF((E278="v"),H278," ")</f>
        <v> </v>
      </c>
      <c r="AD278" s="46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46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46" t="str">
        <f aca="false">IF((E279="v"),H279," ")</f>
        <v> </v>
      </c>
      <c r="AD279" s="46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46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46" t="str">
        <f aca="false">IF((E280="v"),H280," ")</f>
        <v> </v>
      </c>
      <c r="AD280" s="46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46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46" t="str">
        <f aca="false">IF((E281="v"),H281," ")</f>
        <v> </v>
      </c>
      <c r="AD281" s="46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46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46" t="str">
        <f aca="false">IF((E282="v"),H282," ")</f>
        <v> </v>
      </c>
      <c r="AD282" s="46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46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46" t="str">
        <f aca="false">IF((E283="v"),H283," ")</f>
        <v> </v>
      </c>
      <c r="AD283" s="46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46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46" t="str">
        <f aca="false">IF((E284="v"),H284," ")</f>
        <v> </v>
      </c>
      <c r="AD284" s="46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46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46" t="str">
        <f aca="false">IF((E285="v"),H285," ")</f>
        <v> </v>
      </c>
      <c r="AD285" s="46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46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46" t="str">
        <f aca="false">IF((E286="v"),H286," ")</f>
        <v> </v>
      </c>
      <c r="AD286" s="46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46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46" t="str">
        <f aca="false">IF((E287="v"),H287," ")</f>
        <v> </v>
      </c>
      <c r="AD287" s="46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46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46" t="str">
        <f aca="false">IF((E288="v"),H288," ")</f>
        <v> </v>
      </c>
      <c r="AD288" s="46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46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46" t="str">
        <f aca="false">IF((E289="v"),H289," ")</f>
        <v> </v>
      </c>
      <c r="AD289" s="46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46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46" t="str">
        <f aca="false">IF((E290="v"),H290," ")</f>
        <v> </v>
      </c>
      <c r="AD290" s="46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46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46" t="str">
        <f aca="false">IF((E291="v"),H291," ")</f>
        <v> </v>
      </c>
      <c r="AD291" s="46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46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46" t="str">
        <f aca="false">IF((E292="v"),H292," ")</f>
        <v> </v>
      </c>
      <c r="AD292" s="46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46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46" t="str">
        <f aca="false">IF((E293="v"),H293," ")</f>
        <v> </v>
      </c>
      <c r="AD293" s="46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46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46" t="str">
        <f aca="false">IF((E294="v"),H294," ")</f>
        <v> </v>
      </c>
      <c r="AD294" s="46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46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46" t="str">
        <f aca="false">IF((E295="v"),H295," ")</f>
        <v> </v>
      </c>
      <c r="AD295" s="46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46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46" t="str">
        <f aca="false">IF((E296="v"),H296," ")</f>
        <v> </v>
      </c>
      <c r="AD296" s="46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46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46" t="str">
        <f aca="false">IF((E297="v"),H297," ")</f>
        <v> </v>
      </c>
      <c r="AD297" s="46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46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46" t="str">
        <f aca="false">IF((E298="v"),H298," ")</f>
        <v> </v>
      </c>
      <c r="AD298" s="46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46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46" t="str">
        <f aca="false">IF((E299="v"),H299," ")</f>
        <v> </v>
      </c>
      <c r="AD299" s="46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</row>
    <row r="300" customFormat="false" ht="12" hidden="false" customHeight="false" outlineLevel="0" collapsed="false">
      <c r="A300" s="31"/>
      <c r="B300" s="32"/>
      <c r="C300" s="33"/>
      <c r="D300" s="32"/>
      <c r="E300" s="47" t="str">
        <f aca="false">IF((F300&lt;&gt;0),"Enter Letter"," ")</f>
        <v> </v>
      </c>
      <c r="F300" s="48"/>
      <c r="G300" s="35" t="str">
        <f aca="false">IF(F300&lt;&gt;0,F300*G$2/(100+G$2)," ")</f>
        <v> </v>
      </c>
      <c r="H300" s="35" t="str">
        <f aca="false">IF((F300&lt;&gt;0),F300-G300," ")</f>
        <v> </v>
      </c>
      <c r="I300" s="49"/>
      <c r="J300" s="35"/>
      <c r="K300" s="35"/>
      <c r="L300" s="36" t="str">
        <f aca="false">IF(F300&lt;&gt;0,F300-K300," ")</f>
        <v> </v>
      </c>
      <c r="M300" s="37" t="str">
        <f aca="false">IF((F300-K300)&lt;&gt;0,M$1-A300," ")</f>
        <v> </v>
      </c>
      <c r="N300" s="49"/>
      <c r="O300" s="50" t="str">
        <f aca="false">IF((E300="s"),H300," ")</f>
        <v> </v>
      </c>
      <c r="P300" s="50" t="str">
        <f aca="false">IF((E300="c"),H300," ")</f>
        <v> </v>
      </c>
      <c r="Q300" s="50" t="str">
        <f aca="false">IF((E300="o"),H300," ")</f>
        <v> </v>
      </c>
      <c r="R300" s="50" t="str">
        <f aca="false">IF((E300="d"),H300," ")</f>
        <v> </v>
      </c>
      <c r="S300" s="50" t="str">
        <f aca="false">IF((E300="w"),H300," ")</f>
        <v> </v>
      </c>
      <c r="T300" s="50" t="str">
        <f aca="false">IF((E300="r"),H300," ")</f>
        <v> </v>
      </c>
      <c r="U300" s="50" t="str">
        <f aca="false">IF((E300="p"),H300," ")</f>
        <v> </v>
      </c>
      <c r="V300" s="50" t="str">
        <f aca="false">IF((E300="t"),H300," ")</f>
        <v> </v>
      </c>
      <c r="W300" s="50" t="str">
        <f aca="false">IF((E300="q"),H300," ")</f>
        <v> </v>
      </c>
      <c r="X300" s="50" t="str">
        <f aca="false">IF((E300="m"),H300," ")</f>
        <v> </v>
      </c>
      <c r="Y300" s="50" t="str">
        <f aca="false">IF((E300="u"),H300," ")</f>
        <v> </v>
      </c>
      <c r="Z300" s="50" t="str">
        <f aca="false">IF((E300="a"),H300," ")</f>
        <v> </v>
      </c>
      <c r="AA300" s="50" t="str">
        <f aca="false">IF((E300="g"),H300," ")</f>
        <v> </v>
      </c>
      <c r="AB300" s="50" t="str">
        <f aca="false">IF((E300="h"),H300," ")</f>
        <v> </v>
      </c>
      <c r="AC300" s="48" t="str">
        <f aca="false">IF((E300="v"),H300," ")</f>
        <v> </v>
      </c>
      <c r="AD300" s="48" t="str">
        <f aca="false">IF((E300="n"),H300," ")</f>
        <v> </v>
      </c>
      <c r="AE300" s="50" t="str">
        <f aca="false">IF((E300="f"),H300," ")</f>
        <v> </v>
      </c>
      <c r="AF300" s="50" t="str">
        <f aca="false">IF((E300="l"),H300," ")</f>
        <v> </v>
      </c>
      <c r="AG300" s="50" t="str">
        <f aca="false">IF((E300="y"),H300," ")</f>
        <v> </v>
      </c>
      <c r="AH300" s="50" t="str">
        <f aca="false">IF((E300="z"),H300," ")</f>
        <v> </v>
      </c>
      <c r="AI300" s="50" t="str">
        <f aca="false">IF((E300="fa"),H300," ")</f>
        <v> </v>
      </c>
      <c r="AJ300" s="50"/>
      <c r="AK300" s="50"/>
      <c r="AL300" s="50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99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8" width="10.5"/>
    <col collapsed="false" customWidth="true" hidden="false" outlineLevel="0" max="35" min="31" style="17" width="10.5"/>
    <col collapsed="false" customWidth="true" hidden="false" outlineLevel="0" max="36" min="36" style="17" width="0.82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s="17" customFormat="true" ht="12.75" hidden="false" customHeight="true" outlineLevel="0" collapsed="false">
      <c r="A1" s="39" t="n">
        <f aca="false">F1-G1-SUM(O1:AI1)</f>
        <v>0</v>
      </c>
      <c r="B1" s="40" t="s">
        <v>22</v>
      </c>
      <c r="C1" s="20" t="s">
        <v>5</v>
      </c>
      <c r="D1" s="41" t="s">
        <v>23</v>
      </c>
      <c r="E1" s="41"/>
      <c r="F1" s="12" t="n">
        <f aca="false">SUM(F5:F300)</f>
        <v>9978.25</v>
      </c>
      <c r="G1" s="12" t="n">
        <f aca="false">SUM(G5:G300)</f>
        <v>0</v>
      </c>
      <c r="H1" s="12" t="n">
        <f aca="false">SUM(H5:H300)</f>
        <v>9978.25</v>
      </c>
      <c r="I1" s="13"/>
      <c r="J1" s="14" t="s">
        <v>2</v>
      </c>
      <c r="K1" s="15" t="n">
        <f aca="false">SUM(K5:K300)</f>
        <v>0</v>
      </c>
      <c r="L1" s="15" t="n">
        <f aca="false">SUM(L5:L300)</f>
        <v>9978.25</v>
      </c>
      <c r="M1" s="16" t="n">
        <f aca="true">TODAY()</f>
        <v>46137</v>
      </c>
      <c r="N1" s="13"/>
      <c r="O1" s="12" t="n">
        <f aca="false">SUM(O5:O300)</f>
        <v>600</v>
      </c>
      <c r="P1" s="12" t="n">
        <f aca="false">SUM(P5:P300)</f>
        <v>0</v>
      </c>
      <c r="Q1" s="12" t="n">
        <f aca="false">SUM(Q5:Q300)</f>
        <v>249</v>
      </c>
      <c r="R1" s="12" t="n">
        <f aca="false">SUM(R5:R300)</f>
        <v>5000</v>
      </c>
      <c r="S1" s="12" t="n">
        <f aca="false">SUM(S5:S300)</f>
        <v>0</v>
      </c>
      <c r="T1" s="12" t="n">
        <f aca="false">SUM(T5:T300)</f>
        <v>1200</v>
      </c>
      <c r="U1" s="12" t="n">
        <f aca="false">SUM(U5:U300)</f>
        <v>0</v>
      </c>
      <c r="V1" s="12" t="n">
        <f aca="false">SUM(V5:V300)</f>
        <v>180</v>
      </c>
      <c r="W1" s="12" t="n">
        <f aca="false">SUM(W5:W300)</f>
        <v>180</v>
      </c>
      <c r="X1" s="12" t="n">
        <f aca="false">SUM(X5:X300)</f>
        <v>144</v>
      </c>
      <c r="Y1" s="12" t="n">
        <f aca="false">SUM(Y5:Y300)</f>
        <v>115</v>
      </c>
      <c r="Z1" s="12" t="n">
        <f aca="false">SUM(Z5:Z300)</f>
        <v>480</v>
      </c>
      <c r="AA1" s="12" t="n">
        <f aca="false">SUM(AA5:AA300)</f>
        <v>153</v>
      </c>
      <c r="AB1" s="12" t="n">
        <f aca="false">SUM(AB5:AB300)</f>
        <v>92</v>
      </c>
      <c r="AC1" s="12" t="n">
        <f aca="false">SUM(AC5:AC300)</f>
        <v>638.25</v>
      </c>
      <c r="AD1" s="12" t="n">
        <f aca="false">SUM(AD5:AD300)</f>
        <v>0</v>
      </c>
      <c r="AE1" s="12" t="n">
        <f aca="false">SUM(AE5:AE300)</f>
        <v>180</v>
      </c>
      <c r="AF1" s="12" t="n">
        <f aca="false">SUM(AF5:AF300)</f>
        <v>767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0</v>
      </c>
      <c r="AJ1" s="42"/>
      <c r="AK1" s="12" t="n">
        <f aca="false">SUM(AK5:AK300)</f>
        <v>0</v>
      </c>
      <c r="AL1" s="43"/>
    </row>
    <row r="2" s="17" customFormat="tru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IF([2]Mar!$G$4&gt;0,0,[2]Mar!$G$2)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42"/>
      <c r="AK2" s="19" t="s">
        <v>43</v>
      </c>
      <c r="AL2" s="19"/>
    </row>
    <row r="3" s="26" customFormat="tru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44</v>
      </c>
      <c r="P3" s="21" t="s">
        <v>45</v>
      </c>
      <c r="Q3" s="21" t="s">
        <v>46</v>
      </c>
      <c r="R3" s="19"/>
      <c r="S3" s="19"/>
      <c r="T3" s="21" t="s">
        <v>47</v>
      </c>
      <c r="U3" s="21" t="s">
        <v>48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42"/>
      <c r="AK3" s="19" t="s">
        <v>49</v>
      </c>
      <c r="AL3" s="19"/>
    </row>
    <row r="4" s="27" customFormat="tru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50</v>
      </c>
      <c r="P4" s="44" t="s">
        <v>51</v>
      </c>
      <c r="Q4" s="44" t="s">
        <v>52</v>
      </c>
      <c r="R4" s="44" t="s">
        <v>53</v>
      </c>
      <c r="S4" s="44" t="s">
        <v>54</v>
      </c>
      <c r="T4" s="44" t="s">
        <v>55</v>
      </c>
      <c r="U4" s="44" t="s">
        <v>56</v>
      </c>
      <c r="V4" s="44" t="s">
        <v>57</v>
      </c>
      <c r="W4" s="44" t="s">
        <v>58</v>
      </c>
      <c r="X4" s="44" t="s">
        <v>59</v>
      </c>
      <c r="Y4" s="44" t="s">
        <v>60</v>
      </c>
      <c r="Z4" s="44" t="s">
        <v>61</v>
      </c>
      <c r="AA4" s="44" t="s">
        <v>62</v>
      </c>
      <c r="AB4" s="44" t="s">
        <v>63</v>
      </c>
      <c r="AC4" s="45" t="s">
        <v>64</v>
      </c>
      <c r="AD4" s="45" t="s">
        <v>65</v>
      </c>
      <c r="AE4" s="44" t="s">
        <v>66</v>
      </c>
      <c r="AF4" s="44" t="s">
        <v>67</v>
      </c>
      <c r="AG4" s="44" t="s">
        <v>68</v>
      </c>
      <c r="AH4" s="44" t="s">
        <v>69</v>
      </c>
      <c r="AI4" s="44" t="s">
        <v>70</v>
      </c>
      <c r="AJ4" s="42"/>
      <c r="AK4" s="19" t="s">
        <v>71</v>
      </c>
      <c r="AL4" s="19" t="s">
        <v>72</v>
      </c>
    </row>
    <row r="5" s="5" customFormat="true" ht="12" hidden="false" customHeight="false" outlineLevel="0" collapsed="false">
      <c r="A5" s="28" t="n">
        <v>46084</v>
      </c>
      <c r="B5" s="5" t="s">
        <v>16</v>
      </c>
      <c r="E5" s="5" t="s">
        <v>110</v>
      </c>
      <c r="F5" s="46" t="n">
        <v>300</v>
      </c>
      <c r="H5" s="6" t="n">
        <f aca="false">IF((F5&lt;&gt;0),F5-G5," ")</f>
        <v>300</v>
      </c>
      <c r="J5" s="6"/>
      <c r="K5" s="6"/>
      <c r="L5" s="7" t="n">
        <f aca="false">IF(F5&lt;&gt;0,F5-K5," ")</f>
        <v>300</v>
      </c>
      <c r="M5" s="8" t="n">
        <f aca="false">IF((F5-K5)&lt;&gt;0,M$1-A5," ")</f>
        <v>53</v>
      </c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str">
        <f aca="false">IF((E5="r"),H5," ")</f>
        <v> 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46" t="str">
        <f aca="false">IF((E5="v"),H5," ")</f>
        <v> </v>
      </c>
      <c r="AD5" s="46" t="str">
        <f aca="false">IF((E5="n"),H5," ")</f>
        <v> </v>
      </c>
      <c r="AE5" s="17" t="str">
        <f aca="false">IF((E5="f"),H5," ")</f>
        <v> </v>
      </c>
      <c r="AF5" s="17" t="n">
        <f aca="false">IF((E5="l"),H5," ")</f>
        <v>300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/>
      <c r="AK5" s="17"/>
      <c r="AL5" s="17"/>
    </row>
    <row r="6" customFormat="false" ht="12" hidden="false" customHeight="false" outlineLevel="0" collapsed="false">
      <c r="A6" s="28" t="n">
        <v>46084</v>
      </c>
      <c r="B6" s="2" t="s">
        <v>147</v>
      </c>
      <c r="E6" s="5" t="s">
        <v>148</v>
      </c>
      <c r="F6" s="46" t="n">
        <v>5000</v>
      </c>
      <c r="H6" s="6" t="n">
        <f aca="false">IF((F6&lt;&gt;0),F6-G6," ")</f>
        <v>5000</v>
      </c>
      <c r="I6" s="5"/>
      <c r="L6" s="7" t="n">
        <f aca="false">IF(F6&lt;&gt;0,F6-K6," ")</f>
        <v>5000</v>
      </c>
      <c r="M6" s="8" t="n">
        <f aca="false">IF((F6-K6)&lt;&gt;0,M$1-A6," ")</f>
        <v>53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n">
        <f aca="false">IF((E6="d"),H6," ")</f>
        <v>5000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str">
        <f aca="false">IF((E6="g"),H6," ")</f>
        <v> </v>
      </c>
      <c r="AB6" s="17" t="str">
        <f aca="false">IF((E6="h"),H6," ")</f>
        <v> </v>
      </c>
      <c r="AC6" s="46" t="str">
        <f aca="false">IF((E6="v"),H6," ")</f>
        <v> </v>
      </c>
      <c r="AD6" s="46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</row>
    <row r="7" customFormat="false" ht="12" hidden="false" customHeight="false" outlineLevel="0" collapsed="false">
      <c r="A7" s="28" t="n">
        <v>46084</v>
      </c>
      <c r="B7" s="2" t="s">
        <v>131</v>
      </c>
      <c r="E7" s="5" t="s">
        <v>110</v>
      </c>
      <c r="F7" s="46" t="n">
        <v>167</v>
      </c>
      <c r="H7" s="6" t="n">
        <f aca="false">IF((F7&lt;&gt;0),F7-G7," ")</f>
        <v>167</v>
      </c>
      <c r="I7" s="5"/>
      <c r="L7" s="7" t="n">
        <f aca="false">IF(F7&lt;&gt;0,F7-K7," ")</f>
        <v>167</v>
      </c>
      <c r="M7" s="8" t="n">
        <f aca="false">IF((F7-K7)&lt;&gt;0,M$1-A7," ")</f>
        <v>53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str">
        <f aca="false">IF((E7="g"),H7," ")</f>
        <v> </v>
      </c>
      <c r="AB7" s="17" t="str">
        <f aca="false">IF((E7="h"),H7," ")</f>
        <v> </v>
      </c>
      <c r="AC7" s="46" t="str">
        <f aca="false">IF((E7="v"),H7," ")</f>
        <v> </v>
      </c>
      <c r="AD7" s="46" t="str">
        <f aca="false">IF((E7="n"),H7," ")</f>
        <v> </v>
      </c>
      <c r="AE7" s="17" t="str">
        <f aca="false">IF((E7="f"),H7," ")</f>
        <v> </v>
      </c>
      <c r="AF7" s="17" t="n">
        <f aca="false">IF((E7="l"),H7," ")</f>
        <v>167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</row>
    <row r="8" customFormat="false" ht="12" hidden="false" customHeight="false" outlineLevel="0" collapsed="false">
      <c r="A8" s="28" t="n">
        <v>46082</v>
      </c>
      <c r="B8" s="2" t="s">
        <v>14</v>
      </c>
      <c r="E8" s="5" t="s">
        <v>73</v>
      </c>
      <c r="F8" s="46" t="n">
        <v>1200</v>
      </c>
      <c r="H8" s="6" t="n">
        <f aca="false">IF((F8&lt;&gt;0),F8-G8," ")</f>
        <v>1200</v>
      </c>
      <c r="I8" s="5"/>
      <c r="L8" s="7" t="n">
        <f aca="false">IF(F8&lt;&gt;0,F8-K8," ")</f>
        <v>1200</v>
      </c>
      <c r="M8" s="8" t="n">
        <f aca="false">IF((F8-K8)&lt;&gt;0,M$1-A8," ")</f>
        <v>55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str">
        <f aca="false">IF((E8="o"),H8," ")</f>
        <v> </v>
      </c>
      <c r="R8" s="17" t="str">
        <f aca="false">IF((E8="d"),H8," ")</f>
        <v> </v>
      </c>
      <c r="S8" s="17" t="str">
        <f aca="false">IF((E8="w"),H8," ")</f>
        <v> </v>
      </c>
      <c r="T8" s="17" t="n">
        <f aca="false">IF((E8="r"),H8," ")</f>
        <v>1200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46" t="str">
        <f aca="false">IF((E8="v"),H8," ")</f>
        <v> </v>
      </c>
      <c r="AD8" s="46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</row>
    <row r="9" customFormat="false" ht="12" hidden="false" customHeight="false" outlineLevel="0" collapsed="false">
      <c r="A9" s="28" t="n">
        <v>46082</v>
      </c>
      <c r="B9" s="2" t="s">
        <v>74</v>
      </c>
      <c r="E9" s="5" t="s">
        <v>75</v>
      </c>
      <c r="F9" s="46" t="n">
        <v>30</v>
      </c>
      <c r="H9" s="6" t="n">
        <f aca="false">IF((F9&lt;&gt;0),F9-G9," ")</f>
        <v>30</v>
      </c>
      <c r="I9" s="5"/>
      <c r="L9" s="7" t="n">
        <f aca="false">IF(F9&lt;&gt;0,F9-K9," ")</f>
        <v>30</v>
      </c>
      <c r="M9" s="8" t="n">
        <f aca="false">IF((F9-K9)&lt;&gt;0,M$1-A9," ")</f>
        <v>55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str">
        <f aca="false">IF((E9="o"),H9," ")</f>
        <v> 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n">
        <f aca="false">IF((E9="g"),H9," ")</f>
        <v>30</v>
      </c>
      <c r="AB9" s="17" t="str">
        <f aca="false">IF((E9="h"),H9," ")</f>
        <v> </v>
      </c>
      <c r="AC9" s="46" t="str">
        <f aca="false">IF((E9="v"),H9," ")</f>
        <v> </v>
      </c>
      <c r="AD9" s="46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</row>
    <row r="10" customFormat="false" ht="12" hidden="false" customHeight="false" outlineLevel="0" collapsed="false">
      <c r="A10" s="28" t="n">
        <v>46082</v>
      </c>
      <c r="B10" s="2" t="s">
        <v>76</v>
      </c>
      <c r="E10" s="5" t="s">
        <v>75</v>
      </c>
      <c r="F10" s="46" t="n">
        <v>15</v>
      </c>
      <c r="H10" s="6" t="n">
        <f aca="false">IF((F10&lt;&gt;0),F10-G10," ")</f>
        <v>15</v>
      </c>
      <c r="I10" s="5"/>
      <c r="L10" s="7" t="n">
        <f aca="false">IF(F10&lt;&gt;0,F10-K10," ")</f>
        <v>15</v>
      </c>
      <c r="M10" s="8" t="n">
        <f aca="false">IF((F10-K10)&lt;&gt;0,M$1-A10," ")</f>
        <v>55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str">
        <f aca="false">IF((E10="o"),H10," ")</f>
        <v> 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n">
        <f aca="false">IF((E10="g"),H10," ")</f>
        <v>15</v>
      </c>
      <c r="AB10" s="17" t="str">
        <f aca="false">IF((E10="h"),H10," ")</f>
        <v> </v>
      </c>
      <c r="AC10" s="46" t="str">
        <f aca="false">IF((E10="v"),H10," ")</f>
        <v> </v>
      </c>
      <c r="AD10" s="46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</row>
    <row r="11" customFormat="false" ht="12" hidden="false" customHeight="false" outlineLevel="0" collapsed="false">
      <c r="A11" s="28" t="n">
        <v>46082</v>
      </c>
      <c r="B11" s="2" t="s">
        <v>77</v>
      </c>
      <c r="E11" s="5" t="s">
        <v>78</v>
      </c>
      <c r="F11" s="46" t="n">
        <v>45</v>
      </c>
      <c r="H11" s="6" t="n">
        <f aca="false">IF((F11&lt;&gt;0),F11-G11," ")</f>
        <v>45</v>
      </c>
      <c r="I11" s="5"/>
      <c r="L11" s="7" t="n">
        <f aca="false">IF(F11&lt;&gt;0,F11-K11," ")</f>
        <v>45</v>
      </c>
      <c r="M11" s="8" t="n">
        <f aca="false">IF((F11-K11)&lt;&gt;0,M$1-A11," ")</f>
        <v>55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n">
        <f aca="false">IF((E11="o"),H11," ")</f>
        <v>45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str">
        <f aca="false">IF((E11="g"),H11," ")</f>
        <v> </v>
      </c>
      <c r="AB11" s="17" t="str">
        <f aca="false">IF((E11="h"),H11," ")</f>
        <v> </v>
      </c>
      <c r="AC11" s="46" t="str">
        <f aca="false">IF((E11="v"),H11," ")</f>
        <v> </v>
      </c>
      <c r="AD11" s="46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</row>
    <row r="12" customFormat="false" ht="12" hidden="false" customHeight="false" outlineLevel="0" collapsed="false">
      <c r="A12" s="28" t="n">
        <v>46082</v>
      </c>
      <c r="B12" s="2" t="s">
        <v>81</v>
      </c>
      <c r="E12" s="5" t="s">
        <v>78</v>
      </c>
      <c r="F12" s="46" t="n">
        <v>24</v>
      </c>
      <c r="H12" s="6" t="n">
        <f aca="false">IF((F12&lt;&gt;0),F12-G12," ")</f>
        <v>24</v>
      </c>
      <c r="I12" s="5"/>
      <c r="L12" s="7" t="n">
        <f aca="false">IF(F12&lt;&gt;0,F12-K12," ")</f>
        <v>24</v>
      </c>
      <c r="M12" s="8" t="n">
        <f aca="false">IF((F12-K12)&lt;&gt;0,M$1-A12," ")</f>
        <v>55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n">
        <f aca="false">IF((E12="o"),H12," ")</f>
        <v>24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str">
        <f aca="false">IF((E12="u"),H12," ")</f>
        <v> 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46" t="str">
        <f aca="false">IF((E12="v"),H12," ")</f>
        <v> </v>
      </c>
      <c r="AD12" s="46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</row>
    <row r="13" customFormat="false" ht="12" hidden="false" customHeight="false" outlineLevel="0" collapsed="false">
      <c r="A13" s="28" t="n">
        <v>46082</v>
      </c>
      <c r="B13" s="2" t="s">
        <v>82</v>
      </c>
      <c r="E13" s="5" t="s">
        <v>75</v>
      </c>
      <c r="F13" s="46" t="n">
        <v>18</v>
      </c>
      <c r="H13" s="6" t="n">
        <f aca="false">IF((F13&lt;&gt;0),F13-G13," ")</f>
        <v>18</v>
      </c>
      <c r="I13" s="5"/>
      <c r="L13" s="7" t="n">
        <f aca="false">IF(F13&lt;&gt;0,F13-K13," ")</f>
        <v>18</v>
      </c>
      <c r="M13" s="8" t="n">
        <f aca="false">IF((F13-K13)&lt;&gt;0,M$1-A13," ")</f>
        <v>55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str">
        <f aca="false">IF((E13="u"),H13," ")</f>
        <v> </v>
      </c>
      <c r="Z13" s="17" t="str">
        <f aca="false">IF((E13="a"),H13," ")</f>
        <v> </v>
      </c>
      <c r="AA13" s="17" t="n">
        <f aca="false">IF((E13="g"),H13," ")</f>
        <v>18</v>
      </c>
      <c r="AB13" s="17" t="str">
        <f aca="false">IF((E13="h"),H13," ")</f>
        <v> </v>
      </c>
      <c r="AC13" s="46" t="str">
        <f aca="false">IF((E13="v"),H13," ")</f>
        <v> </v>
      </c>
      <c r="AD13" s="46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</row>
    <row r="14" customFormat="false" ht="12" hidden="false" customHeight="false" outlineLevel="0" collapsed="false">
      <c r="A14" s="28" t="n">
        <v>46084</v>
      </c>
      <c r="B14" s="2" t="s">
        <v>83</v>
      </c>
      <c r="E14" s="5" t="s">
        <v>78</v>
      </c>
      <c r="F14" s="46" t="n">
        <v>180</v>
      </c>
      <c r="H14" s="6" t="n">
        <f aca="false">IF((F14&lt;&gt;0),F14-G14," ")</f>
        <v>180</v>
      </c>
      <c r="I14" s="5"/>
      <c r="L14" s="7" t="n">
        <f aca="false">IF(F14&lt;&gt;0,F14-K14," ")</f>
        <v>180</v>
      </c>
      <c r="M14" s="8" t="n">
        <f aca="false">IF((F14-K14)&lt;&gt;0,M$1-A14," ")</f>
        <v>53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n">
        <f aca="false">IF((E14="o"),H14," ")</f>
        <v>180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str">
        <f aca="false">IF((E14="u"),H14," ")</f>
        <v> 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46" t="str">
        <f aca="false">IF((E14="v"),H14," ")</f>
        <v> </v>
      </c>
      <c r="AD14" s="46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</row>
    <row r="15" customFormat="false" ht="12" hidden="false" customHeight="false" outlineLevel="0" collapsed="false">
      <c r="A15" s="28" t="n">
        <v>46084</v>
      </c>
      <c r="B15" s="2" t="s">
        <v>84</v>
      </c>
      <c r="E15" s="5" t="s">
        <v>85</v>
      </c>
      <c r="F15" s="46" t="n">
        <v>22</v>
      </c>
      <c r="H15" s="6" t="n">
        <f aca="false">IF((F15&lt;&gt;0),F15-G15," ")</f>
        <v>22</v>
      </c>
      <c r="I15" s="5"/>
      <c r="L15" s="7" t="n">
        <f aca="false">IF(F15&lt;&gt;0,F15-K15," ")</f>
        <v>22</v>
      </c>
      <c r="M15" s="8" t="n">
        <f aca="false">IF((F15-K15)&lt;&gt;0,M$1-A15," ")</f>
        <v>53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str">
        <f aca="false">IF((E15="o"),H15," ")</f>
        <v> 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n">
        <f aca="false">IF((E15="u"),H15," ")</f>
        <v>22</v>
      </c>
      <c r="Z15" s="17" t="str">
        <f aca="false">IF((E15="a"),H15," ")</f>
        <v> </v>
      </c>
      <c r="AA15" s="17" t="str">
        <f aca="false">IF((E15="g"),H15," ")</f>
        <v> </v>
      </c>
      <c r="AB15" s="17" t="str">
        <f aca="false">IF((E15="h"),H15," ")</f>
        <v> </v>
      </c>
      <c r="AC15" s="46" t="str">
        <f aca="false">IF((E15="v"),H15," ")</f>
        <v> </v>
      </c>
      <c r="AD15" s="46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</row>
    <row r="16" customFormat="false" ht="12" hidden="false" customHeight="false" outlineLevel="0" collapsed="false">
      <c r="A16" s="28" t="n">
        <v>46086</v>
      </c>
      <c r="B16" s="2" t="s">
        <v>86</v>
      </c>
      <c r="E16" s="5" t="s">
        <v>85</v>
      </c>
      <c r="F16" s="46" t="n">
        <v>24</v>
      </c>
      <c r="H16" s="6" t="n">
        <f aca="false">IF((F16&lt;&gt;0),F16-G16," ")</f>
        <v>24</v>
      </c>
      <c r="I16" s="5"/>
      <c r="L16" s="7" t="n">
        <f aca="false">IF(F16&lt;&gt;0,F16-K16," ")</f>
        <v>24</v>
      </c>
      <c r="M16" s="8" t="n">
        <f aca="false">IF((F16-K16)&lt;&gt;0,M$1-A16," ")</f>
        <v>51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n">
        <f aca="false">IF((E16="u"),H16," ")</f>
        <v>24</v>
      </c>
      <c r="Z16" s="17" t="str">
        <f aca="false">IF((E16="a"),H16," ")</f>
        <v> </v>
      </c>
      <c r="AA16" s="17" t="str">
        <f aca="false">IF((E16="g"),H16," ")</f>
        <v> </v>
      </c>
      <c r="AB16" s="17" t="str">
        <f aca="false">IF((E16="h"),H16," ")</f>
        <v> </v>
      </c>
      <c r="AC16" s="46" t="str">
        <f aca="false">IF((E16="v"),H16," ")</f>
        <v> </v>
      </c>
      <c r="AD16" s="46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</row>
    <row r="17" customFormat="false" ht="12" hidden="false" customHeight="false" outlineLevel="0" collapsed="false">
      <c r="A17" s="28" t="n">
        <v>46086</v>
      </c>
      <c r="B17" s="2" t="s">
        <v>134</v>
      </c>
      <c r="E17" s="5" t="s">
        <v>115</v>
      </c>
      <c r="F17" s="46" t="n">
        <v>480</v>
      </c>
      <c r="H17" s="6" t="n">
        <f aca="false">IF((F17&lt;&gt;0),F17-G17," ")</f>
        <v>480</v>
      </c>
      <c r="I17" s="5"/>
      <c r="L17" s="7" t="n">
        <f aca="false">IF(F17&lt;&gt;0,F17-K17," ")</f>
        <v>480</v>
      </c>
      <c r="M17" s="8" t="n">
        <f aca="false">IF((F17-K17)&lt;&gt;0,M$1-A17," ")</f>
        <v>51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str">
        <f aca="false">IF((E17="u"),H17," ")</f>
        <v> </v>
      </c>
      <c r="Z17" s="17" t="n">
        <f aca="false">IF((E17="a"),H17," ")</f>
        <v>480</v>
      </c>
      <c r="AA17" s="17" t="str">
        <f aca="false">IF((E17="g"),H17," ")</f>
        <v> </v>
      </c>
      <c r="AB17" s="17" t="str">
        <f aca="false">IF((E17="h"),H17," ")</f>
        <v> </v>
      </c>
      <c r="AC17" s="46" t="str">
        <f aca="false">IF((E17="v"),H17," ")</f>
        <v> </v>
      </c>
      <c r="AD17" s="46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</row>
    <row r="18" customFormat="false" ht="12" hidden="false" customHeight="false" outlineLevel="0" collapsed="false">
      <c r="A18" s="28" t="n">
        <v>46086</v>
      </c>
      <c r="B18" s="2" t="s">
        <v>87</v>
      </c>
      <c r="E18" s="5" t="s">
        <v>88</v>
      </c>
      <c r="F18" s="46" t="n">
        <v>180</v>
      </c>
      <c r="H18" s="6" t="n">
        <f aca="false">IF((F18&lt;&gt;0),F18-G18," ")</f>
        <v>180</v>
      </c>
      <c r="I18" s="5"/>
      <c r="L18" s="7" t="n">
        <f aca="false">IF(F18&lt;&gt;0,F18-K18," ")</f>
        <v>180</v>
      </c>
      <c r="M18" s="8" t="n">
        <f aca="false">IF((F18-K18)&lt;&gt;0,M$1-A18," ")</f>
        <v>51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str">
        <f aca="false">IF((E18="u"),H18," ")</f>
        <v> 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46" t="n">
        <f aca="false">IF((E18="v"),H18," ")</f>
        <v>180</v>
      </c>
      <c r="AD18" s="46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</row>
    <row r="19" customFormat="false" ht="12" hidden="false" customHeight="false" outlineLevel="0" collapsed="false">
      <c r="A19" s="28" t="n">
        <v>46089</v>
      </c>
      <c r="B19" s="2" t="s">
        <v>90</v>
      </c>
      <c r="E19" s="5" t="s">
        <v>91</v>
      </c>
      <c r="F19" s="46" t="n">
        <v>48</v>
      </c>
      <c r="H19" s="6" t="n">
        <f aca="false">IF((F19&lt;&gt;0),F19-G19," ")</f>
        <v>48</v>
      </c>
      <c r="I19" s="5"/>
      <c r="L19" s="7" t="n">
        <f aca="false">IF(F19&lt;&gt;0,F19-K19," ")</f>
        <v>48</v>
      </c>
      <c r="M19" s="8" t="n">
        <f aca="false">IF((F19-K19)&lt;&gt;0,M$1-A19," ")</f>
        <v>48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n">
        <f aca="false">IF((E19="h"),H19," ")</f>
        <v>48</v>
      </c>
      <c r="AC19" s="46" t="str">
        <f aca="false">IF((E19="v"),H19," ")</f>
        <v> </v>
      </c>
      <c r="AD19" s="46" t="str">
        <f aca="false">IF((E19="n"),H19," ")</f>
        <v> </v>
      </c>
      <c r="AE19" s="17" t="str">
        <f aca="false">IF((E19="f"),H19," ")</f>
        <v> 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</row>
    <row r="20" customFormat="false" ht="12" hidden="false" customHeight="false" outlineLevel="0" collapsed="false">
      <c r="A20" s="28" t="n">
        <v>46089</v>
      </c>
      <c r="B20" s="2" t="s">
        <v>112</v>
      </c>
      <c r="E20" s="5" t="s">
        <v>113</v>
      </c>
      <c r="F20" s="46" t="n">
        <v>180</v>
      </c>
      <c r="H20" s="6" t="n">
        <f aca="false">IF((F20&lt;&gt;0),F20-G20," ")</f>
        <v>180</v>
      </c>
      <c r="I20" s="5"/>
      <c r="L20" s="7" t="n">
        <f aca="false">IF(F20&lt;&gt;0,F20-K20," ")</f>
        <v>180</v>
      </c>
      <c r="M20" s="8" t="n">
        <f aca="false">IF((F20-K20)&lt;&gt;0,M$1-A20," ")</f>
        <v>48</v>
      </c>
      <c r="N20" s="5"/>
      <c r="O20" s="17" t="str">
        <f aca="false">IF((E20="s"),H20," ")</f>
        <v> 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n">
        <f aca="false">IF((E20="q"),H20," ")</f>
        <v>180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46" t="str">
        <f aca="false">IF((E20="v"),H20," ")</f>
        <v> </v>
      </c>
      <c r="AD20" s="46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</row>
    <row r="21" customFormat="false" ht="12" hidden="false" customHeight="false" outlineLevel="0" collapsed="false">
      <c r="A21" s="28" t="n">
        <v>46091</v>
      </c>
      <c r="B21" s="2" t="s">
        <v>92</v>
      </c>
      <c r="E21" s="5" t="s">
        <v>85</v>
      </c>
      <c r="F21" s="46" t="n">
        <v>36</v>
      </c>
      <c r="H21" s="6" t="n">
        <f aca="false">IF((F21&lt;&gt;0),F21-G21," ")</f>
        <v>36</v>
      </c>
      <c r="I21" s="5"/>
      <c r="L21" s="7" t="n">
        <f aca="false">IF(F21&lt;&gt;0,F21-K21," ")</f>
        <v>36</v>
      </c>
      <c r="M21" s="8" t="n">
        <f aca="false">IF((F21-K21)&lt;&gt;0,M$1-A21," ")</f>
        <v>46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n">
        <f aca="false">IF((E21="u"),H21," ")</f>
        <v>36</v>
      </c>
      <c r="Z21" s="17" t="str">
        <f aca="false">IF((E21="a"),H21," ")</f>
        <v> </v>
      </c>
      <c r="AA21" s="17" t="str">
        <f aca="false">IF((E21="g"),H21," ")</f>
        <v> </v>
      </c>
      <c r="AB21" s="17" t="str">
        <f aca="false">IF((E21="h"),H21," ")</f>
        <v> </v>
      </c>
      <c r="AC21" s="46" t="str">
        <f aca="false">IF((E21="v"),H21," ")</f>
        <v> </v>
      </c>
      <c r="AD21" s="46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</row>
    <row r="22" customFormat="false" ht="12" hidden="false" customHeight="false" outlineLevel="0" collapsed="false">
      <c r="A22" s="28" t="n">
        <v>46091</v>
      </c>
      <c r="B22" s="2" t="s">
        <v>93</v>
      </c>
      <c r="E22" s="5" t="s">
        <v>94</v>
      </c>
      <c r="F22" s="46" t="n">
        <v>180</v>
      </c>
      <c r="H22" s="6" t="n">
        <f aca="false">IF((F22&lt;&gt;0),F22-G22," ")</f>
        <v>180</v>
      </c>
      <c r="I22" s="5"/>
      <c r="L22" s="7" t="n">
        <f aca="false">IF(F22&lt;&gt;0,F22-K22," ")</f>
        <v>180</v>
      </c>
      <c r="M22" s="8" t="n">
        <f aca="false">IF((F22-K22)&lt;&gt;0,M$1-A22," ")</f>
        <v>46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str">
        <f aca="false">IF((E22="h"),H22," ")</f>
        <v> </v>
      </c>
      <c r="AC22" s="46" t="str">
        <f aca="false">IF((E22="v"),H22," ")</f>
        <v> </v>
      </c>
      <c r="AD22" s="46" t="str">
        <f aca="false">IF((E22="n"),H22," ")</f>
        <v> </v>
      </c>
      <c r="AE22" s="17" t="n">
        <f aca="false">IF((E22="f"),H22," ")</f>
        <v>180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</row>
    <row r="23" customFormat="false" ht="12" hidden="false" customHeight="false" outlineLevel="0" collapsed="false">
      <c r="A23" s="28" t="n">
        <v>46091</v>
      </c>
      <c r="B23" s="2" t="s">
        <v>95</v>
      </c>
      <c r="E23" s="5" t="s">
        <v>96</v>
      </c>
      <c r="F23" s="46" t="n">
        <v>600</v>
      </c>
      <c r="H23" s="6" t="n">
        <f aca="false">IF((F23&lt;&gt;0),F23-G23," ")</f>
        <v>600</v>
      </c>
      <c r="I23" s="5"/>
      <c r="L23" s="7" t="n">
        <f aca="false">IF(F23&lt;&gt;0,F23-K23," ")</f>
        <v>600</v>
      </c>
      <c r="M23" s="8" t="n">
        <f aca="false">IF((F23-K23)&lt;&gt;0,M$1-A23," ")</f>
        <v>46</v>
      </c>
      <c r="N23" s="5"/>
      <c r="O23" s="17" t="n">
        <f aca="false">IF((E23="s"),H23," ")</f>
        <v>600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str">
        <f aca="false">IF((E23="h"),H23," ")</f>
        <v> </v>
      </c>
      <c r="AC23" s="46" t="str">
        <f aca="false">IF((E23="v"),H23," ")</f>
        <v> </v>
      </c>
      <c r="AD23" s="46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</row>
    <row r="24" customFormat="false" ht="12" hidden="false" customHeight="false" outlineLevel="0" collapsed="false">
      <c r="A24" s="28" t="n">
        <v>46093</v>
      </c>
      <c r="B24" s="2" t="s">
        <v>97</v>
      </c>
      <c r="E24" s="5" t="s">
        <v>88</v>
      </c>
      <c r="F24" s="46" t="n">
        <v>18</v>
      </c>
      <c r="H24" s="6" t="n">
        <f aca="false">IF((F24&lt;&gt;0),F24-G24," ")</f>
        <v>18</v>
      </c>
      <c r="I24" s="5"/>
      <c r="L24" s="7" t="n">
        <f aca="false">IF(F24&lt;&gt;0,F24-K24," ")</f>
        <v>18</v>
      </c>
      <c r="M24" s="8" t="n">
        <f aca="false">IF((F24-K24)&lt;&gt;0,M$1-A24," ")</f>
        <v>44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str">
        <f aca="false">IF((E24="g"),H24," ")</f>
        <v> </v>
      </c>
      <c r="AB24" s="17" t="str">
        <f aca="false">IF((E24="h"),H24," ")</f>
        <v> </v>
      </c>
      <c r="AC24" s="46" t="n">
        <f aca="false">IF((E24="v"),H24," ")</f>
        <v>18</v>
      </c>
      <c r="AD24" s="46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</row>
    <row r="25" customFormat="false" ht="12" hidden="false" customHeight="false" outlineLevel="0" collapsed="false">
      <c r="A25" s="28" t="n">
        <v>46095</v>
      </c>
      <c r="B25" s="2" t="s">
        <v>99</v>
      </c>
      <c r="E25" s="5" t="s">
        <v>91</v>
      </c>
      <c r="F25" s="46" t="n">
        <v>24</v>
      </c>
      <c r="H25" s="6" t="n">
        <f aca="false">IF((F25&lt;&gt;0),F25-G25," ")</f>
        <v>24</v>
      </c>
      <c r="I25" s="5"/>
      <c r="L25" s="7" t="n">
        <f aca="false">IF(F25&lt;&gt;0,F25-K25," ")</f>
        <v>24</v>
      </c>
      <c r="M25" s="8" t="n">
        <f aca="false">IF((F25-K25)&lt;&gt;0,M$1-A25," ")</f>
        <v>42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str">
        <f aca="false">IF((E25="g"),H25," ")</f>
        <v> </v>
      </c>
      <c r="AB25" s="17" t="n">
        <f aca="false">IF((E25="h"),H25," ")</f>
        <v>24</v>
      </c>
      <c r="AC25" s="46" t="str">
        <f aca="false">IF((E25="v"),H25," ")</f>
        <v> </v>
      </c>
      <c r="AD25" s="46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</row>
    <row r="26" customFormat="false" ht="12" hidden="false" customHeight="false" outlineLevel="0" collapsed="false">
      <c r="A26" s="28" t="n">
        <v>46095</v>
      </c>
      <c r="B26" s="2" t="s">
        <v>100</v>
      </c>
      <c r="E26" s="5" t="s">
        <v>91</v>
      </c>
      <c r="F26" s="46" t="n">
        <v>12</v>
      </c>
      <c r="H26" s="6" t="n">
        <f aca="false">IF((F26&lt;&gt;0),F26-G26," ")</f>
        <v>12</v>
      </c>
      <c r="I26" s="5"/>
      <c r="L26" s="7" t="n">
        <f aca="false">IF(F26&lt;&gt;0,F26-K26," ")</f>
        <v>12</v>
      </c>
      <c r="M26" s="8" t="n">
        <f aca="false">IF((F26-K26)&lt;&gt;0,M$1-A26," ")</f>
        <v>42</v>
      </c>
      <c r="N26" s="5"/>
      <c r="O26" s="17" t="str">
        <f aca="false">IF((E26="s"),H26," ")</f>
        <v> 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str">
        <f aca="false">IF((E26="g"),H26," ")</f>
        <v> </v>
      </c>
      <c r="AB26" s="17" t="n">
        <f aca="false">IF((E26="h"),H26," ")</f>
        <v>12</v>
      </c>
      <c r="AC26" s="46" t="str">
        <f aca="false">IF((E26="v"),H26," ")</f>
        <v> </v>
      </c>
      <c r="AD26" s="46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</row>
    <row r="27" customFormat="false" ht="12" hidden="false" customHeight="false" outlineLevel="0" collapsed="false">
      <c r="A27" s="28" t="n">
        <v>46096</v>
      </c>
      <c r="B27" s="2" t="s">
        <v>20</v>
      </c>
      <c r="E27" s="5" t="s">
        <v>88</v>
      </c>
      <c r="F27" s="46" t="n">
        <v>150</v>
      </c>
      <c r="H27" s="6" t="n">
        <f aca="false">IF((F27&lt;&gt;0),F27-G27," ")</f>
        <v>150</v>
      </c>
      <c r="I27" s="5"/>
      <c r="L27" s="7" t="n">
        <f aca="false">IF(F27&lt;&gt;0,F27-K27," ")</f>
        <v>150</v>
      </c>
      <c r="M27" s="8" t="n">
        <f aca="false">IF((F27-K27)&lt;&gt;0,M$1-A27," ")</f>
        <v>41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str">
        <f aca="false">IF((E27="h"),H27," ")</f>
        <v> </v>
      </c>
      <c r="AC27" s="46" t="n">
        <f aca="false">IF((E27="v"),H27," ")</f>
        <v>150</v>
      </c>
      <c r="AD27" s="46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</row>
    <row r="28" customFormat="false" ht="12" hidden="false" customHeight="false" outlineLevel="0" collapsed="false">
      <c r="A28" s="28" t="n">
        <v>46096</v>
      </c>
      <c r="B28" s="2" t="s">
        <v>101</v>
      </c>
      <c r="E28" s="5" t="s">
        <v>75</v>
      </c>
      <c r="F28" s="46" t="n">
        <v>12</v>
      </c>
      <c r="H28" s="6" t="n">
        <f aca="false">IF((F28&lt;&gt;0),F28-G28," ")</f>
        <v>12</v>
      </c>
      <c r="I28" s="5"/>
      <c r="L28" s="7" t="n">
        <f aca="false">IF(F28&lt;&gt;0,F28-K28," ")</f>
        <v>12</v>
      </c>
      <c r="M28" s="8" t="n">
        <f aca="false">IF((F28-K28)&lt;&gt;0,M$1-A28," ")</f>
        <v>41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n">
        <f aca="false">IF((E28="g"),H28," ")</f>
        <v>12</v>
      </c>
      <c r="AB28" s="17" t="str">
        <f aca="false">IF((E28="h"),H28," ")</f>
        <v> </v>
      </c>
      <c r="AC28" s="46" t="str">
        <f aca="false">IF((E28="v"),H28," ")</f>
        <v> </v>
      </c>
      <c r="AD28" s="46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</row>
    <row r="29" customFormat="false" ht="12" hidden="false" customHeight="false" outlineLevel="0" collapsed="false">
      <c r="A29" s="28" t="n">
        <v>46097</v>
      </c>
      <c r="B29" s="2" t="s">
        <v>119</v>
      </c>
      <c r="E29" s="5" t="s">
        <v>75</v>
      </c>
      <c r="F29" s="46" t="n">
        <v>18</v>
      </c>
      <c r="H29" s="6" t="n">
        <f aca="false">IF((F29&lt;&gt;0),F29-G29," ")</f>
        <v>18</v>
      </c>
      <c r="I29" s="5"/>
      <c r="L29" s="7" t="n">
        <f aca="false">IF(F29&lt;&gt;0,F29-K29," ")</f>
        <v>18</v>
      </c>
      <c r="M29" s="8" t="n">
        <f aca="false">IF((F29-K29)&lt;&gt;0,M$1-A29," ")</f>
        <v>40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n">
        <f aca="false">IF((E29="g"),H29," ")</f>
        <v>18</v>
      </c>
      <c r="AB29" s="17" t="str">
        <f aca="false">IF((E29="h"),H29," ")</f>
        <v> </v>
      </c>
      <c r="AC29" s="46" t="str">
        <f aca="false">IF((E29="v"),H29," ")</f>
        <v> </v>
      </c>
      <c r="AD29" s="46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</row>
    <row r="30" customFormat="false" ht="12" hidden="false" customHeight="false" outlineLevel="0" collapsed="false">
      <c r="A30" s="28" t="n">
        <v>46099</v>
      </c>
      <c r="B30" s="2" t="s">
        <v>102</v>
      </c>
      <c r="E30" s="5" t="s">
        <v>88</v>
      </c>
      <c r="F30" s="46" t="n">
        <v>96</v>
      </c>
      <c r="H30" s="6" t="n">
        <f aca="false">IF((F30&lt;&gt;0),F30-G30," ")</f>
        <v>96</v>
      </c>
      <c r="I30" s="5"/>
      <c r="L30" s="7" t="n">
        <f aca="false">IF(F30&lt;&gt;0,F30-K30," ")</f>
        <v>96</v>
      </c>
      <c r="M30" s="8" t="n">
        <f aca="false">IF((F30-K30)&lt;&gt;0,M$1-A30," ")</f>
        <v>38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str">
        <f aca="false">IF((E30="g"),H30," ")</f>
        <v> </v>
      </c>
      <c r="AB30" s="17" t="str">
        <f aca="false">IF((E30="h"),H30," ")</f>
        <v> </v>
      </c>
      <c r="AC30" s="46" t="n">
        <f aca="false">IF((E30="v"),H30," ")</f>
        <v>96</v>
      </c>
      <c r="AD30" s="46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</row>
    <row r="31" customFormat="false" ht="12" hidden="false" customHeight="false" outlineLevel="0" collapsed="false">
      <c r="A31" s="28" t="n">
        <v>46101</v>
      </c>
      <c r="B31" s="2" t="s">
        <v>103</v>
      </c>
      <c r="E31" s="5" t="s">
        <v>75</v>
      </c>
      <c r="F31" s="46" t="n">
        <v>60</v>
      </c>
      <c r="H31" s="6" t="n">
        <f aca="false">IF((F31&lt;&gt;0),F31-G31," ")</f>
        <v>60</v>
      </c>
      <c r="I31" s="5"/>
      <c r="L31" s="7" t="n">
        <f aca="false">IF(F31&lt;&gt;0,F31-K31," ")</f>
        <v>60</v>
      </c>
      <c r="M31" s="8" t="n">
        <f aca="false">IF((F31-K31)&lt;&gt;0,M$1-A31," ")</f>
        <v>36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str">
        <f aca="false">IF((E31="u"),H31," ")</f>
        <v> </v>
      </c>
      <c r="Z31" s="17" t="str">
        <f aca="false">IF((E31="a"),H31," ")</f>
        <v> </v>
      </c>
      <c r="AA31" s="17" t="n">
        <f aca="false">IF((E31="g"),H31," ")</f>
        <v>60</v>
      </c>
      <c r="AB31" s="17" t="str">
        <f aca="false">IF((E31="h"),H31," ")</f>
        <v> </v>
      </c>
      <c r="AC31" s="46" t="str">
        <f aca="false">IF((E31="v"),H31," ")</f>
        <v> </v>
      </c>
      <c r="AD31" s="46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</row>
    <row r="32" customFormat="false" ht="12" hidden="false" customHeight="false" outlineLevel="0" collapsed="false">
      <c r="A32" s="28" t="n">
        <v>46101</v>
      </c>
      <c r="B32" s="2" t="s">
        <v>137</v>
      </c>
      <c r="E32" s="5" t="s">
        <v>121</v>
      </c>
      <c r="F32" s="46" t="n">
        <v>180</v>
      </c>
      <c r="H32" s="6" t="n">
        <f aca="false">IF((F32&lt;&gt;0),F32-G32," ")</f>
        <v>180</v>
      </c>
      <c r="I32" s="5"/>
      <c r="L32" s="7" t="n">
        <f aca="false">IF(F32&lt;&gt;0,F32-K32," ")</f>
        <v>180</v>
      </c>
      <c r="M32" s="8" t="n">
        <f aca="false">IF((F32-K32)&lt;&gt;0,M$1-A32," ")</f>
        <v>36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n">
        <f aca="false">IF((E32="t"),H32," ")</f>
        <v>180</v>
      </c>
      <c r="W32" s="17" t="str">
        <f aca="false">IF((E32="q"),H32," ")</f>
        <v> </v>
      </c>
      <c r="X32" s="17" t="str">
        <f aca="false">IF((E32="m"),H32," ")</f>
        <v> </v>
      </c>
      <c r="Y32" s="17" t="str">
        <f aca="false">IF((E32="u"),H32," ")</f>
        <v> 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46" t="str">
        <f aca="false">IF((E32="v"),H32," ")</f>
        <v> </v>
      </c>
      <c r="AD32" s="46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</row>
    <row r="33" customFormat="false" ht="12" hidden="false" customHeight="false" outlineLevel="0" collapsed="false">
      <c r="A33" s="28" t="n">
        <v>46101</v>
      </c>
      <c r="B33" s="2" t="s">
        <v>104</v>
      </c>
      <c r="E33" s="5" t="s">
        <v>105</v>
      </c>
      <c r="F33" s="46" t="n">
        <v>144</v>
      </c>
      <c r="H33" s="6" t="n">
        <f aca="false">IF((F33&lt;&gt;0),F33-G33," ")</f>
        <v>144</v>
      </c>
      <c r="I33" s="5"/>
      <c r="L33" s="7" t="n">
        <f aca="false">IF(F33&lt;&gt;0,F33-K33," ")</f>
        <v>144</v>
      </c>
      <c r="M33" s="8" t="n">
        <f aca="false">IF((F33-K33)&lt;&gt;0,M$1-A33," ")</f>
        <v>36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n">
        <f aca="false">IF((E33="m"),H33," ")</f>
        <v>144</v>
      </c>
      <c r="Y33" s="17" t="str">
        <f aca="false">IF((E33="u"),H33," ")</f>
        <v> 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46" t="str">
        <f aca="false">IF((E33="v"),H33," ")</f>
        <v> </v>
      </c>
      <c r="AD33" s="46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</row>
    <row r="34" customFormat="false" ht="12" hidden="false" customHeight="false" outlineLevel="0" collapsed="false">
      <c r="A34" s="28" t="n">
        <v>46102</v>
      </c>
      <c r="B34" s="2" t="s">
        <v>106</v>
      </c>
      <c r="E34" s="5" t="s">
        <v>91</v>
      </c>
      <c r="F34" s="46" t="n">
        <v>8</v>
      </c>
      <c r="H34" s="6" t="n">
        <f aca="false">IF((F34&lt;&gt;0),F34-G34," ")</f>
        <v>8</v>
      </c>
      <c r="I34" s="5"/>
      <c r="L34" s="7" t="n">
        <f aca="false">IF(F34&lt;&gt;0,F34-K34," ")</f>
        <v>8</v>
      </c>
      <c r="M34" s="8" t="n">
        <f aca="false">IF((F34-K34)&lt;&gt;0,M$1-A34," ")</f>
        <v>35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str">
        <f aca="false">IF((E34="u"),H34," ")</f>
        <v> </v>
      </c>
      <c r="Z34" s="17" t="str">
        <f aca="false">IF((E34="a"),H34," ")</f>
        <v> </v>
      </c>
      <c r="AA34" s="17" t="str">
        <f aca="false">IF((E34="g"),H34," ")</f>
        <v> </v>
      </c>
      <c r="AB34" s="17" t="n">
        <f aca="false">IF((E34="h"),H34," ")</f>
        <v>8</v>
      </c>
      <c r="AC34" s="46" t="str">
        <f aca="false">IF((E34="v"),H34," ")</f>
        <v> </v>
      </c>
      <c r="AD34" s="46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</row>
    <row r="35" customFormat="false" ht="12" hidden="false" customHeight="false" outlineLevel="0" collapsed="false">
      <c r="A35" s="28" t="n">
        <v>46103</v>
      </c>
      <c r="B35" s="2" t="s">
        <v>107</v>
      </c>
      <c r="E35" s="5" t="s">
        <v>85</v>
      </c>
      <c r="F35" s="46" t="n">
        <v>18</v>
      </c>
      <c r="H35" s="6" t="n">
        <f aca="false">IF((F35&lt;&gt;0),F35-G35," ")</f>
        <v>18</v>
      </c>
      <c r="I35" s="5"/>
      <c r="L35" s="7" t="n">
        <f aca="false">IF(F35&lt;&gt;0,F35-K35," ")</f>
        <v>18</v>
      </c>
      <c r="M35" s="8" t="n">
        <f aca="false">IF((F35-K35)&lt;&gt;0,M$1-A35," ")</f>
        <v>34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n">
        <f aca="false">IF((E35="u"),H35," ")</f>
        <v>18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46" t="str">
        <f aca="false">IF((E35="v"),H35," ")</f>
        <v> </v>
      </c>
      <c r="AD35" s="46" t="str">
        <f aca="false">IF((E35="n"),H35," ")</f>
        <v> </v>
      </c>
      <c r="AE35" s="17" t="str">
        <f aca="false">IF((E35="f"),H35," ")</f>
        <v> </v>
      </c>
      <c r="AF35" s="17" t="str">
        <f aca="false">IF((E35="l"),H35," ")</f>
        <v> 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</row>
    <row r="36" customFormat="false" ht="12" hidden="false" customHeight="false" outlineLevel="0" collapsed="false">
      <c r="A36" s="28" t="n">
        <v>46103</v>
      </c>
      <c r="B36" s="2" t="s">
        <v>123</v>
      </c>
      <c r="E36" s="5" t="s">
        <v>88</v>
      </c>
      <c r="F36" s="46" t="n">
        <v>36</v>
      </c>
      <c r="H36" s="6" t="n">
        <f aca="false">IF((F36&lt;&gt;0),F36-G36," ")</f>
        <v>36</v>
      </c>
      <c r="I36" s="5"/>
      <c r="L36" s="7" t="n">
        <f aca="false">IF(F36&lt;&gt;0,F36-K36," ")</f>
        <v>36</v>
      </c>
      <c r="M36" s="8" t="n">
        <f aca="false">IF((F36-K36)&lt;&gt;0,M$1-A36," ")</f>
        <v>34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46" t="n">
        <f aca="false">IF((E36="v"),H36," ")</f>
        <v>36</v>
      </c>
      <c r="AD36" s="46" t="str">
        <f aca="false">IF((E36="n"),H36," ")</f>
        <v> </v>
      </c>
      <c r="AE36" s="17" t="str">
        <f aca="false">IF((E36="f"),H36," ")</f>
        <v> </v>
      </c>
      <c r="AF36" s="17" t="str">
        <f aca="false">IF((E36="l"),H36," ")</f>
        <v> 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</row>
    <row r="37" customFormat="false" ht="12" hidden="false" customHeight="false" outlineLevel="0" collapsed="false">
      <c r="A37" s="28" t="n">
        <v>46106</v>
      </c>
      <c r="B37" s="2" t="s">
        <v>108</v>
      </c>
      <c r="E37" s="5" t="s">
        <v>85</v>
      </c>
      <c r="F37" s="46" t="n">
        <v>15</v>
      </c>
      <c r="H37" s="6" t="n">
        <f aca="false">IF((F37&lt;&gt;0),F37-G37," ")</f>
        <v>15</v>
      </c>
      <c r="I37" s="5"/>
      <c r="L37" s="7" t="n">
        <f aca="false">IF(F37&lt;&gt;0,F37-K37," ")</f>
        <v>15</v>
      </c>
      <c r="M37" s="8" t="n">
        <f aca="false">IF((F37-K37)&lt;&gt;0,M$1-A37," ")</f>
        <v>31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n">
        <f aca="false">IF((E37="u"),H37," ")</f>
        <v>15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46" t="str">
        <f aca="false">IF((E37="v"),H37," ")</f>
        <v> </v>
      </c>
      <c r="AD37" s="46" t="str">
        <f aca="false">IF((E37="n"),H37," ")</f>
        <v> </v>
      </c>
      <c r="AE37" s="17" t="str">
        <f aca="false">IF((E37="f"),H37," ")</f>
        <v> </v>
      </c>
      <c r="AF37" s="17" t="str">
        <f aca="false">IF((E37="l"),H37," ")</f>
        <v> 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</row>
    <row r="38" customFormat="false" ht="12" hidden="false" customHeight="false" outlineLevel="0" collapsed="false">
      <c r="A38" s="28" t="n">
        <v>46106</v>
      </c>
      <c r="B38" s="2" t="s">
        <v>109</v>
      </c>
      <c r="E38" s="5" t="s">
        <v>88</v>
      </c>
      <c r="F38" s="46" t="n">
        <v>38.25</v>
      </c>
      <c r="H38" s="6" t="n">
        <f aca="false">IF((F38&lt;&gt;0),F38-G38," ")</f>
        <v>38.25</v>
      </c>
      <c r="I38" s="5"/>
      <c r="L38" s="7" t="n">
        <f aca="false">IF(F38&lt;&gt;0,F38-K38," ")</f>
        <v>38.25</v>
      </c>
      <c r="M38" s="8" t="n">
        <f aca="false">IF((F38-K38)&lt;&gt;0,M$1-A38," ")</f>
        <v>31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46" t="n">
        <f aca="false">IF((E38="v"),H38," ")</f>
        <v>38.25</v>
      </c>
      <c r="AD38" s="46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</row>
    <row r="39" customFormat="false" ht="12" hidden="false" customHeight="false" outlineLevel="0" collapsed="false">
      <c r="A39" s="28" t="n">
        <v>46109</v>
      </c>
      <c r="B39" s="2" t="s">
        <v>20</v>
      </c>
      <c r="E39" s="5" t="s">
        <v>88</v>
      </c>
      <c r="F39" s="46" t="n">
        <v>120</v>
      </c>
      <c r="H39" s="6" t="n">
        <f aca="false">IF((F39&lt;&gt;0),F39-G39," ")</f>
        <v>120</v>
      </c>
      <c r="I39" s="5"/>
      <c r="L39" s="7" t="n">
        <f aca="false">IF(F39&lt;&gt;0,F39-K39," ")</f>
        <v>120</v>
      </c>
      <c r="M39" s="8" t="n">
        <f aca="false">IF((F39-K39)&lt;&gt;0,M$1-A39," ")</f>
        <v>28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46" t="n">
        <f aca="false">IF((E39="v"),H39," ")</f>
        <v>120</v>
      </c>
      <c r="AD39" s="46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</row>
    <row r="40" customFormat="false" ht="12" hidden="false" customHeight="false" outlineLevel="0" collapsed="false">
      <c r="A40" s="28" t="n">
        <v>46112</v>
      </c>
      <c r="B40" s="2" t="s">
        <v>16</v>
      </c>
      <c r="E40" s="5" t="s">
        <v>110</v>
      </c>
      <c r="F40" s="46" t="n">
        <v>300</v>
      </c>
      <c r="H40" s="6" t="n">
        <f aca="false">IF((F40&lt;&gt;0),F40-G40," ")</f>
        <v>300</v>
      </c>
      <c r="I40" s="5"/>
      <c r="L40" s="7" t="n">
        <f aca="false">IF(F40&lt;&gt;0,F40-K40," ")</f>
        <v>300</v>
      </c>
      <c r="M40" s="8" t="n">
        <f aca="false">IF((F40-K40)&lt;&gt;0,M$1-A40," ")</f>
        <v>25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46" t="str">
        <f aca="false">IF((E40="v"),H40," ")</f>
        <v> </v>
      </c>
      <c r="AD40" s="46" t="str">
        <f aca="false">IF((E40="n"),H40," ")</f>
        <v> </v>
      </c>
      <c r="AE40" s="17" t="str">
        <f aca="false">IF((E40="f"),H40," ")</f>
        <v> </v>
      </c>
      <c r="AF40" s="17" t="n">
        <f aca="false">IF((E40="l"),H40," ")</f>
        <v>300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</row>
    <row r="41" customFormat="false" ht="12" hidden="false" customHeight="false" outlineLevel="0" collapsed="false">
      <c r="A41" s="28"/>
      <c r="E41" s="2"/>
      <c r="F41" s="46"/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46" t="str">
        <f aca="false">IF((E41="v"),H41," ")</f>
        <v> </v>
      </c>
      <c r="AD41" s="46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</row>
    <row r="42" customFormat="false" ht="12" hidden="false" customHeight="false" outlineLevel="0" collapsed="false">
      <c r="A42" s="28"/>
      <c r="E42" s="2"/>
      <c r="F42" s="46"/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46" t="str">
        <f aca="false">IF((E42="v"),H42," ")</f>
        <v> </v>
      </c>
      <c r="AD42" s="46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</row>
    <row r="43" customFormat="false" ht="12" hidden="false" customHeight="false" outlineLevel="0" collapsed="false">
      <c r="A43" s="28"/>
      <c r="E43" s="2"/>
      <c r="F43" s="46"/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46" t="str">
        <f aca="false">IF((E43="v"),H43," ")</f>
        <v> </v>
      </c>
      <c r="AD43" s="46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</row>
    <row r="44" customFormat="false" ht="12" hidden="false" customHeight="false" outlineLevel="0" collapsed="false">
      <c r="A44" s="28"/>
      <c r="E44" s="2"/>
      <c r="F44" s="46"/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46" t="str">
        <f aca="false">IF((E44="v"),H44," ")</f>
        <v> </v>
      </c>
      <c r="AD44" s="46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</row>
    <row r="45" customFormat="false" ht="12" hidden="false" customHeight="false" outlineLevel="0" collapsed="false">
      <c r="A45" s="28"/>
      <c r="E45" s="2"/>
      <c r="F45" s="46"/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46" t="str">
        <f aca="false">IF((E45="v"),H45," ")</f>
        <v> </v>
      </c>
      <c r="AD45" s="46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</row>
    <row r="46" customFormat="false" ht="12" hidden="false" customHeight="false" outlineLevel="0" collapsed="false">
      <c r="A46" s="28"/>
      <c r="E46" s="2"/>
      <c r="F46" s="46"/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46" t="str">
        <f aca="false">IF((E46="v"),H46," ")</f>
        <v> </v>
      </c>
      <c r="AD46" s="46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</row>
    <row r="47" customFormat="false" ht="12" hidden="false" customHeight="false" outlineLevel="0" collapsed="false">
      <c r="A47" s="28"/>
      <c r="E47" s="2"/>
      <c r="F47" s="46"/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46" t="str">
        <f aca="false">IF((E47="v"),H47," ")</f>
        <v> </v>
      </c>
      <c r="AD47" s="46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</row>
    <row r="48" customFormat="false" ht="12" hidden="false" customHeight="false" outlineLevel="0" collapsed="false">
      <c r="A48" s="28"/>
      <c r="E48" s="2"/>
      <c r="F48" s="46"/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46" t="str">
        <f aca="false">IF((E48="v"),H48," ")</f>
        <v> </v>
      </c>
      <c r="AD48" s="46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</row>
    <row r="49" customFormat="false" ht="12" hidden="false" customHeight="false" outlineLevel="0" collapsed="false">
      <c r="A49" s="28"/>
      <c r="E49" s="2"/>
      <c r="F49" s="46"/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46" t="str">
        <f aca="false">IF((E49="v"),H49," ")</f>
        <v> </v>
      </c>
      <c r="AD49" s="46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</row>
    <row r="50" customFormat="false" ht="12" hidden="false" customHeight="false" outlineLevel="0" collapsed="false">
      <c r="A50" s="28"/>
      <c r="E50" s="2"/>
      <c r="F50" s="46"/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46" t="str">
        <f aca="false">IF((E50="v"),H50," ")</f>
        <v> </v>
      </c>
      <c r="AD50" s="46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</row>
    <row r="51" customFormat="false" ht="12" hidden="false" customHeight="false" outlineLevel="0" collapsed="false">
      <c r="A51" s="28"/>
      <c r="E51" s="2"/>
      <c r="F51" s="46"/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46" t="str">
        <f aca="false">IF((E51="v"),H51," ")</f>
        <v> </v>
      </c>
      <c r="AD51" s="46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</row>
    <row r="52" customFormat="false" ht="12" hidden="false" customHeight="false" outlineLevel="0" collapsed="false">
      <c r="A52" s="28"/>
      <c r="E52" s="2"/>
      <c r="F52" s="46"/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46" t="str">
        <f aca="false">IF((E52="v"),H52," ")</f>
        <v> </v>
      </c>
      <c r="AD52" s="46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</row>
    <row r="53" customFormat="false" ht="12" hidden="false" customHeight="false" outlineLevel="0" collapsed="false">
      <c r="A53" s="28"/>
      <c r="E53" s="2"/>
      <c r="F53" s="46"/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46" t="str">
        <f aca="false">IF((E53="v"),H53," ")</f>
        <v> </v>
      </c>
      <c r="AD53" s="46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</row>
    <row r="54" customFormat="false" ht="12" hidden="false" customHeight="false" outlineLevel="0" collapsed="false">
      <c r="A54" s="28"/>
      <c r="E54" s="2"/>
      <c r="F54" s="46"/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46" t="str">
        <f aca="false">IF((E54="v"),H54," ")</f>
        <v> </v>
      </c>
      <c r="AD54" s="46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</row>
    <row r="55" customFormat="false" ht="12" hidden="false" customHeight="false" outlineLevel="0" collapsed="false">
      <c r="A55" s="28"/>
      <c r="E55" s="2"/>
      <c r="F55" s="46"/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46" t="str">
        <f aca="false">IF((E55="v"),H55," ")</f>
        <v> </v>
      </c>
      <c r="AD55" s="46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</row>
    <row r="56" customFormat="false" ht="12" hidden="false" customHeight="false" outlineLevel="0" collapsed="false">
      <c r="A56" s="28"/>
      <c r="E56" s="2"/>
      <c r="F56" s="46"/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46" t="str">
        <f aca="false">IF((E56="v"),H56," ")</f>
        <v> </v>
      </c>
      <c r="AD56" s="46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</row>
    <row r="57" customFormat="false" ht="12" hidden="false" customHeight="false" outlineLevel="0" collapsed="false">
      <c r="A57" s="28"/>
      <c r="E57" s="2"/>
      <c r="F57" s="46"/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46" t="str">
        <f aca="false">IF((E57="v"),H57," ")</f>
        <v> </v>
      </c>
      <c r="AD57" s="46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</row>
    <row r="58" customFormat="false" ht="12" hidden="false" customHeight="false" outlineLevel="0" collapsed="false">
      <c r="A58" s="28"/>
      <c r="E58" s="2"/>
      <c r="F58" s="46"/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46" t="str">
        <f aca="false">IF((E58="v"),H58," ")</f>
        <v> </v>
      </c>
      <c r="AD58" s="46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</row>
    <row r="59" customFormat="false" ht="12" hidden="false" customHeight="false" outlineLevel="0" collapsed="false">
      <c r="A59" s="28"/>
      <c r="E59" s="2"/>
      <c r="F59" s="46"/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46" t="str">
        <f aca="false">IF((E59="v"),H59," ")</f>
        <v> </v>
      </c>
      <c r="AD59" s="46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</row>
    <row r="60" customFormat="false" ht="12" hidden="false" customHeight="false" outlineLevel="0" collapsed="false">
      <c r="A60" s="28"/>
      <c r="E60" s="2"/>
      <c r="F60" s="46"/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46" t="str">
        <f aca="false">IF((E60="v"),H60," ")</f>
        <v> </v>
      </c>
      <c r="AD60" s="46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</row>
    <row r="61" customFormat="false" ht="12" hidden="false" customHeight="false" outlineLevel="0" collapsed="false">
      <c r="A61" s="28"/>
      <c r="E61" s="2"/>
      <c r="F61" s="46"/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46" t="str">
        <f aca="false">IF((E61="v"),H61," ")</f>
        <v> </v>
      </c>
      <c r="AD61" s="46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</row>
    <row r="62" customFormat="false" ht="12" hidden="false" customHeight="false" outlineLevel="0" collapsed="false">
      <c r="A62" s="28"/>
      <c r="E62" s="2"/>
      <c r="F62" s="46"/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46" t="str">
        <f aca="false">IF((E62="v"),H62," ")</f>
        <v> </v>
      </c>
      <c r="AD62" s="46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</row>
    <row r="63" customFormat="false" ht="12" hidden="false" customHeight="false" outlineLevel="0" collapsed="false">
      <c r="A63" s="28"/>
      <c r="E63" s="2"/>
      <c r="F63" s="46"/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46" t="str">
        <f aca="false">IF((E63="v"),H63," ")</f>
        <v> </v>
      </c>
      <c r="AD63" s="46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</row>
    <row r="64" customFormat="false" ht="12" hidden="false" customHeight="false" outlineLevel="0" collapsed="false">
      <c r="A64" s="28"/>
      <c r="E64" s="2"/>
      <c r="F64" s="46"/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46" t="str">
        <f aca="false">IF((E64="v"),H64," ")</f>
        <v> </v>
      </c>
      <c r="AD64" s="46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</row>
    <row r="65" customFormat="false" ht="12" hidden="false" customHeight="false" outlineLevel="0" collapsed="false">
      <c r="A65" s="28"/>
      <c r="E65" s="2"/>
      <c r="F65" s="46"/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46" t="str">
        <f aca="false">IF((E65="v"),H65," ")</f>
        <v> </v>
      </c>
      <c r="AD65" s="46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</row>
    <row r="66" customFormat="false" ht="12" hidden="false" customHeight="false" outlineLevel="0" collapsed="false">
      <c r="A66" s="28"/>
      <c r="E66" s="2"/>
      <c r="F66" s="46"/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46" t="str">
        <f aca="false">IF((E66="v"),H66," ")</f>
        <v> </v>
      </c>
      <c r="AD66" s="46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</row>
    <row r="67" customFormat="false" ht="12" hidden="false" customHeight="false" outlineLevel="0" collapsed="false">
      <c r="A67" s="28"/>
      <c r="E67" s="2"/>
      <c r="F67" s="46"/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46" t="str">
        <f aca="false">IF((E67="v"),H67," ")</f>
        <v> </v>
      </c>
      <c r="AD67" s="46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</row>
    <row r="68" customFormat="false" ht="12" hidden="false" customHeight="false" outlineLevel="0" collapsed="false">
      <c r="A68" s="28"/>
      <c r="E68" s="2"/>
      <c r="F68" s="46"/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46" t="str">
        <f aca="false">IF((E68="v"),H68," ")</f>
        <v> </v>
      </c>
      <c r="AD68" s="46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</row>
    <row r="69" customFormat="false" ht="12" hidden="false" customHeight="false" outlineLevel="0" collapsed="false">
      <c r="A69" s="28"/>
      <c r="E69" s="2"/>
      <c r="F69" s="46"/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46" t="str">
        <f aca="false">IF((E69="v"),H69," ")</f>
        <v> </v>
      </c>
      <c r="AD69" s="46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46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46" t="str">
        <f aca="false">IF((E70="v"),H70," ")</f>
        <v> </v>
      </c>
      <c r="AD70" s="46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46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46" t="str">
        <f aca="false">IF((E71="v"),H71," ")</f>
        <v> </v>
      </c>
      <c r="AD71" s="46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46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46" t="str">
        <f aca="false">IF((E72="v"),H72," ")</f>
        <v> </v>
      </c>
      <c r="AD72" s="46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46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46" t="str">
        <f aca="false">IF((E73="v"),H73," ")</f>
        <v> </v>
      </c>
      <c r="AD73" s="46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46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46" t="str">
        <f aca="false">IF((E74="v"),H74," ")</f>
        <v> </v>
      </c>
      <c r="AD74" s="46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46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46" t="str">
        <f aca="false">IF((E75="v"),H75," ")</f>
        <v> </v>
      </c>
      <c r="AD75" s="46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46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46" t="str">
        <f aca="false">IF((E76="v"),H76," ")</f>
        <v> </v>
      </c>
      <c r="AD76" s="46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46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46" t="str">
        <f aca="false">IF((E77="v"),H77," ")</f>
        <v> </v>
      </c>
      <c r="AD77" s="46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46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46" t="str">
        <f aca="false">IF((E78="v"),H78," ")</f>
        <v> </v>
      </c>
      <c r="AD78" s="46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46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46" t="str">
        <f aca="false">IF((E79="v"),H79," ")</f>
        <v> </v>
      </c>
      <c r="AD79" s="46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46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46" t="str">
        <f aca="false">IF((E80="v"),H80," ")</f>
        <v> </v>
      </c>
      <c r="AD80" s="46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46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46" t="str">
        <f aca="false">IF((E81="v"),H81," ")</f>
        <v> </v>
      </c>
      <c r="AD81" s="46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46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46" t="str">
        <f aca="false">IF((E82="v"),H82," ")</f>
        <v> </v>
      </c>
      <c r="AD82" s="46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46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46" t="str">
        <f aca="false">IF((E83="v"),H83," ")</f>
        <v> </v>
      </c>
      <c r="AD83" s="46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46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46" t="str">
        <f aca="false">IF((E84="v"),H84," ")</f>
        <v> </v>
      </c>
      <c r="AD84" s="46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46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46" t="str">
        <f aca="false">IF((E85="v"),H85," ")</f>
        <v> </v>
      </c>
      <c r="AD85" s="46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46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46" t="str">
        <f aca="false">IF((E86="v"),H86," ")</f>
        <v> </v>
      </c>
      <c r="AD86" s="46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46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46" t="str">
        <f aca="false">IF((E87="v"),H87," ")</f>
        <v> </v>
      </c>
      <c r="AD87" s="46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46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46" t="str">
        <f aca="false">IF((E88="v"),H88," ")</f>
        <v> </v>
      </c>
      <c r="AD88" s="46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46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46" t="str">
        <f aca="false">IF((E89="v"),H89," ")</f>
        <v> </v>
      </c>
      <c r="AD89" s="46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46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46" t="str">
        <f aca="false">IF((E90="v"),H90," ")</f>
        <v> </v>
      </c>
      <c r="AD90" s="46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46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46" t="str">
        <f aca="false">IF((E91="v"),H91," ")</f>
        <v> </v>
      </c>
      <c r="AD91" s="46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46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46" t="str">
        <f aca="false">IF((E92="v"),H92," ")</f>
        <v> </v>
      </c>
      <c r="AD92" s="46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46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46" t="str">
        <f aca="false">IF((E93="v"),H93," ")</f>
        <v> </v>
      </c>
      <c r="AD93" s="46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46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46" t="str">
        <f aca="false">IF((E94="v"),H94," ")</f>
        <v> </v>
      </c>
      <c r="AD94" s="46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46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46" t="str">
        <f aca="false">IF((E95="v"),H95," ")</f>
        <v> </v>
      </c>
      <c r="AD95" s="46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46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46" t="str">
        <f aca="false">IF((E96="v"),H96," ")</f>
        <v> </v>
      </c>
      <c r="AD96" s="46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46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46" t="str">
        <f aca="false">IF((E97="v"),H97," ")</f>
        <v> </v>
      </c>
      <c r="AD97" s="46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46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46" t="str">
        <f aca="false">IF((E98="v"),H98," ")</f>
        <v> </v>
      </c>
      <c r="AD98" s="46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46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46" t="str">
        <f aca="false">IF((E99="v"),H99," ")</f>
        <v> </v>
      </c>
      <c r="AD99" s="46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46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46" t="str">
        <f aca="false">IF((E100="v"),H100," ")</f>
        <v> </v>
      </c>
      <c r="AD100" s="46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46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46" t="str">
        <f aca="false">IF((E101="v"),H101," ")</f>
        <v> </v>
      </c>
      <c r="AD101" s="46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46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46" t="str">
        <f aca="false">IF((E102="v"),H102," ")</f>
        <v> </v>
      </c>
      <c r="AD102" s="46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46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46" t="str">
        <f aca="false">IF((E103="v"),H103," ")</f>
        <v> </v>
      </c>
      <c r="AD103" s="46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46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46" t="str">
        <f aca="false">IF((E104="v"),H104," ")</f>
        <v> </v>
      </c>
      <c r="AD104" s="46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46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46" t="str">
        <f aca="false">IF((E105="v"),H105," ")</f>
        <v> </v>
      </c>
      <c r="AD105" s="46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46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46" t="str">
        <f aca="false">IF((E106="v"),H106," ")</f>
        <v> </v>
      </c>
      <c r="AD106" s="46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46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46" t="str">
        <f aca="false">IF((E107="v"),H107," ")</f>
        <v> </v>
      </c>
      <c r="AD107" s="46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46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46" t="str">
        <f aca="false">IF((E108="v"),H108," ")</f>
        <v> </v>
      </c>
      <c r="AD108" s="46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46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46" t="str">
        <f aca="false">IF((E109="v"),H109," ")</f>
        <v> </v>
      </c>
      <c r="AD109" s="46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46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46" t="str">
        <f aca="false">IF((E110="v"),H110," ")</f>
        <v> </v>
      </c>
      <c r="AD110" s="46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46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46" t="str">
        <f aca="false">IF((E111="v"),H111," ")</f>
        <v> </v>
      </c>
      <c r="AD111" s="46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46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46" t="str">
        <f aca="false">IF((E112="v"),H112," ")</f>
        <v> </v>
      </c>
      <c r="AD112" s="46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46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46" t="str">
        <f aca="false">IF((E113="v"),H113," ")</f>
        <v> </v>
      </c>
      <c r="AD113" s="46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46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46" t="str">
        <f aca="false">IF((E114="v"),H114," ")</f>
        <v> </v>
      </c>
      <c r="AD114" s="46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46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46" t="str">
        <f aca="false">IF((E115="v"),H115," ")</f>
        <v> </v>
      </c>
      <c r="AD115" s="46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46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46" t="str">
        <f aca="false">IF((E116="v"),H116," ")</f>
        <v> </v>
      </c>
      <c r="AD116" s="46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46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46" t="str">
        <f aca="false">IF((E117="v"),H117," ")</f>
        <v> </v>
      </c>
      <c r="AD117" s="46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46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46" t="str">
        <f aca="false">IF((E118="v"),H118," ")</f>
        <v> </v>
      </c>
      <c r="AD118" s="46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46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46" t="str">
        <f aca="false">IF((E119="v"),H119," ")</f>
        <v> </v>
      </c>
      <c r="AD119" s="46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46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46" t="str">
        <f aca="false">IF((E120="v"),H120," ")</f>
        <v> </v>
      </c>
      <c r="AD120" s="46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46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46" t="str">
        <f aca="false">IF((E121="v"),H121," ")</f>
        <v> </v>
      </c>
      <c r="AD121" s="46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46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46" t="str">
        <f aca="false">IF((E122="v"),H122," ")</f>
        <v> </v>
      </c>
      <c r="AD122" s="46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46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46" t="str">
        <f aca="false">IF((E123="v"),H123," ")</f>
        <v> </v>
      </c>
      <c r="AD123" s="46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46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46" t="str">
        <f aca="false">IF((E124="v"),H124," ")</f>
        <v> </v>
      </c>
      <c r="AD124" s="46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46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46" t="str">
        <f aca="false">IF((E125="v"),H125," ")</f>
        <v> </v>
      </c>
      <c r="AD125" s="46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46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46" t="str">
        <f aca="false">IF((E126="v"),H126," ")</f>
        <v> </v>
      </c>
      <c r="AD126" s="46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46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46" t="str">
        <f aca="false">IF((E127="v"),H127," ")</f>
        <v> </v>
      </c>
      <c r="AD127" s="46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46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46" t="str">
        <f aca="false">IF((E128="v"),H128," ")</f>
        <v> </v>
      </c>
      <c r="AD128" s="46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46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46" t="str">
        <f aca="false">IF((E129="v"),H129," ")</f>
        <v> </v>
      </c>
      <c r="AD129" s="46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46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46" t="str">
        <f aca="false">IF((E130="v"),H130," ")</f>
        <v> </v>
      </c>
      <c r="AD130" s="46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46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46" t="str">
        <f aca="false">IF((E131="v"),H131," ")</f>
        <v> </v>
      </c>
      <c r="AD131" s="46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46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46" t="str">
        <f aca="false">IF((E132="v"),H132," ")</f>
        <v> </v>
      </c>
      <c r="AD132" s="46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46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46" t="str">
        <f aca="false">IF((E133="v"),H133," ")</f>
        <v> </v>
      </c>
      <c r="AD133" s="46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46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46" t="str">
        <f aca="false">IF((E134="v"),H134," ")</f>
        <v> </v>
      </c>
      <c r="AD134" s="46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46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46" t="str">
        <f aca="false">IF((E135="v"),H135," ")</f>
        <v> </v>
      </c>
      <c r="AD135" s="46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46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46" t="str">
        <f aca="false">IF((E136="v"),H136," ")</f>
        <v> </v>
      </c>
      <c r="AD136" s="46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46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46" t="str">
        <f aca="false">IF((E137="v"),H137," ")</f>
        <v> </v>
      </c>
      <c r="AD137" s="46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46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46" t="str">
        <f aca="false">IF((E138="v"),H138," ")</f>
        <v> </v>
      </c>
      <c r="AD138" s="46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46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46" t="str">
        <f aca="false">IF((E139="v"),H139," ")</f>
        <v> </v>
      </c>
      <c r="AD139" s="46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46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46" t="str">
        <f aca="false">IF((E140="v"),H140," ")</f>
        <v> </v>
      </c>
      <c r="AD140" s="46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46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46" t="str">
        <f aca="false">IF((E141="v"),H141," ")</f>
        <v> </v>
      </c>
      <c r="AD141" s="46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46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46" t="str">
        <f aca="false">IF((E142="v"),H142," ")</f>
        <v> </v>
      </c>
      <c r="AD142" s="46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46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46" t="str">
        <f aca="false">IF((E143="v"),H143," ")</f>
        <v> </v>
      </c>
      <c r="AD143" s="46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46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46" t="str">
        <f aca="false">IF((E144="v"),H144," ")</f>
        <v> </v>
      </c>
      <c r="AD144" s="46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46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46" t="str">
        <f aca="false">IF((E145="v"),H145," ")</f>
        <v> </v>
      </c>
      <c r="AD145" s="46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46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46" t="str">
        <f aca="false">IF((E146="v"),H146," ")</f>
        <v> </v>
      </c>
      <c r="AD146" s="46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46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46" t="str">
        <f aca="false">IF((E147="v"),H147," ")</f>
        <v> </v>
      </c>
      <c r="AD147" s="46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46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46" t="str">
        <f aca="false">IF((E148="v"),H148," ")</f>
        <v> </v>
      </c>
      <c r="AD148" s="46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46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46" t="str">
        <f aca="false">IF((E149="v"),H149," ")</f>
        <v> </v>
      </c>
      <c r="AD149" s="46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46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46" t="str">
        <f aca="false">IF((E150="v"),H150," ")</f>
        <v> </v>
      </c>
      <c r="AD150" s="46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46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46" t="str">
        <f aca="false">IF((E151="v"),H151," ")</f>
        <v> </v>
      </c>
      <c r="AD151" s="46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46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46" t="str">
        <f aca="false">IF((E152="v"),H152," ")</f>
        <v> </v>
      </c>
      <c r="AD152" s="46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46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46" t="str">
        <f aca="false">IF((E153="v"),H153," ")</f>
        <v> </v>
      </c>
      <c r="AD153" s="46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46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46" t="str">
        <f aca="false">IF((E154="v"),H154," ")</f>
        <v> </v>
      </c>
      <c r="AD154" s="46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46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46" t="str">
        <f aca="false">IF((E155="v"),H155," ")</f>
        <v> </v>
      </c>
      <c r="AD155" s="46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46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46" t="str">
        <f aca="false">IF((E156="v"),H156," ")</f>
        <v> </v>
      </c>
      <c r="AD156" s="46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46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46" t="str">
        <f aca="false">IF((E157="v"),H157," ")</f>
        <v> </v>
      </c>
      <c r="AD157" s="46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46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46" t="str">
        <f aca="false">IF((E158="v"),H158," ")</f>
        <v> </v>
      </c>
      <c r="AD158" s="46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46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46" t="str">
        <f aca="false">IF((E159="v"),H159," ")</f>
        <v> </v>
      </c>
      <c r="AD159" s="46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46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46" t="str">
        <f aca="false">IF((E160="v"),H160," ")</f>
        <v> </v>
      </c>
      <c r="AD160" s="46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46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46" t="str">
        <f aca="false">IF((E161="v"),H161," ")</f>
        <v> </v>
      </c>
      <c r="AD161" s="46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46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46" t="str">
        <f aca="false">IF((E162="v"),H162," ")</f>
        <v> </v>
      </c>
      <c r="AD162" s="46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46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46" t="str">
        <f aca="false">IF((E163="v"),H163," ")</f>
        <v> </v>
      </c>
      <c r="AD163" s="46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46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46" t="str">
        <f aca="false">IF((E164="v"),H164," ")</f>
        <v> </v>
      </c>
      <c r="AD164" s="46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46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46" t="str">
        <f aca="false">IF((E165="v"),H165," ")</f>
        <v> </v>
      </c>
      <c r="AD165" s="46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46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46" t="str">
        <f aca="false">IF((E166="v"),H166," ")</f>
        <v> </v>
      </c>
      <c r="AD166" s="46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46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46" t="str">
        <f aca="false">IF((E167="v"),H167," ")</f>
        <v> </v>
      </c>
      <c r="AD167" s="46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46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46" t="str">
        <f aca="false">IF((E168="v"),H168," ")</f>
        <v> </v>
      </c>
      <c r="AD168" s="46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46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46" t="str">
        <f aca="false">IF((E169="v"),H169," ")</f>
        <v> </v>
      </c>
      <c r="AD169" s="46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46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46" t="str">
        <f aca="false">IF((E170="v"),H170," ")</f>
        <v> </v>
      </c>
      <c r="AD170" s="46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46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46" t="str">
        <f aca="false">IF((E171="v"),H171," ")</f>
        <v> </v>
      </c>
      <c r="AD171" s="46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46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46" t="str">
        <f aca="false">IF((E172="v"),H172," ")</f>
        <v> </v>
      </c>
      <c r="AD172" s="46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46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46" t="str">
        <f aca="false">IF((E173="v"),H173," ")</f>
        <v> </v>
      </c>
      <c r="AD173" s="46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46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46" t="str">
        <f aca="false">IF((E174="v"),H174," ")</f>
        <v> </v>
      </c>
      <c r="AD174" s="46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46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46" t="str">
        <f aca="false">IF((E175="v"),H175," ")</f>
        <v> </v>
      </c>
      <c r="AD175" s="46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46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46" t="str">
        <f aca="false">IF((E176="v"),H176," ")</f>
        <v> </v>
      </c>
      <c r="AD176" s="46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46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46" t="str">
        <f aca="false">IF((E177="v"),H177," ")</f>
        <v> </v>
      </c>
      <c r="AD177" s="46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46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46" t="str">
        <f aca="false">IF((E178="v"),H178," ")</f>
        <v> </v>
      </c>
      <c r="AD178" s="46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46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46" t="str">
        <f aca="false">IF((E179="v"),H179," ")</f>
        <v> </v>
      </c>
      <c r="AD179" s="46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46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46" t="str">
        <f aca="false">IF((E180="v"),H180," ")</f>
        <v> </v>
      </c>
      <c r="AD180" s="46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46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46" t="str">
        <f aca="false">IF((E181="v"),H181," ")</f>
        <v> </v>
      </c>
      <c r="AD181" s="46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46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46" t="str">
        <f aca="false">IF((E182="v"),H182," ")</f>
        <v> </v>
      </c>
      <c r="AD182" s="46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46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46" t="str">
        <f aca="false">IF((E183="v"),H183," ")</f>
        <v> </v>
      </c>
      <c r="AD183" s="46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46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46" t="str">
        <f aca="false">IF((E184="v"),H184," ")</f>
        <v> </v>
      </c>
      <c r="AD184" s="46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46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46" t="str">
        <f aca="false">IF((E185="v"),H185," ")</f>
        <v> </v>
      </c>
      <c r="AD185" s="46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46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46" t="str">
        <f aca="false">IF((E186="v"),H186," ")</f>
        <v> </v>
      </c>
      <c r="AD186" s="46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46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46" t="str">
        <f aca="false">IF((E187="v"),H187," ")</f>
        <v> </v>
      </c>
      <c r="AD187" s="46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46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46" t="str">
        <f aca="false">IF((E188="v"),H188," ")</f>
        <v> </v>
      </c>
      <c r="AD188" s="46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46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46" t="str">
        <f aca="false">IF((E189="v"),H189," ")</f>
        <v> </v>
      </c>
      <c r="AD189" s="46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46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46" t="str">
        <f aca="false">IF((E190="v"),H190," ")</f>
        <v> </v>
      </c>
      <c r="AD190" s="46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46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46" t="str">
        <f aca="false">IF((E191="v"),H191," ")</f>
        <v> </v>
      </c>
      <c r="AD191" s="46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46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46" t="str">
        <f aca="false">IF((E192="v"),H192," ")</f>
        <v> </v>
      </c>
      <c r="AD192" s="46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46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46" t="str">
        <f aca="false">IF((E193="v"),H193," ")</f>
        <v> </v>
      </c>
      <c r="AD193" s="46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46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46" t="str">
        <f aca="false">IF((E194="v"),H194," ")</f>
        <v> </v>
      </c>
      <c r="AD194" s="46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46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46" t="str">
        <f aca="false">IF((E195="v"),H195," ")</f>
        <v> </v>
      </c>
      <c r="AD195" s="46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46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46" t="str">
        <f aca="false">IF((E196="v"),H196," ")</f>
        <v> </v>
      </c>
      <c r="AD196" s="46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46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46" t="str">
        <f aca="false">IF((E197="v"),H197," ")</f>
        <v> </v>
      </c>
      <c r="AD197" s="46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46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46" t="str">
        <f aca="false">IF((E198="v"),H198," ")</f>
        <v> </v>
      </c>
      <c r="AD198" s="46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46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46" t="str">
        <f aca="false">IF((E199="v"),H199," ")</f>
        <v> </v>
      </c>
      <c r="AD199" s="46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46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46" t="str">
        <f aca="false">IF((E200="v"),H200," ")</f>
        <v> </v>
      </c>
      <c r="AD200" s="46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46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46" t="str">
        <f aca="false">IF((E201="v"),H201," ")</f>
        <v> </v>
      </c>
      <c r="AD201" s="46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46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46" t="str">
        <f aca="false">IF((E202="v"),H202," ")</f>
        <v> </v>
      </c>
      <c r="AD202" s="46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46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46" t="str">
        <f aca="false">IF((E203="v"),H203," ")</f>
        <v> </v>
      </c>
      <c r="AD203" s="46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46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46" t="str">
        <f aca="false">IF((E204="v"),H204," ")</f>
        <v> </v>
      </c>
      <c r="AD204" s="46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46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46" t="str">
        <f aca="false">IF((E205="v"),H205," ")</f>
        <v> </v>
      </c>
      <c r="AD205" s="46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46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46" t="str">
        <f aca="false">IF((E206="v"),H206," ")</f>
        <v> </v>
      </c>
      <c r="AD206" s="46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46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46" t="str">
        <f aca="false">IF((E207="v"),H207," ")</f>
        <v> </v>
      </c>
      <c r="AD207" s="46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46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46" t="str">
        <f aca="false">IF((E208="v"),H208," ")</f>
        <v> </v>
      </c>
      <c r="AD208" s="46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46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46" t="str">
        <f aca="false">IF((E209="v"),H209," ")</f>
        <v> </v>
      </c>
      <c r="AD209" s="46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46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46" t="str">
        <f aca="false">IF((E210="v"),H210," ")</f>
        <v> </v>
      </c>
      <c r="AD210" s="46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46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46" t="str">
        <f aca="false">IF((E211="v"),H211," ")</f>
        <v> </v>
      </c>
      <c r="AD211" s="46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46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46" t="str">
        <f aca="false">IF((E212="v"),H212," ")</f>
        <v> </v>
      </c>
      <c r="AD212" s="46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46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46" t="str">
        <f aca="false">IF((E213="v"),H213," ")</f>
        <v> </v>
      </c>
      <c r="AD213" s="46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46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46" t="str">
        <f aca="false">IF((E214="v"),H214," ")</f>
        <v> </v>
      </c>
      <c r="AD214" s="46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46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46" t="str">
        <f aca="false">IF((E215="v"),H215," ")</f>
        <v> </v>
      </c>
      <c r="AD215" s="46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46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46" t="str">
        <f aca="false">IF((E216="v"),H216," ")</f>
        <v> </v>
      </c>
      <c r="AD216" s="46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46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46" t="str">
        <f aca="false">IF((E217="v"),H217," ")</f>
        <v> </v>
      </c>
      <c r="AD217" s="46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46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46" t="str">
        <f aca="false">IF((E218="v"),H218," ")</f>
        <v> </v>
      </c>
      <c r="AD218" s="46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46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46" t="str">
        <f aca="false">IF((E219="v"),H219," ")</f>
        <v> </v>
      </c>
      <c r="AD219" s="46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46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46" t="str">
        <f aca="false">IF((E220="v"),H220," ")</f>
        <v> </v>
      </c>
      <c r="AD220" s="46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46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46" t="str">
        <f aca="false">IF((E221="v"),H221," ")</f>
        <v> </v>
      </c>
      <c r="AD221" s="46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46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46" t="str">
        <f aca="false">IF((E222="v"),H222," ")</f>
        <v> </v>
      </c>
      <c r="AD222" s="46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46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46" t="str">
        <f aca="false">IF((E223="v"),H223," ")</f>
        <v> </v>
      </c>
      <c r="AD223" s="46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46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46" t="str">
        <f aca="false">IF((E224="v"),H224," ")</f>
        <v> </v>
      </c>
      <c r="AD224" s="46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46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46" t="str">
        <f aca="false">IF((E225="v"),H225," ")</f>
        <v> </v>
      </c>
      <c r="AD225" s="46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46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46" t="str">
        <f aca="false">IF((E226="v"),H226," ")</f>
        <v> </v>
      </c>
      <c r="AD226" s="46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46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46" t="str">
        <f aca="false">IF((E227="v"),H227," ")</f>
        <v> </v>
      </c>
      <c r="AD227" s="46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46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46" t="str">
        <f aca="false">IF((E228="v"),H228," ")</f>
        <v> </v>
      </c>
      <c r="AD228" s="46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46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46" t="str">
        <f aca="false">IF((E229="v"),H229," ")</f>
        <v> </v>
      </c>
      <c r="AD229" s="46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46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46" t="str">
        <f aca="false">IF((E230="v"),H230," ")</f>
        <v> </v>
      </c>
      <c r="AD230" s="46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46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46" t="str">
        <f aca="false">IF((E231="v"),H231," ")</f>
        <v> </v>
      </c>
      <c r="AD231" s="46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46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46" t="str">
        <f aca="false">IF((E232="v"),H232," ")</f>
        <v> </v>
      </c>
      <c r="AD232" s="46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46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46" t="str">
        <f aca="false">IF((E233="v"),H233," ")</f>
        <v> </v>
      </c>
      <c r="AD233" s="46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46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46" t="str">
        <f aca="false">IF((E234="v"),H234," ")</f>
        <v> </v>
      </c>
      <c r="AD234" s="46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46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46" t="str">
        <f aca="false">IF((E235="v"),H235," ")</f>
        <v> </v>
      </c>
      <c r="AD235" s="46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46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46" t="str">
        <f aca="false">IF((E236="v"),H236," ")</f>
        <v> </v>
      </c>
      <c r="AD236" s="46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46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46" t="str">
        <f aca="false">IF((E237="v"),H237," ")</f>
        <v> </v>
      </c>
      <c r="AD237" s="46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46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46" t="str">
        <f aca="false">IF((E238="v"),H238," ")</f>
        <v> </v>
      </c>
      <c r="AD238" s="46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46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46" t="str">
        <f aca="false">IF((E239="v"),H239," ")</f>
        <v> </v>
      </c>
      <c r="AD239" s="46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46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46" t="str">
        <f aca="false">IF((E240="v"),H240," ")</f>
        <v> </v>
      </c>
      <c r="AD240" s="46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46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46" t="str">
        <f aca="false">IF((E241="v"),H241," ")</f>
        <v> </v>
      </c>
      <c r="AD241" s="46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46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46" t="str">
        <f aca="false">IF((E242="v"),H242," ")</f>
        <v> </v>
      </c>
      <c r="AD242" s="46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46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46" t="str">
        <f aca="false">IF((E243="v"),H243," ")</f>
        <v> </v>
      </c>
      <c r="AD243" s="46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46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46" t="str">
        <f aca="false">IF((E244="v"),H244," ")</f>
        <v> </v>
      </c>
      <c r="AD244" s="46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46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46" t="str">
        <f aca="false">IF((E245="v"),H245," ")</f>
        <v> </v>
      </c>
      <c r="AD245" s="46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46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46" t="str">
        <f aca="false">IF((E246="v"),H246," ")</f>
        <v> </v>
      </c>
      <c r="AD246" s="46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46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46" t="str">
        <f aca="false">IF((E247="v"),H247," ")</f>
        <v> </v>
      </c>
      <c r="AD247" s="46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46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46" t="str">
        <f aca="false">IF((E248="v"),H248," ")</f>
        <v> </v>
      </c>
      <c r="AD248" s="46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46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46" t="str">
        <f aca="false">IF((E249="v"),H249," ")</f>
        <v> </v>
      </c>
      <c r="AD249" s="46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46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46" t="str">
        <f aca="false">IF((E250="v"),H250," ")</f>
        <v> </v>
      </c>
      <c r="AD250" s="46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46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46" t="str">
        <f aca="false">IF((E251="v"),H251," ")</f>
        <v> </v>
      </c>
      <c r="AD251" s="46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46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46" t="str">
        <f aca="false">IF((E252="v"),H252," ")</f>
        <v> </v>
      </c>
      <c r="AD252" s="46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46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46" t="str">
        <f aca="false">IF((E253="v"),H253," ")</f>
        <v> </v>
      </c>
      <c r="AD253" s="46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46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46" t="str">
        <f aca="false">IF((E254="v"),H254," ")</f>
        <v> </v>
      </c>
      <c r="AD254" s="46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46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46" t="str">
        <f aca="false">IF((E255="v"),H255," ")</f>
        <v> </v>
      </c>
      <c r="AD255" s="46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46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46" t="str">
        <f aca="false">IF((E256="v"),H256," ")</f>
        <v> </v>
      </c>
      <c r="AD256" s="46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46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46" t="str">
        <f aca="false">IF((E257="v"),H257," ")</f>
        <v> </v>
      </c>
      <c r="AD257" s="46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46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46" t="str">
        <f aca="false">IF((E258="v"),H258," ")</f>
        <v> </v>
      </c>
      <c r="AD258" s="46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46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46" t="str">
        <f aca="false">IF((E259="v"),H259," ")</f>
        <v> </v>
      </c>
      <c r="AD259" s="46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46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46" t="str">
        <f aca="false">IF((E260="v"),H260," ")</f>
        <v> </v>
      </c>
      <c r="AD260" s="46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46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46" t="str">
        <f aca="false">IF((E261="v"),H261," ")</f>
        <v> </v>
      </c>
      <c r="AD261" s="46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46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46" t="str">
        <f aca="false">IF((E262="v"),H262," ")</f>
        <v> </v>
      </c>
      <c r="AD262" s="46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46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46" t="str">
        <f aca="false">IF((E263="v"),H263," ")</f>
        <v> </v>
      </c>
      <c r="AD263" s="46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46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46" t="str">
        <f aca="false">IF((E264="v"),H264," ")</f>
        <v> </v>
      </c>
      <c r="AD264" s="46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46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46" t="str">
        <f aca="false">IF((E265="v"),H265," ")</f>
        <v> </v>
      </c>
      <c r="AD265" s="46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46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46" t="str">
        <f aca="false">IF((E266="v"),H266," ")</f>
        <v> </v>
      </c>
      <c r="AD266" s="46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46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46" t="str">
        <f aca="false">IF((E267="v"),H267," ")</f>
        <v> </v>
      </c>
      <c r="AD267" s="46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46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46" t="str">
        <f aca="false">IF((E268="v"),H268," ")</f>
        <v> </v>
      </c>
      <c r="AD268" s="46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46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46" t="str">
        <f aca="false">IF((E269="v"),H269," ")</f>
        <v> </v>
      </c>
      <c r="AD269" s="46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46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46" t="str">
        <f aca="false">IF((E270="v"),H270," ")</f>
        <v> </v>
      </c>
      <c r="AD270" s="46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46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46" t="str">
        <f aca="false">IF((E271="v"),H271," ")</f>
        <v> </v>
      </c>
      <c r="AD271" s="46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46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46" t="str">
        <f aca="false">IF((E272="v"),H272," ")</f>
        <v> </v>
      </c>
      <c r="AD272" s="46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46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46" t="str">
        <f aca="false">IF((E273="v"),H273," ")</f>
        <v> </v>
      </c>
      <c r="AD273" s="46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46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46" t="str">
        <f aca="false">IF((E274="v"),H274," ")</f>
        <v> </v>
      </c>
      <c r="AD274" s="46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46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46" t="str">
        <f aca="false">IF((E275="v"),H275," ")</f>
        <v> </v>
      </c>
      <c r="AD275" s="46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46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46" t="str">
        <f aca="false">IF((E276="v"),H276," ")</f>
        <v> </v>
      </c>
      <c r="AD276" s="46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46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46" t="str">
        <f aca="false">IF((E277="v"),H277," ")</f>
        <v> </v>
      </c>
      <c r="AD277" s="46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46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46" t="str">
        <f aca="false">IF((E278="v"),H278," ")</f>
        <v> </v>
      </c>
      <c r="AD278" s="46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46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46" t="str">
        <f aca="false">IF((E279="v"),H279," ")</f>
        <v> </v>
      </c>
      <c r="AD279" s="46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46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46" t="str">
        <f aca="false">IF((E280="v"),H280," ")</f>
        <v> </v>
      </c>
      <c r="AD280" s="46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46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46" t="str">
        <f aca="false">IF((E281="v"),H281," ")</f>
        <v> </v>
      </c>
      <c r="AD281" s="46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46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46" t="str">
        <f aca="false">IF((E282="v"),H282," ")</f>
        <v> </v>
      </c>
      <c r="AD282" s="46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46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46" t="str">
        <f aca="false">IF((E283="v"),H283," ")</f>
        <v> </v>
      </c>
      <c r="AD283" s="46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46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46" t="str">
        <f aca="false">IF((E284="v"),H284," ")</f>
        <v> </v>
      </c>
      <c r="AD284" s="46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46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46" t="str">
        <f aca="false">IF((E285="v"),H285," ")</f>
        <v> </v>
      </c>
      <c r="AD285" s="46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46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46" t="str">
        <f aca="false">IF((E286="v"),H286," ")</f>
        <v> </v>
      </c>
      <c r="AD286" s="46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46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46" t="str">
        <f aca="false">IF((E287="v"),H287," ")</f>
        <v> </v>
      </c>
      <c r="AD287" s="46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46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46" t="str">
        <f aca="false">IF((E288="v"),H288," ")</f>
        <v> </v>
      </c>
      <c r="AD288" s="46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46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46" t="str">
        <f aca="false">IF((E289="v"),H289," ")</f>
        <v> </v>
      </c>
      <c r="AD289" s="46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46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46" t="str">
        <f aca="false">IF((E290="v"),H290," ")</f>
        <v> </v>
      </c>
      <c r="AD290" s="46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46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46" t="str">
        <f aca="false">IF((E291="v"),H291," ")</f>
        <v> </v>
      </c>
      <c r="AD291" s="46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46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46" t="str">
        <f aca="false">IF((E292="v"),H292," ")</f>
        <v> </v>
      </c>
      <c r="AD292" s="46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46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46" t="str">
        <f aca="false">IF((E293="v"),H293," ")</f>
        <v> </v>
      </c>
      <c r="AD293" s="46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46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46" t="str">
        <f aca="false">IF((E294="v"),H294," ")</f>
        <v> </v>
      </c>
      <c r="AD294" s="46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46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46" t="str">
        <f aca="false">IF((E295="v"),H295," ")</f>
        <v> </v>
      </c>
      <c r="AD295" s="46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46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46" t="str">
        <f aca="false">IF((E296="v"),H296," ")</f>
        <v> </v>
      </c>
      <c r="AD296" s="46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46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46" t="str">
        <f aca="false">IF((E297="v"),H297," ")</f>
        <v> </v>
      </c>
      <c r="AD297" s="46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46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46" t="str">
        <f aca="false">IF((E298="v"),H298," ")</f>
        <v> </v>
      </c>
      <c r="AD298" s="46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46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46" t="str">
        <f aca="false">IF((E299="v"),H299," ")</f>
        <v> </v>
      </c>
      <c r="AD299" s="46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</row>
    <row r="300" customFormat="false" ht="12" hidden="false" customHeight="false" outlineLevel="0" collapsed="false">
      <c r="A300" s="31"/>
      <c r="B300" s="32"/>
      <c r="C300" s="33"/>
      <c r="D300" s="32"/>
      <c r="E300" s="47" t="str">
        <f aca="false">IF((F300&lt;&gt;0),"Enter Letter"," ")</f>
        <v> </v>
      </c>
      <c r="F300" s="48"/>
      <c r="G300" s="35" t="str">
        <f aca="false">IF(F300&lt;&gt;0,F300*G$2/(100+G$2)," ")</f>
        <v> </v>
      </c>
      <c r="H300" s="35" t="str">
        <f aca="false">IF((F300&lt;&gt;0),F300-G300," ")</f>
        <v> </v>
      </c>
      <c r="I300" s="49"/>
      <c r="J300" s="35"/>
      <c r="K300" s="35"/>
      <c r="L300" s="36" t="str">
        <f aca="false">IF(F300&lt;&gt;0,F300-K300," ")</f>
        <v> </v>
      </c>
      <c r="M300" s="37" t="str">
        <f aca="false">IF((F300-K300)&lt;&gt;0,M$1-A300," ")</f>
        <v> </v>
      </c>
      <c r="N300" s="49"/>
      <c r="O300" s="50" t="str">
        <f aca="false">IF((E300="s"),H300," ")</f>
        <v> </v>
      </c>
      <c r="P300" s="50" t="str">
        <f aca="false">IF((E300="c"),H300," ")</f>
        <v> </v>
      </c>
      <c r="Q300" s="50" t="str">
        <f aca="false">IF((E300="o"),H300," ")</f>
        <v> </v>
      </c>
      <c r="R300" s="50" t="str">
        <f aca="false">IF((E300="d"),H300," ")</f>
        <v> </v>
      </c>
      <c r="S300" s="50" t="str">
        <f aca="false">IF((E300="w"),H300," ")</f>
        <v> </v>
      </c>
      <c r="T300" s="50" t="str">
        <f aca="false">IF((E300="r"),H300," ")</f>
        <v> </v>
      </c>
      <c r="U300" s="50" t="str">
        <f aca="false">IF((E300="p"),H300," ")</f>
        <v> </v>
      </c>
      <c r="V300" s="50" t="str">
        <f aca="false">IF((E300="t"),H300," ")</f>
        <v> </v>
      </c>
      <c r="W300" s="50" t="str">
        <f aca="false">IF((E300="q"),H300," ")</f>
        <v> </v>
      </c>
      <c r="X300" s="50" t="str">
        <f aca="false">IF((E300="m"),H300," ")</f>
        <v> </v>
      </c>
      <c r="Y300" s="50" t="str">
        <f aca="false">IF((E300="u"),H300," ")</f>
        <v> </v>
      </c>
      <c r="Z300" s="50" t="str">
        <f aca="false">IF((E300="a"),H300," ")</f>
        <v> </v>
      </c>
      <c r="AA300" s="50" t="str">
        <f aca="false">IF((E300="g"),H300," ")</f>
        <v> </v>
      </c>
      <c r="AB300" s="50" t="str">
        <f aca="false">IF((E300="h"),H300," ")</f>
        <v> </v>
      </c>
      <c r="AC300" s="48" t="str">
        <f aca="false">IF((E300="v"),H300," ")</f>
        <v> </v>
      </c>
      <c r="AD300" s="48" t="str">
        <f aca="false">IF((E300="n"),H300," ")</f>
        <v> </v>
      </c>
      <c r="AE300" s="50" t="str">
        <f aca="false">IF((E300="f"),H300," ")</f>
        <v> </v>
      </c>
      <c r="AF300" s="50" t="str">
        <f aca="false">IF((E300="l"),H300," ")</f>
        <v> </v>
      </c>
      <c r="AG300" s="50" t="str">
        <f aca="false">IF((E300="y"),H300," ")</f>
        <v> </v>
      </c>
      <c r="AH300" s="50" t="str">
        <f aca="false">IF((E300="z"),H300," ")</f>
        <v> </v>
      </c>
      <c r="AI300" s="50" t="str">
        <f aca="false">IF((E300="fa"),H300," ")</f>
        <v> </v>
      </c>
      <c r="AJ300" s="50"/>
      <c r="AK300" s="50"/>
      <c r="AL300" s="50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8" width="10.5"/>
    <col collapsed="false" customWidth="true" hidden="false" outlineLevel="0" max="35" min="31" style="17" width="10.5"/>
    <col collapsed="false" customWidth="true" hidden="false" outlineLevel="0" max="36" min="36" style="17" width="0.82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s="17" customFormat="true" ht="12.75" hidden="false" customHeight="true" outlineLevel="0" collapsed="false">
      <c r="A1" s="39" t="n">
        <f aca="false">F1-G1-SUM(O1:AI1)</f>
        <v>0</v>
      </c>
      <c r="B1" s="40" t="s">
        <v>22</v>
      </c>
      <c r="C1" s="20" t="s">
        <v>5</v>
      </c>
      <c r="D1" s="41" t="s">
        <v>23</v>
      </c>
      <c r="E1" s="41"/>
      <c r="F1" s="12" t="n">
        <f aca="false">SUM(F5:F300)</f>
        <v>4396.5</v>
      </c>
      <c r="G1" s="12" t="n">
        <f aca="false">SUM(G5:G300)</f>
        <v>0</v>
      </c>
      <c r="H1" s="12" t="n">
        <f aca="false">SUM(H5:H300)</f>
        <v>4396.5</v>
      </c>
      <c r="I1" s="13"/>
      <c r="J1" s="14" t="s">
        <v>2</v>
      </c>
      <c r="K1" s="15" t="n">
        <f aca="false">SUM(K5:K300)</f>
        <v>0</v>
      </c>
      <c r="L1" s="15" t="n">
        <f aca="false">SUM(L5:L300)</f>
        <v>4396.5</v>
      </c>
      <c r="M1" s="16" t="n">
        <f aca="true">TODAY()</f>
        <v>46137</v>
      </c>
      <c r="N1" s="13"/>
      <c r="O1" s="12" t="n">
        <f aca="false">SUM(O5:O300)</f>
        <v>660</v>
      </c>
      <c r="P1" s="12" t="n">
        <f aca="false">SUM(P5:P300)</f>
        <v>0</v>
      </c>
      <c r="Q1" s="12" t="n">
        <f aca="false">SUM(Q5:Q300)</f>
        <v>285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1200</v>
      </c>
      <c r="U1" s="12" t="n">
        <f aca="false">SUM(U5:U300)</f>
        <v>0</v>
      </c>
      <c r="V1" s="12" t="n">
        <f aca="false">SUM(V5:V300)</f>
        <v>0</v>
      </c>
      <c r="W1" s="12" t="n">
        <f aca="false">SUM(W5:W300)</f>
        <v>360</v>
      </c>
      <c r="X1" s="12" t="n">
        <f aca="false">SUM(X5:X300)</f>
        <v>360</v>
      </c>
      <c r="Y1" s="12" t="n">
        <f aca="false">SUM(Y5:Y300)</f>
        <v>133</v>
      </c>
      <c r="Z1" s="12" t="n">
        <f aca="false">SUM(Z5:Z300)</f>
        <v>0</v>
      </c>
      <c r="AA1" s="12" t="n">
        <f aca="false">SUM(AA5:AA300)</f>
        <v>135</v>
      </c>
      <c r="AB1" s="12" t="n">
        <f aca="false">SUM(AB5:AB300)</f>
        <v>368</v>
      </c>
      <c r="AC1" s="12" t="n">
        <f aca="false">SUM(AC5:AC300)</f>
        <v>595.5</v>
      </c>
      <c r="AD1" s="12" t="n">
        <f aca="false">SUM(AD5:AD300)</f>
        <v>0</v>
      </c>
      <c r="AE1" s="12" t="n">
        <f aca="false">SUM(AE5:AE300)</f>
        <v>0</v>
      </c>
      <c r="AF1" s="12" t="n">
        <f aca="false">SUM(AF5:AF300)</f>
        <v>300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0</v>
      </c>
      <c r="AJ1" s="42"/>
      <c r="AK1" s="12" t="n">
        <f aca="false">SUM(AK5:AK300)</f>
        <v>0</v>
      </c>
      <c r="AL1" s="43"/>
    </row>
    <row r="2" s="17" customFormat="tru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IF([2]Apr!$G$4&gt;0,0,[2]Apr!$G$2)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42"/>
      <c r="AK2" s="19" t="s">
        <v>43</v>
      </c>
      <c r="AL2" s="19"/>
    </row>
    <row r="3" s="26" customFormat="tru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44</v>
      </c>
      <c r="P3" s="21" t="s">
        <v>45</v>
      </c>
      <c r="Q3" s="21" t="s">
        <v>46</v>
      </c>
      <c r="R3" s="19"/>
      <c r="S3" s="19"/>
      <c r="T3" s="21" t="s">
        <v>47</v>
      </c>
      <c r="U3" s="21" t="s">
        <v>48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42"/>
      <c r="AK3" s="19" t="s">
        <v>49</v>
      </c>
      <c r="AL3" s="19"/>
    </row>
    <row r="4" s="27" customFormat="tru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50</v>
      </c>
      <c r="P4" s="44" t="s">
        <v>51</v>
      </c>
      <c r="Q4" s="44" t="s">
        <v>52</v>
      </c>
      <c r="R4" s="44" t="s">
        <v>53</v>
      </c>
      <c r="S4" s="44" t="s">
        <v>54</v>
      </c>
      <c r="T4" s="44" t="s">
        <v>55</v>
      </c>
      <c r="U4" s="44" t="s">
        <v>56</v>
      </c>
      <c r="V4" s="44" t="s">
        <v>57</v>
      </c>
      <c r="W4" s="44" t="s">
        <v>58</v>
      </c>
      <c r="X4" s="44" t="s">
        <v>59</v>
      </c>
      <c r="Y4" s="44" t="s">
        <v>60</v>
      </c>
      <c r="Z4" s="44" t="s">
        <v>61</v>
      </c>
      <c r="AA4" s="44" t="s">
        <v>62</v>
      </c>
      <c r="AB4" s="44" t="s">
        <v>63</v>
      </c>
      <c r="AC4" s="45" t="s">
        <v>64</v>
      </c>
      <c r="AD4" s="45" t="s">
        <v>65</v>
      </c>
      <c r="AE4" s="44" t="s">
        <v>66</v>
      </c>
      <c r="AF4" s="44" t="s">
        <v>67</v>
      </c>
      <c r="AG4" s="44" t="s">
        <v>68</v>
      </c>
      <c r="AH4" s="44" t="s">
        <v>69</v>
      </c>
      <c r="AI4" s="44" t="s">
        <v>70</v>
      </c>
      <c r="AJ4" s="42"/>
      <c r="AK4" s="19" t="s">
        <v>71</v>
      </c>
      <c r="AL4" s="19" t="s">
        <v>72</v>
      </c>
    </row>
    <row r="5" s="5" customFormat="true" ht="12" hidden="false" customHeight="false" outlineLevel="0" collapsed="false">
      <c r="A5" s="28" t="n">
        <v>46113</v>
      </c>
      <c r="B5" s="5" t="s">
        <v>14</v>
      </c>
      <c r="E5" s="5" t="s">
        <v>73</v>
      </c>
      <c r="F5" s="46" t="n">
        <v>1200</v>
      </c>
      <c r="H5" s="6" t="n">
        <f aca="false">IF((F5&lt;&gt;0),F5-G5," ")</f>
        <v>1200</v>
      </c>
      <c r="J5" s="6"/>
      <c r="K5" s="6"/>
      <c r="L5" s="7" t="n">
        <f aca="false">IF(F5&lt;&gt;0,F5-K5," ")</f>
        <v>1200</v>
      </c>
      <c r="M5" s="8" t="n">
        <f aca="false">IF((F5-K5)&lt;&gt;0,M$1-A5," ")</f>
        <v>24</v>
      </c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1200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46" t="str">
        <f aca="false">IF((E5="v"),H5," ")</f>
        <v> </v>
      </c>
      <c r="AD5" s="46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/>
      <c r="AK5" s="17"/>
      <c r="AL5" s="17"/>
    </row>
    <row r="6" customFormat="false" ht="12" hidden="false" customHeight="false" outlineLevel="0" collapsed="false">
      <c r="A6" s="28" t="n">
        <v>46113</v>
      </c>
      <c r="B6" s="2" t="s">
        <v>74</v>
      </c>
      <c r="E6" s="5" t="s">
        <v>75</v>
      </c>
      <c r="F6" s="46" t="n">
        <v>30</v>
      </c>
      <c r="H6" s="6" t="n">
        <f aca="false">IF((F6&lt;&gt;0),F6-G6," ")</f>
        <v>30</v>
      </c>
      <c r="I6" s="5"/>
      <c r="L6" s="7" t="n">
        <f aca="false">IF(F6&lt;&gt;0,F6-K6," ")</f>
        <v>30</v>
      </c>
      <c r="M6" s="8" t="n">
        <f aca="false">IF((F6-K6)&lt;&gt;0,M$1-A6," ")</f>
        <v>24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30</v>
      </c>
      <c r="AB6" s="17" t="str">
        <f aca="false">IF((E6="h"),H6," ")</f>
        <v> </v>
      </c>
      <c r="AC6" s="46" t="str">
        <f aca="false">IF((E6="v"),H6," ")</f>
        <v> </v>
      </c>
      <c r="AD6" s="46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</row>
    <row r="7" customFormat="false" ht="12" hidden="false" customHeight="false" outlineLevel="0" collapsed="false">
      <c r="A7" s="28" t="n">
        <v>46113</v>
      </c>
      <c r="B7" s="2" t="s">
        <v>76</v>
      </c>
      <c r="E7" s="5" t="s">
        <v>75</v>
      </c>
      <c r="F7" s="46" t="n">
        <v>15</v>
      </c>
      <c r="H7" s="6" t="n">
        <f aca="false">IF((F7&lt;&gt;0),F7-G7," ")</f>
        <v>15</v>
      </c>
      <c r="I7" s="5"/>
      <c r="L7" s="7" t="n">
        <f aca="false">IF(F7&lt;&gt;0,F7-K7," ")</f>
        <v>15</v>
      </c>
      <c r="M7" s="8" t="n">
        <f aca="false">IF((F7-K7)&lt;&gt;0,M$1-A7," ")</f>
        <v>24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15</v>
      </c>
      <c r="AB7" s="17" t="str">
        <f aca="false">IF((E7="h"),H7," ")</f>
        <v> </v>
      </c>
      <c r="AC7" s="46" t="str">
        <f aca="false">IF((E7="v"),H7," ")</f>
        <v> </v>
      </c>
      <c r="AD7" s="46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</row>
    <row r="8" customFormat="false" ht="12" hidden="false" customHeight="false" outlineLevel="0" collapsed="false">
      <c r="A8" s="28" t="n">
        <v>46113</v>
      </c>
      <c r="B8" s="2" t="s">
        <v>77</v>
      </c>
      <c r="E8" s="5" t="s">
        <v>78</v>
      </c>
      <c r="F8" s="46" t="n">
        <v>45</v>
      </c>
      <c r="H8" s="6" t="n">
        <f aca="false">IF((F8&lt;&gt;0),F8-G8," ")</f>
        <v>45</v>
      </c>
      <c r="I8" s="5"/>
      <c r="L8" s="7" t="n">
        <f aca="false">IF(F8&lt;&gt;0,F8-K8," ")</f>
        <v>45</v>
      </c>
      <c r="M8" s="8" t="n">
        <f aca="false">IF((F8-K8)&lt;&gt;0,M$1-A8," ")</f>
        <v>24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45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46" t="str">
        <f aca="false">IF((E8="v"),H8," ")</f>
        <v> </v>
      </c>
      <c r="AD8" s="46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</row>
    <row r="9" customFormat="false" ht="12" hidden="false" customHeight="false" outlineLevel="0" collapsed="false">
      <c r="A9" s="28" t="n">
        <v>46113</v>
      </c>
      <c r="B9" s="2" t="s">
        <v>81</v>
      </c>
      <c r="E9" s="5" t="s">
        <v>78</v>
      </c>
      <c r="F9" s="46" t="n">
        <v>24</v>
      </c>
      <c r="H9" s="6" t="n">
        <f aca="false">IF((F9&lt;&gt;0),F9-G9," ")</f>
        <v>24</v>
      </c>
      <c r="I9" s="5"/>
      <c r="L9" s="7" t="n">
        <f aca="false">IF(F9&lt;&gt;0,F9-K9," ")</f>
        <v>24</v>
      </c>
      <c r="M9" s="8" t="n">
        <f aca="false">IF((F9-K9)&lt;&gt;0,M$1-A9," ")</f>
        <v>24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n">
        <f aca="false">IF((E9="o"),H9," ")</f>
        <v>24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46" t="str">
        <f aca="false">IF((E9="v"),H9," ")</f>
        <v> </v>
      </c>
      <c r="AD9" s="46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</row>
    <row r="10" customFormat="false" ht="12" hidden="false" customHeight="false" outlineLevel="0" collapsed="false">
      <c r="A10" s="28" t="n">
        <v>46113</v>
      </c>
      <c r="B10" s="2" t="s">
        <v>82</v>
      </c>
      <c r="E10" s="5" t="s">
        <v>75</v>
      </c>
      <c r="F10" s="46" t="n">
        <v>18</v>
      </c>
      <c r="H10" s="6" t="n">
        <f aca="false">IF((F10&lt;&gt;0),F10-G10," ")</f>
        <v>18</v>
      </c>
      <c r="I10" s="5"/>
      <c r="L10" s="7" t="n">
        <f aca="false">IF(F10&lt;&gt;0,F10-K10," ")</f>
        <v>18</v>
      </c>
      <c r="M10" s="8" t="n">
        <f aca="false">IF((F10-K10)&lt;&gt;0,M$1-A10," ")</f>
        <v>24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str">
        <f aca="false">IF((E10="o"),H10," ")</f>
        <v> 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n">
        <f aca="false">IF((E10="g"),H10," ")</f>
        <v>18</v>
      </c>
      <c r="AB10" s="17" t="str">
        <f aca="false">IF((E10="h"),H10," ")</f>
        <v> </v>
      </c>
      <c r="AC10" s="46" t="str">
        <f aca="false">IF((E10="v"),H10," ")</f>
        <v> </v>
      </c>
      <c r="AD10" s="46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</row>
    <row r="11" customFormat="false" ht="12" hidden="false" customHeight="false" outlineLevel="0" collapsed="false">
      <c r="A11" s="28" t="n">
        <v>46115</v>
      </c>
      <c r="B11" s="2" t="s">
        <v>83</v>
      </c>
      <c r="E11" s="5" t="s">
        <v>78</v>
      </c>
      <c r="F11" s="46" t="n">
        <v>180</v>
      </c>
      <c r="H11" s="6" t="n">
        <f aca="false">IF((F11&lt;&gt;0),F11-G11," ")</f>
        <v>180</v>
      </c>
      <c r="I11" s="5"/>
      <c r="L11" s="7" t="n">
        <f aca="false">IF(F11&lt;&gt;0,F11-K11," ")</f>
        <v>180</v>
      </c>
      <c r="M11" s="8" t="n">
        <f aca="false">IF((F11-K11)&lt;&gt;0,M$1-A11," ")</f>
        <v>22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n">
        <f aca="false">IF((E11="o"),H11," ")</f>
        <v>180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str">
        <f aca="false">IF((E11="g"),H11," ")</f>
        <v> </v>
      </c>
      <c r="AB11" s="17" t="str">
        <f aca="false">IF((E11="h"),H11," ")</f>
        <v> </v>
      </c>
      <c r="AC11" s="46" t="str">
        <f aca="false">IF((E11="v"),H11," ")</f>
        <v> </v>
      </c>
      <c r="AD11" s="46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</row>
    <row r="12" customFormat="false" ht="12" hidden="false" customHeight="false" outlineLevel="0" collapsed="false">
      <c r="A12" s="28" t="n">
        <v>46115</v>
      </c>
      <c r="B12" s="2" t="s">
        <v>84</v>
      </c>
      <c r="E12" s="5" t="s">
        <v>85</v>
      </c>
      <c r="F12" s="46" t="n">
        <v>22</v>
      </c>
      <c r="H12" s="6" t="n">
        <f aca="false">IF((F12&lt;&gt;0),F12-G12," ")</f>
        <v>22</v>
      </c>
      <c r="I12" s="5"/>
      <c r="L12" s="7" t="n">
        <f aca="false">IF(F12&lt;&gt;0,F12-K12," ")</f>
        <v>22</v>
      </c>
      <c r="M12" s="8" t="n">
        <f aca="false">IF((F12-K12)&lt;&gt;0,M$1-A12," ")</f>
        <v>22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str">
        <f aca="false">IF((E12="o"),H12," ")</f>
        <v> 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n">
        <f aca="false">IF((E12="u"),H12," ")</f>
        <v>22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46" t="str">
        <f aca="false">IF((E12="v"),H12," ")</f>
        <v> </v>
      </c>
      <c r="AD12" s="46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</row>
    <row r="13" customFormat="false" ht="12" hidden="false" customHeight="false" outlineLevel="0" collapsed="false">
      <c r="A13" s="28" t="n">
        <v>46117</v>
      </c>
      <c r="B13" s="2" t="s">
        <v>86</v>
      </c>
      <c r="E13" s="5" t="s">
        <v>85</v>
      </c>
      <c r="F13" s="46" t="n">
        <v>24</v>
      </c>
      <c r="H13" s="6" t="n">
        <f aca="false">IF((F13&lt;&gt;0),F13-G13," ")</f>
        <v>24</v>
      </c>
      <c r="I13" s="5"/>
      <c r="L13" s="7" t="n">
        <f aca="false">IF(F13&lt;&gt;0,F13-K13," ")</f>
        <v>24</v>
      </c>
      <c r="M13" s="8" t="n">
        <f aca="false">IF((F13-K13)&lt;&gt;0,M$1-A13," ")</f>
        <v>20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24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46" t="str">
        <f aca="false">IF((E13="v"),H13," ")</f>
        <v> </v>
      </c>
      <c r="AD13" s="46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</row>
    <row r="14" customFormat="false" ht="12" hidden="false" customHeight="false" outlineLevel="0" collapsed="false">
      <c r="A14" s="28" t="n">
        <v>46117</v>
      </c>
      <c r="B14" s="2" t="s">
        <v>87</v>
      </c>
      <c r="E14" s="5" t="s">
        <v>88</v>
      </c>
      <c r="F14" s="46" t="n">
        <v>180</v>
      </c>
      <c r="H14" s="6" t="n">
        <f aca="false">IF((F14&lt;&gt;0),F14-G14," ")</f>
        <v>180</v>
      </c>
      <c r="I14" s="5"/>
      <c r="L14" s="7" t="n">
        <f aca="false">IF(F14&lt;&gt;0,F14-K14," ")</f>
        <v>180</v>
      </c>
      <c r="M14" s="8" t="n">
        <f aca="false">IF((F14-K14)&lt;&gt;0,M$1-A14," ")</f>
        <v>20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str">
        <f aca="false">IF((E14="u"),H14," ")</f>
        <v> 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46" t="n">
        <f aca="false">IF((E14="v"),H14," ")</f>
        <v>180</v>
      </c>
      <c r="AD14" s="46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</row>
    <row r="15" customFormat="false" ht="12" hidden="false" customHeight="false" outlineLevel="0" collapsed="false">
      <c r="A15" s="28" t="n">
        <v>46117</v>
      </c>
      <c r="B15" s="2" t="s">
        <v>89</v>
      </c>
      <c r="E15" s="5" t="s">
        <v>78</v>
      </c>
      <c r="F15" s="46" t="n">
        <v>36</v>
      </c>
      <c r="H15" s="6" t="n">
        <f aca="false">IF((F15&lt;&gt;0),F15-G15," ")</f>
        <v>36</v>
      </c>
      <c r="I15" s="5"/>
      <c r="L15" s="7" t="n">
        <f aca="false">IF(F15&lt;&gt;0,F15-K15," ")</f>
        <v>36</v>
      </c>
      <c r="M15" s="8" t="n">
        <f aca="false">IF((F15-K15)&lt;&gt;0,M$1-A15," ")</f>
        <v>20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n">
        <f aca="false">IF((E15="o"),H15," ")</f>
        <v>36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str">
        <f aca="false">IF((E15="h"),H15," ")</f>
        <v> </v>
      </c>
      <c r="AC15" s="46" t="str">
        <f aca="false">IF((E15="v"),H15," ")</f>
        <v> </v>
      </c>
      <c r="AD15" s="46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</row>
    <row r="16" customFormat="false" ht="12" hidden="false" customHeight="false" outlineLevel="0" collapsed="false">
      <c r="A16" s="28" t="n">
        <v>46118</v>
      </c>
      <c r="B16" s="2" t="s">
        <v>111</v>
      </c>
      <c r="E16" s="5" t="s">
        <v>91</v>
      </c>
      <c r="F16" s="46" t="n">
        <v>36</v>
      </c>
      <c r="H16" s="6" t="n">
        <f aca="false">IF((F16&lt;&gt;0),F16-G16," ")</f>
        <v>36</v>
      </c>
      <c r="I16" s="5"/>
      <c r="L16" s="7" t="n">
        <f aca="false">IF(F16&lt;&gt;0,F16-K16," ")</f>
        <v>36</v>
      </c>
      <c r="M16" s="8" t="n">
        <f aca="false">IF((F16-K16)&lt;&gt;0,M$1-A16," ")</f>
        <v>19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n">
        <f aca="false">IF((E16="h"),H16," ")</f>
        <v>36</v>
      </c>
      <c r="AC16" s="46" t="str">
        <f aca="false">IF((E16="v"),H16," ")</f>
        <v> </v>
      </c>
      <c r="AD16" s="46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</row>
    <row r="17" customFormat="false" ht="12" hidden="false" customHeight="false" outlineLevel="0" collapsed="false">
      <c r="A17" s="28" t="n">
        <v>46120</v>
      </c>
      <c r="B17" s="2" t="s">
        <v>90</v>
      </c>
      <c r="E17" s="5" t="s">
        <v>91</v>
      </c>
      <c r="F17" s="46" t="n">
        <v>48</v>
      </c>
      <c r="H17" s="6" t="n">
        <f aca="false">IF((F17&lt;&gt;0),F17-G17," ")</f>
        <v>48</v>
      </c>
      <c r="I17" s="5"/>
      <c r="L17" s="7" t="n">
        <f aca="false">IF(F17&lt;&gt;0,F17-K17," ")</f>
        <v>48</v>
      </c>
      <c r="M17" s="8" t="n">
        <f aca="false">IF((F17-K17)&lt;&gt;0,M$1-A17," ")</f>
        <v>17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str">
        <f aca="false">IF((E17="u"),H17," ")</f>
        <v> </v>
      </c>
      <c r="Z17" s="17" t="str">
        <f aca="false">IF((E17="a"),H17," ")</f>
        <v> </v>
      </c>
      <c r="AA17" s="17" t="str">
        <f aca="false">IF((E17="g"),H17," ")</f>
        <v> </v>
      </c>
      <c r="AB17" s="17" t="n">
        <f aca="false">IF((E17="h"),H17," ")</f>
        <v>48</v>
      </c>
      <c r="AC17" s="46" t="str">
        <f aca="false">IF((E17="v"),H17," ")</f>
        <v> </v>
      </c>
      <c r="AD17" s="46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</row>
    <row r="18" customFormat="false" ht="12" hidden="false" customHeight="false" outlineLevel="0" collapsed="false">
      <c r="A18" s="28" t="n">
        <v>46122</v>
      </c>
      <c r="B18" s="2" t="s">
        <v>92</v>
      </c>
      <c r="E18" s="5" t="s">
        <v>85</v>
      </c>
      <c r="F18" s="46" t="n">
        <v>36</v>
      </c>
      <c r="H18" s="6" t="n">
        <f aca="false">IF((F18&lt;&gt;0),F18-G18," ")</f>
        <v>36</v>
      </c>
      <c r="I18" s="5"/>
      <c r="L18" s="7" t="n">
        <f aca="false">IF(F18&lt;&gt;0,F18-K18," ")</f>
        <v>36</v>
      </c>
      <c r="M18" s="8" t="n">
        <f aca="false">IF((F18-K18)&lt;&gt;0,M$1-A18," ")</f>
        <v>15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n">
        <f aca="false">IF((E18="u"),H18," ")</f>
        <v>36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46" t="str">
        <f aca="false">IF((E18="v"),H18," ")</f>
        <v> </v>
      </c>
      <c r="AD18" s="46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</row>
    <row r="19" customFormat="false" ht="12" hidden="false" customHeight="false" outlineLevel="0" collapsed="false">
      <c r="A19" s="28" t="n">
        <v>46124</v>
      </c>
      <c r="B19" s="2" t="s">
        <v>97</v>
      </c>
      <c r="E19" s="5" t="s">
        <v>88</v>
      </c>
      <c r="F19" s="46" t="n">
        <v>18</v>
      </c>
      <c r="H19" s="6" t="n">
        <f aca="false">IF((F19&lt;&gt;0),F19-G19," ")</f>
        <v>18</v>
      </c>
      <c r="I19" s="5"/>
      <c r="L19" s="7" t="n">
        <f aca="false">IF(F19&lt;&gt;0,F19-K19," ")</f>
        <v>18</v>
      </c>
      <c r="M19" s="8" t="n">
        <f aca="false">IF((F19-K19)&lt;&gt;0,M$1-A19," ")</f>
        <v>13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str">
        <f aca="false">IF((E19="h"),H19," ")</f>
        <v> </v>
      </c>
      <c r="AC19" s="46" t="n">
        <f aca="false">IF((E19="v"),H19," ")</f>
        <v>18</v>
      </c>
      <c r="AD19" s="46" t="str">
        <f aca="false">IF((E19="n"),H19," ")</f>
        <v> </v>
      </c>
      <c r="AE19" s="17" t="str">
        <f aca="false">IF((E19="f"),H19," ")</f>
        <v> 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</row>
    <row r="20" customFormat="false" ht="12" hidden="false" customHeight="false" outlineLevel="0" collapsed="false">
      <c r="A20" s="28" t="n">
        <v>46124</v>
      </c>
      <c r="B20" s="2" t="s">
        <v>135</v>
      </c>
      <c r="E20" s="5" t="s">
        <v>113</v>
      </c>
      <c r="F20" s="46" t="n">
        <v>360</v>
      </c>
      <c r="H20" s="6" t="n">
        <f aca="false">IF((F20&lt;&gt;0),F20-G20," ")</f>
        <v>360</v>
      </c>
      <c r="I20" s="5"/>
      <c r="L20" s="7" t="n">
        <f aca="false">IF(F20&lt;&gt;0,F20-K20," ")</f>
        <v>360</v>
      </c>
      <c r="M20" s="8" t="n">
        <f aca="false">IF((F20-K20)&lt;&gt;0,M$1-A20," ")</f>
        <v>13</v>
      </c>
      <c r="N20" s="5"/>
      <c r="O20" s="17" t="str">
        <f aca="false">IF((E20="s"),H20," ")</f>
        <v> 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n">
        <f aca="false">IF((E20="q"),H20," ")</f>
        <v>360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46" t="str">
        <f aca="false">IF((E20="v"),H20," ")</f>
        <v> </v>
      </c>
      <c r="AD20" s="46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</row>
    <row r="21" customFormat="false" ht="12" hidden="false" customHeight="false" outlineLevel="0" collapsed="false">
      <c r="A21" s="28" t="n">
        <v>46126</v>
      </c>
      <c r="B21" s="2" t="s">
        <v>98</v>
      </c>
      <c r="E21" s="5" t="s">
        <v>85</v>
      </c>
      <c r="F21" s="46" t="n">
        <v>18</v>
      </c>
      <c r="H21" s="6" t="n">
        <f aca="false">IF((F21&lt;&gt;0),F21-G21," ")</f>
        <v>18</v>
      </c>
      <c r="I21" s="5"/>
      <c r="L21" s="7" t="n">
        <f aca="false">IF(F21&lt;&gt;0,F21-K21," ")</f>
        <v>18</v>
      </c>
      <c r="M21" s="8" t="n">
        <f aca="false">IF((F21-K21)&lt;&gt;0,M$1-A21," ")</f>
        <v>11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n">
        <f aca="false">IF((E21="u"),H21," ")</f>
        <v>18</v>
      </c>
      <c r="Z21" s="17" t="str">
        <f aca="false">IF((E21="a"),H21," ")</f>
        <v> </v>
      </c>
      <c r="AA21" s="17" t="str">
        <f aca="false">IF((E21="g"),H21," ")</f>
        <v> </v>
      </c>
      <c r="AB21" s="17" t="str">
        <f aca="false">IF((E21="h"),H21," ")</f>
        <v> </v>
      </c>
      <c r="AC21" s="46" t="str">
        <f aca="false">IF((E21="v"),H21," ")</f>
        <v> </v>
      </c>
      <c r="AD21" s="46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</row>
    <row r="22" customFormat="false" ht="12" hidden="false" customHeight="false" outlineLevel="0" collapsed="false">
      <c r="A22" s="28" t="n">
        <v>46126</v>
      </c>
      <c r="B22" s="2" t="s">
        <v>99</v>
      </c>
      <c r="E22" s="5" t="s">
        <v>91</v>
      </c>
      <c r="F22" s="46" t="n">
        <v>24</v>
      </c>
      <c r="H22" s="6" t="n">
        <f aca="false">IF((F22&lt;&gt;0),F22-G22," ")</f>
        <v>24</v>
      </c>
      <c r="I22" s="5"/>
      <c r="L22" s="7" t="n">
        <f aca="false">IF(F22&lt;&gt;0,F22-K22," ")</f>
        <v>24</v>
      </c>
      <c r="M22" s="8" t="n">
        <f aca="false">IF((F22-K22)&lt;&gt;0,M$1-A22," ")</f>
        <v>11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n">
        <f aca="false">IF((E22="h"),H22," ")</f>
        <v>24</v>
      </c>
      <c r="AC22" s="46" t="str">
        <f aca="false">IF((E22="v"),H22," ")</f>
        <v> </v>
      </c>
      <c r="AD22" s="46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</row>
    <row r="23" customFormat="false" ht="12" hidden="false" customHeight="false" outlineLevel="0" collapsed="false">
      <c r="A23" s="28" t="n">
        <v>46126</v>
      </c>
      <c r="B23" s="2" t="s">
        <v>100</v>
      </c>
      <c r="E23" s="5" t="s">
        <v>91</v>
      </c>
      <c r="F23" s="46" t="n">
        <v>12</v>
      </c>
      <c r="H23" s="6" t="n">
        <f aca="false">IF((F23&lt;&gt;0),F23-G23," ")</f>
        <v>12</v>
      </c>
      <c r="I23" s="5"/>
      <c r="L23" s="7" t="n">
        <f aca="false">IF(F23&lt;&gt;0,F23-K23," ")</f>
        <v>12</v>
      </c>
      <c r="M23" s="8" t="n">
        <f aca="false">IF((F23-K23)&lt;&gt;0,M$1-A23," ")</f>
        <v>11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n">
        <f aca="false">IF((E23="h"),H23," ")</f>
        <v>12</v>
      </c>
      <c r="AC23" s="46" t="str">
        <f aca="false">IF((E23="v"),H23," ")</f>
        <v> </v>
      </c>
      <c r="AD23" s="46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</row>
    <row r="24" customFormat="false" ht="12" hidden="false" customHeight="false" outlineLevel="0" collapsed="false">
      <c r="A24" s="28" t="n">
        <v>46127</v>
      </c>
      <c r="B24" s="2" t="s">
        <v>20</v>
      </c>
      <c r="E24" s="5" t="s">
        <v>88</v>
      </c>
      <c r="F24" s="46" t="n">
        <v>150</v>
      </c>
      <c r="H24" s="6" t="n">
        <f aca="false">IF((F24&lt;&gt;0),F24-G24," ")</f>
        <v>150</v>
      </c>
      <c r="I24" s="5"/>
      <c r="L24" s="7" t="n">
        <f aca="false">IF(F24&lt;&gt;0,F24-K24," ")</f>
        <v>150</v>
      </c>
      <c r="M24" s="8" t="n">
        <f aca="false">IF((F24-K24)&lt;&gt;0,M$1-A24," ")</f>
        <v>10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str">
        <f aca="false">IF((E24="g"),H24," ")</f>
        <v> </v>
      </c>
      <c r="AB24" s="17" t="str">
        <f aca="false">IF((E24="h"),H24," ")</f>
        <v> </v>
      </c>
      <c r="AC24" s="46" t="n">
        <f aca="false">IF((E24="v"),H24," ")</f>
        <v>150</v>
      </c>
      <c r="AD24" s="46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</row>
    <row r="25" customFormat="false" ht="12" hidden="false" customHeight="false" outlineLevel="0" collapsed="false">
      <c r="A25" s="28" t="n">
        <v>46127</v>
      </c>
      <c r="B25" s="2" t="s">
        <v>101</v>
      </c>
      <c r="E25" s="5" t="s">
        <v>75</v>
      </c>
      <c r="F25" s="46" t="n">
        <v>12</v>
      </c>
      <c r="H25" s="6" t="n">
        <f aca="false">IF((F25&lt;&gt;0),F25-G25," ")</f>
        <v>12</v>
      </c>
      <c r="I25" s="5"/>
      <c r="L25" s="7" t="n">
        <f aca="false">IF(F25&lt;&gt;0,F25-K25," ")</f>
        <v>12</v>
      </c>
      <c r="M25" s="8" t="n">
        <f aca="false">IF((F25-K25)&lt;&gt;0,M$1-A25," ")</f>
        <v>10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n">
        <f aca="false">IF((E25="g"),H25," ")</f>
        <v>12</v>
      </c>
      <c r="AB25" s="17" t="str">
        <f aca="false">IF((E25="h"),H25," ")</f>
        <v> </v>
      </c>
      <c r="AC25" s="46" t="str">
        <f aca="false">IF((E25="v"),H25," ")</f>
        <v> </v>
      </c>
      <c r="AD25" s="46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</row>
    <row r="26" customFormat="false" ht="12" hidden="false" customHeight="false" outlineLevel="0" collapsed="false">
      <c r="A26" s="28" t="n">
        <v>46127</v>
      </c>
      <c r="B26" s="2" t="s">
        <v>116</v>
      </c>
      <c r="E26" s="5" t="s">
        <v>96</v>
      </c>
      <c r="F26" s="46" t="n">
        <v>420</v>
      </c>
      <c r="H26" s="6" t="n">
        <f aca="false">IF((F26&lt;&gt;0),F26-G26," ")</f>
        <v>420</v>
      </c>
      <c r="I26" s="5"/>
      <c r="L26" s="7" t="n">
        <f aca="false">IF(F26&lt;&gt;0,F26-K26," ")</f>
        <v>420</v>
      </c>
      <c r="M26" s="8" t="n">
        <f aca="false">IF((F26-K26)&lt;&gt;0,M$1-A26," ")</f>
        <v>10</v>
      </c>
      <c r="N26" s="5"/>
      <c r="O26" s="17" t="n">
        <f aca="false">IF((E26="s"),H26," ")</f>
        <v>420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str">
        <f aca="false">IF((E26="g"),H26," ")</f>
        <v> </v>
      </c>
      <c r="AB26" s="17" t="str">
        <f aca="false">IF((E26="h"),H26," ")</f>
        <v> </v>
      </c>
      <c r="AC26" s="46" t="str">
        <f aca="false">IF((E26="v"),H26," ")</f>
        <v> </v>
      </c>
      <c r="AD26" s="46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</row>
    <row r="27" customFormat="false" ht="12" hidden="false" customHeight="false" outlineLevel="0" collapsed="false">
      <c r="A27" s="28" t="n">
        <v>46130</v>
      </c>
      <c r="B27" s="2" t="s">
        <v>138</v>
      </c>
      <c r="E27" s="5" t="s">
        <v>105</v>
      </c>
      <c r="F27" s="46" t="n">
        <v>360</v>
      </c>
      <c r="H27" s="6" t="n">
        <f aca="false">IF((F27&lt;&gt;0),F27-G27," ")</f>
        <v>360</v>
      </c>
      <c r="I27" s="5"/>
      <c r="L27" s="7" t="n">
        <f aca="false">IF(F27&lt;&gt;0,F27-K27," ")</f>
        <v>360</v>
      </c>
      <c r="M27" s="8" t="n">
        <f aca="false">IF((F27-K27)&lt;&gt;0,M$1-A27," ")</f>
        <v>7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n">
        <f aca="false">IF((E27="m"),H27," ")</f>
        <v>360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str">
        <f aca="false">IF((E27="h"),H27," ")</f>
        <v> </v>
      </c>
      <c r="AC27" s="46" t="str">
        <f aca="false">IF((E27="v"),H27," ")</f>
        <v> </v>
      </c>
      <c r="AD27" s="46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</row>
    <row r="28" customFormat="false" ht="12" hidden="false" customHeight="false" outlineLevel="0" collapsed="false">
      <c r="A28" s="28" t="n">
        <v>46130</v>
      </c>
      <c r="B28" s="2" t="s">
        <v>127</v>
      </c>
      <c r="E28" s="5" t="s">
        <v>91</v>
      </c>
      <c r="F28" s="46" t="n">
        <v>240</v>
      </c>
      <c r="H28" s="6" t="n">
        <f aca="false">IF((F28&lt;&gt;0),F28-G28," ")</f>
        <v>240</v>
      </c>
      <c r="I28" s="5"/>
      <c r="L28" s="7" t="n">
        <f aca="false">IF(F28&lt;&gt;0,F28-K28," ")</f>
        <v>240</v>
      </c>
      <c r="M28" s="8" t="n">
        <f aca="false">IF((F28-K28)&lt;&gt;0,M$1-A28," ")</f>
        <v>7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str">
        <f aca="false">IF((E28="g"),H28," ")</f>
        <v> </v>
      </c>
      <c r="AB28" s="17" t="n">
        <f aca="false">IF((E28="h"),H28," ")</f>
        <v>240</v>
      </c>
      <c r="AC28" s="46" t="str">
        <f aca="false">IF((E28="v"),H28," ")</f>
        <v> </v>
      </c>
      <c r="AD28" s="46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</row>
    <row r="29" customFormat="false" ht="12" hidden="false" customHeight="false" outlineLevel="0" collapsed="false">
      <c r="A29" s="28" t="n">
        <v>46130</v>
      </c>
      <c r="B29" s="2" t="s">
        <v>102</v>
      </c>
      <c r="E29" s="5" t="s">
        <v>88</v>
      </c>
      <c r="F29" s="46" t="n">
        <v>96</v>
      </c>
      <c r="H29" s="6" t="n">
        <f aca="false">IF((F29&lt;&gt;0),F29-G29," ")</f>
        <v>96</v>
      </c>
      <c r="I29" s="5"/>
      <c r="L29" s="7" t="n">
        <f aca="false">IF(F29&lt;&gt;0,F29-K29," ")</f>
        <v>96</v>
      </c>
      <c r="M29" s="8" t="n">
        <f aca="false">IF((F29-K29)&lt;&gt;0,M$1-A29," ")</f>
        <v>7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str">
        <f aca="false">IF((E29="h"),H29," ")</f>
        <v> </v>
      </c>
      <c r="AC29" s="46" t="n">
        <f aca="false">IF((E29="v"),H29," ")</f>
        <v>96</v>
      </c>
      <c r="AD29" s="46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</row>
    <row r="30" customFormat="false" ht="12" hidden="false" customHeight="false" outlineLevel="0" collapsed="false">
      <c r="A30" s="28" t="n">
        <v>46132</v>
      </c>
      <c r="B30" s="2" t="s">
        <v>103</v>
      </c>
      <c r="E30" s="5" t="s">
        <v>75</v>
      </c>
      <c r="F30" s="46" t="n">
        <v>60</v>
      </c>
      <c r="H30" s="6" t="n">
        <f aca="false">IF((F30&lt;&gt;0),F30-G30," ")</f>
        <v>60</v>
      </c>
      <c r="I30" s="5"/>
      <c r="L30" s="7" t="n">
        <f aca="false">IF(F30&lt;&gt;0,F30-K30," ")</f>
        <v>60</v>
      </c>
      <c r="M30" s="8" t="n">
        <f aca="false">IF((F30-K30)&lt;&gt;0,M$1-A30," ")</f>
        <v>5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n">
        <f aca="false">IF((E30="g"),H30," ")</f>
        <v>60</v>
      </c>
      <c r="AB30" s="17" t="str">
        <f aca="false">IF((E30="h"),H30," ")</f>
        <v> </v>
      </c>
      <c r="AC30" s="46" t="str">
        <f aca="false">IF((E30="v"),H30," ")</f>
        <v> </v>
      </c>
      <c r="AD30" s="46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</row>
    <row r="31" customFormat="false" ht="12" hidden="false" customHeight="false" outlineLevel="0" collapsed="false">
      <c r="A31" s="28" t="n">
        <v>46132</v>
      </c>
      <c r="B31" s="2" t="s">
        <v>122</v>
      </c>
      <c r="E31" s="5" t="s">
        <v>96</v>
      </c>
      <c r="F31" s="46" t="n">
        <v>240</v>
      </c>
      <c r="H31" s="6" t="n">
        <f aca="false">IF((F31&lt;&gt;0),F31-G31," ")</f>
        <v>240</v>
      </c>
      <c r="I31" s="5"/>
      <c r="L31" s="7" t="n">
        <f aca="false">IF(F31&lt;&gt;0,F31-K31," ")</f>
        <v>240</v>
      </c>
      <c r="M31" s="8" t="n">
        <f aca="false">IF((F31-K31)&lt;&gt;0,M$1-A31," ")</f>
        <v>5</v>
      </c>
      <c r="N31" s="5"/>
      <c r="O31" s="17" t="n">
        <f aca="false">IF((E31="s"),H31," ")</f>
        <v>240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str">
        <f aca="false">IF((E31="u"),H31," ")</f>
        <v> 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46" t="str">
        <f aca="false">IF((E31="v"),H31," ")</f>
        <v> </v>
      </c>
      <c r="AD31" s="46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</row>
    <row r="32" customFormat="false" ht="12" hidden="false" customHeight="false" outlineLevel="0" collapsed="false">
      <c r="A32" s="28" t="n">
        <v>46133</v>
      </c>
      <c r="B32" s="2" t="s">
        <v>106</v>
      </c>
      <c r="E32" s="5" t="s">
        <v>91</v>
      </c>
      <c r="F32" s="46" t="n">
        <v>8</v>
      </c>
      <c r="H32" s="6" t="n">
        <f aca="false">IF((F32&lt;&gt;0),F32-G32," ")</f>
        <v>8</v>
      </c>
      <c r="I32" s="5"/>
      <c r="L32" s="7" t="n">
        <f aca="false">IF(F32&lt;&gt;0,F32-K32," ")</f>
        <v>8</v>
      </c>
      <c r="M32" s="8" t="n">
        <f aca="false">IF((F32-K32)&lt;&gt;0,M$1-A32," ")</f>
        <v>4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str">
        <f aca="false">IF((E32="u"),H32," ")</f>
        <v> </v>
      </c>
      <c r="Z32" s="17" t="str">
        <f aca="false">IF((E32="a"),H32," ")</f>
        <v> </v>
      </c>
      <c r="AA32" s="17" t="str">
        <f aca="false">IF((E32="g"),H32," ")</f>
        <v> </v>
      </c>
      <c r="AB32" s="17" t="n">
        <f aca="false">IF((E32="h"),H32," ")</f>
        <v>8</v>
      </c>
      <c r="AC32" s="46" t="str">
        <f aca="false">IF((E32="v"),H32," ")</f>
        <v> </v>
      </c>
      <c r="AD32" s="46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</row>
    <row r="33" customFormat="false" ht="12" hidden="false" customHeight="false" outlineLevel="0" collapsed="false">
      <c r="A33" s="28" t="n">
        <v>46134</v>
      </c>
      <c r="B33" s="2" t="s">
        <v>107</v>
      </c>
      <c r="E33" s="5" t="s">
        <v>85</v>
      </c>
      <c r="F33" s="46" t="n">
        <v>18</v>
      </c>
      <c r="H33" s="6" t="n">
        <f aca="false">IF((F33&lt;&gt;0),F33-G33," ")</f>
        <v>18</v>
      </c>
      <c r="I33" s="5"/>
      <c r="L33" s="7" t="n">
        <f aca="false">IF(F33&lt;&gt;0,F33-K33," ")</f>
        <v>18</v>
      </c>
      <c r="M33" s="8" t="n">
        <f aca="false">IF((F33-K33)&lt;&gt;0,M$1-A33," ")</f>
        <v>3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n">
        <f aca="false">IF((E33="u"),H33," ")</f>
        <v>18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46" t="str">
        <f aca="false">IF((E33="v"),H33," ")</f>
        <v> </v>
      </c>
      <c r="AD33" s="46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</row>
    <row r="34" customFormat="false" ht="12" hidden="false" customHeight="false" outlineLevel="0" collapsed="false">
      <c r="A34" s="28" t="n">
        <v>46137</v>
      </c>
      <c r="B34" s="2" t="s">
        <v>108</v>
      </c>
      <c r="E34" s="5" t="s">
        <v>85</v>
      </c>
      <c r="F34" s="46" t="n">
        <v>15</v>
      </c>
      <c r="H34" s="6" t="n">
        <f aca="false">IF((F34&lt;&gt;0),F34-G34," ")</f>
        <v>15</v>
      </c>
      <c r="I34" s="5"/>
      <c r="L34" s="7" t="n">
        <f aca="false">IF(F34&lt;&gt;0,F34-K34," ")</f>
        <v>15</v>
      </c>
      <c r="M34" s="8" t="n">
        <f aca="false">IF((F34-K34)&lt;&gt;0,M$1-A34," ")</f>
        <v>0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n">
        <f aca="false">IF((E34="u"),H34," ")</f>
        <v>15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46" t="str">
        <f aca="false">IF((E34="v"),H34," ")</f>
        <v> </v>
      </c>
      <c r="AD34" s="46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</row>
    <row r="35" customFormat="false" ht="12" hidden="false" customHeight="false" outlineLevel="0" collapsed="false">
      <c r="A35" s="28" t="n">
        <v>46137</v>
      </c>
      <c r="B35" s="2" t="s">
        <v>109</v>
      </c>
      <c r="E35" s="5" t="s">
        <v>88</v>
      </c>
      <c r="F35" s="46" t="n">
        <v>31.5</v>
      </c>
      <c r="H35" s="6" t="n">
        <f aca="false">IF((F35&lt;&gt;0),F35-G35," ")</f>
        <v>31.5</v>
      </c>
      <c r="I35" s="5"/>
      <c r="L35" s="7" t="n">
        <f aca="false">IF(F35&lt;&gt;0,F35-K35," ")</f>
        <v>31.5</v>
      </c>
      <c r="M35" s="8" t="n">
        <f aca="false">IF((F35-K35)&lt;&gt;0,M$1-A35," ")</f>
        <v>0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str">
        <f aca="false">IF((E35="u"),H35," ")</f>
        <v> 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46" t="n">
        <f aca="false">IF((E35="v"),H35," ")</f>
        <v>31.5</v>
      </c>
      <c r="AD35" s="46" t="str">
        <f aca="false">IF((E35="n"),H35," ")</f>
        <v> </v>
      </c>
      <c r="AE35" s="17" t="str">
        <f aca="false">IF((E35="f"),H35," ")</f>
        <v> </v>
      </c>
      <c r="AF35" s="17" t="str">
        <f aca="false">IF((E35="l"),H35," ")</f>
        <v> 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</row>
    <row r="36" customFormat="false" ht="12" hidden="false" customHeight="false" outlineLevel="0" collapsed="false">
      <c r="A36" s="28" t="n">
        <v>46140</v>
      </c>
      <c r="B36" s="2" t="s">
        <v>16</v>
      </c>
      <c r="E36" s="5" t="s">
        <v>110</v>
      </c>
      <c r="F36" s="46" t="n">
        <v>300</v>
      </c>
      <c r="H36" s="6" t="n">
        <f aca="false">IF((F36&lt;&gt;0),F36-G36," ")</f>
        <v>300</v>
      </c>
      <c r="I36" s="5"/>
      <c r="L36" s="7" t="n">
        <f aca="false">IF(F36&lt;&gt;0,F36-K36," ")</f>
        <v>300</v>
      </c>
      <c r="M36" s="8" t="n">
        <f aca="false">IF((F36-K36)&lt;&gt;0,M$1-A36," ")</f>
        <v>-3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46" t="str">
        <f aca="false">IF((E36="v"),H36," ")</f>
        <v> </v>
      </c>
      <c r="AD36" s="46" t="str">
        <f aca="false">IF((E36="n"),H36," ")</f>
        <v> </v>
      </c>
      <c r="AE36" s="17" t="str">
        <f aca="false">IF((E36="f"),H36," ")</f>
        <v> </v>
      </c>
      <c r="AF36" s="17" t="n">
        <f aca="false">IF((E36="l"),H36," ")</f>
        <v>300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</row>
    <row r="37" customFormat="false" ht="12" hidden="false" customHeight="false" outlineLevel="0" collapsed="false">
      <c r="A37" s="28" t="n">
        <v>46140</v>
      </c>
      <c r="B37" s="2" t="s">
        <v>20</v>
      </c>
      <c r="E37" s="5" t="s">
        <v>88</v>
      </c>
      <c r="F37" s="46" t="n">
        <v>120</v>
      </c>
      <c r="H37" s="6" t="n">
        <f aca="false">IF((F37&lt;&gt;0),F37-G37," ")</f>
        <v>120</v>
      </c>
      <c r="I37" s="5"/>
      <c r="L37" s="7" t="n">
        <f aca="false">IF(F37&lt;&gt;0,F37-K37," ")</f>
        <v>120</v>
      </c>
      <c r="M37" s="8" t="n">
        <f aca="false">IF((F37-K37)&lt;&gt;0,M$1-A37," ")</f>
        <v>-3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46" t="n">
        <f aca="false">IF((E37="v"),H37," ")</f>
        <v>120</v>
      </c>
      <c r="AD37" s="46" t="str">
        <f aca="false">IF((E37="n"),H37," ")</f>
        <v> </v>
      </c>
      <c r="AE37" s="17" t="str">
        <f aca="false">IF((E37="f"),H37," ")</f>
        <v> </v>
      </c>
      <c r="AF37" s="17" t="str">
        <f aca="false">IF((E37="l"),H37," ")</f>
        <v> 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</row>
    <row r="38" customFormat="false" ht="12" hidden="false" customHeight="false" outlineLevel="0" collapsed="false">
      <c r="A38" s="28"/>
      <c r="E38" s="2"/>
      <c r="F38" s="46"/>
      <c r="H38" s="6" t="str">
        <f aca="false">IF((F38&lt;&gt;0),F38-G38," ")</f>
        <v> </v>
      </c>
      <c r="I38" s="5"/>
      <c r="L38" s="7" t="str">
        <f aca="false">IF(F38&lt;&gt;0,F38-K38," ")</f>
        <v> </v>
      </c>
      <c r="M38" s="8" t="str">
        <f aca="false">IF((F38-K38)&lt;&gt;0,M$1-A38," ")</f>
        <v> 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46" t="str">
        <f aca="false">IF((E38="v"),H38," ")</f>
        <v> </v>
      </c>
      <c r="AD38" s="46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</row>
    <row r="39" customFormat="false" ht="12" hidden="false" customHeight="false" outlineLevel="0" collapsed="false">
      <c r="A39" s="28"/>
      <c r="E39" s="2"/>
      <c r="F39" s="46"/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46" t="str">
        <f aca="false">IF((E39="v"),H39," ")</f>
        <v> </v>
      </c>
      <c r="AD39" s="46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</row>
    <row r="40" customFormat="false" ht="12" hidden="false" customHeight="false" outlineLevel="0" collapsed="false">
      <c r="A40" s="28"/>
      <c r="E40" s="2"/>
      <c r="F40" s="46"/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46" t="str">
        <f aca="false">IF((E40="v"),H40," ")</f>
        <v> </v>
      </c>
      <c r="AD40" s="46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</row>
    <row r="41" customFormat="false" ht="12" hidden="false" customHeight="false" outlineLevel="0" collapsed="false">
      <c r="A41" s="28"/>
      <c r="E41" s="2"/>
      <c r="F41" s="46"/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46" t="str">
        <f aca="false">IF((E41="v"),H41," ")</f>
        <v> </v>
      </c>
      <c r="AD41" s="46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</row>
    <row r="42" customFormat="false" ht="12" hidden="false" customHeight="false" outlineLevel="0" collapsed="false">
      <c r="A42" s="28"/>
      <c r="E42" s="2"/>
      <c r="F42" s="46"/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46" t="str">
        <f aca="false">IF((E42="v"),H42," ")</f>
        <v> </v>
      </c>
      <c r="AD42" s="46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</row>
    <row r="43" customFormat="false" ht="12" hidden="false" customHeight="false" outlineLevel="0" collapsed="false">
      <c r="A43" s="28"/>
      <c r="E43" s="2"/>
      <c r="F43" s="46"/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46" t="str">
        <f aca="false">IF((E43="v"),H43," ")</f>
        <v> </v>
      </c>
      <c r="AD43" s="46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</row>
    <row r="44" customFormat="false" ht="12" hidden="false" customHeight="false" outlineLevel="0" collapsed="false">
      <c r="A44" s="28"/>
      <c r="E44" s="2"/>
      <c r="F44" s="46"/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46" t="str">
        <f aca="false">IF((E44="v"),H44," ")</f>
        <v> </v>
      </c>
      <c r="AD44" s="46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</row>
    <row r="45" customFormat="false" ht="12" hidden="false" customHeight="false" outlineLevel="0" collapsed="false">
      <c r="A45" s="28"/>
      <c r="E45" s="2"/>
      <c r="F45" s="46"/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46" t="str">
        <f aca="false">IF((E45="v"),H45," ")</f>
        <v> </v>
      </c>
      <c r="AD45" s="46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</row>
    <row r="46" customFormat="false" ht="12" hidden="false" customHeight="false" outlineLevel="0" collapsed="false">
      <c r="A46" s="28"/>
      <c r="E46" s="2"/>
      <c r="F46" s="46"/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46" t="str">
        <f aca="false">IF((E46="v"),H46," ")</f>
        <v> </v>
      </c>
      <c r="AD46" s="46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</row>
    <row r="47" customFormat="false" ht="12" hidden="false" customHeight="false" outlineLevel="0" collapsed="false">
      <c r="A47" s="28"/>
      <c r="E47" s="2"/>
      <c r="F47" s="46"/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46" t="str">
        <f aca="false">IF((E47="v"),H47," ")</f>
        <v> </v>
      </c>
      <c r="AD47" s="46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</row>
    <row r="48" customFormat="false" ht="12" hidden="false" customHeight="false" outlineLevel="0" collapsed="false">
      <c r="A48" s="28"/>
      <c r="E48" s="2"/>
      <c r="F48" s="46"/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46" t="str">
        <f aca="false">IF((E48="v"),H48," ")</f>
        <v> </v>
      </c>
      <c r="AD48" s="46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</row>
    <row r="49" customFormat="false" ht="12" hidden="false" customHeight="false" outlineLevel="0" collapsed="false">
      <c r="A49" s="28"/>
      <c r="E49" s="2"/>
      <c r="F49" s="46"/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46" t="str">
        <f aca="false">IF((E49="v"),H49," ")</f>
        <v> </v>
      </c>
      <c r="AD49" s="46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</row>
    <row r="50" customFormat="false" ht="12" hidden="false" customHeight="false" outlineLevel="0" collapsed="false">
      <c r="A50" s="28"/>
      <c r="E50" s="2"/>
      <c r="F50" s="46"/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46" t="str">
        <f aca="false">IF((E50="v"),H50," ")</f>
        <v> </v>
      </c>
      <c r="AD50" s="46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</row>
    <row r="51" customFormat="false" ht="12" hidden="false" customHeight="false" outlineLevel="0" collapsed="false">
      <c r="A51" s="28"/>
      <c r="E51" s="2"/>
      <c r="F51" s="46"/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46" t="str">
        <f aca="false">IF((E51="v"),H51," ")</f>
        <v> </v>
      </c>
      <c r="AD51" s="46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</row>
    <row r="52" customFormat="false" ht="12" hidden="false" customHeight="false" outlineLevel="0" collapsed="false">
      <c r="A52" s="28"/>
      <c r="E52" s="2"/>
      <c r="F52" s="46"/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46" t="str">
        <f aca="false">IF((E52="v"),H52," ")</f>
        <v> </v>
      </c>
      <c r="AD52" s="46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</row>
    <row r="53" customFormat="false" ht="12" hidden="false" customHeight="false" outlineLevel="0" collapsed="false">
      <c r="A53" s="28"/>
      <c r="E53" s="2"/>
      <c r="F53" s="46"/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46" t="str">
        <f aca="false">IF((E53="v"),H53," ")</f>
        <v> </v>
      </c>
      <c r="AD53" s="46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</row>
    <row r="54" customFormat="false" ht="12" hidden="false" customHeight="false" outlineLevel="0" collapsed="false">
      <c r="A54" s="28"/>
      <c r="E54" s="2"/>
      <c r="F54" s="46"/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46" t="str">
        <f aca="false">IF((E54="v"),H54," ")</f>
        <v> </v>
      </c>
      <c r="AD54" s="46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</row>
    <row r="55" customFormat="false" ht="12" hidden="false" customHeight="false" outlineLevel="0" collapsed="false">
      <c r="A55" s="28"/>
      <c r="E55" s="2"/>
      <c r="F55" s="46"/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46" t="str">
        <f aca="false">IF((E55="v"),H55," ")</f>
        <v> </v>
      </c>
      <c r="AD55" s="46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</row>
    <row r="56" customFormat="false" ht="12" hidden="false" customHeight="false" outlineLevel="0" collapsed="false">
      <c r="A56" s="28"/>
      <c r="E56" s="2"/>
      <c r="F56" s="46"/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46" t="str">
        <f aca="false">IF((E56="v"),H56," ")</f>
        <v> </v>
      </c>
      <c r="AD56" s="46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</row>
    <row r="57" customFormat="false" ht="12" hidden="false" customHeight="false" outlineLevel="0" collapsed="false">
      <c r="A57" s="28"/>
      <c r="E57" s="2"/>
      <c r="F57" s="46"/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46" t="str">
        <f aca="false">IF((E57="v"),H57," ")</f>
        <v> </v>
      </c>
      <c r="AD57" s="46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</row>
    <row r="58" customFormat="false" ht="12" hidden="false" customHeight="false" outlineLevel="0" collapsed="false">
      <c r="A58" s="28"/>
      <c r="E58" s="2"/>
      <c r="F58" s="46"/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46" t="str">
        <f aca="false">IF((E58="v"),H58," ")</f>
        <v> </v>
      </c>
      <c r="AD58" s="46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</row>
    <row r="59" customFormat="false" ht="12" hidden="false" customHeight="false" outlineLevel="0" collapsed="false">
      <c r="A59" s="28"/>
      <c r="E59" s="2"/>
      <c r="F59" s="46"/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46" t="str">
        <f aca="false">IF((E59="v"),H59," ")</f>
        <v> </v>
      </c>
      <c r="AD59" s="46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</row>
    <row r="60" customFormat="false" ht="12" hidden="false" customHeight="false" outlineLevel="0" collapsed="false">
      <c r="A60" s="28"/>
      <c r="E60" s="2"/>
      <c r="F60" s="46"/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46" t="str">
        <f aca="false">IF((E60="v"),H60," ")</f>
        <v> </v>
      </c>
      <c r="AD60" s="46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</row>
    <row r="61" customFormat="false" ht="12" hidden="false" customHeight="false" outlineLevel="0" collapsed="false">
      <c r="A61" s="28"/>
      <c r="E61" s="2"/>
      <c r="F61" s="46"/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46" t="str">
        <f aca="false">IF((E61="v"),H61," ")</f>
        <v> </v>
      </c>
      <c r="AD61" s="46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</row>
    <row r="62" customFormat="false" ht="12" hidden="false" customHeight="false" outlineLevel="0" collapsed="false">
      <c r="A62" s="28"/>
      <c r="E62" s="2"/>
      <c r="F62" s="46"/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46" t="str">
        <f aca="false">IF((E62="v"),H62," ")</f>
        <v> </v>
      </c>
      <c r="AD62" s="46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</row>
    <row r="63" customFormat="false" ht="12" hidden="false" customHeight="false" outlineLevel="0" collapsed="false">
      <c r="A63" s="28"/>
      <c r="E63" s="2"/>
      <c r="F63" s="46"/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46" t="str">
        <f aca="false">IF((E63="v"),H63," ")</f>
        <v> </v>
      </c>
      <c r="AD63" s="46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</row>
    <row r="64" customFormat="false" ht="12" hidden="false" customHeight="false" outlineLevel="0" collapsed="false">
      <c r="A64" s="28"/>
      <c r="E64" s="2"/>
      <c r="F64" s="46"/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46" t="str">
        <f aca="false">IF((E64="v"),H64," ")</f>
        <v> </v>
      </c>
      <c r="AD64" s="46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</row>
    <row r="65" customFormat="false" ht="12" hidden="false" customHeight="false" outlineLevel="0" collapsed="false">
      <c r="A65" s="28"/>
      <c r="E65" s="2"/>
      <c r="F65" s="46"/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46" t="str">
        <f aca="false">IF((E65="v"),H65," ")</f>
        <v> </v>
      </c>
      <c r="AD65" s="46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</row>
    <row r="66" customFormat="false" ht="12" hidden="false" customHeight="false" outlineLevel="0" collapsed="false">
      <c r="A66" s="28"/>
      <c r="E66" s="2"/>
      <c r="F66" s="46"/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46" t="str">
        <f aca="false">IF((E66="v"),H66," ")</f>
        <v> </v>
      </c>
      <c r="AD66" s="46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</row>
    <row r="67" customFormat="false" ht="12" hidden="false" customHeight="false" outlineLevel="0" collapsed="false">
      <c r="A67" s="28"/>
      <c r="E67" s="2"/>
      <c r="F67" s="46"/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46" t="str">
        <f aca="false">IF((E67="v"),H67," ")</f>
        <v> </v>
      </c>
      <c r="AD67" s="46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</row>
    <row r="68" customFormat="false" ht="12" hidden="false" customHeight="false" outlineLevel="0" collapsed="false">
      <c r="A68" s="28"/>
      <c r="E68" s="2"/>
      <c r="F68" s="46"/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46" t="str">
        <f aca="false">IF((E68="v"),H68," ")</f>
        <v> </v>
      </c>
      <c r="AD68" s="46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</row>
    <row r="69" customFormat="false" ht="12" hidden="false" customHeight="false" outlineLevel="0" collapsed="false">
      <c r="A69" s="28"/>
      <c r="E69" s="2"/>
      <c r="F69" s="46"/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46" t="str">
        <f aca="false">IF((E69="v"),H69," ")</f>
        <v> </v>
      </c>
      <c r="AD69" s="46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46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46" t="str">
        <f aca="false">IF((E70="v"),H70," ")</f>
        <v> </v>
      </c>
      <c r="AD70" s="46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46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46" t="str">
        <f aca="false">IF((E71="v"),H71," ")</f>
        <v> </v>
      </c>
      <c r="AD71" s="46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46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46" t="str">
        <f aca="false">IF((E72="v"),H72," ")</f>
        <v> </v>
      </c>
      <c r="AD72" s="46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46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46" t="str">
        <f aca="false">IF((E73="v"),H73," ")</f>
        <v> </v>
      </c>
      <c r="AD73" s="46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46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46" t="str">
        <f aca="false">IF((E74="v"),H74," ")</f>
        <v> </v>
      </c>
      <c r="AD74" s="46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46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46" t="str">
        <f aca="false">IF((E75="v"),H75," ")</f>
        <v> </v>
      </c>
      <c r="AD75" s="46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46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46" t="str">
        <f aca="false">IF((E76="v"),H76," ")</f>
        <v> </v>
      </c>
      <c r="AD76" s="46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46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46" t="str">
        <f aca="false">IF((E77="v"),H77," ")</f>
        <v> </v>
      </c>
      <c r="AD77" s="46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46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46" t="str">
        <f aca="false">IF((E78="v"),H78," ")</f>
        <v> </v>
      </c>
      <c r="AD78" s="46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46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46" t="str">
        <f aca="false">IF((E79="v"),H79," ")</f>
        <v> </v>
      </c>
      <c r="AD79" s="46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46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46" t="str">
        <f aca="false">IF((E80="v"),H80," ")</f>
        <v> </v>
      </c>
      <c r="AD80" s="46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46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46" t="str">
        <f aca="false">IF((E81="v"),H81," ")</f>
        <v> </v>
      </c>
      <c r="AD81" s="46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46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46" t="str">
        <f aca="false">IF((E82="v"),H82," ")</f>
        <v> </v>
      </c>
      <c r="AD82" s="46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46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46" t="str">
        <f aca="false">IF((E83="v"),H83," ")</f>
        <v> </v>
      </c>
      <c r="AD83" s="46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46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46" t="str">
        <f aca="false">IF((E84="v"),H84," ")</f>
        <v> </v>
      </c>
      <c r="AD84" s="46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46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46" t="str">
        <f aca="false">IF((E85="v"),H85," ")</f>
        <v> </v>
      </c>
      <c r="AD85" s="46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46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46" t="str">
        <f aca="false">IF((E86="v"),H86," ")</f>
        <v> </v>
      </c>
      <c r="AD86" s="46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46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46" t="str">
        <f aca="false">IF((E87="v"),H87," ")</f>
        <v> </v>
      </c>
      <c r="AD87" s="46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46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46" t="str">
        <f aca="false">IF((E88="v"),H88," ")</f>
        <v> </v>
      </c>
      <c r="AD88" s="46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46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46" t="str">
        <f aca="false">IF((E89="v"),H89," ")</f>
        <v> </v>
      </c>
      <c r="AD89" s="46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46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46" t="str">
        <f aca="false">IF((E90="v"),H90," ")</f>
        <v> </v>
      </c>
      <c r="AD90" s="46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46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46" t="str">
        <f aca="false">IF((E91="v"),H91," ")</f>
        <v> </v>
      </c>
      <c r="AD91" s="46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46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46" t="str">
        <f aca="false">IF((E92="v"),H92," ")</f>
        <v> </v>
      </c>
      <c r="AD92" s="46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46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46" t="str">
        <f aca="false">IF((E93="v"),H93," ")</f>
        <v> </v>
      </c>
      <c r="AD93" s="46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46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46" t="str">
        <f aca="false">IF((E94="v"),H94," ")</f>
        <v> </v>
      </c>
      <c r="AD94" s="46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46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46" t="str">
        <f aca="false">IF((E95="v"),H95," ")</f>
        <v> </v>
      </c>
      <c r="AD95" s="46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46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46" t="str">
        <f aca="false">IF((E96="v"),H96," ")</f>
        <v> </v>
      </c>
      <c r="AD96" s="46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46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46" t="str">
        <f aca="false">IF((E97="v"),H97," ")</f>
        <v> </v>
      </c>
      <c r="AD97" s="46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46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46" t="str">
        <f aca="false">IF((E98="v"),H98," ")</f>
        <v> </v>
      </c>
      <c r="AD98" s="46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46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46" t="str">
        <f aca="false">IF((E99="v"),H99," ")</f>
        <v> </v>
      </c>
      <c r="AD99" s="46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46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46" t="str">
        <f aca="false">IF((E100="v"),H100," ")</f>
        <v> </v>
      </c>
      <c r="AD100" s="46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46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46" t="str">
        <f aca="false">IF((E101="v"),H101," ")</f>
        <v> </v>
      </c>
      <c r="AD101" s="46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46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46" t="str">
        <f aca="false">IF((E102="v"),H102," ")</f>
        <v> </v>
      </c>
      <c r="AD102" s="46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46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46" t="str">
        <f aca="false">IF((E103="v"),H103," ")</f>
        <v> </v>
      </c>
      <c r="AD103" s="46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46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46" t="str">
        <f aca="false">IF((E104="v"),H104," ")</f>
        <v> </v>
      </c>
      <c r="AD104" s="46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46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46" t="str">
        <f aca="false">IF((E105="v"),H105," ")</f>
        <v> </v>
      </c>
      <c r="AD105" s="46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46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46" t="str">
        <f aca="false">IF((E106="v"),H106," ")</f>
        <v> </v>
      </c>
      <c r="AD106" s="46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46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46" t="str">
        <f aca="false">IF((E107="v"),H107," ")</f>
        <v> </v>
      </c>
      <c r="AD107" s="46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46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46" t="str">
        <f aca="false">IF((E108="v"),H108," ")</f>
        <v> </v>
      </c>
      <c r="AD108" s="46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46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46" t="str">
        <f aca="false">IF((E109="v"),H109," ")</f>
        <v> </v>
      </c>
      <c r="AD109" s="46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46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46" t="str">
        <f aca="false">IF((E110="v"),H110," ")</f>
        <v> </v>
      </c>
      <c r="AD110" s="46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46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46" t="str">
        <f aca="false">IF((E111="v"),H111," ")</f>
        <v> </v>
      </c>
      <c r="AD111" s="46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46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46" t="str">
        <f aca="false">IF((E112="v"),H112," ")</f>
        <v> </v>
      </c>
      <c r="AD112" s="46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46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46" t="str">
        <f aca="false">IF((E113="v"),H113," ")</f>
        <v> </v>
      </c>
      <c r="AD113" s="46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46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46" t="str">
        <f aca="false">IF((E114="v"),H114," ")</f>
        <v> </v>
      </c>
      <c r="AD114" s="46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46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46" t="str">
        <f aca="false">IF((E115="v"),H115," ")</f>
        <v> </v>
      </c>
      <c r="AD115" s="46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46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46" t="str">
        <f aca="false">IF((E116="v"),H116," ")</f>
        <v> </v>
      </c>
      <c r="AD116" s="46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46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46" t="str">
        <f aca="false">IF((E117="v"),H117," ")</f>
        <v> </v>
      </c>
      <c r="AD117" s="46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46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46" t="str">
        <f aca="false">IF((E118="v"),H118," ")</f>
        <v> </v>
      </c>
      <c r="AD118" s="46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46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46" t="str">
        <f aca="false">IF((E119="v"),H119," ")</f>
        <v> </v>
      </c>
      <c r="AD119" s="46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46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46" t="str">
        <f aca="false">IF((E120="v"),H120," ")</f>
        <v> </v>
      </c>
      <c r="AD120" s="46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46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46" t="str">
        <f aca="false">IF((E121="v"),H121," ")</f>
        <v> </v>
      </c>
      <c r="AD121" s="46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46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46" t="str">
        <f aca="false">IF((E122="v"),H122," ")</f>
        <v> </v>
      </c>
      <c r="AD122" s="46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46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46" t="str">
        <f aca="false">IF((E123="v"),H123," ")</f>
        <v> </v>
      </c>
      <c r="AD123" s="46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46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46" t="str">
        <f aca="false">IF((E124="v"),H124," ")</f>
        <v> </v>
      </c>
      <c r="AD124" s="46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46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46" t="str">
        <f aca="false">IF((E125="v"),H125," ")</f>
        <v> </v>
      </c>
      <c r="AD125" s="46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46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46" t="str">
        <f aca="false">IF((E126="v"),H126," ")</f>
        <v> </v>
      </c>
      <c r="AD126" s="46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46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46" t="str">
        <f aca="false">IF((E127="v"),H127," ")</f>
        <v> </v>
      </c>
      <c r="AD127" s="46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46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46" t="str">
        <f aca="false">IF((E128="v"),H128," ")</f>
        <v> </v>
      </c>
      <c r="AD128" s="46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46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46" t="str">
        <f aca="false">IF((E129="v"),H129," ")</f>
        <v> </v>
      </c>
      <c r="AD129" s="46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46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46" t="str">
        <f aca="false">IF((E130="v"),H130," ")</f>
        <v> </v>
      </c>
      <c r="AD130" s="46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46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46" t="str">
        <f aca="false">IF((E131="v"),H131," ")</f>
        <v> </v>
      </c>
      <c r="AD131" s="46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46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46" t="str">
        <f aca="false">IF((E132="v"),H132," ")</f>
        <v> </v>
      </c>
      <c r="AD132" s="46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46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46" t="str">
        <f aca="false">IF((E133="v"),H133," ")</f>
        <v> </v>
      </c>
      <c r="AD133" s="46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46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46" t="str">
        <f aca="false">IF((E134="v"),H134," ")</f>
        <v> </v>
      </c>
      <c r="AD134" s="46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46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46" t="str">
        <f aca="false">IF((E135="v"),H135," ")</f>
        <v> </v>
      </c>
      <c r="AD135" s="46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46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46" t="str">
        <f aca="false">IF((E136="v"),H136," ")</f>
        <v> </v>
      </c>
      <c r="AD136" s="46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46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46" t="str">
        <f aca="false">IF((E137="v"),H137," ")</f>
        <v> </v>
      </c>
      <c r="AD137" s="46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46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46" t="str">
        <f aca="false">IF((E138="v"),H138," ")</f>
        <v> </v>
      </c>
      <c r="AD138" s="46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46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46" t="str">
        <f aca="false">IF((E139="v"),H139," ")</f>
        <v> </v>
      </c>
      <c r="AD139" s="46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46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46" t="str">
        <f aca="false">IF((E140="v"),H140," ")</f>
        <v> </v>
      </c>
      <c r="AD140" s="46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46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46" t="str">
        <f aca="false">IF((E141="v"),H141," ")</f>
        <v> </v>
      </c>
      <c r="AD141" s="46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46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46" t="str">
        <f aca="false">IF((E142="v"),H142," ")</f>
        <v> </v>
      </c>
      <c r="AD142" s="46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46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46" t="str">
        <f aca="false">IF((E143="v"),H143," ")</f>
        <v> </v>
      </c>
      <c r="AD143" s="46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46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46" t="str">
        <f aca="false">IF((E144="v"),H144," ")</f>
        <v> </v>
      </c>
      <c r="AD144" s="46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46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46" t="str">
        <f aca="false">IF((E145="v"),H145," ")</f>
        <v> </v>
      </c>
      <c r="AD145" s="46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46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46" t="str">
        <f aca="false">IF((E146="v"),H146," ")</f>
        <v> </v>
      </c>
      <c r="AD146" s="46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46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46" t="str">
        <f aca="false">IF((E147="v"),H147," ")</f>
        <v> </v>
      </c>
      <c r="AD147" s="46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46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46" t="str">
        <f aca="false">IF((E148="v"),H148," ")</f>
        <v> </v>
      </c>
      <c r="AD148" s="46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46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46" t="str">
        <f aca="false">IF((E149="v"),H149," ")</f>
        <v> </v>
      </c>
      <c r="AD149" s="46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46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46" t="str">
        <f aca="false">IF((E150="v"),H150," ")</f>
        <v> </v>
      </c>
      <c r="AD150" s="46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46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46" t="str">
        <f aca="false">IF((E151="v"),H151," ")</f>
        <v> </v>
      </c>
      <c r="AD151" s="46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46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46" t="str">
        <f aca="false">IF((E152="v"),H152," ")</f>
        <v> </v>
      </c>
      <c r="AD152" s="46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46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46" t="str">
        <f aca="false">IF((E153="v"),H153," ")</f>
        <v> </v>
      </c>
      <c r="AD153" s="46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46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46" t="str">
        <f aca="false">IF((E154="v"),H154," ")</f>
        <v> </v>
      </c>
      <c r="AD154" s="46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46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46" t="str">
        <f aca="false">IF((E155="v"),H155," ")</f>
        <v> </v>
      </c>
      <c r="AD155" s="46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46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46" t="str">
        <f aca="false">IF((E156="v"),H156," ")</f>
        <v> </v>
      </c>
      <c r="AD156" s="46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46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46" t="str">
        <f aca="false">IF((E157="v"),H157," ")</f>
        <v> </v>
      </c>
      <c r="AD157" s="46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46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46" t="str">
        <f aca="false">IF((E158="v"),H158," ")</f>
        <v> </v>
      </c>
      <c r="AD158" s="46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46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46" t="str">
        <f aca="false">IF((E159="v"),H159," ")</f>
        <v> </v>
      </c>
      <c r="AD159" s="46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46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46" t="str">
        <f aca="false">IF((E160="v"),H160," ")</f>
        <v> </v>
      </c>
      <c r="AD160" s="46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46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46" t="str">
        <f aca="false">IF((E161="v"),H161," ")</f>
        <v> </v>
      </c>
      <c r="AD161" s="46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46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46" t="str">
        <f aca="false">IF((E162="v"),H162," ")</f>
        <v> </v>
      </c>
      <c r="AD162" s="46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46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46" t="str">
        <f aca="false">IF((E163="v"),H163," ")</f>
        <v> </v>
      </c>
      <c r="AD163" s="46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46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46" t="str">
        <f aca="false">IF((E164="v"),H164," ")</f>
        <v> </v>
      </c>
      <c r="AD164" s="46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46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46" t="str">
        <f aca="false">IF((E165="v"),H165," ")</f>
        <v> </v>
      </c>
      <c r="AD165" s="46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46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46" t="str">
        <f aca="false">IF((E166="v"),H166," ")</f>
        <v> </v>
      </c>
      <c r="AD166" s="46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46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46" t="str">
        <f aca="false">IF((E167="v"),H167," ")</f>
        <v> </v>
      </c>
      <c r="AD167" s="46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46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46" t="str">
        <f aca="false">IF((E168="v"),H168," ")</f>
        <v> </v>
      </c>
      <c r="AD168" s="46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46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46" t="str">
        <f aca="false">IF((E169="v"),H169," ")</f>
        <v> </v>
      </c>
      <c r="AD169" s="46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46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46" t="str">
        <f aca="false">IF((E170="v"),H170," ")</f>
        <v> </v>
      </c>
      <c r="AD170" s="46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46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46" t="str">
        <f aca="false">IF((E171="v"),H171," ")</f>
        <v> </v>
      </c>
      <c r="AD171" s="46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46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46" t="str">
        <f aca="false">IF((E172="v"),H172," ")</f>
        <v> </v>
      </c>
      <c r="AD172" s="46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46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46" t="str">
        <f aca="false">IF((E173="v"),H173," ")</f>
        <v> </v>
      </c>
      <c r="AD173" s="46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46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46" t="str">
        <f aca="false">IF((E174="v"),H174," ")</f>
        <v> </v>
      </c>
      <c r="AD174" s="46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46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46" t="str">
        <f aca="false">IF((E175="v"),H175," ")</f>
        <v> </v>
      </c>
      <c r="AD175" s="46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46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46" t="str">
        <f aca="false">IF((E176="v"),H176," ")</f>
        <v> </v>
      </c>
      <c r="AD176" s="46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46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46" t="str">
        <f aca="false">IF((E177="v"),H177," ")</f>
        <v> </v>
      </c>
      <c r="AD177" s="46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46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46" t="str">
        <f aca="false">IF((E178="v"),H178," ")</f>
        <v> </v>
      </c>
      <c r="AD178" s="46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46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46" t="str">
        <f aca="false">IF((E179="v"),H179," ")</f>
        <v> </v>
      </c>
      <c r="AD179" s="46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46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46" t="str">
        <f aca="false">IF((E180="v"),H180," ")</f>
        <v> </v>
      </c>
      <c r="AD180" s="46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46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46" t="str">
        <f aca="false">IF((E181="v"),H181," ")</f>
        <v> </v>
      </c>
      <c r="AD181" s="46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46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46" t="str">
        <f aca="false">IF((E182="v"),H182," ")</f>
        <v> </v>
      </c>
      <c r="AD182" s="46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46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46" t="str">
        <f aca="false">IF((E183="v"),H183," ")</f>
        <v> </v>
      </c>
      <c r="AD183" s="46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46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46" t="str">
        <f aca="false">IF((E184="v"),H184," ")</f>
        <v> </v>
      </c>
      <c r="AD184" s="46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46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46" t="str">
        <f aca="false">IF((E185="v"),H185," ")</f>
        <v> </v>
      </c>
      <c r="AD185" s="46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46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46" t="str">
        <f aca="false">IF((E186="v"),H186," ")</f>
        <v> </v>
      </c>
      <c r="AD186" s="46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46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46" t="str">
        <f aca="false">IF((E187="v"),H187," ")</f>
        <v> </v>
      </c>
      <c r="AD187" s="46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46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46" t="str">
        <f aca="false">IF((E188="v"),H188," ")</f>
        <v> </v>
      </c>
      <c r="AD188" s="46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46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46" t="str">
        <f aca="false">IF((E189="v"),H189," ")</f>
        <v> </v>
      </c>
      <c r="AD189" s="46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46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46" t="str">
        <f aca="false">IF((E190="v"),H190," ")</f>
        <v> </v>
      </c>
      <c r="AD190" s="46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46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46" t="str">
        <f aca="false">IF((E191="v"),H191," ")</f>
        <v> </v>
      </c>
      <c r="AD191" s="46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46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46" t="str">
        <f aca="false">IF((E192="v"),H192," ")</f>
        <v> </v>
      </c>
      <c r="AD192" s="46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46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46" t="str">
        <f aca="false">IF((E193="v"),H193," ")</f>
        <v> </v>
      </c>
      <c r="AD193" s="46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46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46" t="str">
        <f aca="false">IF((E194="v"),H194," ")</f>
        <v> </v>
      </c>
      <c r="AD194" s="46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46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46" t="str">
        <f aca="false">IF((E195="v"),H195," ")</f>
        <v> </v>
      </c>
      <c r="AD195" s="46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46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46" t="str">
        <f aca="false">IF((E196="v"),H196," ")</f>
        <v> </v>
      </c>
      <c r="AD196" s="46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46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46" t="str">
        <f aca="false">IF((E197="v"),H197," ")</f>
        <v> </v>
      </c>
      <c r="AD197" s="46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46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46" t="str">
        <f aca="false">IF((E198="v"),H198," ")</f>
        <v> </v>
      </c>
      <c r="AD198" s="46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46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46" t="str">
        <f aca="false">IF((E199="v"),H199," ")</f>
        <v> </v>
      </c>
      <c r="AD199" s="46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46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46" t="str">
        <f aca="false">IF((E200="v"),H200," ")</f>
        <v> </v>
      </c>
      <c r="AD200" s="46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46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46" t="str">
        <f aca="false">IF((E201="v"),H201," ")</f>
        <v> </v>
      </c>
      <c r="AD201" s="46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46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46" t="str">
        <f aca="false">IF((E202="v"),H202," ")</f>
        <v> </v>
      </c>
      <c r="AD202" s="46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46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46" t="str">
        <f aca="false">IF((E203="v"),H203," ")</f>
        <v> </v>
      </c>
      <c r="AD203" s="46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46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46" t="str">
        <f aca="false">IF((E204="v"),H204," ")</f>
        <v> </v>
      </c>
      <c r="AD204" s="46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46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46" t="str">
        <f aca="false">IF((E205="v"),H205," ")</f>
        <v> </v>
      </c>
      <c r="AD205" s="46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46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46" t="str">
        <f aca="false">IF((E206="v"),H206," ")</f>
        <v> </v>
      </c>
      <c r="AD206" s="46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46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46" t="str">
        <f aca="false">IF((E207="v"),H207," ")</f>
        <v> </v>
      </c>
      <c r="AD207" s="46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46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46" t="str">
        <f aca="false">IF((E208="v"),H208," ")</f>
        <v> </v>
      </c>
      <c r="AD208" s="46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46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46" t="str">
        <f aca="false">IF((E209="v"),H209," ")</f>
        <v> </v>
      </c>
      <c r="AD209" s="46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46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46" t="str">
        <f aca="false">IF((E210="v"),H210," ")</f>
        <v> </v>
      </c>
      <c r="AD210" s="46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46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46" t="str">
        <f aca="false">IF((E211="v"),H211," ")</f>
        <v> </v>
      </c>
      <c r="AD211" s="46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46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46" t="str">
        <f aca="false">IF((E212="v"),H212," ")</f>
        <v> </v>
      </c>
      <c r="AD212" s="46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46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46" t="str">
        <f aca="false">IF((E213="v"),H213," ")</f>
        <v> </v>
      </c>
      <c r="AD213" s="46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46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46" t="str">
        <f aca="false">IF((E214="v"),H214," ")</f>
        <v> </v>
      </c>
      <c r="AD214" s="46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46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46" t="str">
        <f aca="false">IF((E215="v"),H215," ")</f>
        <v> </v>
      </c>
      <c r="AD215" s="46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46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46" t="str">
        <f aca="false">IF((E216="v"),H216," ")</f>
        <v> </v>
      </c>
      <c r="AD216" s="46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46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46" t="str">
        <f aca="false">IF((E217="v"),H217," ")</f>
        <v> </v>
      </c>
      <c r="AD217" s="46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46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46" t="str">
        <f aca="false">IF((E218="v"),H218," ")</f>
        <v> </v>
      </c>
      <c r="AD218" s="46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46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46" t="str">
        <f aca="false">IF((E219="v"),H219," ")</f>
        <v> </v>
      </c>
      <c r="AD219" s="46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46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46" t="str">
        <f aca="false">IF((E220="v"),H220," ")</f>
        <v> </v>
      </c>
      <c r="AD220" s="46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46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46" t="str">
        <f aca="false">IF((E221="v"),H221," ")</f>
        <v> </v>
      </c>
      <c r="AD221" s="46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46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46" t="str">
        <f aca="false">IF((E222="v"),H222," ")</f>
        <v> </v>
      </c>
      <c r="AD222" s="46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46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46" t="str">
        <f aca="false">IF((E223="v"),H223," ")</f>
        <v> </v>
      </c>
      <c r="AD223" s="46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46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46" t="str">
        <f aca="false">IF((E224="v"),H224," ")</f>
        <v> </v>
      </c>
      <c r="AD224" s="46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46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46" t="str">
        <f aca="false">IF((E225="v"),H225," ")</f>
        <v> </v>
      </c>
      <c r="AD225" s="46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46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46" t="str">
        <f aca="false">IF((E226="v"),H226," ")</f>
        <v> </v>
      </c>
      <c r="AD226" s="46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46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46" t="str">
        <f aca="false">IF((E227="v"),H227," ")</f>
        <v> </v>
      </c>
      <c r="AD227" s="46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46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46" t="str">
        <f aca="false">IF((E228="v"),H228," ")</f>
        <v> </v>
      </c>
      <c r="AD228" s="46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46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46" t="str">
        <f aca="false">IF((E229="v"),H229," ")</f>
        <v> </v>
      </c>
      <c r="AD229" s="46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46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46" t="str">
        <f aca="false">IF((E230="v"),H230," ")</f>
        <v> </v>
      </c>
      <c r="AD230" s="46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46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46" t="str">
        <f aca="false">IF((E231="v"),H231," ")</f>
        <v> </v>
      </c>
      <c r="AD231" s="46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46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46" t="str">
        <f aca="false">IF((E232="v"),H232," ")</f>
        <v> </v>
      </c>
      <c r="AD232" s="46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46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46" t="str">
        <f aca="false">IF((E233="v"),H233," ")</f>
        <v> </v>
      </c>
      <c r="AD233" s="46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46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46" t="str">
        <f aca="false">IF((E234="v"),H234," ")</f>
        <v> </v>
      </c>
      <c r="AD234" s="46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46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46" t="str">
        <f aca="false">IF((E235="v"),H235," ")</f>
        <v> </v>
      </c>
      <c r="AD235" s="46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46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46" t="str">
        <f aca="false">IF((E236="v"),H236," ")</f>
        <v> </v>
      </c>
      <c r="AD236" s="46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46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46" t="str">
        <f aca="false">IF((E237="v"),H237," ")</f>
        <v> </v>
      </c>
      <c r="AD237" s="46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46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46" t="str">
        <f aca="false">IF((E238="v"),H238," ")</f>
        <v> </v>
      </c>
      <c r="AD238" s="46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46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46" t="str">
        <f aca="false">IF((E239="v"),H239," ")</f>
        <v> </v>
      </c>
      <c r="AD239" s="46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46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46" t="str">
        <f aca="false">IF((E240="v"),H240," ")</f>
        <v> </v>
      </c>
      <c r="AD240" s="46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46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46" t="str">
        <f aca="false">IF((E241="v"),H241," ")</f>
        <v> </v>
      </c>
      <c r="AD241" s="46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46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46" t="str">
        <f aca="false">IF((E242="v"),H242," ")</f>
        <v> </v>
      </c>
      <c r="AD242" s="46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46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46" t="str">
        <f aca="false">IF((E243="v"),H243," ")</f>
        <v> </v>
      </c>
      <c r="AD243" s="46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46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46" t="str">
        <f aca="false">IF((E244="v"),H244," ")</f>
        <v> </v>
      </c>
      <c r="AD244" s="46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46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46" t="str">
        <f aca="false">IF((E245="v"),H245," ")</f>
        <v> </v>
      </c>
      <c r="AD245" s="46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46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46" t="str">
        <f aca="false">IF((E246="v"),H246," ")</f>
        <v> </v>
      </c>
      <c r="AD246" s="46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46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46" t="str">
        <f aca="false">IF((E247="v"),H247," ")</f>
        <v> </v>
      </c>
      <c r="AD247" s="46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46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46" t="str">
        <f aca="false">IF((E248="v"),H248," ")</f>
        <v> </v>
      </c>
      <c r="AD248" s="46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46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46" t="str">
        <f aca="false">IF((E249="v"),H249," ")</f>
        <v> </v>
      </c>
      <c r="AD249" s="46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46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46" t="str">
        <f aca="false">IF((E250="v"),H250," ")</f>
        <v> </v>
      </c>
      <c r="AD250" s="46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46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46" t="str">
        <f aca="false">IF((E251="v"),H251," ")</f>
        <v> </v>
      </c>
      <c r="AD251" s="46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46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46" t="str">
        <f aca="false">IF((E252="v"),H252," ")</f>
        <v> </v>
      </c>
      <c r="AD252" s="46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46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46" t="str">
        <f aca="false">IF((E253="v"),H253," ")</f>
        <v> </v>
      </c>
      <c r="AD253" s="46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46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46" t="str">
        <f aca="false">IF((E254="v"),H254," ")</f>
        <v> </v>
      </c>
      <c r="AD254" s="46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46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46" t="str">
        <f aca="false">IF((E255="v"),H255," ")</f>
        <v> </v>
      </c>
      <c r="AD255" s="46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46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46" t="str">
        <f aca="false">IF((E256="v"),H256," ")</f>
        <v> </v>
      </c>
      <c r="AD256" s="46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46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46" t="str">
        <f aca="false">IF((E257="v"),H257," ")</f>
        <v> </v>
      </c>
      <c r="AD257" s="46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46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46" t="str">
        <f aca="false">IF((E258="v"),H258," ")</f>
        <v> </v>
      </c>
      <c r="AD258" s="46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46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46" t="str">
        <f aca="false">IF((E259="v"),H259," ")</f>
        <v> </v>
      </c>
      <c r="AD259" s="46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46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46" t="str">
        <f aca="false">IF((E260="v"),H260," ")</f>
        <v> </v>
      </c>
      <c r="AD260" s="46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46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46" t="str">
        <f aca="false">IF((E261="v"),H261," ")</f>
        <v> </v>
      </c>
      <c r="AD261" s="46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46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46" t="str">
        <f aca="false">IF((E262="v"),H262," ")</f>
        <v> </v>
      </c>
      <c r="AD262" s="46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46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46" t="str">
        <f aca="false">IF((E263="v"),H263," ")</f>
        <v> </v>
      </c>
      <c r="AD263" s="46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46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46" t="str">
        <f aca="false">IF((E264="v"),H264," ")</f>
        <v> </v>
      </c>
      <c r="AD264" s="46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46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46" t="str">
        <f aca="false">IF((E265="v"),H265," ")</f>
        <v> </v>
      </c>
      <c r="AD265" s="46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46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46" t="str">
        <f aca="false">IF((E266="v"),H266," ")</f>
        <v> </v>
      </c>
      <c r="AD266" s="46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46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46" t="str">
        <f aca="false">IF((E267="v"),H267," ")</f>
        <v> </v>
      </c>
      <c r="AD267" s="46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46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46" t="str">
        <f aca="false">IF((E268="v"),H268," ")</f>
        <v> </v>
      </c>
      <c r="AD268" s="46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46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46" t="str">
        <f aca="false">IF((E269="v"),H269," ")</f>
        <v> </v>
      </c>
      <c r="AD269" s="46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46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46" t="str">
        <f aca="false">IF((E270="v"),H270," ")</f>
        <v> </v>
      </c>
      <c r="AD270" s="46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46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46" t="str">
        <f aca="false">IF((E271="v"),H271," ")</f>
        <v> </v>
      </c>
      <c r="AD271" s="46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46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46" t="str">
        <f aca="false">IF((E272="v"),H272," ")</f>
        <v> </v>
      </c>
      <c r="AD272" s="46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46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46" t="str">
        <f aca="false">IF((E273="v"),H273," ")</f>
        <v> </v>
      </c>
      <c r="AD273" s="46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46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46" t="str">
        <f aca="false">IF((E274="v"),H274," ")</f>
        <v> </v>
      </c>
      <c r="AD274" s="46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46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46" t="str">
        <f aca="false">IF((E275="v"),H275," ")</f>
        <v> </v>
      </c>
      <c r="AD275" s="46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46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46" t="str">
        <f aca="false">IF((E276="v"),H276," ")</f>
        <v> </v>
      </c>
      <c r="AD276" s="46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46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46" t="str">
        <f aca="false">IF((E277="v"),H277," ")</f>
        <v> </v>
      </c>
      <c r="AD277" s="46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46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46" t="str">
        <f aca="false">IF((E278="v"),H278," ")</f>
        <v> </v>
      </c>
      <c r="AD278" s="46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46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46" t="str">
        <f aca="false">IF((E279="v"),H279," ")</f>
        <v> </v>
      </c>
      <c r="AD279" s="46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46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46" t="str">
        <f aca="false">IF((E280="v"),H280," ")</f>
        <v> </v>
      </c>
      <c r="AD280" s="46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46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46" t="str">
        <f aca="false">IF((E281="v"),H281," ")</f>
        <v> </v>
      </c>
      <c r="AD281" s="46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46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46" t="str">
        <f aca="false">IF((E282="v"),H282," ")</f>
        <v> </v>
      </c>
      <c r="AD282" s="46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46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46" t="str">
        <f aca="false">IF((E283="v"),H283," ")</f>
        <v> </v>
      </c>
      <c r="AD283" s="46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46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46" t="str">
        <f aca="false">IF((E284="v"),H284," ")</f>
        <v> </v>
      </c>
      <c r="AD284" s="46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46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46" t="str">
        <f aca="false">IF((E285="v"),H285," ")</f>
        <v> </v>
      </c>
      <c r="AD285" s="46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46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46" t="str">
        <f aca="false">IF((E286="v"),H286," ")</f>
        <v> </v>
      </c>
      <c r="AD286" s="46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46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46" t="str">
        <f aca="false">IF((E287="v"),H287," ")</f>
        <v> </v>
      </c>
      <c r="AD287" s="46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46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46" t="str">
        <f aca="false">IF((E288="v"),H288," ")</f>
        <v> </v>
      </c>
      <c r="AD288" s="46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46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46" t="str">
        <f aca="false">IF((E289="v"),H289," ")</f>
        <v> </v>
      </c>
      <c r="AD289" s="46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46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46" t="str">
        <f aca="false">IF((E290="v"),H290," ")</f>
        <v> </v>
      </c>
      <c r="AD290" s="46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46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46" t="str">
        <f aca="false">IF((E291="v"),H291," ")</f>
        <v> </v>
      </c>
      <c r="AD291" s="46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46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46" t="str">
        <f aca="false">IF((E292="v"),H292," ")</f>
        <v> </v>
      </c>
      <c r="AD292" s="46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46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46" t="str">
        <f aca="false">IF((E293="v"),H293," ")</f>
        <v> </v>
      </c>
      <c r="AD293" s="46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46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46" t="str">
        <f aca="false">IF((E294="v"),H294," ")</f>
        <v> </v>
      </c>
      <c r="AD294" s="46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46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46" t="str">
        <f aca="false">IF((E295="v"),H295," ")</f>
        <v> </v>
      </c>
      <c r="AD295" s="46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46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46" t="str">
        <f aca="false">IF((E296="v"),H296," ")</f>
        <v> </v>
      </c>
      <c r="AD296" s="46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46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46" t="str">
        <f aca="false">IF((E297="v"),H297," ")</f>
        <v> </v>
      </c>
      <c r="AD297" s="46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46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46" t="str">
        <f aca="false">IF((E298="v"),H298," ")</f>
        <v> </v>
      </c>
      <c r="AD298" s="46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46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46" t="str">
        <f aca="false">IF((E299="v"),H299," ")</f>
        <v> </v>
      </c>
      <c r="AD299" s="46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</row>
    <row r="300" customFormat="false" ht="12" hidden="false" customHeight="false" outlineLevel="0" collapsed="false">
      <c r="A300" s="31"/>
      <c r="B300" s="32"/>
      <c r="C300" s="33"/>
      <c r="D300" s="32"/>
      <c r="E300" s="47" t="str">
        <f aca="false">IF((F300&lt;&gt;0),"Enter Letter"," ")</f>
        <v> </v>
      </c>
      <c r="F300" s="48"/>
      <c r="G300" s="35" t="str">
        <f aca="false">IF(F300&lt;&gt;0,F300*G$2/(100+G$2)," ")</f>
        <v> </v>
      </c>
      <c r="H300" s="35" t="str">
        <f aca="false">IF((F300&lt;&gt;0),F300-G300," ")</f>
        <v> </v>
      </c>
      <c r="I300" s="49"/>
      <c r="J300" s="35"/>
      <c r="K300" s="35"/>
      <c r="L300" s="36" t="str">
        <f aca="false">IF(F300&lt;&gt;0,F300-K300," ")</f>
        <v> </v>
      </c>
      <c r="M300" s="37" t="str">
        <f aca="false">IF((F300-K300)&lt;&gt;0,M$1-A300," ")</f>
        <v> </v>
      </c>
      <c r="N300" s="49"/>
      <c r="O300" s="50" t="str">
        <f aca="false">IF((E300="s"),H300," ")</f>
        <v> </v>
      </c>
      <c r="P300" s="50" t="str">
        <f aca="false">IF((E300="c"),H300," ")</f>
        <v> </v>
      </c>
      <c r="Q300" s="50" t="str">
        <f aca="false">IF((E300="o"),H300," ")</f>
        <v> </v>
      </c>
      <c r="R300" s="50" t="str">
        <f aca="false">IF((E300="d"),H300," ")</f>
        <v> </v>
      </c>
      <c r="S300" s="50" t="str">
        <f aca="false">IF((E300="w"),H300," ")</f>
        <v> </v>
      </c>
      <c r="T300" s="50" t="str">
        <f aca="false">IF((E300="r"),H300," ")</f>
        <v> </v>
      </c>
      <c r="U300" s="50" t="str">
        <f aca="false">IF((E300="p"),H300," ")</f>
        <v> </v>
      </c>
      <c r="V300" s="50" t="str">
        <f aca="false">IF((E300="t"),H300," ")</f>
        <v> </v>
      </c>
      <c r="W300" s="50" t="str">
        <f aca="false">IF((E300="q"),H300," ")</f>
        <v> </v>
      </c>
      <c r="X300" s="50" t="str">
        <f aca="false">IF((E300="m"),H300," ")</f>
        <v> </v>
      </c>
      <c r="Y300" s="50" t="str">
        <f aca="false">IF((E300="u"),H300," ")</f>
        <v> </v>
      </c>
      <c r="Z300" s="50" t="str">
        <f aca="false">IF((E300="a"),H300," ")</f>
        <v> </v>
      </c>
      <c r="AA300" s="50" t="str">
        <f aca="false">IF((E300="g"),H300," ")</f>
        <v> </v>
      </c>
      <c r="AB300" s="50" t="str">
        <f aca="false">IF((E300="h"),H300," ")</f>
        <v> </v>
      </c>
      <c r="AC300" s="48" t="str">
        <f aca="false">IF((E300="v"),H300," ")</f>
        <v> </v>
      </c>
      <c r="AD300" s="48" t="str">
        <f aca="false">IF((E300="n"),H300," ")</f>
        <v> </v>
      </c>
      <c r="AE300" s="50" t="str">
        <f aca="false">IF((E300="f"),H300," ")</f>
        <v> </v>
      </c>
      <c r="AF300" s="50" t="str">
        <f aca="false">IF((E300="l"),H300," ")</f>
        <v> </v>
      </c>
      <c r="AG300" s="50" t="str">
        <f aca="false">IF((E300="y"),H300," ")</f>
        <v> </v>
      </c>
      <c r="AH300" s="50" t="str">
        <f aca="false">IF((E300="z"),H300," ")</f>
        <v> </v>
      </c>
      <c r="AI300" s="50" t="str">
        <f aca="false">IF((E300="fa"),H300," ")</f>
        <v> </v>
      </c>
      <c r="AJ300" s="50"/>
      <c r="AK300" s="50"/>
      <c r="AL300" s="50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8" width="10.5"/>
    <col collapsed="false" customWidth="true" hidden="false" outlineLevel="0" max="35" min="31" style="17" width="10.5"/>
    <col collapsed="false" customWidth="true" hidden="false" outlineLevel="0" max="36" min="36" style="17" width="0.82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s="17" customFormat="true" ht="12.75" hidden="false" customHeight="true" outlineLevel="0" collapsed="false">
      <c r="A1" s="39" t="n">
        <f aca="false">F1-G1-SUM(O1:AI1)</f>
        <v>0</v>
      </c>
      <c r="B1" s="40" t="s">
        <v>22</v>
      </c>
      <c r="C1" s="20" t="s">
        <v>5</v>
      </c>
      <c r="D1" s="41" t="s">
        <v>23</v>
      </c>
      <c r="E1" s="41"/>
      <c r="F1" s="12" t="n">
        <f aca="false">SUM(F5:F300)</f>
        <v>3726.5</v>
      </c>
      <c r="G1" s="12" t="n">
        <f aca="false">SUM(G5:G300)</f>
        <v>0</v>
      </c>
      <c r="H1" s="12" t="n">
        <f aca="false">SUM(H5:H300)</f>
        <v>3726.5</v>
      </c>
      <c r="I1" s="13"/>
      <c r="J1" s="14" t="s">
        <v>2</v>
      </c>
      <c r="K1" s="15" t="n">
        <f aca="false">SUM(K5:K300)</f>
        <v>0</v>
      </c>
      <c r="L1" s="15" t="n">
        <f aca="false">SUM(L5:L300)</f>
        <v>3726.5</v>
      </c>
      <c r="M1" s="16" t="n">
        <f aca="true">TODAY()</f>
        <v>46137</v>
      </c>
      <c r="N1" s="13"/>
      <c r="O1" s="12" t="n">
        <f aca="false">SUM(O5:O300)</f>
        <v>300</v>
      </c>
      <c r="P1" s="12" t="n">
        <f aca="false">SUM(P5:P300)</f>
        <v>0</v>
      </c>
      <c r="Q1" s="12" t="n">
        <f aca="false">SUM(Q5:Q300)</f>
        <v>249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1200</v>
      </c>
      <c r="U1" s="12" t="n">
        <f aca="false">SUM(U5:U300)</f>
        <v>360</v>
      </c>
      <c r="V1" s="12" t="n">
        <f aca="false">SUM(V5:V300)</f>
        <v>144</v>
      </c>
      <c r="W1" s="12" t="n">
        <f aca="false">SUM(W5:W300)</f>
        <v>0</v>
      </c>
      <c r="X1" s="12" t="n">
        <f aca="false">SUM(X5:X300)</f>
        <v>0</v>
      </c>
      <c r="Y1" s="12" t="n">
        <f aca="false">SUM(Y5:Y300)</f>
        <v>115</v>
      </c>
      <c r="Z1" s="12" t="n">
        <f aca="false">SUM(Z5:Z300)</f>
        <v>0</v>
      </c>
      <c r="AA1" s="12" t="n">
        <f aca="false">SUM(AA5:AA300)</f>
        <v>159</v>
      </c>
      <c r="AB1" s="12" t="n">
        <f aca="false">SUM(AB5:AB300)</f>
        <v>92</v>
      </c>
      <c r="AC1" s="12" t="n">
        <f aca="false">SUM(AC5:AC300)</f>
        <v>682.5</v>
      </c>
      <c r="AD1" s="12" t="n">
        <f aca="false">SUM(AD5:AD300)</f>
        <v>0</v>
      </c>
      <c r="AE1" s="12" t="n">
        <f aca="false">SUM(AE5:AE300)</f>
        <v>0</v>
      </c>
      <c r="AF1" s="12" t="n">
        <f aca="false">SUM(AF5:AF300)</f>
        <v>425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0</v>
      </c>
      <c r="AJ1" s="42"/>
      <c r="AK1" s="12" t="n">
        <f aca="false">SUM(AK5:AK300)</f>
        <v>0</v>
      </c>
      <c r="AL1" s="43"/>
    </row>
    <row r="2" s="17" customFormat="tru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IF([2]May!$G$4&gt;0,0,[2]May!$G$2)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51" t="n">
        <f aca="false">Jun!AI1+Jul!AI1+Aug!AI1+Sep!AI1+Oct!AI1+Nov!AI1+Dec!AI1+Jan!AI1+Feb!AI1+Mar!AI1+Apr!AI1+May!AI1</f>
        <v>39000</v>
      </c>
      <c r="AJ2" s="42"/>
      <c r="AK2" s="19" t="s">
        <v>43</v>
      </c>
      <c r="AL2" s="19"/>
    </row>
    <row r="3" s="26" customFormat="tru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44</v>
      </c>
      <c r="P3" s="21" t="s">
        <v>45</v>
      </c>
      <c r="Q3" s="21" t="s">
        <v>46</v>
      </c>
      <c r="R3" s="19"/>
      <c r="S3" s="19"/>
      <c r="T3" s="21" t="s">
        <v>47</v>
      </c>
      <c r="U3" s="21" t="s">
        <v>48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51" t="s">
        <v>42</v>
      </c>
      <c r="AJ3" s="42"/>
      <c r="AK3" s="19" t="s">
        <v>49</v>
      </c>
      <c r="AL3" s="19"/>
    </row>
    <row r="4" s="27" customFormat="tru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50</v>
      </c>
      <c r="P4" s="44" t="s">
        <v>51</v>
      </c>
      <c r="Q4" s="44" t="s">
        <v>52</v>
      </c>
      <c r="R4" s="44" t="s">
        <v>53</v>
      </c>
      <c r="S4" s="44" t="s">
        <v>54</v>
      </c>
      <c r="T4" s="44" t="s">
        <v>55</v>
      </c>
      <c r="U4" s="44" t="s">
        <v>56</v>
      </c>
      <c r="V4" s="44" t="s">
        <v>57</v>
      </c>
      <c r="W4" s="44" t="s">
        <v>58</v>
      </c>
      <c r="X4" s="44" t="s">
        <v>59</v>
      </c>
      <c r="Y4" s="44" t="s">
        <v>60</v>
      </c>
      <c r="Z4" s="44" t="s">
        <v>61</v>
      </c>
      <c r="AA4" s="44" t="s">
        <v>62</v>
      </c>
      <c r="AB4" s="44" t="s">
        <v>63</v>
      </c>
      <c r="AC4" s="45" t="s">
        <v>64</v>
      </c>
      <c r="AD4" s="45" t="s">
        <v>65</v>
      </c>
      <c r="AE4" s="44" t="s">
        <v>66</v>
      </c>
      <c r="AF4" s="44" t="s">
        <v>67</v>
      </c>
      <c r="AG4" s="44" t="s">
        <v>68</v>
      </c>
      <c r="AH4" s="44" t="s">
        <v>69</v>
      </c>
      <c r="AI4" s="44" t="s">
        <v>70</v>
      </c>
      <c r="AJ4" s="42"/>
      <c r="AK4" s="19" t="s">
        <v>71</v>
      </c>
      <c r="AL4" s="19" t="s">
        <v>72</v>
      </c>
    </row>
    <row r="5" s="5" customFormat="true" ht="12" hidden="false" customHeight="false" outlineLevel="0" collapsed="false">
      <c r="A5" s="28" t="n">
        <v>46143</v>
      </c>
      <c r="B5" s="5" t="s">
        <v>14</v>
      </c>
      <c r="E5" s="5" t="s">
        <v>73</v>
      </c>
      <c r="F5" s="46" t="n">
        <v>1200</v>
      </c>
      <c r="H5" s="6" t="n">
        <f aca="false">IF((F5&lt;&gt;0),F5-G5," ")</f>
        <v>1200</v>
      </c>
      <c r="J5" s="6"/>
      <c r="K5" s="6"/>
      <c r="L5" s="7" t="n">
        <f aca="false">IF(F5&lt;&gt;0,F5-K5," ")</f>
        <v>1200</v>
      </c>
      <c r="M5" s="8" t="n">
        <f aca="false">IF((F5-K5)&lt;&gt;0,M$1-A5," ")</f>
        <v>-6</v>
      </c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1200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46" t="str">
        <f aca="false">IF((E5="v"),H5," ")</f>
        <v> </v>
      </c>
      <c r="AD5" s="46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/>
      <c r="AK5" s="17"/>
      <c r="AL5" s="17"/>
    </row>
    <row r="6" customFormat="false" ht="12" hidden="false" customHeight="false" outlineLevel="0" collapsed="false">
      <c r="A6" s="28" t="n">
        <v>46143</v>
      </c>
      <c r="B6" s="2" t="s">
        <v>74</v>
      </c>
      <c r="E6" s="5" t="s">
        <v>75</v>
      </c>
      <c r="F6" s="46" t="n">
        <v>30</v>
      </c>
      <c r="H6" s="6" t="n">
        <f aca="false">IF((F6&lt;&gt;0),F6-G6," ")</f>
        <v>30</v>
      </c>
      <c r="I6" s="5"/>
      <c r="L6" s="7" t="n">
        <f aca="false">IF(F6&lt;&gt;0,F6-K6," ")</f>
        <v>30</v>
      </c>
      <c r="M6" s="8" t="n">
        <f aca="false">IF((F6-K6)&lt;&gt;0,M$1-A6," ")</f>
        <v>-6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30</v>
      </c>
      <c r="AB6" s="17" t="str">
        <f aca="false">IF((E6="h"),H6," ")</f>
        <v> </v>
      </c>
      <c r="AC6" s="46" t="str">
        <f aca="false">IF((E6="v"),H6," ")</f>
        <v> </v>
      </c>
      <c r="AD6" s="46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</row>
    <row r="7" customFormat="false" ht="12" hidden="false" customHeight="false" outlineLevel="0" collapsed="false">
      <c r="A7" s="28" t="n">
        <v>46143</v>
      </c>
      <c r="B7" s="2" t="s">
        <v>76</v>
      </c>
      <c r="E7" s="5" t="s">
        <v>75</v>
      </c>
      <c r="F7" s="46" t="n">
        <v>15</v>
      </c>
      <c r="H7" s="6" t="n">
        <f aca="false">IF((F7&lt;&gt;0),F7-G7," ")</f>
        <v>15</v>
      </c>
      <c r="I7" s="5"/>
      <c r="L7" s="7" t="n">
        <f aca="false">IF(F7&lt;&gt;0,F7-K7," ")</f>
        <v>15</v>
      </c>
      <c r="M7" s="8" t="n">
        <f aca="false">IF((F7-K7)&lt;&gt;0,M$1-A7," ")</f>
        <v>-6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15</v>
      </c>
      <c r="AB7" s="17" t="str">
        <f aca="false">IF((E7="h"),H7," ")</f>
        <v> </v>
      </c>
      <c r="AC7" s="46" t="str">
        <f aca="false">IF((E7="v"),H7," ")</f>
        <v> </v>
      </c>
      <c r="AD7" s="46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</row>
    <row r="8" customFormat="false" ht="12" hidden="false" customHeight="false" outlineLevel="0" collapsed="false">
      <c r="A8" s="28" t="n">
        <v>46143</v>
      </c>
      <c r="B8" s="2" t="s">
        <v>77</v>
      </c>
      <c r="E8" s="5" t="s">
        <v>78</v>
      </c>
      <c r="F8" s="46" t="n">
        <v>45</v>
      </c>
      <c r="H8" s="6" t="n">
        <f aca="false">IF((F8&lt;&gt;0),F8-G8," ")</f>
        <v>45</v>
      </c>
      <c r="I8" s="5"/>
      <c r="L8" s="7" t="n">
        <f aca="false">IF(F8&lt;&gt;0,F8-K8," ")</f>
        <v>45</v>
      </c>
      <c r="M8" s="8" t="n">
        <f aca="false">IF((F8-K8)&lt;&gt;0,M$1-A8," ")</f>
        <v>-6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45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46" t="str">
        <f aca="false">IF((E8="v"),H8," ")</f>
        <v> </v>
      </c>
      <c r="AD8" s="46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</row>
    <row r="9" customFormat="false" ht="12" hidden="false" customHeight="false" outlineLevel="0" collapsed="false">
      <c r="A9" s="28" t="n">
        <v>46143</v>
      </c>
      <c r="B9" s="2" t="s">
        <v>81</v>
      </c>
      <c r="E9" s="5" t="s">
        <v>78</v>
      </c>
      <c r="F9" s="46" t="n">
        <v>24</v>
      </c>
      <c r="H9" s="6" t="n">
        <f aca="false">IF((F9&lt;&gt;0),F9-G9," ")</f>
        <v>24</v>
      </c>
      <c r="I9" s="5"/>
      <c r="L9" s="7" t="n">
        <f aca="false">IF(F9&lt;&gt;0,F9-K9," ")</f>
        <v>24</v>
      </c>
      <c r="M9" s="8" t="n">
        <f aca="false">IF((F9-K9)&lt;&gt;0,M$1-A9," ")</f>
        <v>-6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n">
        <f aca="false">IF((E9="o"),H9," ")</f>
        <v>24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46" t="str">
        <f aca="false">IF((E9="v"),H9," ")</f>
        <v> </v>
      </c>
      <c r="AD9" s="46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</row>
    <row r="10" customFormat="false" ht="12" hidden="false" customHeight="false" outlineLevel="0" collapsed="false">
      <c r="A10" s="28" t="n">
        <v>46143</v>
      </c>
      <c r="B10" s="2" t="s">
        <v>82</v>
      </c>
      <c r="E10" s="5" t="s">
        <v>75</v>
      </c>
      <c r="F10" s="46" t="n">
        <v>18</v>
      </c>
      <c r="H10" s="6" t="n">
        <f aca="false">IF((F10&lt;&gt;0),F10-G10," ")</f>
        <v>18</v>
      </c>
      <c r="I10" s="5"/>
      <c r="L10" s="7" t="n">
        <f aca="false">IF(F10&lt;&gt;0,F10-K10," ")</f>
        <v>18</v>
      </c>
      <c r="M10" s="8" t="n">
        <f aca="false">IF((F10-K10)&lt;&gt;0,M$1-A10," ")</f>
        <v>-6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str">
        <f aca="false">IF((E10="o"),H10," ")</f>
        <v> 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n">
        <f aca="false">IF((E10="g"),H10," ")</f>
        <v>18</v>
      </c>
      <c r="AB10" s="17" t="str">
        <f aca="false">IF((E10="h"),H10," ")</f>
        <v> </v>
      </c>
      <c r="AC10" s="46" t="str">
        <f aca="false">IF((E10="v"),H10," ")</f>
        <v> </v>
      </c>
      <c r="AD10" s="46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</row>
    <row r="11" customFormat="false" ht="12" hidden="false" customHeight="false" outlineLevel="0" collapsed="false">
      <c r="A11" s="28" t="n">
        <v>46145</v>
      </c>
      <c r="B11" s="2" t="s">
        <v>83</v>
      </c>
      <c r="E11" s="5" t="s">
        <v>78</v>
      </c>
      <c r="F11" s="46" t="n">
        <v>180</v>
      </c>
      <c r="H11" s="6" t="n">
        <f aca="false">IF((F11&lt;&gt;0),F11-G11," ")</f>
        <v>180</v>
      </c>
      <c r="I11" s="5"/>
      <c r="L11" s="7" t="n">
        <f aca="false">IF(F11&lt;&gt;0,F11-K11," ")</f>
        <v>180</v>
      </c>
      <c r="M11" s="8" t="n">
        <f aca="false">IF((F11-K11)&lt;&gt;0,M$1-A11," ")</f>
        <v>-8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n">
        <f aca="false">IF((E11="o"),H11," ")</f>
        <v>180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str">
        <f aca="false">IF((E11="g"),H11," ")</f>
        <v> </v>
      </c>
      <c r="AB11" s="17" t="str">
        <f aca="false">IF((E11="h"),H11," ")</f>
        <v> </v>
      </c>
      <c r="AC11" s="46" t="str">
        <f aca="false">IF((E11="v"),H11," ")</f>
        <v> </v>
      </c>
      <c r="AD11" s="46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</row>
    <row r="12" customFormat="false" ht="12" hidden="false" customHeight="false" outlineLevel="0" collapsed="false">
      <c r="A12" s="28" t="n">
        <v>46145</v>
      </c>
      <c r="B12" s="2" t="s">
        <v>84</v>
      </c>
      <c r="E12" s="5" t="s">
        <v>85</v>
      </c>
      <c r="F12" s="46" t="n">
        <v>22</v>
      </c>
      <c r="H12" s="6" t="n">
        <f aca="false">IF((F12&lt;&gt;0),F12-G12," ")</f>
        <v>22</v>
      </c>
      <c r="I12" s="5"/>
      <c r="L12" s="7" t="n">
        <f aca="false">IF(F12&lt;&gt;0,F12-K12," ")</f>
        <v>22</v>
      </c>
      <c r="M12" s="8" t="n">
        <f aca="false">IF((F12-K12)&lt;&gt;0,M$1-A12," ")</f>
        <v>-8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str">
        <f aca="false">IF((E12="o"),H12," ")</f>
        <v> 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n">
        <f aca="false">IF((E12="u"),H12," ")</f>
        <v>22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46" t="str">
        <f aca="false">IF((E12="v"),H12," ")</f>
        <v> </v>
      </c>
      <c r="AD12" s="46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</row>
    <row r="13" customFormat="false" ht="12" hidden="false" customHeight="false" outlineLevel="0" collapsed="false">
      <c r="A13" s="28" t="n">
        <v>46147</v>
      </c>
      <c r="B13" s="2" t="s">
        <v>86</v>
      </c>
      <c r="E13" s="5" t="s">
        <v>85</v>
      </c>
      <c r="F13" s="46" t="n">
        <v>24</v>
      </c>
      <c r="H13" s="6" t="n">
        <f aca="false">IF((F13&lt;&gt;0),F13-G13," ")</f>
        <v>24</v>
      </c>
      <c r="I13" s="5"/>
      <c r="L13" s="7" t="n">
        <f aca="false">IF(F13&lt;&gt;0,F13-K13," ")</f>
        <v>24</v>
      </c>
      <c r="M13" s="8" t="n">
        <f aca="false">IF((F13-K13)&lt;&gt;0,M$1-A13," ")</f>
        <v>-10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24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46" t="str">
        <f aca="false">IF((E13="v"),H13," ")</f>
        <v> </v>
      </c>
      <c r="AD13" s="46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</row>
    <row r="14" customFormat="false" ht="12" hidden="false" customHeight="false" outlineLevel="0" collapsed="false">
      <c r="A14" s="28" t="n">
        <v>46147</v>
      </c>
      <c r="B14" s="2" t="s">
        <v>87</v>
      </c>
      <c r="E14" s="5" t="s">
        <v>88</v>
      </c>
      <c r="F14" s="46" t="n">
        <v>180</v>
      </c>
      <c r="H14" s="6" t="n">
        <f aca="false">IF((F14&lt;&gt;0),F14-G14," ")</f>
        <v>180</v>
      </c>
      <c r="I14" s="5"/>
      <c r="L14" s="7" t="n">
        <f aca="false">IF(F14&lt;&gt;0,F14-K14," ")</f>
        <v>180</v>
      </c>
      <c r="M14" s="8" t="n">
        <f aca="false">IF((F14-K14)&lt;&gt;0,M$1-A14," ")</f>
        <v>-10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str">
        <f aca="false">IF((E14="u"),H14," ")</f>
        <v> 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46" t="n">
        <f aca="false">IF((E14="v"),H14," ")</f>
        <v>180</v>
      </c>
      <c r="AD14" s="46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</row>
    <row r="15" customFormat="false" ht="12" hidden="false" customHeight="false" outlineLevel="0" collapsed="false">
      <c r="A15" s="28" t="n">
        <v>46150</v>
      </c>
      <c r="B15" s="2" t="s">
        <v>90</v>
      </c>
      <c r="E15" s="5" t="s">
        <v>91</v>
      </c>
      <c r="F15" s="46" t="n">
        <v>48</v>
      </c>
      <c r="H15" s="6" t="n">
        <f aca="false">IF((F15&lt;&gt;0),F15-G15," ")</f>
        <v>48</v>
      </c>
      <c r="I15" s="5"/>
      <c r="L15" s="7" t="n">
        <f aca="false">IF(F15&lt;&gt;0,F15-K15," ")</f>
        <v>48</v>
      </c>
      <c r="M15" s="8" t="n">
        <f aca="false">IF((F15-K15)&lt;&gt;0,M$1-A15," ")</f>
        <v>-13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str">
        <f aca="false">IF((E15="o"),H15," ")</f>
        <v> 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n">
        <f aca="false">IF((E15="h"),H15," ")</f>
        <v>48</v>
      </c>
      <c r="AC15" s="46" t="str">
        <f aca="false">IF((E15="v"),H15," ")</f>
        <v> </v>
      </c>
      <c r="AD15" s="46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</row>
    <row r="16" customFormat="false" ht="12" hidden="false" customHeight="false" outlineLevel="0" collapsed="false">
      <c r="A16" s="28" t="n">
        <v>46152</v>
      </c>
      <c r="B16" s="2" t="s">
        <v>92</v>
      </c>
      <c r="E16" s="5" t="s">
        <v>85</v>
      </c>
      <c r="F16" s="46" t="n">
        <v>36</v>
      </c>
      <c r="H16" s="6" t="n">
        <f aca="false">IF((F16&lt;&gt;0),F16-G16," ")</f>
        <v>36</v>
      </c>
      <c r="I16" s="5"/>
      <c r="L16" s="7" t="n">
        <f aca="false">IF(F16&lt;&gt;0,F16-K16," ")</f>
        <v>36</v>
      </c>
      <c r="M16" s="8" t="n">
        <f aca="false">IF((F16-K16)&lt;&gt;0,M$1-A16," ")</f>
        <v>-15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n">
        <f aca="false">IF((E16="u"),H16," ")</f>
        <v>36</v>
      </c>
      <c r="Z16" s="17" t="str">
        <f aca="false">IF((E16="a"),H16," ")</f>
        <v> </v>
      </c>
      <c r="AA16" s="17" t="str">
        <f aca="false">IF((E16="g"),H16," ")</f>
        <v> </v>
      </c>
      <c r="AB16" s="17" t="str">
        <f aca="false">IF((E16="h"),H16," ")</f>
        <v> </v>
      </c>
      <c r="AC16" s="46" t="str">
        <f aca="false">IF((E16="v"),H16," ")</f>
        <v> </v>
      </c>
      <c r="AD16" s="46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</row>
    <row r="17" customFormat="false" ht="12" hidden="false" customHeight="false" outlineLevel="0" collapsed="false">
      <c r="A17" s="28" t="n">
        <v>46152</v>
      </c>
      <c r="B17" s="2" t="s">
        <v>101</v>
      </c>
      <c r="E17" s="5" t="s">
        <v>121</v>
      </c>
      <c r="F17" s="46" t="n">
        <v>144</v>
      </c>
      <c r="H17" s="6" t="n">
        <f aca="false">IF((F17&lt;&gt;0),F17-G17," ")</f>
        <v>144</v>
      </c>
      <c r="I17" s="5"/>
      <c r="L17" s="7" t="n">
        <f aca="false">IF(F17&lt;&gt;0,F17-K17," ")</f>
        <v>144</v>
      </c>
      <c r="M17" s="8" t="n">
        <f aca="false">IF((F17-K17)&lt;&gt;0,M$1-A17," ")</f>
        <v>-15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n">
        <f aca="false">IF((E17="t"),H17," ")</f>
        <v>144</v>
      </c>
      <c r="W17" s="17" t="str">
        <f aca="false">IF((E17="q"),H17," ")</f>
        <v> </v>
      </c>
      <c r="X17" s="17" t="str">
        <f aca="false">IF((E17="m"),H17," ")</f>
        <v> </v>
      </c>
      <c r="Y17" s="17" t="str">
        <f aca="false">IF((E17="u"),H17," ")</f>
        <v> </v>
      </c>
      <c r="Z17" s="17" t="str">
        <f aca="false">IF((E17="a"),H17," ")</f>
        <v> </v>
      </c>
      <c r="AA17" s="17" t="str">
        <f aca="false">IF((E17="g"),H17," ")</f>
        <v> </v>
      </c>
      <c r="AB17" s="17" t="str">
        <f aca="false">IF((E17="h"),H17," ")</f>
        <v> </v>
      </c>
      <c r="AC17" s="46" t="str">
        <f aca="false">IF((E17="v"),H17," ")</f>
        <v> </v>
      </c>
      <c r="AD17" s="46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</row>
    <row r="18" customFormat="false" ht="12" hidden="false" customHeight="false" outlineLevel="0" collapsed="false">
      <c r="A18" s="28" t="n">
        <v>46154</v>
      </c>
      <c r="B18" s="2" t="s">
        <v>97</v>
      </c>
      <c r="E18" s="5" t="s">
        <v>88</v>
      </c>
      <c r="F18" s="46" t="n">
        <v>18</v>
      </c>
      <c r="H18" s="6" t="n">
        <f aca="false">IF((F18&lt;&gt;0),F18-G18," ")</f>
        <v>18</v>
      </c>
      <c r="I18" s="5"/>
      <c r="L18" s="7" t="n">
        <f aca="false">IF(F18&lt;&gt;0,F18-K18," ")</f>
        <v>18</v>
      </c>
      <c r="M18" s="8" t="n">
        <f aca="false">IF((F18-K18)&lt;&gt;0,M$1-A18," ")</f>
        <v>-17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str">
        <f aca="false">IF((E18="u"),H18," ")</f>
        <v> 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46" t="n">
        <f aca="false">IF((E18="v"),H18," ")</f>
        <v>18</v>
      </c>
      <c r="AD18" s="46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</row>
    <row r="19" customFormat="false" ht="12" hidden="false" customHeight="false" outlineLevel="0" collapsed="false">
      <c r="A19" s="28" t="n">
        <v>46156</v>
      </c>
      <c r="B19" s="2" t="s">
        <v>99</v>
      </c>
      <c r="E19" s="5" t="s">
        <v>91</v>
      </c>
      <c r="F19" s="46" t="n">
        <v>24</v>
      </c>
      <c r="H19" s="6" t="n">
        <f aca="false">IF((F19&lt;&gt;0),F19-G19," ")</f>
        <v>24</v>
      </c>
      <c r="I19" s="5"/>
      <c r="L19" s="7" t="n">
        <f aca="false">IF(F19&lt;&gt;0,F19-K19," ")</f>
        <v>24</v>
      </c>
      <c r="M19" s="8" t="n">
        <f aca="false">IF((F19-K19)&lt;&gt;0,M$1-A19," ")</f>
        <v>-19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n">
        <f aca="false">IF((E19="h"),H19," ")</f>
        <v>24</v>
      </c>
      <c r="AC19" s="46" t="str">
        <f aca="false">IF((E19="v"),H19," ")</f>
        <v> </v>
      </c>
      <c r="AD19" s="46" t="str">
        <f aca="false">IF((E19="n"),H19," ")</f>
        <v> </v>
      </c>
      <c r="AE19" s="17" t="str">
        <f aca="false">IF((E19="f"),H19," ")</f>
        <v> 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</row>
    <row r="20" customFormat="false" ht="12" hidden="false" customHeight="false" outlineLevel="0" collapsed="false">
      <c r="A20" s="28" t="n">
        <v>46156</v>
      </c>
      <c r="B20" s="2" t="s">
        <v>100</v>
      </c>
      <c r="E20" s="5" t="s">
        <v>91</v>
      </c>
      <c r="F20" s="46" t="n">
        <v>12</v>
      </c>
      <c r="H20" s="6" t="n">
        <f aca="false">IF((F20&lt;&gt;0),F20-G20," ")</f>
        <v>12</v>
      </c>
      <c r="I20" s="5"/>
      <c r="L20" s="7" t="n">
        <f aca="false">IF(F20&lt;&gt;0,F20-K20," ")</f>
        <v>12</v>
      </c>
      <c r="M20" s="8" t="n">
        <f aca="false">IF((F20-K20)&lt;&gt;0,M$1-A20," ")</f>
        <v>-19</v>
      </c>
      <c r="N20" s="5"/>
      <c r="O20" s="17" t="str">
        <f aca="false">IF((E20="s"),H20," ")</f>
        <v> 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n">
        <f aca="false">IF((E20="h"),H20," ")</f>
        <v>12</v>
      </c>
      <c r="AC20" s="46" t="str">
        <f aca="false">IF((E20="v"),H20," ")</f>
        <v> </v>
      </c>
      <c r="AD20" s="46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</row>
    <row r="21" customFormat="false" ht="12" hidden="false" customHeight="false" outlineLevel="0" collapsed="false">
      <c r="A21" s="28" t="n">
        <v>46157</v>
      </c>
      <c r="B21" s="2" t="s">
        <v>20</v>
      </c>
      <c r="E21" s="5" t="s">
        <v>88</v>
      </c>
      <c r="F21" s="46" t="n">
        <v>150</v>
      </c>
      <c r="H21" s="6" t="n">
        <f aca="false">IF((F21&lt;&gt;0),F21-G21," ")</f>
        <v>150</v>
      </c>
      <c r="I21" s="5"/>
      <c r="L21" s="7" t="n">
        <f aca="false">IF(F21&lt;&gt;0,F21-K21," ")</f>
        <v>150</v>
      </c>
      <c r="M21" s="8" t="n">
        <f aca="false">IF((F21-K21)&lt;&gt;0,M$1-A21," ")</f>
        <v>-20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str">
        <f aca="false">IF((E21="h"),H21," ")</f>
        <v> </v>
      </c>
      <c r="AC21" s="46" t="n">
        <f aca="false">IF((E21="v"),H21," ")</f>
        <v>150</v>
      </c>
      <c r="AD21" s="46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</row>
    <row r="22" customFormat="false" ht="12" hidden="false" customHeight="false" outlineLevel="0" collapsed="false">
      <c r="A22" s="28" t="n">
        <v>46157</v>
      </c>
      <c r="B22" s="2" t="s">
        <v>101</v>
      </c>
      <c r="E22" s="5" t="s">
        <v>75</v>
      </c>
      <c r="F22" s="46" t="n">
        <v>12</v>
      </c>
      <c r="H22" s="6" t="n">
        <f aca="false">IF((F22&lt;&gt;0),F22-G22," ")</f>
        <v>12</v>
      </c>
      <c r="I22" s="5"/>
      <c r="L22" s="7" t="n">
        <f aca="false">IF(F22&lt;&gt;0,F22-K22," ")</f>
        <v>12</v>
      </c>
      <c r="M22" s="8" t="n">
        <f aca="false">IF((F22-K22)&lt;&gt;0,M$1-A22," ")</f>
        <v>-20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n">
        <f aca="false">IF((E22="g"),H22," ")</f>
        <v>12</v>
      </c>
      <c r="AB22" s="17" t="str">
        <f aca="false">IF((E22="h"),H22," ")</f>
        <v> </v>
      </c>
      <c r="AC22" s="46" t="str">
        <f aca="false">IF((E22="v"),H22," ")</f>
        <v> </v>
      </c>
      <c r="AD22" s="46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</row>
    <row r="23" customFormat="false" ht="12" hidden="false" customHeight="false" outlineLevel="0" collapsed="false">
      <c r="A23" s="28" t="n">
        <v>46158</v>
      </c>
      <c r="B23" s="2" t="s">
        <v>119</v>
      </c>
      <c r="E23" s="5" t="s">
        <v>75</v>
      </c>
      <c r="F23" s="46" t="n">
        <v>24</v>
      </c>
      <c r="H23" s="6" t="n">
        <f aca="false">IF((F23&lt;&gt;0),F23-G23," ")</f>
        <v>24</v>
      </c>
      <c r="I23" s="5"/>
      <c r="L23" s="7" t="n">
        <f aca="false">IF(F23&lt;&gt;0,F23-K23," ")</f>
        <v>24</v>
      </c>
      <c r="M23" s="8" t="n">
        <f aca="false">IF((F23-K23)&lt;&gt;0,M$1-A23," ")</f>
        <v>-21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n">
        <f aca="false">IF((E23="g"),H23," ")</f>
        <v>24</v>
      </c>
      <c r="AB23" s="17" t="str">
        <f aca="false">IF((E23="h"),H23," ")</f>
        <v> </v>
      </c>
      <c r="AC23" s="46" t="str">
        <f aca="false">IF((E23="v"),H23," ")</f>
        <v> </v>
      </c>
      <c r="AD23" s="46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</row>
    <row r="24" customFormat="false" ht="12" hidden="false" customHeight="false" outlineLevel="0" collapsed="false">
      <c r="A24" s="28" t="n">
        <v>46160</v>
      </c>
      <c r="B24" s="2" t="s">
        <v>128</v>
      </c>
      <c r="E24" s="5" t="s">
        <v>96</v>
      </c>
      <c r="F24" s="46" t="n">
        <v>300</v>
      </c>
      <c r="H24" s="6" t="n">
        <f aca="false">IF((F24&lt;&gt;0),F24-G24," ")</f>
        <v>300</v>
      </c>
      <c r="I24" s="5"/>
      <c r="L24" s="7" t="n">
        <f aca="false">IF(F24&lt;&gt;0,F24-K24," ")</f>
        <v>300</v>
      </c>
      <c r="M24" s="8" t="n">
        <f aca="false">IF((F24-K24)&lt;&gt;0,M$1-A24," ")</f>
        <v>-23</v>
      </c>
      <c r="N24" s="5"/>
      <c r="O24" s="17" t="n">
        <f aca="false">IF((E24="s"),H24," ")</f>
        <v>300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str">
        <f aca="false">IF((E24="g"),H24," ")</f>
        <v> </v>
      </c>
      <c r="AB24" s="17" t="str">
        <f aca="false">IF((E24="h"),H24," ")</f>
        <v> </v>
      </c>
      <c r="AC24" s="46" t="str">
        <f aca="false">IF((E24="v"),H24," ")</f>
        <v> </v>
      </c>
      <c r="AD24" s="46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</row>
    <row r="25" customFormat="false" ht="12" hidden="false" customHeight="false" outlineLevel="0" collapsed="false">
      <c r="A25" s="28" t="n">
        <v>46160</v>
      </c>
      <c r="B25" s="2" t="s">
        <v>102</v>
      </c>
      <c r="E25" s="5" t="s">
        <v>88</v>
      </c>
      <c r="F25" s="46" t="n">
        <v>96</v>
      </c>
      <c r="H25" s="6" t="n">
        <f aca="false">IF((F25&lt;&gt;0),F25-G25," ")</f>
        <v>96</v>
      </c>
      <c r="I25" s="5"/>
      <c r="L25" s="7" t="n">
        <f aca="false">IF(F25&lt;&gt;0,F25-K25," ")</f>
        <v>96</v>
      </c>
      <c r="M25" s="8" t="n">
        <f aca="false">IF((F25-K25)&lt;&gt;0,M$1-A25," ")</f>
        <v>-23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str">
        <f aca="false">IF((E25="g"),H25," ")</f>
        <v> </v>
      </c>
      <c r="AB25" s="17" t="str">
        <f aca="false">IF((E25="h"),H25," ")</f>
        <v> </v>
      </c>
      <c r="AC25" s="46" t="n">
        <f aca="false">IF((E25="v"),H25," ")</f>
        <v>96</v>
      </c>
      <c r="AD25" s="46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</row>
    <row r="26" customFormat="false" ht="12" hidden="false" customHeight="false" outlineLevel="0" collapsed="false">
      <c r="A26" s="28" t="n">
        <v>46162</v>
      </c>
      <c r="B26" s="2" t="s">
        <v>103</v>
      </c>
      <c r="E26" s="5" t="s">
        <v>75</v>
      </c>
      <c r="F26" s="46" t="n">
        <v>60</v>
      </c>
      <c r="H26" s="6" t="n">
        <f aca="false">IF((F26&lt;&gt;0),F26-G26," ")</f>
        <v>60</v>
      </c>
      <c r="I26" s="5"/>
      <c r="L26" s="7" t="n">
        <f aca="false">IF(F26&lt;&gt;0,F26-K26," ")</f>
        <v>60</v>
      </c>
      <c r="M26" s="8" t="n">
        <f aca="false">IF((F26-K26)&lt;&gt;0,M$1-A26," ")</f>
        <v>-25</v>
      </c>
      <c r="N26" s="5"/>
      <c r="O26" s="17" t="str">
        <f aca="false">IF((E26="s"),H26," ")</f>
        <v> 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n">
        <f aca="false">IF((E26="g"),H26," ")</f>
        <v>60</v>
      </c>
      <c r="AB26" s="17" t="str">
        <f aca="false">IF((E26="h"),H26," ")</f>
        <v> </v>
      </c>
      <c r="AC26" s="46" t="str">
        <f aca="false">IF((E26="v"),H26," ")</f>
        <v> </v>
      </c>
      <c r="AD26" s="46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</row>
    <row r="27" customFormat="false" ht="12" hidden="false" customHeight="false" outlineLevel="0" collapsed="false">
      <c r="A27" s="28" t="n">
        <v>46163</v>
      </c>
      <c r="B27" s="2" t="s">
        <v>106</v>
      </c>
      <c r="E27" s="5" t="s">
        <v>91</v>
      </c>
      <c r="F27" s="46" t="n">
        <v>8</v>
      </c>
      <c r="H27" s="6" t="n">
        <f aca="false">IF((F27&lt;&gt;0),F27-G27," ")</f>
        <v>8</v>
      </c>
      <c r="I27" s="5"/>
      <c r="L27" s="7" t="n">
        <f aca="false">IF(F27&lt;&gt;0,F27-K27," ")</f>
        <v>8</v>
      </c>
      <c r="M27" s="8" t="n">
        <f aca="false">IF((F27-K27)&lt;&gt;0,M$1-A27," ")</f>
        <v>-26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n">
        <f aca="false">IF((E27="h"),H27," ")</f>
        <v>8</v>
      </c>
      <c r="AC27" s="46" t="str">
        <f aca="false">IF((E27="v"),H27," ")</f>
        <v> </v>
      </c>
      <c r="AD27" s="46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</row>
    <row r="28" customFormat="false" ht="12" hidden="false" customHeight="false" outlineLevel="0" collapsed="false">
      <c r="A28" s="28" t="n">
        <v>46164</v>
      </c>
      <c r="B28" s="2" t="s">
        <v>107</v>
      </c>
      <c r="E28" s="5" t="s">
        <v>85</v>
      </c>
      <c r="F28" s="46" t="n">
        <v>18</v>
      </c>
      <c r="H28" s="6" t="n">
        <f aca="false">IF((F28&lt;&gt;0),F28-G28," ")</f>
        <v>18</v>
      </c>
      <c r="I28" s="5"/>
      <c r="L28" s="7" t="n">
        <f aca="false">IF(F28&lt;&gt;0,F28-K28," ")</f>
        <v>18</v>
      </c>
      <c r="M28" s="8" t="n">
        <f aca="false">IF((F28-K28)&lt;&gt;0,M$1-A28," ")</f>
        <v>-27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n">
        <f aca="false">IF((E28="u"),H28," ")</f>
        <v>18</v>
      </c>
      <c r="Z28" s="17" t="str">
        <f aca="false">IF((E28="a"),H28," ")</f>
        <v> </v>
      </c>
      <c r="AA28" s="17" t="str">
        <f aca="false">IF((E28="g"),H28," ")</f>
        <v> </v>
      </c>
      <c r="AB28" s="17" t="str">
        <f aca="false">IF((E28="h"),H28," ")</f>
        <v> </v>
      </c>
      <c r="AC28" s="46" t="str">
        <f aca="false">IF((E28="v"),H28," ")</f>
        <v> </v>
      </c>
      <c r="AD28" s="46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</row>
    <row r="29" customFormat="false" ht="12" hidden="false" customHeight="false" outlineLevel="0" collapsed="false">
      <c r="A29" s="28" t="n">
        <v>46164</v>
      </c>
      <c r="B29" s="2" t="s">
        <v>123</v>
      </c>
      <c r="E29" s="5" t="s">
        <v>88</v>
      </c>
      <c r="F29" s="46" t="n">
        <v>60</v>
      </c>
      <c r="H29" s="6" t="n">
        <f aca="false">IF((F29&lt;&gt;0),F29-G29," ")</f>
        <v>60</v>
      </c>
      <c r="I29" s="5"/>
      <c r="L29" s="7" t="n">
        <f aca="false">IF(F29&lt;&gt;0,F29-K29," ")</f>
        <v>60</v>
      </c>
      <c r="M29" s="8" t="n">
        <f aca="false">IF((F29-K29)&lt;&gt;0,M$1-A29," ")</f>
        <v>-27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str">
        <f aca="false">IF((E29="h"),H29," ")</f>
        <v> </v>
      </c>
      <c r="AC29" s="46" t="n">
        <f aca="false">IF((E29="v"),H29," ")</f>
        <v>60</v>
      </c>
      <c r="AD29" s="46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</row>
    <row r="30" customFormat="false" ht="12" hidden="false" customHeight="false" outlineLevel="0" collapsed="false">
      <c r="A30" s="28" t="n">
        <v>46167</v>
      </c>
      <c r="B30" s="2" t="s">
        <v>129</v>
      </c>
      <c r="E30" s="5" t="s">
        <v>130</v>
      </c>
      <c r="F30" s="46" t="n">
        <v>360</v>
      </c>
      <c r="H30" s="6" t="n">
        <f aca="false">IF((F30&lt;&gt;0),F30-G30," ")</f>
        <v>360</v>
      </c>
      <c r="I30" s="5"/>
      <c r="L30" s="7" t="n">
        <f aca="false">IF(F30&lt;&gt;0,F30-K30," ")</f>
        <v>360</v>
      </c>
      <c r="M30" s="8" t="n">
        <f aca="false">IF((F30-K30)&lt;&gt;0,M$1-A30," ")</f>
        <v>-30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n">
        <f aca="false">IF((E30="p"),H30," ")</f>
        <v>360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str">
        <f aca="false">IF((E30="g"),H30," ")</f>
        <v> </v>
      </c>
      <c r="AB30" s="17" t="str">
        <f aca="false">IF((E30="h"),H30," ")</f>
        <v> </v>
      </c>
      <c r="AC30" s="46" t="str">
        <f aca="false">IF((E30="v"),H30," ")</f>
        <v> </v>
      </c>
      <c r="AD30" s="46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</row>
    <row r="31" customFormat="false" ht="12" hidden="false" customHeight="false" outlineLevel="0" collapsed="false">
      <c r="A31" s="28" t="n">
        <v>46167</v>
      </c>
      <c r="B31" s="2" t="s">
        <v>108</v>
      </c>
      <c r="E31" s="5" t="s">
        <v>85</v>
      </c>
      <c r="F31" s="46" t="n">
        <v>15</v>
      </c>
      <c r="H31" s="6" t="n">
        <f aca="false">IF((F31&lt;&gt;0),F31-G31," ")</f>
        <v>15</v>
      </c>
      <c r="I31" s="5"/>
      <c r="L31" s="7" t="n">
        <f aca="false">IF(F31&lt;&gt;0,F31-K31," ")</f>
        <v>15</v>
      </c>
      <c r="M31" s="8" t="n">
        <f aca="false">IF((F31-K31)&lt;&gt;0,M$1-A31," ")</f>
        <v>-30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n">
        <f aca="false">IF((E31="u"),H31," ")</f>
        <v>15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46" t="str">
        <f aca="false">IF((E31="v"),H31," ")</f>
        <v> </v>
      </c>
      <c r="AD31" s="46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</row>
    <row r="32" customFormat="false" ht="12" hidden="false" customHeight="false" outlineLevel="0" collapsed="false">
      <c r="A32" s="28" t="n">
        <v>46167</v>
      </c>
      <c r="B32" s="2" t="s">
        <v>109</v>
      </c>
      <c r="E32" s="5" t="s">
        <v>88</v>
      </c>
      <c r="F32" s="46" t="n">
        <v>58.5</v>
      </c>
      <c r="H32" s="6" t="n">
        <f aca="false">IF((F32&lt;&gt;0),F32-G32," ")</f>
        <v>58.5</v>
      </c>
      <c r="I32" s="5"/>
      <c r="L32" s="7" t="n">
        <f aca="false">IF(F32&lt;&gt;0,F32-K32," ")</f>
        <v>58.5</v>
      </c>
      <c r="M32" s="8" t="n">
        <f aca="false">IF((F32-K32)&lt;&gt;0,M$1-A32," ")</f>
        <v>-30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str">
        <f aca="false">IF((E32="u"),H32," ")</f>
        <v> 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46" t="n">
        <f aca="false">IF((E32="v"),H32," ")</f>
        <v>58.5</v>
      </c>
      <c r="AD32" s="46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</row>
    <row r="33" customFormat="false" ht="12" hidden="false" customHeight="false" outlineLevel="0" collapsed="false">
      <c r="A33" s="28" t="n">
        <v>46170</v>
      </c>
      <c r="B33" s="2" t="s">
        <v>20</v>
      </c>
      <c r="E33" s="5" t="s">
        <v>88</v>
      </c>
      <c r="F33" s="46" t="n">
        <v>120</v>
      </c>
      <c r="H33" s="6" t="n">
        <f aca="false">IF((F33&lt;&gt;0),F33-G33," ")</f>
        <v>120</v>
      </c>
      <c r="I33" s="5"/>
      <c r="L33" s="7" t="n">
        <f aca="false">IF(F33&lt;&gt;0,F33-K33," ")</f>
        <v>120</v>
      </c>
      <c r="M33" s="8" t="n">
        <f aca="false">IF((F33-K33)&lt;&gt;0,M$1-A33," ")</f>
        <v>-33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str">
        <f aca="false">IF((E33="u"),H33," ")</f>
        <v> 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46" t="n">
        <f aca="false">IF((E33="v"),H33," ")</f>
        <v>120</v>
      </c>
      <c r="AD33" s="46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</row>
    <row r="34" customFormat="false" ht="12" hidden="false" customHeight="false" outlineLevel="0" collapsed="false">
      <c r="A34" s="28" t="n">
        <v>46173</v>
      </c>
      <c r="B34" s="2" t="s">
        <v>16</v>
      </c>
      <c r="E34" s="5" t="s">
        <v>110</v>
      </c>
      <c r="F34" s="46" t="n">
        <v>300</v>
      </c>
      <c r="H34" s="6" t="n">
        <f aca="false">IF((F34&lt;&gt;0),F34-G34," ")</f>
        <v>300</v>
      </c>
      <c r="I34" s="5"/>
      <c r="L34" s="7" t="n">
        <f aca="false">IF(F34&lt;&gt;0,F34-K34," ")</f>
        <v>300</v>
      </c>
      <c r="M34" s="8" t="n">
        <f aca="false">IF((F34-K34)&lt;&gt;0,M$1-A34," ")</f>
        <v>-36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str">
        <f aca="false">IF((E34="u"),H34," ")</f>
        <v> 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46" t="str">
        <f aca="false">IF((E34="v"),H34," ")</f>
        <v> </v>
      </c>
      <c r="AD34" s="46" t="str">
        <f aca="false">IF((E34="n"),H34," ")</f>
        <v> </v>
      </c>
      <c r="AE34" s="17" t="str">
        <f aca="false">IF((E34="f"),H34," ")</f>
        <v> </v>
      </c>
      <c r="AF34" s="17" t="n">
        <f aca="false">IF((E34="l"),H34," ")</f>
        <v>300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</row>
    <row r="35" customFormat="false" ht="12" hidden="false" customHeight="false" outlineLevel="0" collapsed="false">
      <c r="A35" s="28" t="n">
        <v>46173</v>
      </c>
      <c r="B35" s="2" t="s">
        <v>131</v>
      </c>
      <c r="E35" s="5" t="s">
        <v>110</v>
      </c>
      <c r="F35" s="46" t="n">
        <v>125</v>
      </c>
      <c r="H35" s="6" t="n">
        <f aca="false">IF((F35&lt;&gt;0),F35-G35," ")</f>
        <v>125</v>
      </c>
      <c r="I35" s="5"/>
      <c r="L35" s="7" t="n">
        <f aca="false">IF(F35&lt;&gt;0,F35-K35," ")</f>
        <v>125</v>
      </c>
      <c r="M35" s="8" t="n">
        <f aca="false">IF((F35-K35)&lt;&gt;0,M$1-A35," ")</f>
        <v>-36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str">
        <f aca="false">IF((E35="u"),H35," ")</f>
        <v> 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46" t="str">
        <f aca="false">IF((E35="v"),H35," ")</f>
        <v> </v>
      </c>
      <c r="AD35" s="46" t="str">
        <f aca="false">IF((E35="n"),H35," ")</f>
        <v> </v>
      </c>
      <c r="AE35" s="17" t="str">
        <f aca="false">IF((E35="f"),H35," ")</f>
        <v> </v>
      </c>
      <c r="AF35" s="17" t="n">
        <f aca="false">IF((E35="l"),H35," ")</f>
        <v>125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</row>
    <row r="36" customFormat="false" ht="12" hidden="false" customHeight="false" outlineLevel="0" collapsed="false">
      <c r="A36" s="28"/>
      <c r="E36" s="2"/>
      <c r="F36" s="46"/>
      <c r="H36" s="6" t="str">
        <f aca="false">IF((F36&lt;&gt;0),F36-G36," ")</f>
        <v> </v>
      </c>
      <c r="I36" s="5"/>
      <c r="L36" s="7" t="str">
        <f aca="false">IF(F36&lt;&gt;0,F36-K36," ")</f>
        <v> </v>
      </c>
      <c r="M36" s="8" t="str">
        <f aca="false">IF((F36-K36)&lt;&gt;0,M$1-A36," ")</f>
        <v> 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46" t="str">
        <f aca="false">IF((E36="v"),H36," ")</f>
        <v> </v>
      </c>
      <c r="AD36" s="46" t="str">
        <f aca="false">IF((E36="n"),H36," ")</f>
        <v> </v>
      </c>
      <c r="AE36" s="17" t="str">
        <f aca="false">IF((E36="f"),H36," ")</f>
        <v> </v>
      </c>
      <c r="AF36" s="17" t="str">
        <f aca="false">IF((E36="l"),H36," ")</f>
        <v> 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</row>
    <row r="37" customFormat="false" ht="12" hidden="false" customHeight="false" outlineLevel="0" collapsed="false">
      <c r="A37" s="28"/>
      <c r="E37" s="2"/>
      <c r="F37" s="46"/>
      <c r="H37" s="6" t="str">
        <f aca="false">IF((F37&lt;&gt;0),F37-G37," ")</f>
        <v> </v>
      </c>
      <c r="I37" s="5"/>
      <c r="L37" s="7" t="str">
        <f aca="false">IF(F37&lt;&gt;0,F37-K37," ")</f>
        <v> </v>
      </c>
      <c r="M37" s="8" t="str">
        <f aca="false">IF((F37-K37)&lt;&gt;0,M$1-A37," ")</f>
        <v> 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46" t="str">
        <f aca="false">IF((E37="v"),H37," ")</f>
        <v> </v>
      </c>
      <c r="AD37" s="46" t="str">
        <f aca="false">IF((E37="n"),H37," ")</f>
        <v> </v>
      </c>
      <c r="AE37" s="17" t="str">
        <f aca="false">IF((E37="f"),H37," ")</f>
        <v> </v>
      </c>
      <c r="AF37" s="17" t="str">
        <f aca="false">IF((E37="l"),H37," ")</f>
        <v> 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</row>
    <row r="38" customFormat="false" ht="12" hidden="false" customHeight="false" outlineLevel="0" collapsed="false">
      <c r="A38" s="28"/>
      <c r="E38" s="2"/>
      <c r="F38" s="46"/>
      <c r="H38" s="6" t="str">
        <f aca="false">IF((F38&lt;&gt;0),F38-G38," ")</f>
        <v> </v>
      </c>
      <c r="I38" s="5"/>
      <c r="L38" s="7" t="str">
        <f aca="false">IF(F38&lt;&gt;0,F38-K38," ")</f>
        <v> </v>
      </c>
      <c r="M38" s="8" t="str">
        <f aca="false">IF((F38-K38)&lt;&gt;0,M$1-A38," ")</f>
        <v> 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46" t="str">
        <f aca="false">IF((E38="v"),H38," ")</f>
        <v> </v>
      </c>
      <c r="AD38" s="46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</row>
    <row r="39" customFormat="false" ht="12" hidden="false" customHeight="false" outlineLevel="0" collapsed="false">
      <c r="A39" s="28"/>
      <c r="E39" s="2"/>
      <c r="F39" s="46"/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46" t="str">
        <f aca="false">IF((E39="v"),H39," ")</f>
        <v> </v>
      </c>
      <c r="AD39" s="46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</row>
    <row r="40" customFormat="false" ht="12" hidden="false" customHeight="false" outlineLevel="0" collapsed="false">
      <c r="A40" s="28"/>
      <c r="E40" s="2"/>
      <c r="F40" s="46"/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46" t="str">
        <f aca="false">IF((E40="v"),H40," ")</f>
        <v> </v>
      </c>
      <c r="AD40" s="46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</row>
    <row r="41" customFormat="false" ht="12" hidden="false" customHeight="false" outlineLevel="0" collapsed="false">
      <c r="A41" s="28"/>
      <c r="E41" s="2"/>
      <c r="F41" s="46"/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46" t="str">
        <f aca="false">IF((E41="v"),H41," ")</f>
        <v> </v>
      </c>
      <c r="AD41" s="46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</row>
    <row r="42" customFormat="false" ht="12" hidden="false" customHeight="false" outlineLevel="0" collapsed="false">
      <c r="A42" s="28"/>
      <c r="E42" s="2"/>
      <c r="F42" s="46"/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46" t="str">
        <f aca="false">IF((E42="v"),H42," ")</f>
        <v> </v>
      </c>
      <c r="AD42" s="46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</row>
    <row r="43" customFormat="false" ht="12" hidden="false" customHeight="false" outlineLevel="0" collapsed="false">
      <c r="A43" s="28"/>
      <c r="E43" s="2"/>
      <c r="F43" s="46"/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46" t="str">
        <f aca="false">IF((E43="v"),H43," ")</f>
        <v> </v>
      </c>
      <c r="AD43" s="46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</row>
    <row r="44" customFormat="false" ht="12" hidden="false" customHeight="false" outlineLevel="0" collapsed="false">
      <c r="A44" s="28"/>
      <c r="E44" s="2"/>
      <c r="F44" s="46"/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46" t="str">
        <f aca="false">IF((E44="v"),H44," ")</f>
        <v> </v>
      </c>
      <c r="AD44" s="46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</row>
    <row r="45" customFormat="false" ht="12" hidden="false" customHeight="false" outlineLevel="0" collapsed="false">
      <c r="A45" s="28"/>
      <c r="E45" s="2"/>
      <c r="F45" s="46"/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46" t="str">
        <f aca="false">IF((E45="v"),H45," ")</f>
        <v> </v>
      </c>
      <c r="AD45" s="46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</row>
    <row r="46" customFormat="false" ht="12" hidden="false" customHeight="false" outlineLevel="0" collapsed="false">
      <c r="A46" s="28"/>
      <c r="E46" s="2"/>
      <c r="F46" s="46"/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46" t="str">
        <f aca="false">IF((E46="v"),H46," ")</f>
        <v> </v>
      </c>
      <c r="AD46" s="46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</row>
    <row r="47" customFormat="false" ht="12" hidden="false" customHeight="false" outlineLevel="0" collapsed="false">
      <c r="A47" s="28"/>
      <c r="E47" s="2"/>
      <c r="F47" s="46"/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46" t="str">
        <f aca="false">IF((E47="v"),H47," ")</f>
        <v> </v>
      </c>
      <c r="AD47" s="46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</row>
    <row r="48" customFormat="false" ht="12" hidden="false" customHeight="false" outlineLevel="0" collapsed="false">
      <c r="A48" s="28"/>
      <c r="E48" s="2"/>
      <c r="F48" s="46"/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46" t="str">
        <f aca="false">IF((E48="v"),H48," ")</f>
        <v> </v>
      </c>
      <c r="AD48" s="46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</row>
    <row r="49" customFormat="false" ht="12" hidden="false" customHeight="false" outlineLevel="0" collapsed="false">
      <c r="A49" s="28"/>
      <c r="E49" s="2"/>
      <c r="F49" s="46"/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46" t="str">
        <f aca="false">IF((E49="v"),H49," ")</f>
        <v> </v>
      </c>
      <c r="AD49" s="46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</row>
    <row r="50" customFormat="false" ht="12" hidden="false" customHeight="false" outlineLevel="0" collapsed="false">
      <c r="A50" s="28"/>
      <c r="E50" s="2"/>
      <c r="F50" s="46"/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46" t="str">
        <f aca="false">IF((E50="v"),H50," ")</f>
        <v> </v>
      </c>
      <c r="AD50" s="46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</row>
    <row r="51" customFormat="false" ht="12" hidden="false" customHeight="false" outlineLevel="0" collapsed="false">
      <c r="A51" s="28"/>
      <c r="E51" s="2"/>
      <c r="F51" s="46"/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46" t="str">
        <f aca="false">IF((E51="v"),H51," ")</f>
        <v> </v>
      </c>
      <c r="AD51" s="46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</row>
    <row r="52" customFormat="false" ht="12" hidden="false" customHeight="false" outlineLevel="0" collapsed="false">
      <c r="A52" s="28"/>
      <c r="E52" s="2"/>
      <c r="F52" s="46"/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46" t="str">
        <f aca="false">IF((E52="v"),H52," ")</f>
        <v> </v>
      </c>
      <c r="AD52" s="46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</row>
    <row r="53" customFormat="false" ht="12" hidden="false" customHeight="false" outlineLevel="0" collapsed="false">
      <c r="A53" s="28"/>
      <c r="E53" s="2"/>
      <c r="F53" s="46"/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46" t="str">
        <f aca="false">IF((E53="v"),H53," ")</f>
        <v> </v>
      </c>
      <c r="AD53" s="46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</row>
    <row r="54" customFormat="false" ht="12" hidden="false" customHeight="false" outlineLevel="0" collapsed="false">
      <c r="A54" s="28"/>
      <c r="E54" s="2"/>
      <c r="F54" s="46"/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46" t="str">
        <f aca="false">IF((E54="v"),H54," ")</f>
        <v> </v>
      </c>
      <c r="AD54" s="46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</row>
    <row r="55" customFormat="false" ht="12" hidden="false" customHeight="false" outlineLevel="0" collapsed="false">
      <c r="A55" s="28"/>
      <c r="E55" s="2"/>
      <c r="F55" s="46"/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46" t="str">
        <f aca="false">IF((E55="v"),H55," ")</f>
        <v> </v>
      </c>
      <c r="AD55" s="46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</row>
    <row r="56" customFormat="false" ht="12" hidden="false" customHeight="false" outlineLevel="0" collapsed="false">
      <c r="A56" s="28"/>
      <c r="E56" s="2"/>
      <c r="F56" s="46"/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46" t="str">
        <f aca="false">IF((E56="v"),H56," ")</f>
        <v> </v>
      </c>
      <c r="AD56" s="46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</row>
    <row r="57" customFormat="false" ht="12" hidden="false" customHeight="false" outlineLevel="0" collapsed="false">
      <c r="A57" s="28"/>
      <c r="E57" s="2"/>
      <c r="F57" s="46"/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46" t="str">
        <f aca="false">IF((E57="v"),H57," ")</f>
        <v> </v>
      </c>
      <c r="AD57" s="46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</row>
    <row r="58" customFormat="false" ht="12" hidden="false" customHeight="false" outlineLevel="0" collapsed="false">
      <c r="A58" s="28"/>
      <c r="E58" s="2"/>
      <c r="F58" s="46"/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46" t="str">
        <f aca="false">IF((E58="v"),H58," ")</f>
        <v> </v>
      </c>
      <c r="AD58" s="46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</row>
    <row r="59" customFormat="false" ht="12" hidden="false" customHeight="false" outlineLevel="0" collapsed="false">
      <c r="A59" s="28"/>
      <c r="E59" s="2"/>
      <c r="F59" s="46"/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46" t="str">
        <f aca="false">IF((E59="v"),H59," ")</f>
        <v> </v>
      </c>
      <c r="AD59" s="46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</row>
    <row r="60" customFormat="false" ht="12" hidden="false" customHeight="false" outlineLevel="0" collapsed="false">
      <c r="A60" s="28"/>
      <c r="E60" s="2"/>
      <c r="F60" s="46"/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46" t="str">
        <f aca="false">IF((E60="v"),H60," ")</f>
        <v> </v>
      </c>
      <c r="AD60" s="46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</row>
    <row r="61" customFormat="false" ht="12" hidden="false" customHeight="false" outlineLevel="0" collapsed="false">
      <c r="A61" s="28"/>
      <c r="E61" s="2"/>
      <c r="F61" s="46"/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46" t="str">
        <f aca="false">IF((E61="v"),H61," ")</f>
        <v> </v>
      </c>
      <c r="AD61" s="46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</row>
    <row r="62" customFormat="false" ht="12" hidden="false" customHeight="false" outlineLevel="0" collapsed="false">
      <c r="A62" s="28"/>
      <c r="E62" s="2"/>
      <c r="F62" s="46"/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46" t="str">
        <f aca="false">IF((E62="v"),H62," ")</f>
        <v> </v>
      </c>
      <c r="AD62" s="46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</row>
    <row r="63" customFormat="false" ht="12" hidden="false" customHeight="false" outlineLevel="0" collapsed="false">
      <c r="A63" s="28"/>
      <c r="E63" s="2"/>
      <c r="F63" s="46"/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46" t="str">
        <f aca="false">IF((E63="v"),H63," ")</f>
        <v> </v>
      </c>
      <c r="AD63" s="46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</row>
    <row r="64" customFormat="false" ht="12" hidden="false" customHeight="false" outlineLevel="0" collapsed="false">
      <c r="A64" s="28"/>
      <c r="E64" s="2"/>
      <c r="F64" s="46"/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46" t="str">
        <f aca="false">IF((E64="v"),H64," ")</f>
        <v> </v>
      </c>
      <c r="AD64" s="46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</row>
    <row r="65" customFormat="false" ht="12" hidden="false" customHeight="false" outlineLevel="0" collapsed="false">
      <c r="A65" s="28"/>
      <c r="E65" s="2"/>
      <c r="F65" s="46"/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46" t="str">
        <f aca="false">IF((E65="v"),H65," ")</f>
        <v> </v>
      </c>
      <c r="AD65" s="46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</row>
    <row r="66" customFormat="false" ht="12" hidden="false" customHeight="false" outlineLevel="0" collapsed="false">
      <c r="A66" s="28"/>
      <c r="E66" s="2"/>
      <c r="F66" s="46"/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46" t="str">
        <f aca="false">IF((E66="v"),H66," ")</f>
        <v> </v>
      </c>
      <c r="AD66" s="46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</row>
    <row r="67" customFormat="false" ht="12" hidden="false" customHeight="false" outlineLevel="0" collapsed="false">
      <c r="A67" s="28"/>
      <c r="E67" s="2"/>
      <c r="F67" s="46"/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46" t="str">
        <f aca="false">IF((E67="v"),H67," ")</f>
        <v> </v>
      </c>
      <c r="AD67" s="46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</row>
    <row r="68" customFormat="false" ht="12" hidden="false" customHeight="false" outlineLevel="0" collapsed="false">
      <c r="A68" s="28"/>
      <c r="E68" s="2"/>
      <c r="F68" s="46"/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46" t="str">
        <f aca="false">IF((E68="v"),H68," ")</f>
        <v> </v>
      </c>
      <c r="AD68" s="46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</row>
    <row r="69" customFormat="false" ht="12" hidden="false" customHeight="false" outlineLevel="0" collapsed="false">
      <c r="A69" s="28"/>
      <c r="E69" s="2"/>
      <c r="F69" s="46"/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46" t="str">
        <f aca="false">IF((E69="v"),H69," ")</f>
        <v> </v>
      </c>
      <c r="AD69" s="46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46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46" t="str">
        <f aca="false">IF((E70="v"),H70," ")</f>
        <v> </v>
      </c>
      <c r="AD70" s="46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46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46" t="str">
        <f aca="false">IF((E71="v"),H71," ")</f>
        <v> </v>
      </c>
      <c r="AD71" s="46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46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46" t="str">
        <f aca="false">IF((E72="v"),H72," ")</f>
        <v> </v>
      </c>
      <c r="AD72" s="46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46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46" t="str">
        <f aca="false">IF((E73="v"),H73," ")</f>
        <v> </v>
      </c>
      <c r="AD73" s="46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46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46" t="str">
        <f aca="false">IF((E74="v"),H74," ")</f>
        <v> </v>
      </c>
      <c r="AD74" s="46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46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46" t="str">
        <f aca="false">IF((E75="v"),H75," ")</f>
        <v> </v>
      </c>
      <c r="AD75" s="46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46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46" t="str">
        <f aca="false">IF((E76="v"),H76," ")</f>
        <v> </v>
      </c>
      <c r="AD76" s="46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46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46" t="str">
        <f aca="false">IF((E77="v"),H77," ")</f>
        <v> </v>
      </c>
      <c r="AD77" s="46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46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46" t="str">
        <f aca="false">IF((E78="v"),H78," ")</f>
        <v> </v>
      </c>
      <c r="AD78" s="46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46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46" t="str">
        <f aca="false">IF((E79="v"),H79," ")</f>
        <v> </v>
      </c>
      <c r="AD79" s="46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46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46" t="str">
        <f aca="false">IF((E80="v"),H80," ")</f>
        <v> </v>
      </c>
      <c r="AD80" s="46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46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46" t="str">
        <f aca="false">IF((E81="v"),H81," ")</f>
        <v> </v>
      </c>
      <c r="AD81" s="46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46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46" t="str">
        <f aca="false">IF((E82="v"),H82," ")</f>
        <v> </v>
      </c>
      <c r="AD82" s="46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46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46" t="str">
        <f aca="false">IF((E83="v"),H83," ")</f>
        <v> </v>
      </c>
      <c r="AD83" s="46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46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46" t="str">
        <f aca="false">IF((E84="v"),H84," ")</f>
        <v> </v>
      </c>
      <c r="AD84" s="46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46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46" t="str">
        <f aca="false">IF((E85="v"),H85," ")</f>
        <v> </v>
      </c>
      <c r="AD85" s="46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46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46" t="str">
        <f aca="false">IF((E86="v"),H86," ")</f>
        <v> </v>
      </c>
      <c r="AD86" s="46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46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46" t="str">
        <f aca="false">IF((E87="v"),H87," ")</f>
        <v> </v>
      </c>
      <c r="AD87" s="46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46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46" t="str">
        <f aca="false">IF((E88="v"),H88," ")</f>
        <v> </v>
      </c>
      <c r="AD88" s="46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46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46" t="str">
        <f aca="false">IF((E89="v"),H89," ")</f>
        <v> </v>
      </c>
      <c r="AD89" s="46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46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46" t="str">
        <f aca="false">IF((E90="v"),H90," ")</f>
        <v> </v>
      </c>
      <c r="AD90" s="46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46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46" t="str">
        <f aca="false">IF((E91="v"),H91," ")</f>
        <v> </v>
      </c>
      <c r="AD91" s="46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46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46" t="str">
        <f aca="false">IF((E92="v"),H92," ")</f>
        <v> </v>
      </c>
      <c r="AD92" s="46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46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46" t="str">
        <f aca="false">IF((E93="v"),H93," ")</f>
        <v> </v>
      </c>
      <c r="AD93" s="46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46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46" t="str">
        <f aca="false">IF((E94="v"),H94," ")</f>
        <v> </v>
      </c>
      <c r="AD94" s="46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46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46" t="str">
        <f aca="false">IF((E95="v"),H95," ")</f>
        <v> </v>
      </c>
      <c r="AD95" s="46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46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46" t="str">
        <f aca="false">IF((E96="v"),H96," ")</f>
        <v> </v>
      </c>
      <c r="AD96" s="46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46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46" t="str">
        <f aca="false">IF((E97="v"),H97," ")</f>
        <v> </v>
      </c>
      <c r="AD97" s="46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46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46" t="str">
        <f aca="false">IF((E98="v"),H98," ")</f>
        <v> </v>
      </c>
      <c r="AD98" s="46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46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46" t="str">
        <f aca="false">IF((E99="v"),H99," ")</f>
        <v> </v>
      </c>
      <c r="AD99" s="46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46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46" t="str">
        <f aca="false">IF((E100="v"),H100," ")</f>
        <v> </v>
      </c>
      <c r="AD100" s="46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46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46" t="str">
        <f aca="false">IF((E101="v"),H101," ")</f>
        <v> </v>
      </c>
      <c r="AD101" s="46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46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46" t="str">
        <f aca="false">IF((E102="v"),H102," ")</f>
        <v> </v>
      </c>
      <c r="AD102" s="46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46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46" t="str">
        <f aca="false">IF((E103="v"),H103," ")</f>
        <v> </v>
      </c>
      <c r="AD103" s="46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46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46" t="str">
        <f aca="false">IF((E104="v"),H104," ")</f>
        <v> </v>
      </c>
      <c r="AD104" s="46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46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46" t="str">
        <f aca="false">IF((E105="v"),H105," ")</f>
        <v> </v>
      </c>
      <c r="AD105" s="46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46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46" t="str">
        <f aca="false">IF((E106="v"),H106," ")</f>
        <v> </v>
      </c>
      <c r="AD106" s="46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46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46" t="str">
        <f aca="false">IF((E107="v"),H107," ")</f>
        <v> </v>
      </c>
      <c r="AD107" s="46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46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46" t="str">
        <f aca="false">IF((E108="v"),H108," ")</f>
        <v> </v>
      </c>
      <c r="AD108" s="46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46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46" t="str">
        <f aca="false">IF((E109="v"),H109," ")</f>
        <v> </v>
      </c>
      <c r="AD109" s="46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46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46" t="str">
        <f aca="false">IF((E110="v"),H110," ")</f>
        <v> </v>
      </c>
      <c r="AD110" s="46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46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46" t="str">
        <f aca="false">IF((E111="v"),H111," ")</f>
        <v> </v>
      </c>
      <c r="AD111" s="46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46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46" t="str">
        <f aca="false">IF((E112="v"),H112," ")</f>
        <v> </v>
      </c>
      <c r="AD112" s="46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46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46" t="str">
        <f aca="false">IF((E113="v"),H113," ")</f>
        <v> </v>
      </c>
      <c r="AD113" s="46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46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46" t="str">
        <f aca="false">IF((E114="v"),H114," ")</f>
        <v> </v>
      </c>
      <c r="AD114" s="46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46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46" t="str">
        <f aca="false">IF((E115="v"),H115," ")</f>
        <v> </v>
      </c>
      <c r="AD115" s="46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46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46" t="str">
        <f aca="false">IF((E116="v"),H116," ")</f>
        <v> </v>
      </c>
      <c r="AD116" s="46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46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46" t="str">
        <f aca="false">IF((E117="v"),H117," ")</f>
        <v> </v>
      </c>
      <c r="AD117" s="46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46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46" t="str">
        <f aca="false">IF((E118="v"),H118," ")</f>
        <v> </v>
      </c>
      <c r="AD118" s="46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46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46" t="str">
        <f aca="false">IF((E119="v"),H119," ")</f>
        <v> </v>
      </c>
      <c r="AD119" s="46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46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46" t="str">
        <f aca="false">IF((E120="v"),H120," ")</f>
        <v> </v>
      </c>
      <c r="AD120" s="46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46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46" t="str">
        <f aca="false">IF((E121="v"),H121," ")</f>
        <v> </v>
      </c>
      <c r="AD121" s="46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46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46" t="str">
        <f aca="false">IF((E122="v"),H122," ")</f>
        <v> </v>
      </c>
      <c r="AD122" s="46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46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46" t="str">
        <f aca="false">IF((E123="v"),H123," ")</f>
        <v> </v>
      </c>
      <c r="AD123" s="46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46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46" t="str">
        <f aca="false">IF((E124="v"),H124," ")</f>
        <v> </v>
      </c>
      <c r="AD124" s="46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46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46" t="str">
        <f aca="false">IF((E125="v"),H125," ")</f>
        <v> </v>
      </c>
      <c r="AD125" s="46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46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46" t="str">
        <f aca="false">IF((E126="v"),H126," ")</f>
        <v> </v>
      </c>
      <c r="AD126" s="46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46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46" t="str">
        <f aca="false">IF((E127="v"),H127," ")</f>
        <v> </v>
      </c>
      <c r="AD127" s="46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46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46" t="str">
        <f aca="false">IF((E128="v"),H128," ")</f>
        <v> </v>
      </c>
      <c r="AD128" s="46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46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46" t="str">
        <f aca="false">IF((E129="v"),H129," ")</f>
        <v> </v>
      </c>
      <c r="AD129" s="46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46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46" t="str">
        <f aca="false">IF((E130="v"),H130," ")</f>
        <v> </v>
      </c>
      <c r="AD130" s="46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46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46" t="str">
        <f aca="false">IF((E131="v"),H131," ")</f>
        <v> </v>
      </c>
      <c r="AD131" s="46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46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46" t="str">
        <f aca="false">IF((E132="v"),H132," ")</f>
        <v> </v>
      </c>
      <c r="AD132" s="46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46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46" t="str">
        <f aca="false">IF((E133="v"),H133," ")</f>
        <v> </v>
      </c>
      <c r="AD133" s="46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46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46" t="str">
        <f aca="false">IF((E134="v"),H134," ")</f>
        <v> </v>
      </c>
      <c r="AD134" s="46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46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46" t="str">
        <f aca="false">IF((E135="v"),H135," ")</f>
        <v> </v>
      </c>
      <c r="AD135" s="46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46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46" t="str">
        <f aca="false">IF((E136="v"),H136," ")</f>
        <v> </v>
      </c>
      <c r="AD136" s="46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46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46" t="str">
        <f aca="false">IF((E137="v"),H137," ")</f>
        <v> </v>
      </c>
      <c r="AD137" s="46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46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46" t="str">
        <f aca="false">IF((E138="v"),H138," ")</f>
        <v> </v>
      </c>
      <c r="AD138" s="46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46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46" t="str">
        <f aca="false">IF((E139="v"),H139," ")</f>
        <v> </v>
      </c>
      <c r="AD139" s="46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46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46" t="str">
        <f aca="false">IF((E140="v"),H140," ")</f>
        <v> </v>
      </c>
      <c r="AD140" s="46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46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46" t="str">
        <f aca="false">IF((E141="v"),H141," ")</f>
        <v> </v>
      </c>
      <c r="AD141" s="46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46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46" t="str">
        <f aca="false">IF((E142="v"),H142," ")</f>
        <v> </v>
      </c>
      <c r="AD142" s="46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46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46" t="str">
        <f aca="false">IF((E143="v"),H143," ")</f>
        <v> </v>
      </c>
      <c r="AD143" s="46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46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46" t="str">
        <f aca="false">IF((E144="v"),H144," ")</f>
        <v> </v>
      </c>
      <c r="AD144" s="46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46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46" t="str">
        <f aca="false">IF((E145="v"),H145," ")</f>
        <v> </v>
      </c>
      <c r="AD145" s="46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46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46" t="str">
        <f aca="false">IF((E146="v"),H146," ")</f>
        <v> </v>
      </c>
      <c r="AD146" s="46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46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46" t="str">
        <f aca="false">IF((E147="v"),H147," ")</f>
        <v> </v>
      </c>
      <c r="AD147" s="46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46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46" t="str">
        <f aca="false">IF((E148="v"),H148," ")</f>
        <v> </v>
      </c>
      <c r="AD148" s="46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46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46" t="str">
        <f aca="false">IF((E149="v"),H149," ")</f>
        <v> </v>
      </c>
      <c r="AD149" s="46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46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46" t="str">
        <f aca="false">IF((E150="v"),H150," ")</f>
        <v> </v>
      </c>
      <c r="AD150" s="46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46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46" t="str">
        <f aca="false">IF((E151="v"),H151," ")</f>
        <v> </v>
      </c>
      <c r="AD151" s="46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46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46" t="str">
        <f aca="false">IF((E152="v"),H152," ")</f>
        <v> </v>
      </c>
      <c r="AD152" s="46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46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46" t="str">
        <f aca="false">IF((E153="v"),H153," ")</f>
        <v> </v>
      </c>
      <c r="AD153" s="46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46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46" t="str">
        <f aca="false">IF((E154="v"),H154," ")</f>
        <v> </v>
      </c>
      <c r="AD154" s="46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46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46" t="str">
        <f aca="false">IF((E155="v"),H155," ")</f>
        <v> </v>
      </c>
      <c r="AD155" s="46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46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46" t="str">
        <f aca="false">IF((E156="v"),H156," ")</f>
        <v> </v>
      </c>
      <c r="AD156" s="46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46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46" t="str">
        <f aca="false">IF((E157="v"),H157," ")</f>
        <v> </v>
      </c>
      <c r="AD157" s="46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46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46" t="str">
        <f aca="false">IF((E158="v"),H158," ")</f>
        <v> </v>
      </c>
      <c r="AD158" s="46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46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46" t="str">
        <f aca="false">IF((E159="v"),H159," ")</f>
        <v> </v>
      </c>
      <c r="AD159" s="46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46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46" t="str">
        <f aca="false">IF((E160="v"),H160," ")</f>
        <v> </v>
      </c>
      <c r="AD160" s="46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46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46" t="str">
        <f aca="false">IF((E161="v"),H161," ")</f>
        <v> </v>
      </c>
      <c r="AD161" s="46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46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46" t="str">
        <f aca="false">IF((E162="v"),H162," ")</f>
        <v> </v>
      </c>
      <c r="AD162" s="46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46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46" t="str">
        <f aca="false">IF((E163="v"),H163," ")</f>
        <v> </v>
      </c>
      <c r="AD163" s="46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46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46" t="str">
        <f aca="false">IF((E164="v"),H164," ")</f>
        <v> </v>
      </c>
      <c r="AD164" s="46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46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46" t="str">
        <f aca="false">IF((E165="v"),H165," ")</f>
        <v> </v>
      </c>
      <c r="AD165" s="46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46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46" t="str">
        <f aca="false">IF((E166="v"),H166," ")</f>
        <v> </v>
      </c>
      <c r="AD166" s="46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46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46" t="str">
        <f aca="false">IF((E167="v"),H167," ")</f>
        <v> </v>
      </c>
      <c r="AD167" s="46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46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46" t="str">
        <f aca="false">IF((E168="v"),H168," ")</f>
        <v> </v>
      </c>
      <c r="AD168" s="46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46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46" t="str">
        <f aca="false">IF((E169="v"),H169," ")</f>
        <v> </v>
      </c>
      <c r="AD169" s="46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46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46" t="str">
        <f aca="false">IF((E170="v"),H170," ")</f>
        <v> </v>
      </c>
      <c r="AD170" s="46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46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46" t="str">
        <f aca="false">IF((E171="v"),H171," ")</f>
        <v> </v>
      </c>
      <c r="AD171" s="46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46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46" t="str">
        <f aca="false">IF((E172="v"),H172," ")</f>
        <v> </v>
      </c>
      <c r="AD172" s="46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46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46" t="str">
        <f aca="false">IF((E173="v"),H173," ")</f>
        <v> </v>
      </c>
      <c r="AD173" s="46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46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46" t="str">
        <f aca="false">IF((E174="v"),H174," ")</f>
        <v> </v>
      </c>
      <c r="AD174" s="46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46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46" t="str">
        <f aca="false">IF((E175="v"),H175," ")</f>
        <v> </v>
      </c>
      <c r="AD175" s="46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46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46" t="str">
        <f aca="false">IF((E176="v"),H176," ")</f>
        <v> </v>
      </c>
      <c r="AD176" s="46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46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46" t="str">
        <f aca="false">IF((E177="v"),H177," ")</f>
        <v> </v>
      </c>
      <c r="AD177" s="46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46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46" t="str">
        <f aca="false">IF((E178="v"),H178," ")</f>
        <v> </v>
      </c>
      <c r="AD178" s="46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46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46" t="str">
        <f aca="false">IF((E179="v"),H179," ")</f>
        <v> </v>
      </c>
      <c r="AD179" s="46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46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46" t="str">
        <f aca="false">IF((E180="v"),H180," ")</f>
        <v> </v>
      </c>
      <c r="AD180" s="46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46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46" t="str">
        <f aca="false">IF((E181="v"),H181," ")</f>
        <v> </v>
      </c>
      <c r="AD181" s="46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46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46" t="str">
        <f aca="false">IF((E182="v"),H182," ")</f>
        <v> </v>
      </c>
      <c r="AD182" s="46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46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46" t="str">
        <f aca="false">IF((E183="v"),H183," ")</f>
        <v> </v>
      </c>
      <c r="AD183" s="46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46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46" t="str">
        <f aca="false">IF((E184="v"),H184," ")</f>
        <v> </v>
      </c>
      <c r="AD184" s="46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46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46" t="str">
        <f aca="false">IF((E185="v"),H185," ")</f>
        <v> </v>
      </c>
      <c r="AD185" s="46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46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46" t="str">
        <f aca="false">IF((E186="v"),H186," ")</f>
        <v> </v>
      </c>
      <c r="AD186" s="46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46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46" t="str">
        <f aca="false">IF((E187="v"),H187," ")</f>
        <v> </v>
      </c>
      <c r="AD187" s="46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46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46" t="str">
        <f aca="false">IF((E188="v"),H188," ")</f>
        <v> </v>
      </c>
      <c r="AD188" s="46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46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46" t="str">
        <f aca="false">IF((E189="v"),H189," ")</f>
        <v> </v>
      </c>
      <c r="AD189" s="46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46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46" t="str">
        <f aca="false">IF((E190="v"),H190," ")</f>
        <v> </v>
      </c>
      <c r="AD190" s="46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46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46" t="str">
        <f aca="false">IF((E191="v"),H191," ")</f>
        <v> </v>
      </c>
      <c r="AD191" s="46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46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46" t="str">
        <f aca="false">IF((E192="v"),H192," ")</f>
        <v> </v>
      </c>
      <c r="AD192" s="46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46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46" t="str">
        <f aca="false">IF((E193="v"),H193," ")</f>
        <v> </v>
      </c>
      <c r="AD193" s="46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46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46" t="str">
        <f aca="false">IF((E194="v"),H194," ")</f>
        <v> </v>
      </c>
      <c r="AD194" s="46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46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46" t="str">
        <f aca="false">IF((E195="v"),H195," ")</f>
        <v> </v>
      </c>
      <c r="AD195" s="46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46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46" t="str">
        <f aca="false">IF((E196="v"),H196," ")</f>
        <v> </v>
      </c>
      <c r="AD196" s="46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46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46" t="str">
        <f aca="false">IF((E197="v"),H197," ")</f>
        <v> </v>
      </c>
      <c r="AD197" s="46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46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46" t="str">
        <f aca="false">IF((E198="v"),H198," ")</f>
        <v> </v>
      </c>
      <c r="AD198" s="46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46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46" t="str">
        <f aca="false">IF((E199="v"),H199," ")</f>
        <v> </v>
      </c>
      <c r="AD199" s="46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46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46" t="str">
        <f aca="false">IF((E200="v"),H200," ")</f>
        <v> </v>
      </c>
      <c r="AD200" s="46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46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46" t="str">
        <f aca="false">IF((E201="v"),H201," ")</f>
        <v> </v>
      </c>
      <c r="AD201" s="46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46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46" t="str">
        <f aca="false">IF((E202="v"),H202," ")</f>
        <v> </v>
      </c>
      <c r="AD202" s="46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46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46" t="str">
        <f aca="false">IF((E203="v"),H203," ")</f>
        <v> </v>
      </c>
      <c r="AD203" s="46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46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46" t="str">
        <f aca="false">IF((E204="v"),H204," ")</f>
        <v> </v>
      </c>
      <c r="AD204" s="46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46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46" t="str">
        <f aca="false">IF((E205="v"),H205," ")</f>
        <v> </v>
      </c>
      <c r="AD205" s="46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46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46" t="str">
        <f aca="false">IF((E206="v"),H206," ")</f>
        <v> </v>
      </c>
      <c r="AD206" s="46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46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46" t="str">
        <f aca="false">IF((E207="v"),H207," ")</f>
        <v> </v>
      </c>
      <c r="AD207" s="46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46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46" t="str">
        <f aca="false">IF((E208="v"),H208," ")</f>
        <v> </v>
      </c>
      <c r="AD208" s="46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46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46" t="str">
        <f aca="false">IF((E209="v"),H209," ")</f>
        <v> </v>
      </c>
      <c r="AD209" s="46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46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46" t="str">
        <f aca="false">IF((E210="v"),H210," ")</f>
        <v> </v>
      </c>
      <c r="AD210" s="46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46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46" t="str">
        <f aca="false">IF((E211="v"),H211," ")</f>
        <v> </v>
      </c>
      <c r="AD211" s="46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46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46" t="str">
        <f aca="false">IF((E212="v"),H212," ")</f>
        <v> </v>
      </c>
      <c r="AD212" s="46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46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46" t="str">
        <f aca="false">IF((E213="v"),H213," ")</f>
        <v> </v>
      </c>
      <c r="AD213" s="46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46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46" t="str">
        <f aca="false">IF((E214="v"),H214," ")</f>
        <v> </v>
      </c>
      <c r="AD214" s="46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46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46" t="str">
        <f aca="false">IF((E215="v"),H215," ")</f>
        <v> </v>
      </c>
      <c r="AD215" s="46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46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46" t="str">
        <f aca="false">IF((E216="v"),H216," ")</f>
        <v> </v>
      </c>
      <c r="AD216" s="46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46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46" t="str">
        <f aca="false">IF((E217="v"),H217," ")</f>
        <v> </v>
      </c>
      <c r="AD217" s="46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46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46" t="str">
        <f aca="false">IF((E218="v"),H218," ")</f>
        <v> </v>
      </c>
      <c r="AD218" s="46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46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46" t="str">
        <f aca="false">IF((E219="v"),H219," ")</f>
        <v> </v>
      </c>
      <c r="AD219" s="46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46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46" t="str">
        <f aca="false">IF((E220="v"),H220," ")</f>
        <v> </v>
      </c>
      <c r="AD220" s="46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46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46" t="str">
        <f aca="false">IF((E221="v"),H221," ")</f>
        <v> </v>
      </c>
      <c r="AD221" s="46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46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46" t="str">
        <f aca="false">IF((E222="v"),H222," ")</f>
        <v> </v>
      </c>
      <c r="AD222" s="46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46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46" t="str">
        <f aca="false">IF((E223="v"),H223," ")</f>
        <v> </v>
      </c>
      <c r="AD223" s="46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46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46" t="str">
        <f aca="false">IF((E224="v"),H224," ")</f>
        <v> </v>
      </c>
      <c r="AD224" s="46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46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46" t="str">
        <f aca="false">IF((E225="v"),H225," ")</f>
        <v> </v>
      </c>
      <c r="AD225" s="46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46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46" t="str">
        <f aca="false">IF((E226="v"),H226," ")</f>
        <v> </v>
      </c>
      <c r="AD226" s="46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46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46" t="str">
        <f aca="false">IF((E227="v"),H227," ")</f>
        <v> </v>
      </c>
      <c r="AD227" s="46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46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46" t="str">
        <f aca="false">IF((E228="v"),H228," ")</f>
        <v> </v>
      </c>
      <c r="AD228" s="46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46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46" t="str">
        <f aca="false">IF((E229="v"),H229," ")</f>
        <v> </v>
      </c>
      <c r="AD229" s="46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46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46" t="str">
        <f aca="false">IF((E230="v"),H230," ")</f>
        <v> </v>
      </c>
      <c r="AD230" s="46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46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46" t="str">
        <f aca="false">IF((E231="v"),H231," ")</f>
        <v> </v>
      </c>
      <c r="AD231" s="46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46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46" t="str">
        <f aca="false">IF((E232="v"),H232," ")</f>
        <v> </v>
      </c>
      <c r="AD232" s="46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46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46" t="str">
        <f aca="false">IF((E233="v"),H233," ")</f>
        <v> </v>
      </c>
      <c r="AD233" s="46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46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46" t="str">
        <f aca="false">IF((E234="v"),H234," ")</f>
        <v> </v>
      </c>
      <c r="AD234" s="46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46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46" t="str">
        <f aca="false">IF((E235="v"),H235," ")</f>
        <v> </v>
      </c>
      <c r="AD235" s="46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46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46" t="str">
        <f aca="false">IF((E236="v"),H236," ")</f>
        <v> </v>
      </c>
      <c r="AD236" s="46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46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46" t="str">
        <f aca="false">IF((E237="v"),H237," ")</f>
        <v> </v>
      </c>
      <c r="AD237" s="46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46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46" t="str">
        <f aca="false">IF((E238="v"),H238," ")</f>
        <v> </v>
      </c>
      <c r="AD238" s="46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46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46" t="str">
        <f aca="false">IF((E239="v"),H239," ")</f>
        <v> </v>
      </c>
      <c r="AD239" s="46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46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46" t="str">
        <f aca="false">IF((E240="v"),H240," ")</f>
        <v> </v>
      </c>
      <c r="AD240" s="46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46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46" t="str">
        <f aca="false">IF((E241="v"),H241," ")</f>
        <v> </v>
      </c>
      <c r="AD241" s="46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46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46" t="str">
        <f aca="false">IF((E242="v"),H242," ")</f>
        <v> </v>
      </c>
      <c r="AD242" s="46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46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46" t="str">
        <f aca="false">IF((E243="v"),H243," ")</f>
        <v> </v>
      </c>
      <c r="AD243" s="46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46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46" t="str">
        <f aca="false">IF((E244="v"),H244," ")</f>
        <v> </v>
      </c>
      <c r="AD244" s="46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46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46" t="str">
        <f aca="false">IF((E245="v"),H245," ")</f>
        <v> </v>
      </c>
      <c r="AD245" s="46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46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46" t="str">
        <f aca="false">IF((E246="v"),H246," ")</f>
        <v> </v>
      </c>
      <c r="AD246" s="46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46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46" t="str">
        <f aca="false">IF((E247="v"),H247," ")</f>
        <v> </v>
      </c>
      <c r="AD247" s="46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46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46" t="str">
        <f aca="false">IF((E248="v"),H248," ")</f>
        <v> </v>
      </c>
      <c r="AD248" s="46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46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46" t="str">
        <f aca="false">IF((E249="v"),H249," ")</f>
        <v> </v>
      </c>
      <c r="AD249" s="46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46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46" t="str">
        <f aca="false">IF((E250="v"),H250," ")</f>
        <v> </v>
      </c>
      <c r="AD250" s="46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46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46" t="str">
        <f aca="false">IF((E251="v"),H251," ")</f>
        <v> </v>
      </c>
      <c r="AD251" s="46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46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46" t="str">
        <f aca="false">IF((E252="v"),H252," ")</f>
        <v> </v>
      </c>
      <c r="AD252" s="46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46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46" t="str">
        <f aca="false">IF((E253="v"),H253," ")</f>
        <v> </v>
      </c>
      <c r="AD253" s="46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46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46" t="str">
        <f aca="false">IF((E254="v"),H254," ")</f>
        <v> </v>
      </c>
      <c r="AD254" s="46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46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46" t="str">
        <f aca="false">IF((E255="v"),H255," ")</f>
        <v> </v>
      </c>
      <c r="AD255" s="46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46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46" t="str">
        <f aca="false">IF((E256="v"),H256," ")</f>
        <v> </v>
      </c>
      <c r="AD256" s="46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46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46" t="str">
        <f aca="false">IF((E257="v"),H257," ")</f>
        <v> </v>
      </c>
      <c r="AD257" s="46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46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46" t="str">
        <f aca="false">IF((E258="v"),H258," ")</f>
        <v> </v>
      </c>
      <c r="AD258" s="46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46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46" t="str">
        <f aca="false">IF((E259="v"),H259," ")</f>
        <v> </v>
      </c>
      <c r="AD259" s="46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46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46" t="str">
        <f aca="false">IF((E260="v"),H260," ")</f>
        <v> </v>
      </c>
      <c r="AD260" s="46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46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46" t="str">
        <f aca="false">IF((E261="v"),H261," ")</f>
        <v> </v>
      </c>
      <c r="AD261" s="46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46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46" t="str">
        <f aca="false">IF((E262="v"),H262," ")</f>
        <v> </v>
      </c>
      <c r="AD262" s="46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46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46" t="str">
        <f aca="false">IF((E263="v"),H263," ")</f>
        <v> </v>
      </c>
      <c r="AD263" s="46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46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46" t="str">
        <f aca="false">IF((E264="v"),H264," ")</f>
        <v> </v>
      </c>
      <c r="AD264" s="46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46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46" t="str">
        <f aca="false">IF((E265="v"),H265," ")</f>
        <v> </v>
      </c>
      <c r="AD265" s="46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46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46" t="str">
        <f aca="false">IF((E266="v"),H266," ")</f>
        <v> </v>
      </c>
      <c r="AD266" s="46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46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46" t="str">
        <f aca="false">IF((E267="v"),H267," ")</f>
        <v> </v>
      </c>
      <c r="AD267" s="46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46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46" t="str">
        <f aca="false">IF((E268="v"),H268," ")</f>
        <v> </v>
      </c>
      <c r="AD268" s="46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46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46" t="str">
        <f aca="false">IF((E269="v"),H269," ")</f>
        <v> </v>
      </c>
      <c r="AD269" s="46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46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46" t="str">
        <f aca="false">IF((E270="v"),H270," ")</f>
        <v> </v>
      </c>
      <c r="AD270" s="46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46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46" t="str">
        <f aca="false">IF((E271="v"),H271," ")</f>
        <v> </v>
      </c>
      <c r="AD271" s="46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46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46" t="str">
        <f aca="false">IF((E272="v"),H272," ")</f>
        <v> </v>
      </c>
      <c r="AD272" s="46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46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46" t="str">
        <f aca="false">IF((E273="v"),H273," ")</f>
        <v> </v>
      </c>
      <c r="AD273" s="46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46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46" t="str">
        <f aca="false">IF((E274="v"),H274," ")</f>
        <v> </v>
      </c>
      <c r="AD274" s="46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46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46" t="str">
        <f aca="false">IF((E275="v"),H275," ")</f>
        <v> </v>
      </c>
      <c r="AD275" s="46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46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46" t="str">
        <f aca="false">IF((E276="v"),H276," ")</f>
        <v> </v>
      </c>
      <c r="AD276" s="46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46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46" t="str">
        <f aca="false">IF((E277="v"),H277," ")</f>
        <v> </v>
      </c>
      <c r="AD277" s="46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46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46" t="str">
        <f aca="false">IF((E278="v"),H278," ")</f>
        <v> </v>
      </c>
      <c r="AD278" s="46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46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46" t="str">
        <f aca="false">IF((E279="v"),H279," ")</f>
        <v> </v>
      </c>
      <c r="AD279" s="46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46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46" t="str">
        <f aca="false">IF((E280="v"),H280," ")</f>
        <v> </v>
      </c>
      <c r="AD280" s="46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46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46" t="str">
        <f aca="false">IF((E281="v"),H281," ")</f>
        <v> </v>
      </c>
      <c r="AD281" s="46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46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46" t="str">
        <f aca="false">IF((E282="v"),H282," ")</f>
        <v> </v>
      </c>
      <c r="AD282" s="46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46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46" t="str">
        <f aca="false">IF((E283="v"),H283," ")</f>
        <v> </v>
      </c>
      <c r="AD283" s="46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46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46" t="str">
        <f aca="false">IF((E284="v"),H284," ")</f>
        <v> </v>
      </c>
      <c r="AD284" s="46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46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46" t="str">
        <f aca="false">IF((E285="v"),H285," ")</f>
        <v> </v>
      </c>
      <c r="AD285" s="46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46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46" t="str">
        <f aca="false">IF((E286="v"),H286," ")</f>
        <v> </v>
      </c>
      <c r="AD286" s="46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46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46" t="str">
        <f aca="false">IF((E287="v"),H287," ")</f>
        <v> </v>
      </c>
      <c r="AD287" s="46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46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46" t="str">
        <f aca="false">IF((E288="v"),H288," ")</f>
        <v> </v>
      </c>
      <c r="AD288" s="46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46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46" t="str">
        <f aca="false">IF((E289="v"),H289," ")</f>
        <v> </v>
      </c>
      <c r="AD289" s="46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46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46" t="str">
        <f aca="false">IF((E290="v"),H290," ")</f>
        <v> </v>
      </c>
      <c r="AD290" s="46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46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46" t="str">
        <f aca="false">IF((E291="v"),H291," ")</f>
        <v> </v>
      </c>
      <c r="AD291" s="46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46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46" t="str">
        <f aca="false">IF((E292="v"),H292," ")</f>
        <v> </v>
      </c>
      <c r="AD292" s="46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46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46" t="str">
        <f aca="false">IF((E293="v"),H293," ")</f>
        <v> </v>
      </c>
      <c r="AD293" s="46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46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46" t="str">
        <f aca="false">IF((E294="v"),H294," ")</f>
        <v> </v>
      </c>
      <c r="AD294" s="46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46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46" t="str">
        <f aca="false">IF((E295="v"),H295," ")</f>
        <v> </v>
      </c>
      <c r="AD295" s="46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46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46" t="str">
        <f aca="false">IF((E296="v"),H296," ")</f>
        <v> </v>
      </c>
      <c r="AD296" s="46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46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46" t="str">
        <f aca="false">IF((E297="v"),H297," ")</f>
        <v> </v>
      </c>
      <c r="AD297" s="46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46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46" t="str">
        <f aca="false">IF((E298="v"),H298," ")</f>
        <v> </v>
      </c>
      <c r="AD298" s="46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46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46" t="str">
        <f aca="false">IF((E299="v"),H299," ")</f>
        <v> </v>
      </c>
      <c r="AD299" s="46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</row>
    <row r="300" customFormat="false" ht="12" hidden="false" customHeight="false" outlineLevel="0" collapsed="false">
      <c r="A300" s="31"/>
      <c r="B300" s="32"/>
      <c r="C300" s="33"/>
      <c r="D300" s="32"/>
      <c r="E300" s="47" t="str">
        <f aca="false">IF((F300&lt;&gt;0),"Enter Letter"," ")</f>
        <v> </v>
      </c>
      <c r="F300" s="48"/>
      <c r="G300" s="35" t="str">
        <f aca="false">IF(F300&lt;&gt;0,F300*G$2/(100+G$2)," ")</f>
        <v> </v>
      </c>
      <c r="H300" s="35" t="str">
        <f aca="false">IF((F300&lt;&gt;0),F300-G300," ")</f>
        <v> </v>
      </c>
      <c r="I300" s="49"/>
      <c r="J300" s="35"/>
      <c r="K300" s="35"/>
      <c r="L300" s="36" t="str">
        <f aca="false">IF(F300&lt;&gt;0,F300-K300," ")</f>
        <v> </v>
      </c>
      <c r="M300" s="37" t="str">
        <f aca="false">IF((F300-K300)&lt;&gt;0,M$1-A300," ")</f>
        <v> </v>
      </c>
      <c r="N300" s="49"/>
      <c r="O300" s="50" t="str">
        <f aca="false">IF((E300="s"),H300," ")</f>
        <v> </v>
      </c>
      <c r="P300" s="50" t="str">
        <f aca="false">IF((E300="c"),H300," ")</f>
        <v> </v>
      </c>
      <c r="Q300" s="50" t="str">
        <f aca="false">IF((E300="o"),H300," ")</f>
        <v> </v>
      </c>
      <c r="R300" s="50" t="str">
        <f aca="false">IF((E300="d"),H300," ")</f>
        <v> </v>
      </c>
      <c r="S300" s="50" t="str">
        <f aca="false">IF((E300="w"),H300," ")</f>
        <v> </v>
      </c>
      <c r="T300" s="50" t="str">
        <f aca="false">IF((E300="r"),H300," ")</f>
        <v> </v>
      </c>
      <c r="U300" s="50" t="str">
        <f aca="false">IF((E300="p"),H300," ")</f>
        <v> </v>
      </c>
      <c r="V300" s="50" t="str">
        <f aca="false">IF((E300="t"),H300," ")</f>
        <v> </v>
      </c>
      <c r="W300" s="50" t="str">
        <f aca="false">IF((E300="q"),H300," ")</f>
        <v> </v>
      </c>
      <c r="X300" s="50" t="str">
        <f aca="false">IF((E300="m"),H300," ")</f>
        <v> </v>
      </c>
      <c r="Y300" s="50" t="str">
        <f aca="false">IF((E300="u"),H300," ")</f>
        <v> </v>
      </c>
      <c r="Z300" s="50" t="str">
        <f aca="false">IF((E300="a"),H300," ")</f>
        <v> </v>
      </c>
      <c r="AA300" s="50" t="str">
        <f aca="false">IF((E300="g"),H300," ")</f>
        <v> </v>
      </c>
      <c r="AB300" s="50" t="str">
        <f aca="false">IF((E300="h"),H300," ")</f>
        <v> </v>
      </c>
      <c r="AC300" s="48" t="str">
        <f aca="false">IF((E300="v"),H300," ")</f>
        <v> </v>
      </c>
      <c r="AD300" s="48" t="str">
        <f aca="false">IF((E300="n"),H300," ")</f>
        <v> </v>
      </c>
      <c r="AE300" s="50" t="str">
        <f aca="false">IF((E300="f"),H300," ")</f>
        <v> </v>
      </c>
      <c r="AF300" s="50" t="str">
        <f aca="false">IF((E300="l"),H300," ")</f>
        <v> </v>
      </c>
      <c r="AG300" s="50" t="str">
        <f aca="false">IF((E300="y"),H300," ")</f>
        <v> </v>
      </c>
      <c r="AH300" s="50" t="str">
        <f aca="false">IF((E300="z"),H300," ")</f>
        <v> </v>
      </c>
      <c r="AI300" s="50" t="str">
        <f aca="false">IF((E300="fa"),H300," ")</f>
        <v> </v>
      </c>
      <c r="AJ300" s="50"/>
      <c r="AK300" s="50"/>
      <c r="AL300" s="50"/>
    </row>
    <row r="301" customFormat="false" ht="12" hidden="false" customHeight="false" outlineLevel="0" collapsed="false">
      <c r="A301" s="28"/>
    </row>
  </sheetData>
  <mergeCells count="36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9.66"/>
    <col collapsed="false" customWidth="true" hidden="false" outlineLevel="0" max="3" min="3" style="3" width="11.66"/>
    <col collapsed="false" customWidth="true" hidden="false" outlineLevel="0" max="4" min="4" style="4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false" hidden="false" outlineLevel="0" max="257" min="14" style="2" width="9.15"/>
  </cols>
  <sheetData>
    <row r="1" s="17" customFormat="true" ht="12.75" hidden="false" customHeight="true" outlineLevel="0" collapsed="false">
      <c r="A1" s="9" t="s">
        <v>149</v>
      </c>
      <c r="B1" s="9"/>
      <c r="C1" s="10" t="n">
        <f aca="false">-SUM([1]TrialBalance!$EJ$28:$EJ$31)</f>
        <v>-0</v>
      </c>
      <c r="D1" s="11" t="s">
        <v>1</v>
      </c>
      <c r="E1" s="11"/>
      <c r="F1" s="12" t="n">
        <f aca="false">SUM(F2:F200)</f>
        <v>0</v>
      </c>
      <c r="G1" s="12" t="e">
        <f aca="false">SUM(G5:G300)</f>
        <v>#N/A</v>
      </c>
      <c r="H1" s="12" t="n">
        <f aca="false">SUM(H2:H200)</f>
        <v>1710</v>
      </c>
      <c r="I1" s="13"/>
      <c r="J1" s="14" t="s">
        <v>2</v>
      </c>
      <c r="K1" s="15" t="n">
        <f aca="false">SUM(K5:K200)</f>
        <v>0</v>
      </c>
      <c r="L1" s="15" t="n">
        <f aca="false">SUM(L5:L200)</f>
        <v>0</v>
      </c>
      <c r="M1" s="16" t="n">
        <f aca="true">TODAY()</f>
        <v>46137</v>
      </c>
    </row>
    <row r="2" s="17" customFormat="true" ht="13.5" hidden="false" customHeight="true" outlineLevel="0" collapsed="false">
      <c r="A2" s="18" t="s">
        <v>3</v>
      </c>
      <c r="B2" s="19" t="s">
        <v>4</v>
      </c>
      <c r="C2" s="20" t="s">
        <v>5</v>
      </c>
      <c r="D2" s="21" t="s">
        <v>6</v>
      </c>
      <c r="E2" s="21"/>
      <c r="F2" s="19" t="s">
        <v>7</v>
      </c>
      <c r="G2" s="22" t="n">
        <f aca="false">IF([2]Apr!$G$4&gt;0,0,[2]Apr!$G$2)</f>
        <v>20</v>
      </c>
      <c r="H2" s="19" t="s">
        <v>8</v>
      </c>
      <c r="I2" s="13"/>
      <c r="J2" s="14"/>
      <c r="K2" s="23" t="s">
        <v>9</v>
      </c>
      <c r="L2" s="23"/>
      <c r="M2" s="23"/>
    </row>
    <row r="3" s="26" customFormat="true" ht="34.5" hidden="false" customHeight="true" outlineLevel="0" collapsed="false">
      <c r="A3" s="18"/>
      <c r="B3" s="18"/>
      <c r="C3" s="18"/>
      <c r="D3" s="18"/>
      <c r="E3" s="18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</row>
    <row r="4" s="27" customFormat="true" ht="12.75" hidden="false" customHeight="true" outlineLevel="0" collapsed="false">
      <c r="A4" s="18"/>
      <c r="B4" s="18"/>
      <c r="C4" s="18"/>
      <c r="D4" s="18"/>
      <c r="E4" s="18"/>
      <c r="F4" s="19"/>
      <c r="G4" s="19"/>
      <c r="H4" s="19"/>
      <c r="I4" s="13"/>
      <c r="J4" s="14"/>
      <c r="K4" s="24"/>
      <c r="L4" s="24"/>
      <c r="M4" s="24"/>
    </row>
    <row r="5" s="5" customFormat="true" ht="12" hidden="false" customHeight="false" outlineLevel="0" collapsed="false">
      <c r="A5" s="28"/>
      <c r="B5" s="5" t="s">
        <v>14</v>
      </c>
      <c r="C5" s="29" t="s">
        <v>150</v>
      </c>
      <c r="H5" s="6" t="n">
        <v>1200</v>
      </c>
      <c r="J5" s="6"/>
      <c r="K5" s="6"/>
      <c r="L5" s="7" t="str">
        <f aca="false">IF(F5&lt;&gt;0,F5-K5," ")</f>
        <v> </v>
      </c>
      <c r="M5" s="8" t="str">
        <f aca="false">IF((F5-K5)&lt;&gt;0,M$1-A5," ")</f>
        <v> </v>
      </c>
    </row>
    <row r="6" customFormat="false" ht="12" hidden="false" customHeight="false" outlineLevel="0" collapsed="false">
      <c r="A6" s="28"/>
      <c r="B6" s="2" t="s">
        <v>16</v>
      </c>
      <c r="C6" s="3" t="s">
        <v>151</v>
      </c>
      <c r="E6" s="2"/>
      <c r="G6" s="6" t="str">
        <f aca="false">IF(F6&lt;&gt;0,F6*G$2/(100+G$2)," ")</f>
        <v> </v>
      </c>
      <c r="H6" s="6" t="n">
        <v>300</v>
      </c>
      <c r="L6" s="7" t="str">
        <f aca="false">IF(F6&lt;&gt;0,F6-K6," ")</f>
        <v> </v>
      </c>
      <c r="M6" s="8" t="str">
        <f aca="false">IF((F6-K6)&lt;&gt;0,M$1-A6," ")</f>
        <v> </v>
      </c>
    </row>
    <row r="7" customFormat="false" ht="12" hidden="false" customHeight="false" outlineLevel="0" collapsed="false">
      <c r="A7" s="28"/>
      <c r="B7" s="2" t="s">
        <v>103</v>
      </c>
      <c r="C7" s="3" t="s">
        <v>152</v>
      </c>
      <c r="E7" s="2"/>
      <c r="G7" s="6" t="str">
        <f aca="false">IF(F7&lt;&gt;0,F7*G$2/(100+G$2)," ")</f>
        <v> </v>
      </c>
      <c r="H7" s="6" t="n">
        <v>60</v>
      </c>
      <c r="L7" s="7" t="str">
        <f aca="false">IF(F7&lt;&gt;0,F7-K7," ")</f>
        <v> </v>
      </c>
      <c r="M7" s="8" t="str">
        <f aca="false">IF((F7-K7)&lt;&gt;0,M$1-A7," ")</f>
        <v> </v>
      </c>
    </row>
    <row r="8" customFormat="false" ht="12" hidden="false" customHeight="false" outlineLevel="0" collapsed="false">
      <c r="A8" s="28"/>
      <c r="B8" s="2" t="s">
        <v>20</v>
      </c>
      <c r="C8" s="3" t="s">
        <v>153</v>
      </c>
      <c r="E8" s="2"/>
      <c r="G8" s="6" t="str">
        <f aca="false">IF(F8&lt;&gt;0,F8*G$2/(100+G$2)," ")</f>
        <v> </v>
      </c>
      <c r="H8" s="6" t="n">
        <v>150</v>
      </c>
      <c r="L8" s="7" t="str">
        <f aca="false">IF(F8&lt;&gt;0,F8-K8," ")</f>
        <v> </v>
      </c>
      <c r="M8" s="8" t="str">
        <f aca="false">IF((F8-K8)&lt;&gt;0,M$1-A8," ")</f>
        <v> </v>
      </c>
    </row>
    <row r="9" customFormat="false" ht="12" hidden="false" customHeight="false" outlineLevel="0" collapsed="false">
      <c r="A9" s="28"/>
      <c r="E9" s="2"/>
      <c r="G9" s="6" t="str">
        <f aca="false">IF(F9&lt;&gt;0,F9*G$2/(100+G$2)," ")</f>
        <v> </v>
      </c>
      <c r="L9" s="7" t="str">
        <f aca="false">IF(F9&lt;&gt;0,F9-K9," ")</f>
        <v> </v>
      </c>
      <c r="M9" s="8" t="str">
        <f aca="false">IF((F9-K9)&lt;&gt;0,M$1-A9," ")</f>
        <v> </v>
      </c>
    </row>
    <row r="10" customFormat="false" ht="12" hidden="false" customHeight="false" outlineLevel="0" collapsed="false">
      <c r="A10" s="28"/>
      <c r="E10" s="2"/>
      <c r="G10" s="6" t="str">
        <f aca="false">IF(F10&lt;&gt;0,F10*G$2/(100+G$2)," ")</f>
        <v> </v>
      </c>
      <c r="L10" s="7" t="str">
        <f aca="false">IF(F10&lt;&gt;0,F10-K10," ")</f>
        <v> </v>
      </c>
      <c r="M10" s="8" t="str">
        <f aca="false">IF((F10-K10)&lt;&gt;0,M$1-A10," ")</f>
        <v> </v>
      </c>
    </row>
    <row r="11" customFormat="false" ht="12" hidden="false" customHeight="false" outlineLevel="0" collapsed="false">
      <c r="A11" s="28"/>
      <c r="E11" s="2"/>
      <c r="G11" s="6" t="str">
        <f aca="false">IF(F11&lt;&gt;0,F11*G$2/(100+G$2)," ")</f>
        <v> </v>
      </c>
      <c r="L11" s="7" t="str">
        <f aca="false">IF(F11&lt;&gt;0,F11-K11," ")</f>
        <v> </v>
      </c>
      <c r="M11" s="8" t="str">
        <f aca="false">IF((F11-K11)&lt;&gt;0,M$1-A11," ")</f>
        <v> </v>
      </c>
    </row>
    <row r="12" customFormat="false" ht="12" hidden="false" customHeight="false" outlineLevel="0" collapsed="false">
      <c r="A12" s="28"/>
      <c r="E12" s="2"/>
      <c r="G12" s="6" t="str">
        <f aca="false">IF(F12&lt;&gt;0,F12*G$2/(100+G$2)," ")</f>
        <v> </v>
      </c>
      <c r="L12" s="7" t="str">
        <f aca="false">IF(F12&lt;&gt;0,F12-K12," ")</f>
        <v> </v>
      </c>
      <c r="M12" s="8" t="str">
        <f aca="false">IF((F12-K12)&lt;&gt;0,M$1-A12," ")</f>
        <v> </v>
      </c>
    </row>
    <row r="13" customFormat="false" ht="12" hidden="false" customHeight="false" outlineLevel="0" collapsed="false">
      <c r="A13" s="28"/>
      <c r="E13" s="2"/>
      <c r="G13" s="6" t="str">
        <f aca="false">IF(F13&lt;&gt;0,F13*G$2/(100+G$2)," ")</f>
        <v> </v>
      </c>
      <c r="L13" s="7" t="str">
        <f aca="false">IF(F13&lt;&gt;0,F13-K13," ")</f>
        <v> </v>
      </c>
      <c r="M13" s="8" t="str">
        <f aca="false">IF((F13-K13)&lt;&gt;0,M$1-A13," ")</f>
        <v> </v>
      </c>
    </row>
    <row r="14" customFormat="false" ht="12" hidden="false" customHeight="false" outlineLevel="0" collapsed="false">
      <c r="A14" s="28"/>
      <c r="E14" s="2"/>
      <c r="G14" s="6" t="str">
        <f aca="false">IF(F14&lt;&gt;0,F14*G$2/(100+G$2),"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</row>
    <row r="15" customFormat="false" ht="12" hidden="false" customHeight="false" outlineLevel="0" collapsed="false">
      <c r="A15" s="28"/>
      <c r="E15" s="2"/>
      <c r="G15" s="6" t="str">
        <f aca="false">IF(F15&lt;&gt;0,F15*G$2/(100+G$2),"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</row>
    <row r="16" customFormat="false" ht="12" hidden="false" customHeight="false" outlineLevel="0" collapsed="false">
      <c r="A16" s="28"/>
      <c r="E16" s="2"/>
      <c r="G16" s="6" t="str">
        <f aca="false">IF(F16&lt;&gt;0,F16*G$2/(100+G$2),"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</row>
    <row r="17" customFormat="false" ht="12" hidden="false" customHeight="false" outlineLevel="0" collapsed="false">
      <c r="A17" s="28"/>
      <c r="E17" s="2"/>
      <c r="G17" s="6" t="str">
        <f aca="false">IF(F17&lt;&gt;0,F17*G$2/(100+G$2),"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</row>
    <row r="18" customFormat="false" ht="12" hidden="false" customHeight="false" outlineLevel="0" collapsed="false">
      <c r="A18" s="28"/>
      <c r="E18" s="2"/>
      <c r="G18" s="6" t="str">
        <f aca="false">IF(F18&lt;&gt;0,F18*G$2/(100+G$2),"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</row>
    <row r="19" customFormat="false" ht="12" hidden="false" customHeight="false" outlineLevel="0" collapsed="false">
      <c r="A19" s="28"/>
      <c r="E19" s="2"/>
      <c r="G19" s="6" t="str">
        <f aca="false">IF(F19&lt;&gt;0,F19*G$2/(100+G$2),"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</row>
    <row r="20" customFormat="false" ht="12" hidden="false" customHeight="false" outlineLevel="0" collapsed="false">
      <c r="A20" s="28"/>
      <c r="E20" s="2"/>
      <c r="G20" s="6" t="str">
        <f aca="false">IF(F20&lt;&gt;0,F20*G$2/(100+G$2),"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</row>
    <row r="21" customFormat="false" ht="12" hidden="false" customHeight="false" outlineLevel="0" collapsed="false">
      <c r="A21" s="28"/>
      <c r="E21" s="2"/>
      <c r="G21" s="6" t="str">
        <f aca="false">IF(F21&lt;&gt;0,F21*G$2/(100+G$2),"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</row>
    <row r="22" customFormat="false" ht="12" hidden="false" customHeight="false" outlineLevel="0" collapsed="false">
      <c r="A22" s="28"/>
      <c r="D22" s="2"/>
      <c r="E22" s="2"/>
      <c r="G22" s="6" t="str">
        <f aca="false">IF(F22&lt;&gt;0,F22*G$2/(100+G$2),"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</row>
    <row r="23" customFormat="false" ht="12" hidden="false" customHeight="false" outlineLevel="0" collapsed="false">
      <c r="A23" s="28"/>
      <c r="D23" s="30"/>
      <c r="E23" s="2"/>
      <c r="G23" s="6" t="str">
        <f aca="false">IF(F23&lt;&gt;0,F23*G$2/(100+G$2),"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</row>
    <row r="24" customFormat="false" ht="12" hidden="false" customHeight="false" outlineLevel="0" collapsed="false">
      <c r="A24" s="28"/>
      <c r="E24" s="2"/>
      <c r="G24" s="6" t="str">
        <f aca="false">IF(F24&lt;&gt;0,F24*G$2/(100+G$2),"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</row>
    <row r="25" customFormat="false" ht="12" hidden="false" customHeight="false" outlineLevel="0" collapsed="false">
      <c r="A25" s="28"/>
      <c r="E25" s="2"/>
      <c r="G25" s="6" t="str">
        <f aca="false">IF(F25&lt;&gt;0,F25*G$2/(100+G$2),"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</row>
    <row r="26" customFormat="false" ht="12" hidden="false" customHeight="false" outlineLevel="0" collapsed="false">
      <c r="A26" s="28"/>
      <c r="E26" s="2"/>
      <c r="G26" s="6" t="str">
        <f aca="false">IF(F26&lt;&gt;0,F26*G$2/(100+G$2),"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</row>
    <row r="27" customFormat="false" ht="12" hidden="false" customHeight="false" outlineLevel="0" collapsed="false">
      <c r="A27" s="28"/>
      <c r="E27" s="2"/>
      <c r="G27" s="6" t="str">
        <f aca="false">IF(F27&lt;&gt;0,F27*G$2/(100+G$2),"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</row>
    <row r="28" customFormat="false" ht="12" hidden="false" customHeight="false" outlineLevel="0" collapsed="false">
      <c r="A28" s="28"/>
      <c r="E28" s="2"/>
      <c r="G28" s="6" t="str">
        <f aca="false">IF(F28&lt;&gt;0,F28*G$2/(100+G$2),"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</row>
    <row r="29" customFormat="false" ht="12" hidden="false" customHeight="false" outlineLevel="0" collapsed="false">
      <c r="A29" s="28"/>
      <c r="E29" s="2"/>
      <c r="G29" s="6" t="str">
        <f aca="false">IF(F29&lt;&gt;0,F29*G$2/(100+G$2),"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</row>
    <row r="30" customFormat="false" ht="12" hidden="false" customHeight="false" outlineLevel="0" collapsed="false">
      <c r="A30" s="28"/>
      <c r="E30" s="2"/>
      <c r="G30" s="6" t="str">
        <f aca="false">IF(F30&lt;&gt;0,F30*G$2/(100+G$2),"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</row>
    <row r="31" customFormat="false" ht="12" hidden="false" customHeight="false" outlineLevel="0" collapsed="false">
      <c r="A31" s="28"/>
      <c r="E31" s="2"/>
      <c r="G31" s="6" t="str">
        <f aca="false">IF(F31&lt;&gt;0,F31*G$2/(100+G$2),"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</row>
    <row r="32" customFormat="false" ht="12" hidden="false" customHeight="false" outlineLevel="0" collapsed="false">
      <c r="A32" s="28"/>
      <c r="E32" s="2"/>
      <c r="G32" s="6" t="str">
        <f aca="false">IF(F32&lt;&gt;0,F32*G$2/(100+G$2),"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</row>
    <row r="33" customFormat="false" ht="12" hidden="false" customHeight="false" outlineLevel="0" collapsed="false">
      <c r="A33" s="28"/>
      <c r="E33" s="2"/>
      <c r="G33" s="6" t="str">
        <f aca="false">IF(F33&lt;&gt;0,F33*G$2/(100+G$2),"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</row>
    <row r="34" customFormat="false" ht="12" hidden="false" customHeight="false" outlineLevel="0" collapsed="false">
      <c r="A34" s="28"/>
      <c r="E34" s="2"/>
      <c r="G34" s="6" t="str">
        <f aca="false">IF(F34&lt;&gt;0,F34*G$2/(100+G$2),"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</row>
    <row r="35" customFormat="false" ht="12" hidden="false" customHeight="false" outlineLevel="0" collapsed="false">
      <c r="A35" s="28"/>
      <c r="E35" s="2"/>
      <c r="G35" s="6" t="str">
        <f aca="false">IF(F35&lt;&gt;0,F35*G$2/(100+G$2),"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</row>
    <row r="36" customFormat="false" ht="12" hidden="false" customHeight="false" outlineLevel="0" collapsed="false">
      <c r="A36" s="28"/>
      <c r="E36" s="2"/>
      <c r="G36" s="6" t="str">
        <f aca="false">IF(F36&lt;&gt;0,F36*G$2/(100+G$2),"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</row>
    <row r="37" customFormat="false" ht="12" hidden="false" customHeight="false" outlineLevel="0" collapsed="false">
      <c r="A37" s="28"/>
      <c r="E37" s="2"/>
      <c r="G37" s="6" t="str">
        <f aca="false">IF(F37&lt;&gt;0,F37*G$2/(100+G$2),"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</row>
    <row r="38" customFormat="false" ht="12" hidden="false" customHeight="false" outlineLevel="0" collapsed="false">
      <c r="A38" s="28"/>
      <c r="E38" s="2"/>
      <c r="G38" s="6" t="str">
        <f aca="false">IF(F38&lt;&gt;0,F38*G$2/(100+G$2),"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</row>
    <row r="39" customFormat="false" ht="12" hidden="false" customHeight="false" outlineLevel="0" collapsed="false">
      <c r="A39" s="28"/>
      <c r="E39" s="2"/>
      <c r="G39" s="6" t="str">
        <f aca="false">IF(F39&lt;&gt;0,F39*G$2/(100+G$2),"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</row>
    <row r="40" customFormat="false" ht="12" hidden="false" customHeight="false" outlineLevel="0" collapsed="false">
      <c r="A40" s="28"/>
      <c r="E40" s="2"/>
      <c r="G40" s="6" t="str">
        <f aca="false">IF(F40&lt;&gt;0,F40*G$2/(100+G$2),"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</row>
    <row r="41" customFormat="false" ht="12" hidden="false" customHeight="false" outlineLevel="0" collapsed="false">
      <c r="A41" s="28"/>
      <c r="E41" s="2"/>
      <c r="G41" s="6" t="str">
        <f aca="false">IF(F41&lt;&gt;0,F41*G$2/(100+G$2),"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</row>
    <row r="42" customFormat="false" ht="12" hidden="false" customHeight="false" outlineLevel="0" collapsed="false">
      <c r="A42" s="28"/>
      <c r="E42" s="2"/>
      <c r="G42" s="6" t="str">
        <f aca="false">IF(F42&lt;&gt;0,F42*G$2/(100+G$2),"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</row>
    <row r="43" customFormat="false" ht="12" hidden="false" customHeight="false" outlineLevel="0" collapsed="false">
      <c r="A43" s="28"/>
      <c r="E43" s="2"/>
      <c r="G43" s="6" t="str">
        <f aca="false">IF(F43&lt;&gt;0,F43*G$2/(100+G$2),"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</row>
    <row r="44" customFormat="false" ht="12" hidden="false" customHeight="false" outlineLevel="0" collapsed="false">
      <c r="A44" s="28"/>
      <c r="E44" s="2"/>
      <c r="G44" s="6" t="str">
        <f aca="false">IF(F44&lt;&gt;0,F44*G$2/(100+G$2),"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</row>
    <row r="45" customFormat="false" ht="12" hidden="false" customHeight="false" outlineLevel="0" collapsed="false">
      <c r="A45" s="28"/>
      <c r="E45" s="2"/>
      <c r="G45" s="6" t="str">
        <f aca="false">IF(F45&lt;&gt;0,F45*G$2/(100+G$2),"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</row>
    <row r="46" customFormat="false" ht="12" hidden="false" customHeight="false" outlineLevel="0" collapsed="false">
      <c r="A46" s="28"/>
      <c r="E46" s="2"/>
      <c r="G46" s="6" t="str">
        <f aca="false">IF(F46&lt;&gt;0,F46*G$2/(100+G$2),"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</row>
    <row r="47" customFormat="false" ht="12" hidden="false" customHeight="false" outlineLevel="0" collapsed="false">
      <c r="A47" s="28"/>
      <c r="E47" s="2"/>
      <c r="G47" s="6" t="str">
        <f aca="false">IF(F47&lt;&gt;0,F47*G$2/(100+G$2),"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</row>
    <row r="48" customFormat="false" ht="12" hidden="false" customHeight="false" outlineLevel="0" collapsed="false">
      <c r="A48" s="28"/>
      <c r="E48" s="2"/>
      <c r="G48" s="6" t="str">
        <f aca="false">IF(F48&lt;&gt;0,F48*G$2/(100+G$2),"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</row>
    <row r="49" customFormat="false" ht="12" hidden="false" customHeight="false" outlineLevel="0" collapsed="false">
      <c r="A49" s="28"/>
      <c r="E49" s="2"/>
      <c r="G49" s="6" t="str">
        <f aca="false">IF(F49&lt;&gt;0,F49*G$2/(100+G$2),"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</row>
    <row r="50" customFormat="false" ht="12" hidden="false" customHeight="false" outlineLevel="0" collapsed="false">
      <c r="A50" s="28"/>
      <c r="E50" s="2"/>
      <c r="G50" s="6" t="str">
        <f aca="false">IF(F50&lt;&gt;0,F50*G$2/(100+G$2),"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</row>
    <row r="51" customFormat="false" ht="12" hidden="false" customHeight="false" outlineLevel="0" collapsed="false">
      <c r="A51" s="28"/>
      <c r="E51" s="2"/>
      <c r="G51" s="6" t="str">
        <f aca="false">IF(F51&lt;&gt;0,F51*G$2/(100+G$2),"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</row>
    <row r="52" customFormat="false" ht="12" hidden="false" customHeight="false" outlineLevel="0" collapsed="false">
      <c r="A52" s="28"/>
      <c r="E52" s="2"/>
      <c r="G52" s="6" t="str">
        <f aca="false">IF(F52&lt;&gt;0,F52*G$2/(100+G$2),"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</row>
    <row r="53" customFormat="false" ht="12" hidden="false" customHeight="false" outlineLevel="0" collapsed="false">
      <c r="A53" s="28"/>
      <c r="E53" s="2"/>
      <c r="G53" s="6" t="str">
        <f aca="false">IF(F53&lt;&gt;0,F53*G$2/(100+G$2),"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</row>
    <row r="54" customFormat="false" ht="12" hidden="false" customHeight="false" outlineLevel="0" collapsed="false">
      <c r="A54" s="28"/>
      <c r="E54" s="2"/>
      <c r="G54" s="6" t="str">
        <f aca="false">IF(F54&lt;&gt;0,F54*G$2/(100+G$2),"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</row>
    <row r="55" customFormat="false" ht="12" hidden="false" customHeight="false" outlineLevel="0" collapsed="false">
      <c r="A55" s="28"/>
      <c r="E55" s="2"/>
      <c r="G55" s="6" t="str">
        <f aca="false">IF(F55&lt;&gt;0,F55*G$2/(100+G$2),"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</row>
    <row r="56" customFormat="false" ht="12" hidden="false" customHeight="false" outlineLevel="0" collapsed="false">
      <c r="A56" s="28"/>
      <c r="E56" s="2"/>
      <c r="G56" s="6" t="str">
        <f aca="false">IF(F56&lt;&gt;0,F56*G$2/(100+G$2),"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</row>
    <row r="57" customFormat="false" ht="12" hidden="false" customHeight="false" outlineLevel="0" collapsed="false">
      <c r="A57" s="28"/>
      <c r="E57" s="2"/>
      <c r="G57" s="6" t="str">
        <f aca="false">IF(F57&lt;&gt;0,F57*G$2/(100+G$2),"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</row>
    <row r="58" customFormat="false" ht="12" hidden="false" customHeight="false" outlineLevel="0" collapsed="false">
      <c r="A58" s="28"/>
      <c r="E58" s="2"/>
      <c r="G58" s="6" t="str">
        <f aca="false">IF(F58&lt;&gt;0,F58*G$2/(100+G$2),"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</row>
    <row r="59" customFormat="false" ht="12" hidden="false" customHeight="false" outlineLevel="0" collapsed="false">
      <c r="A59" s="28"/>
      <c r="E59" s="2"/>
      <c r="G59" s="6" t="str">
        <f aca="false">IF(F59&lt;&gt;0,F59*G$2/(100+G$2),"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</row>
    <row r="60" customFormat="false" ht="12" hidden="false" customHeight="false" outlineLevel="0" collapsed="false">
      <c r="A60" s="28"/>
      <c r="E60" s="2"/>
      <c r="G60" s="6" t="str">
        <f aca="false">IF(F60&lt;&gt;0,F60*G$2/(100+G$2),"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</row>
    <row r="61" customFormat="false" ht="12" hidden="false" customHeight="false" outlineLevel="0" collapsed="false">
      <c r="A61" s="28"/>
      <c r="E61" s="2"/>
      <c r="G61" s="6" t="str">
        <f aca="false">IF(F61&lt;&gt;0,F61*G$2/(100+G$2),"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</row>
    <row r="62" customFormat="false" ht="12" hidden="false" customHeight="false" outlineLevel="0" collapsed="false">
      <c r="A62" s="28"/>
      <c r="E62" s="2"/>
      <c r="G62" s="6" t="str">
        <f aca="false">IF(F62&lt;&gt;0,F62*G$2/(100+G$2),"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</row>
    <row r="63" customFormat="false" ht="12" hidden="false" customHeight="false" outlineLevel="0" collapsed="false">
      <c r="A63" s="28"/>
      <c r="E63" s="2"/>
      <c r="G63" s="6" t="str">
        <f aca="false">IF(F63&lt;&gt;0,F63*G$2/(100+G$2),"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</row>
    <row r="64" customFormat="false" ht="12" hidden="false" customHeight="false" outlineLevel="0" collapsed="false">
      <c r="A64" s="28"/>
      <c r="E64" s="2"/>
      <c r="G64" s="6" t="str">
        <f aca="false">IF(F64&lt;&gt;0,F64*G$2/(100+G$2),"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</row>
    <row r="65" customFormat="false" ht="12" hidden="false" customHeight="false" outlineLevel="0" collapsed="false">
      <c r="A65" s="28"/>
      <c r="E65" s="2"/>
      <c r="G65" s="6" t="str">
        <f aca="false">IF(F65&lt;&gt;0,F65*G$2/(100+G$2),"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</row>
    <row r="66" customFormat="false" ht="12" hidden="false" customHeight="false" outlineLevel="0" collapsed="false">
      <c r="A66" s="28"/>
      <c r="E66" s="2"/>
      <c r="G66" s="6" t="str">
        <f aca="false">IF(F66&lt;&gt;0,F66*G$2/(100+G$2),"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</row>
    <row r="67" customFormat="false" ht="12" hidden="false" customHeight="false" outlineLevel="0" collapsed="false">
      <c r="A67" s="28"/>
      <c r="E67" s="2"/>
      <c r="G67" s="6" t="str">
        <f aca="false">IF(F67&lt;&gt;0,F67*G$2/(100+G$2),"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</row>
    <row r="68" customFormat="false" ht="12" hidden="false" customHeight="false" outlineLevel="0" collapsed="false">
      <c r="A68" s="28"/>
      <c r="E68" s="2"/>
      <c r="G68" s="6" t="str">
        <f aca="false">IF(F68&lt;&gt;0,F68*G$2/(100+G$2),"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</row>
    <row r="69" customFormat="false" ht="12" hidden="false" customHeight="false" outlineLevel="0" collapsed="false">
      <c r="A69" s="28"/>
      <c r="E69" s="2"/>
      <c r="G69" s="6" t="str">
        <f aca="false">IF(F69&lt;&gt;0,F69*G$2/(100+G$2),"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</row>
    <row r="70" customFormat="false" ht="12" hidden="false" customHeight="false" outlineLevel="0" collapsed="false">
      <c r="A70" s="28"/>
      <c r="E70" s="2"/>
      <c r="G70" s="6" t="str">
        <f aca="false">IF(F70&lt;&gt;0,F70*G$2/(100+G$2),"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</row>
    <row r="71" customFormat="false" ht="12" hidden="false" customHeight="false" outlineLevel="0" collapsed="false">
      <c r="A71" s="28"/>
      <c r="E71" s="2"/>
      <c r="G71" s="6" t="str">
        <f aca="false">IF(F71&lt;&gt;0,F71*G$2/(100+G$2)," ")</f>
        <v> </v>
      </c>
      <c r="H71" s="6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</row>
    <row r="72" customFormat="false" ht="12" hidden="false" customHeight="false" outlineLevel="0" collapsed="false">
      <c r="A72" s="28"/>
      <c r="E72" s="2"/>
      <c r="G72" s="6" t="str">
        <f aca="false">IF(F72&lt;&gt;0,F72*G$2/(100+G$2)," ")</f>
        <v> </v>
      </c>
      <c r="H72" s="6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</row>
    <row r="73" customFormat="false" ht="12" hidden="false" customHeight="false" outlineLevel="0" collapsed="false">
      <c r="A73" s="28"/>
      <c r="E73" s="2"/>
      <c r="G73" s="6" t="str">
        <f aca="false">IF(F73&lt;&gt;0,F73*G$2/(100+G$2)," ")</f>
        <v> </v>
      </c>
      <c r="H73" s="6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</row>
    <row r="74" customFormat="false" ht="12" hidden="false" customHeight="false" outlineLevel="0" collapsed="false">
      <c r="A74" s="28"/>
      <c r="E74" s="2"/>
      <c r="G74" s="6" t="str">
        <f aca="false">IF(F74&lt;&gt;0,F74*G$2/(100+G$2)," ")</f>
        <v> </v>
      </c>
      <c r="H74" s="6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</row>
    <row r="75" customFormat="false" ht="12" hidden="false" customHeight="false" outlineLevel="0" collapsed="false">
      <c r="A75" s="28"/>
      <c r="E75" s="2"/>
      <c r="G75" s="6" t="str">
        <f aca="false">IF(F75&lt;&gt;0,F75*G$2/(100+G$2)," ")</f>
        <v> </v>
      </c>
      <c r="H75" s="6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</row>
    <row r="76" customFormat="false" ht="12" hidden="false" customHeight="false" outlineLevel="0" collapsed="false">
      <c r="A76" s="28"/>
      <c r="E76" s="2"/>
      <c r="G76" s="6" t="str">
        <f aca="false">IF(F76&lt;&gt;0,F76*G$2/(100+G$2)," ")</f>
        <v> </v>
      </c>
      <c r="H76" s="6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</row>
    <row r="77" customFormat="false" ht="12" hidden="false" customHeight="false" outlineLevel="0" collapsed="false">
      <c r="A77" s="28"/>
      <c r="E77" s="2"/>
      <c r="G77" s="6" t="str">
        <f aca="false">IF(F77&lt;&gt;0,F77*G$2/(100+G$2)," ")</f>
        <v> </v>
      </c>
      <c r="H77" s="6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</row>
    <row r="78" customFormat="false" ht="12" hidden="false" customHeight="false" outlineLevel="0" collapsed="false">
      <c r="A78" s="28"/>
      <c r="E78" s="2"/>
      <c r="G78" s="6" t="str">
        <f aca="false">IF(F78&lt;&gt;0,F78*G$2/(100+G$2)," ")</f>
        <v> </v>
      </c>
      <c r="H78" s="6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</row>
    <row r="79" customFormat="false" ht="12" hidden="false" customHeight="false" outlineLevel="0" collapsed="false">
      <c r="A79" s="28"/>
      <c r="E79" s="2"/>
      <c r="G79" s="6" t="str">
        <f aca="false">IF(F79&lt;&gt;0,F79*G$2/(100+G$2)," ")</f>
        <v> </v>
      </c>
      <c r="H79" s="6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</row>
    <row r="80" customFormat="false" ht="12" hidden="false" customHeight="false" outlineLevel="0" collapsed="false">
      <c r="A80" s="28"/>
      <c r="E80" s="2"/>
      <c r="G80" s="6" t="str">
        <f aca="false">IF(F80&lt;&gt;0,F80*G$2/(100+G$2)," ")</f>
        <v> </v>
      </c>
      <c r="H80" s="6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</row>
    <row r="81" customFormat="false" ht="12" hidden="false" customHeight="false" outlineLevel="0" collapsed="false">
      <c r="A81" s="28"/>
      <c r="E81" s="2"/>
      <c r="G81" s="6" t="str">
        <f aca="false">IF(F81&lt;&gt;0,F81*G$2/(100+G$2)," ")</f>
        <v> </v>
      </c>
      <c r="H81" s="6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</row>
    <row r="82" customFormat="false" ht="12" hidden="false" customHeight="false" outlineLevel="0" collapsed="false">
      <c r="A82" s="28"/>
      <c r="E82" s="2"/>
      <c r="G82" s="6" t="str">
        <f aca="false">IF(F82&lt;&gt;0,F82*G$2/(100+G$2)," ")</f>
        <v> </v>
      </c>
      <c r="H82" s="6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</row>
    <row r="83" customFormat="false" ht="12" hidden="false" customHeight="false" outlineLevel="0" collapsed="false">
      <c r="A83" s="28"/>
      <c r="E83" s="2"/>
      <c r="G83" s="6" t="str">
        <f aca="false">IF(F83&lt;&gt;0,F83*G$2/(100+G$2)," ")</f>
        <v> </v>
      </c>
      <c r="H83" s="6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</row>
    <row r="84" customFormat="false" ht="12" hidden="false" customHeight="false" outlineLevel="0" collapsed="false">
      <c r="A84" s="28"/>
      <c r="E84" s="2"/>
      <c r="G84" s="6" t="str">
        <f aca="false">IF(F84&lt;&gt;0,F84*G$2/(100+G$2)," ")</f>
        <v> </v>
      </c>
      <c r="H84" s="6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</row>
    <row r="85" customFormat="false" ht="12" hidden="false" customHeight="false" outlineLevel="0" collapsed="false">
      <c r="A85" s="28"/>
      <c r="E85" s="2"/>
      <c r="G85" s="6" t="str">
        <f aca="false">IF(F85&lt;&gt;0,F85*G$2/(100+G$2)," ")</f>
        <v> </v>
      </c>
      <c r="H85" s="6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</row>
    <row r="86" customFormat="false" ht="12" hidden="false" customHeight="false" outlineLevel="0" collapsed="false">
      <c r="A86" s="28"/>
      <c r="E86" s="2"/>
      <c r="G86" s="6" t="str">
        <f aca="false">IF(F86&lt;&gt;0,F86*G$2/(100+G$2)," ")</f>
        <v> </v>
      </c>
      <c r="H86" s="6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</row>
    <row r="87" customFormat="false" ht="12" hidden="false" customHeight="false" outlineLevel="0" collapsed="false">
      <c r="A87" s="28"/>
      <c r="E87" s="2"/>
      <c r="G87" s="6" t="str">
        <f aca="false">IF(F87&lt;&gt;0,F87*G$2/(100+G$2)," ")</f>
        <v> </v>
      </c>
      <c r="H87" s="6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</row>
    <row r="88" customFormat="false" ht="12" hidden="false" customHeight="false" outlineLevel="0" collapsed="false">
      <c r="A88" s="28"/>
      <c r="E88" s="2"/>
      <c r="G88" s="6" t="str">
        <f aca="false">IF(F88&lt;&gt;0,F88*G$2/(100+G$2)," ")</f>
        <v> </v>
      </c>
      <c r="H88" s="6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</row>
    <row r="89" customFormat="false" ht="12" hidden="false" customHeight="false" outlineLevel="0" collapsed="false">
      <c r="A89" s="28"/>
      <c r="E89" s="2"/>
      <c r="G89" s="6" t="str">
        <f aca="false">IF(F89&lt;&gt;0,F89*G$2/(100+G$2)," ")</f>
        <v> </v>
      </c>
      <c r="H89" s="6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</row>
    <row r="90" customFormat="false" ht="12" hidden="false" customHeight="false" outlineLevel="0" collapsed="false">
      <c r="A90" s="28"/>
      <c r="E90" s="2"/>
      <c r="G90" s="6" t="str">
        <f aca="false">IF(F90&lt;&gt;0,F90*G$2/(100+G$2)," ")</f>
        <v> </v>
      </c>
      <c r="H90" s="6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</row>
    <row r="91" customFormat="false" ht="12" hidden="false" customHeight="false" outlineLevel="0" collapsed="false">
      <c r="A91" s="28"/>
      <c r="E91" s="2"/>
      <c r="G91" s="6" t="str">
        <f aca="false">IF(F91&lt;&gt;0,F91*G$2/(100+G$2)," ")</f>
        <v> </v>
      </c>
      <c r="H91" s="6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</row>
    <row r="92" customFormat="false" ht="12" hidden="false" customHeight="false" outlineLevel="0" collapsed="false">
      <c r="A92" s="28"/>
      <c r="E92" s="2"/>
      <c r="G92" s="6" t="str">
        <f aca="false">IF(F92&lt;&gt;0,F92*G$2/(100+G$2)," ")</f>
        <v> </v>
      </c>
      <c r="H92" s="6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</row>
    <row r="93" customFormat="false" ht="12" hidden="false" customHeight="false" outlineLevel="0" collapsed="false">
      <c r="A93" s="28"/>
      <c r="E93" s="2"/>
      <c r="G93" s="6" t="str">
        <f aca="false">IF(F93&lt;&gt;0,F93*G$2/(100+G$2)," ")</f>
        <v> </v>
      </c>
      <c r="H93" s="6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</row>
    <row r="94" customFormat="false" ht="12" hidden="false" customHeight="false" outlineLevel="0" collapsed="false">
      <c r="A94" s="28"/>
      <c r="E94" s="2"/>
      <c r="G94" s="6" t="str">
        <f aca="false">IF(F94&lt;&gt;0,F94*G$2/(100+G$2)," ")</f>
        <v> </v>
      </c>
      <c r="H94" s="6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</row>
    <row r="95" customFormat="false" ht="12" hidden="false" customHeight="false" outlineLevel="0" collapsed="false">
      <c r="A95" s="28"/>
      <c r="E95" s="2"/>
      <c r="G95" s="6" t="str">
        <f aca="false">IF(F95&lt;&gt;0,F95*G$2/(100+G$2)," ")</f>
        <v> </v>
      </c>
      <c r="H95" s="6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</row>
    <row r="96" customFormat="false" ht="12" hidden="false" customHeight="false" outlineLevel="0" collapsed="false">
      <c r="A96" s="28"/>
      <c r="E96" s="2"/>
      <c r="G96" s="6" t="str">
        <f aca="false">IF(F96&lt;&gt;0,F96*G$2/(100+G$2)," ")</f>
        <v> </v>
      </c>
      <c r="H96" s="6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</row>
    <row r="97" customFormat="false" ht="12" hidden="false" customHeight="false" outlineLevel="0" collapsed="false">
      <c r="A97" s="28"/>
      <c r="E97" s="2"/>
      <c r="G97" s="6" t="str">
        <f aca="false">IF(F97&lt;&gt;0,F97*G$2/(100+G$2)," ")</f>
        <v> </v>
      </c>
      <c r="H97" s="6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</row>
    <row r="98" customFormat="false" ht="12" hidden="false" customHeight="false" outlineLevel="0" collapsed="false">
      <c r="A98" s="28"/>
      <c r="E98" s="2"/>
      <c r="G98" s="6" t="str">
        <f aca="false">IF(F98&lt;&gt;0,F98*G$2/(100+G$2)," ")</f>
        <v> </v>
      </c>
      <c r="H98" s="6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</row>
    <row r="99" customFormat="false" ht="12" hidden="false" customHeight="false" outlineLevel="0" collapsed="false">
      <c r="A99" s="28"/>
      <c r="E99" s="2"/>
      <c r="G99" s="6" t="str">
        <f aca="false">IF(F99&lt;&gt;0,F99*G$2/(100+G$2)," ")</f>
        <v> </v>
      </c>
      <c r="H99" s="6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</row>
    <row r="100" customFormat="false" ht="12" hidden="false" customHeight="false" outlineLevel="0" collapsed="false">
      <c r="A100" s="28"/>
      <c r="E100" s="2"/>
      <c r="G100" s="6" t="str">
        <f aca="false">IF(F100&lt;&gt;0,F100*G$2/(100+G$2)," ")</f>
        <v> </v>
      </c>
      <c r="H100" s="6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</row>
    <row r="101" customFormat="false" ht="12" hidden="false" customHeight="false" outlineLevel="0" collapsed="false">
      <c r="A101" s="28"/>
      <c r="E101" s="2"/>
      <c r="G101" s="6" t="str">
        <f aca="false">IF(F101&lt;&gt;0,F101*G$2/(100+G$2)," ")</f>
        <v> </v>
      </c>
      <c r="H101" s="6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</row>
    <row r="102" customFormat="false" ht="12" hidden="false" customHeight="false" outlineLevel="0" collapsed="false">
      <c r="A102" s="28"/>
      <c r="E102" s="2"/>
      <c r="G102" s="6" t="str">
        <f aca="false">IF(F102&lt;&gt;0,F102*G$2/(100+G$2)," ")</f>
        <v> </v>
      </c>
      <c r="H102" s="6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</row>
    <row r="103" customFormat="false" ht="12" hidden="false" customHeight="false" outlineLevel="0" collapsed="false">
      <c r="A103" s="28"/>
      <c r="E103" s="2"/>
      <c r="G103" s="6" t="str">
        <f aca="false">IF(F103&lt;&gt;0,F103*G$2/(100+G$2)," ")</f>
        <v> </v>
      </c>
      <c r="H103" s="6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</row>
    <row r="104" customFormat="false" ht="12" hidden="false" customHeight="false" outlineLevel="0" collapsed="false">
      <c r="A104" s="28"/>
      <c r="E104" s="2"/>
      <c r="G104" s="6" t="str">
        <f aca="false">IF(F104&lt;&gt;0,F104*G$2/(100+G$2)," ")</f>
        <v> </v>
      </c>
      <c r="H104" s="6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</row>
    <row r="105" customFormat="false" ht="12" hidden="false" customHeight="false" outlineLevel="0" collapsed="false">
      <c r="A105" s="28"/>
      <c r="E105" s="2"/>
      <c r="G105" s="6" t="str">
        <f aca="false">IF(F105&lt;&gt;0,F105*G$2/(100+G$2)," ")</f>
        <v> </v>
      </c>
      <c r="H105" s="6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</row>
    <row r="106" customFormat="false" ht="12" hidden="false" customHeight="false" outlineLevel="0" collapsed="false">
      <c r="A106" s="28"/>
      <c r="E106" s="2"/>
      <c r="G106" s="6" t="str">
        <f aca="false">IF(F106&lt;&gt;0,F106*G$2/(100+G$2)," ")</f>
        <v> </v>
      </c>
      <c r="H106" s="6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</row>
    <row r="107" customFormat="false" ht="12" hidden="false" customHeight="false" outlineLevel="0" collapsed="false">
      <c r="A107" s="28"/>
      <c r="E107" s="2"/>
      <c r="G107" s="6" t="str">
        <f aca="false">IF(F107&lt;&gt;0,F107*G$2/(100+G$2)," ")</f>
        <v> </v>
      </c>
      <c r="H107" s="6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</row>
    <row r="108" customFormat="false" ht="12" hidden="false" customHeight="false" outlineLevel="0" collapsed="false">
      <c r="A108" s="28"/>
      <c r="E108" s="2"/>
      <c r="G108" s="6" t="str">
        <f aca="false">IF(F108&lt;&gt;0,F108*G$2/(100+G$2)," ")</f>
        <v> </v>
      </c>
      <c r="H108" s="6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</row>
    <row r="109" customFormat="false" ht="12" hidden="false" customHeight="false" outlineLevel="0" collapsed="false">
      <c r="A109" s="28"/>
      <c r="E109" s="2"/>
      <c r="G109" s="6" t="str">
        <f aca="false">IF(F109&lt;&gt;0,F109*G$2/(100+G$2)," ")</f>
        <v> </v>
      </c>
      <c r="H109" s="6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</row>
    <row r="110" customFormat="false" ht="12" hidden="false" customHeight="false" outlineLevel="0" collapsed="false">
      <c r="A110" s="28"/>
      <c r="E110" s="2"/>
      <c r="G110" s="6" t="str">
        <f aca="false">IF(F110&lt;&gt;0,F110*G$2/(100+G$2)," ")</f>
        <v> </v>
      </c>
      <c r="H110" s="6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</row>
    <row r="111" customFormat="false" ht="12" hidden="false" customHeight="false" outlineLevel="0" collapsed="false">
      <c r="A111" s="28"/>
      <c r="E111" s="2"/>
      <c r="G111" s="6" t="str">
        <f aca="false">IF(F111&lt;&gt;0,F111*G$2/(100+G$2)," ")</f>
        <v> </v>
      </c>
      <c r="H111" s="6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</row>
    <row r="112" customFormat="false" ht="12" hidden="false" customHeight="false" outlineLevel="0" collapsed="false">
      <c r="A112" s="28"/>
      <c r="E112" s="2"/>
      <c r="G112" s="6" t="str">
        <f aca="false">IF(F112&lt;&gt;0,F112*G$2/(100+G$2)," ")</f>
        <v> </v>
      </c>
      <c r="H112" s="6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</row>
    <row r="113" customFormat="false" ht="12" hidden="false" customHeight="false" outlineLevel="0" collapsed="false">
      <c r="A113" s="28"/>
      <c r="E113" s="2"/>
      <c r="G113" s="6" t="str">
        <f aca="false">IF(F113&lt;&gt;0,F113*G$2/(100+G$2)," ")</f>
        <v> </v>
      </c>
      <c r="H113" s="6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</row>
    <row r="114" customFormat="false" ht="12" hidden="false" customHeight="false" outlineLevel="0" collapsed="false">
      <c r="A114" s="28"/>
      <c r="E114" s="2"/>
      <c r="G114" s="6" t="str">
        <f aca="false">IF(F114&lt;&gt;0,F114*G$2/(100+G$2)," ")</f>
        <v> </v>
      </c>
      <c r="H114" s="6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</row>
    <row r="115" customFormat="false" ht="12" hidden="false" customHeight="false" outlineLevel="0" collapsed="false">
      <c r="A115" s="28"/>
      <c r="E115" s="2"/>
      <c r="G115" s="6" t="str">
        <f aca="false">IF(F115&lt;&gt;0,F115*G$2/(100+G$2)," ")</f>
        <v> </v>
      </c>
      <c r="H115" s="6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</row>
    <row r="116" customFormat="false" ht="12" hidden="false" customHeight="false" outlineLevel="0" collapsed="false">
      <c r="A116" s="28"/>
      <c r="E116" s="2"/>
      <c r="G116" s="6" t="str">
        <f aca="false">IF(F116&lt;&gt;0,F116*G$2/(100+G$2)," ")</f>
        <v> </v>
      </c>
      <c r="H116" s="6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</row>
    <row r="117" customFormat="false" ht="12" hidden="false" customHeight="false" outlineLevel="0" collapsed="false">
      <c r="A117" s="28"/>
      <c r="E117" s="2"/>
      <c r="G117" s="6" t="str">
        <f aca="false">IF(F117&lt;&gt;0,F117*G$2/(100+G$2)," ")</f>
        <v> </v>
      </c>
      <c r="H117" s="6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</row>
    <row r="118" customFormat="false" ht="12" hidden="false" customHeight="false" outlineLevel="0" collapsed="false">
      <c r="A118" s="28"/>
      <c r="E118" s="2"/>
      <c r="G118" s="6" t="str">
        <f aca="false">IF(F118&lt;&gt;0,F118*G$2/(100+G$2)," ")</f>
        <v> </v>
      </c>
      <c r="H118" s="6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</row>
    <row r="119" customFormat="false" ht="12" hidden="false" customHeight="false" outlineLevel="0" collapsed="false">
      <c r="A119" s="28"/>
      <c r="E119" s="2"/>
      <c r="G119" s="6" t="str">
        <f aca="false">IF(F119&lt;&gt;0,F119*G$2/(100+G$2)," ")</f>
        <v> </v>
      </c>
      <c r="H119" s="6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</row>
    <row r="120" customFormat="false" ht="12" hidden="false" customHeight="false" outlineLevel="0" collapsed="false">
      <c r="A120" s="28"/>
      <c r="E120" s="2"/>
      <c r="G120" s="6" t="str">
        <f aca="false">IF(F120&lt;&gt;0,F120*G$2/(100+G$2)," ")</f>
        <v> </v>
      </c>
      <c r="H120" s="6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</row>
    <row r="121" customFormat="false" ht="12" hidden="false" customHeight="false" outlineLevel="0" collapsed="false">
      <c r="A121" s="28"/>
      <c r="E121" s="2"/>
      <c r="G121" s="6" t="str">
        <f aca="false">IF(F121&lt;&gt;0,F121*G$2/(100+G$2)," ")</f>
        <v> </v>
      </c>
      <c r="H121" s="6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</row>
    <row r="122" customFormat="false" ht="12" hidden="false" customHeight="false" outlineLevel="0" collapsed="false">
      <c r="A122" s="28"/>
      <c r="E122" s="2"/>
      <c r="G122" s="6" t="str">
        <f aca="false">IF(F122&lt;&gt;0,F122*G$2/(100+G$2)," ")</f>
        <v> </v>
      </c>
      <c r="H122" s="6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</row>
    <row r="123" customFormat="false" ht="12" hidden="false" customHeight="false" outlineLevel="0" collapsed="false">
      <c r="A123" s="28"/>
      <c r="E123" s="2"/>
      <c r="G123" s="6" t="str">
        <f aca="false">IF(F123&lt;&gt;0,F123*G$2/(100+G$2)," ")</f>
        <v> </v>
      </c>
      <c r="H123" s="6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</row>
    <row r="124" customFormat="false" ht="12" hidden="false" customHeight="false" outlineLevel="0" collapsed="false">
      <c r="A124" s="28"/>
      <c r="E124" s="2"/>
      <c r="G124" s="6" t="str">
        <f aca="false">IF(F124&lt;&gt;0,F124*G$2/(100+G$2)," ")</f>
        <v> </v>
      </c>
      <c r="H124" s="6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</row>
    <row r="125" customFormat="false" ht="12" hidden="false" customHeight="false" outlineLevel="0" collapsed="false">
      <c r="A125" s="28"/>
      <c r="E125" s="2"/>
      <c r="G125" s="6" t="str">
        <f aca="false">IF(F125&lt;&gt;0,F125*G$2/(100+G$2)," ")</f>
        <v> </v>
      </c>
      <c r="H125" s="6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</row>
    <row r="126" customFormat="false" ht="12" hidden="false" customHeight="false" outlineLevel="0" collapsed="false">
      <c r="A126" s="28"/>
      <c r="E126" s="2"/>
      <c r="G126" s="6" t="str">
        <f aca="false">IF(F126&lt;&gt;0,F126*G$2/(100+G$2)," ")</f>
        <v> </v>
      </c>
      <c r="H126" s="6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</row>
    <row r="127" customFormat="false" ht="12" hidden="false" customHeight="false" outlineLevel="0" collapsed="false">
      <c r="A127" s="28"/>
      <c r="E127" s="2"/>
      <c r="G127" s="6" t="str">
        <f aca="false">IF(F127&lt;&gt;0,F127*G$2/(100+G$2)," ")</f>
        <v> </v>
      </c>
      <c r="H127" s="6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</row>
    <row r="128" customFormat="false" ht="12" hidden="false" customHeight="false" outlineLevel="0" collapsed="false">
      <c r="A128" s="28"/>
      <c r="E128" s="2"/>
      <c r="G128" s="6" t="str">
        <f aca="false">IF(F128&lt;&gt;0,F128*G$2/(100+G$2)," ")</f>
        <v> </v>
      </c>
      <c r="H128" s="6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</row>
    <row r="129" customFormat="false" ht="12" hidden="false" customHeight="false" outlineLevel="0" collapsed="false">
      <c r="A129" s="28"/>
      <c r="E129" s="2"/>
      <c r="G129" s="6" t="str">
        <f aca="false">IF(F129&lt;&gt;0,F129*G$2/(100+G$2)," ")</f>
        <v> </v>
      </c>
      <c r="H129" s="6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</row>
    <row r="130" customFormat="false" ht="12" hidden="false" customHeight="false" outlineLevel="0" collapsed="false">
      <c r="A130" s="28"/>
      <c r="E130" s="2"/>
      <c r="G130" s="6" t="str">
        <f aca="false">IF(F130&lt;&gt;0,F130*G$2/(100+G$2)," ")</f>
        <v> </v>
      </c>
      <c r="H130" s="6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</row>
    <row r="131" customFormat="false" ht="12" hidden="false" customHeight="false" outlineLevel="0" collapsed="false">
      <c r="A131" s="28"/>
      <c r="E131" s="2"/>
      <c r="G131" s="6" t="str">
        <f aca="false">IF(F131&lt;&gt;0,F131*G$2/(100+G$2)," ")</f>
        <v> </v>
      </c>
      <c r="H131" s="6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</row>
    <row r="132" customFormat="false" ht="12" hidden="false" customHeight="false" outlineLevel="0" collapsed="false">
      <c r="A132" s="28"/>
      <c r="E132" s="2"/>
      <c r="G132" s="6" t="str">
        <f aca="false">IF(F132&lt;&gt;0,F132*G$2/(100+G$2)," ")</f>
        <v> </v>
      </c>
      <c r="H132" s="6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</row>
    <row r="133" customFormat="false" ht="12" hidden="false" customHeight="false" outlineLevel="0" collapsed="false">
      <c r="A133" s="28"/>
      <c r="E133" s="2"/>
      <c r="G133" s="6" t="str">
        <f aca="false">IF(F133&lt;&gt;0,F133*G$2/(100+G$2)," ")</f>
        <v> </v>
      </c>
      <c r="H133" s="6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</row>
    <row r="134" customFormat="false" ht="12" hidden="false" customHeight="false" outlineLevel="0" collapsed="false">
      <c r="A134" s="28"/>
      <c r="E134" s="2"/>
      <c r="G134" s="6" t="str">
        <f aca="false">IF(F134&lt;&gt;0,F134*G$2/(100+G$2)," ")</f>
        <v> </v>
      </c>
      <c r="H134" s="6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</row>
    <row r="135" customFormat="false" ht="12" hidden="false" customHeight="false" outlineLevel="0" collapsed="false">
      <c r="A135" s="28"/>
      <c r="E135" s="2"/>
      <c r="G135" s="6" t="str">
        <f aca="false">IF(F135&lt;&gt;0,F135*G$2/(100+G$2)," ")</f>
        <v> </v>
      </c>
      <c r="H135" s="6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</row>
    <row r="136" customFormat="false" ht="12" hidden="false" customHeight="false" outlineLevel="0" collapsed="false">
      <c r="A136" s="28"/>
      <c r="E136" s="2"/>
      <c r="G136" s="6" t="str">
        <f aca="false">IF(F136&lt;&gt;0,F136*G$2/(100+G$2)," ")</f>
        <v> </v>
      </c>
      <c r="H136" s="6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</row>
    <row r="137" customFormat="false" ht="12" hidden="false" customHeight="false" outlineLevel="0" collapsed="false">
      <c r="A137" s="28"/>
      <c r="E137" s="2"/>
      <c r="G137" s="6" t="str">
        <f aca="false">IF(F137&lt;&gt;0,F137*G$2/(100+G$2)," ")</f>
        <v> </v>
      </c>
      <c r="H137" s="6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</row>
    <row r="138" customFormat="false" ht="12" hidden="false" customHeight="false" outlineLevel="0" collapsed="false">
      <c r="A138" s="28"/>
      <c r="E138" s="2"/>
      <c r="G138" s="6" t="str">
        <f aca="false">IF(F138&lt;&gt;0,F138*G$2/(100+G$2)," ")</f>
        <v> </v>
      </c>
      <c r="H138" s="6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</row>
    <row r="139" customFormat="false" ht="12" hidden="false" customHeight="false" outlineLevel="0" collapsed="false">
      <c r="A139" s="28"/>
      <c r="E139" s="2"/>
      <c r="G139" s="6" t="str">
        <f aca="false">IF(F139&lt;&gt;0,F139*G$2/(100+G$2)," ")</f>
        <v> </v>
      </c>
      <c r="H139" s="6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</row>
    <row r="140" customFormat="false" ht="12" hidden="false" customHeight="false" outlineLevel="0" collapsed="false">
      <c r="A140" s="28"/>
      <c r="E140" s="2"/>
      <c r="G140" s="6" t="str">
        <f aca="false">IF(F140&lt;&gt;0,F140*G$2/(100+G$2)," ")</f>
        <v> </v>
      </c>
      <c r="H140" s="6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</row>
    <row r="141" customFormat="false" ht="12" hidden="false" customHeight="false" outlineLevel="0" collapsed="false">
      <c r="A141" s="28"/>
      <c r="E141" s="2"/>
      <c r="G141" s="6" t="str">
        <f aca="false">IF(F141&lt;&gt;0,F141*G$2/(100+G$2)," ")</f>
        <v> </v>
      </c>
      <c r="H141" s="6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</row>
    <row r="142" customFormat="false" ht="12" hidden="false" customHeight="false" outlineLevel="0" collapsed="false">
      <c r="A142" s="28"/>
      <c r="E142" s="2"/>
      <c r="G142" s="6" t="str">
        <f aca="false">IF(F142&lt;&gt;0,F142*G$2/(100+G$2)," ")</f>
        <v> </v>
      </c>
      <c r="H142" s="6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</row>
    <row r="143" customFormat="false" ht="12" hidden="false" customHeight="false" outlineLevel="0" collapsed="false">
      <c r="A143" s="28"/>
      <c r="E143" s="2"/>
      <c r="G143" s="6" t="str">
        <f aca="false">IF(F143&lt;&gt;0,F143*G$2/(100+G$2)," ")</f>
        <v> </v>
      </c>
      <c r="H143" s="6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</row>
    <row r="144" customFormat="false" ht="12" hidden="false" customHeight="false" outlineLevel="0" collapsed="false">
      <c r="A144" s="28"/>
      <c r="E144" s="2"/>
      <c r="G144" s="6" t="str">
        <f aca="false">IF(F144&lt;&gt;0,F144*G$2/(100+G$2)," ")</f>
        <v> </v>
      </c>
      <c r="H144" s="6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</row>
    <row r="145" customFormat="false" ht="12" hidden="false" customHeight="false" outlineLevel="0" collapsed="false">
      <c r="A145" s="28"/>
      <c r="E145" s="2"/>
      <c r="G145" s="6" t="str">
        <f aca="false">IF(F145&lt;&gt;0,F145*G$2/(100+G$2)," ")</f>
        <v> </v>
      </c>
      <c r="H145" s="6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</row>
    <row r="146" customFormat="false" ht="12" hidden="false" customHeight="false" outlineLevel="0" collapsed="false">
      <c r="A146" s="28"/>
      <c r="E146" s="2"/>
      <c r="G146" s="6" t="str">
        <f aca="false">IF(F146&lt;&gt;0,F146*G$2/(100+G$2)," ")</f>
        <v> </v>
      </c>
      <c r="H146" s="6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</row>
    <row r="147" customFormat="false" ht="12" hidden="false" customHeight="false" outlineLevel="0" collapsed="false">
      <c r="A147" s="28"/>
      <c r="E147" s="2"/>
      <c r="G147" s="6" t="str">
        <f aca="false">IF(F147&lt;&gt;0,F147*G$2/(100+G$2)," ")</f>
        <v> </v>
      </c>
      <c r="H147" s="6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</row>
    <row r="148" customFormat="false" ht="12" hidden="false" customHeight="false" outlineLevel="0" collapsed="false">
      <c r="A148" s="28"/>
      <c r="E148" s="2"/>
      <c r="G148" s="6" t="str">
        <f aca="false">IF(F148&lt;&gt;0,F148*G$2/(100+G$2)," ")</f>
        <v> </v>
      </c>
      <c r="H148" s="6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</row>
    <row r="149" customFormat="false" ht="12" hidden="false" customHeight="false" outlineLevel="0" collapsed="false">
      <c r="A149" s="28"/>
      <c r="E149" s="2"/>
      <c r="G149" s="6" t="str">
        <f aca="false">IF(F149&lt;&gt;0,F149*G$2/(100+G$2)," ")</f>
        <v> </v>
      </c>
      <c r="H149" s="6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</row>
    <row r="150" customFormat="false" ht="12" hidden="false" customHeight="false" outlineLevel="0" collapsed="false">
      <c r="A150" s="28"/>
      <c r="E150" s="2"/>
      <c r="G150" s="6" t="str">
        <f aca="false">IF(F150&lt;&gt;0,F150*G$2/(100+G$2)," ")</f>
        <v> </v>
      </c>
      <c r="H150" s="6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</row>
    <row r="151" customFormat="false" ht="12" hidden="false" customHeight="false" outlineLevel="0" collapsed="false">
      <c r="A151" s="28"/>
      <c r="E151" s="2"/>
      <c r="G151" s="6" t="str">
        <f aca="false">IF(F151&lt;&gt;0,F151*G$2/(100+G$2)," ")</f>
        <v> </v>
      </c>
      <c r="H151" s="6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</row>
    <row r="152" customFormat="false" ht="12" hidden="false" customHeight="false" outlineLevel="0" collapsed="false">
      <c r="A152" s="28"/>
      <c r="E152" s="2"/>
      <c r="G152" s="6" t="str">
        <f aca="false">IF(F152&lt;&gt;0,F152*G$2/(100+G$2)," ")</f>
        <v> </v>
      </c>
      <c r="H152" s="6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</row>
    <row r="153" customFormat="false" ht="12" hidden="false" customHeight="false" outlineLevel="0" collapsed="false">
      <c r="A153" s="28"/>
      <c r="E153" s="2"/>
      <c r="G153" s="6" t="str">
        <f aca="false">IF(F153&lt;&gt;0,F153*G$2/(100+G$2)," ")</f>
        <v> </v>
      </c>
      <c r="H153" s="6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</row>
    <row r="154" customFormat="false" ht="12" hidden="false" customHeight="false" outlineLevel="0" collapsed="false">
      <c r="A154" s="28"/>
      <c r="E154" s="2"/>
      <c r="G154" s="6" t="str">
        <f aca="false">IF(F154&lt;&gt;0,F154*G$2/(100+G$2)," ")</f>
        <v> </v>
      </c>
      <c r="H154" s="6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</row>
    <row r="155" customFormat="false" ht="12" hidden="false" customHeight="false" outlineLevel="0" collapsed="false">
      <c r="A155" s="28"/>
      <c r="E155" s="2"/>
      <c r="G155" s="6" t="str">
        <f aca="false">IF(F155&lt;&gt;0,F155*G$2/(100+G$2)," ")</f>
        <v> </v>
      </c>
      <c r="H155" s="6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</row>
    <row r="156" customFormat="false" ht="12" hidden="false" customHeight="false" outlineLevel="0" collapsed="false">
      <c r="A156" s="28"/>
      <c r="E156" s="2"/>
      <c r="G156" s="6" t="str">
        <f aca="false">IF(F156&lt;&gt;0,F156*G$2/(100+G$2)," ")</f>
        <v> </v>
      </c>
      <c r="H156" s="6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</row>
    <row r="157" customFormat="false" ht="12" hidden="false" customHeight="false" outlineLevel="0" collapsed="false">
      <c r="A157" s="28"/>
      <c r="E157" s="2"/>
      <c r="G157" s="6" t="str">
        <f aca="false">IF(F157&lt;&gt;0,F157*G$2/(100+G$2)," ")</f>
        <v> </v>
      </c>
      <c r="H157" s="6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</row>
    <row r="158" customFormat="false" ht="12" hidden="false" customHeight="false" outlineLevel="0" collapsed="false">
      <c r="A158" s="28"/>
      <c r="E158" s="2"/>
      <c r="G158" s="6" t="str">
        <f aca="false">IF(F158&lt;&gt;0,F158*G$2/(100+G$2)," ")</f>
        <v> </v>
      </c>
      <c r="H158" s="6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</row>
    <row r="159" customFormat="false" ht="12" hidden="false" customHeight="false" outlineLevel="0" collapsed="false">
      <c r="A159" s="28"/>
      <c r="E159" s="2"/>
      <c r="G159" s="6" t="str">
        <f aca="false">IF(F159&lt;&gt;0,F159*G$2/(100+G$2)," ")</f>
        <v> </v>
      </c>
      <c r="H159" s="6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</row>
    <row r="160" customFormat="false" ht="12" hidden="false" customHeight="false" outlineLevel="0" collapsed="false">
      <c r="A160" s="28"/>
      <c r="E160" s="2"/>
      <c r="G160" s="6" t="str">
        <f aca="false">IF(F160&lt;&gt;0,F160*G$2/(100+G$2)," ")</f>
        <v> </v>
      </c>
      <c r="H160" s="6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</row>
    <row r="161" customFormat="false" ht="12" hidden="false" customHeight="false" outlineLevel="0" collapsed="false">
      <c r="A161" s="28"/>
      <c r="E161" s="2"/>
      <c r="G161" s="6" t="str">
        <f aca="false">IF(F161&lt;&gt;0,F161*G$2/(100+G$2)," ")</f>
        <v> </v>
      </c>
      <c r="H161" s="6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</row>
    <row r="162" customFormat="false" ht="12" hidden="false" customHeight="false" outlineLevel="0" collapsed="false">
      <c r="A162" s="28"/>
      <c r="E162" s="2"/>
      <c r="G162" s="6" t="str">
        <f aca="false">IF(F162&lt;&gt;0,F162*G$2/(100+G$2)," ")</f>
        <v> </v>
      </c>
      <c r="H162" s="6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</row>
    <row r="163" customFormat="false" ht="12" hidden="false" customHeight="false" outlineLevel="0" collapsed="false">
      <c r="A163" s="28"/>
      <c r="E163" s="2"/>
      <c r="G163" s="6" t="str">
        <f aca="false">IF(F163&lt;&gt;0,F163*G$2/(100+G$2)," ")</f>
        <v> </v>
      </c>
      <c r="H163" s="6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</row>
    <row r="164" customFormat="false" ht="12" hidden="false" customHeight="false" outlineLevel="0" collapsed="false">
      <c r="A164" s="28"/>
      <c r="E164" s="2"/>
      <c r="G164" s="6" t="str">
        <f aca="false">IF(F164&lt;&gt;0,F164*G$2/(100+G$2)," ")</f>
        <v> </v>
      </c>
      <c r="H164" s="6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</row>
    <row r="165" customFormat="false" ht="12" hidden="false" customHeight="false" outlineLevel="0" collapsed="false">
      <c r="A165" s="28"/>
      <c r="E165" s="2"/>
      <c r="G165" s="6" t="str">
        <f aca="false">IF(F165&lt;&gt;0,F165*G$2/(100+G$2)," ")</f>
        <v> </v>
      </c>
      <c r="H165" s="6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</row>
    <row r="166" customFormat="false" ht="12" hidden="false" customHeight="false" outlineLevel="0" collapsed="false">
      <c r="A166" s="28"/>
      <c r="E166" s="2"/>
      <c r="G166" s="6" t="str">
        <f aca="false">IF(F166&lt;&gt;0,F166*G$2/(100+G$2)," ")</f>
        <v> </v>
      </c>
      <c r="H166" s="6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</row>
    <row r="167" customFormat="false" ht="12" hidden="false" customHeight="false" outlineLevel="0" collapsed="false">
      <c r="A167" s="28"/>
      <c r="E167" s="2"/>
      <c r="G167" s="6" t="str">
        <f aca="false">IF(F167&lt;&gt;0,F167*G$2/(100+G$2)," ")</f>
        <v> </v>
      </c>
      <c r="H167" s="6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</row>
    <row r="168" customFormat="false" ht="12" hidden="false" customHeight="false" outlineLevel="0" collapsed="false">
      <c r="A168" s="28"/>
      <c r="E168" s="2"/>
      <c r="G168" s="6" t="str">
        <f aca="false">IF(F168&lt;&gt;0,F168*G$2/(100+G$2)," ")</f>
        <v> </v>
      </c>
      <c r="H168" s="6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</row>
    <row r="169" customFormat="false" ht="12" hidden="false" customHeight="false" outlineLevel="0" collapsed="false">
      <c r="A169" s="28"/>
      <c r="E169" s="2"/>
      <c r="G169" s="6" t="str">
        <f aca="false">IF(F169&lt;&gt;0,F169*G$2/(100+G$2)," ")</f>
        <v> </v>
      </c>
      <c r="H169" s="6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</row>
    <row r="170" customFormat="false" ht="12" hidden="false" customHeight="false" outlineLevel="0" collapsed="false">
      <c r="A170" s="28"/>
      <c r="E170" s="2"/>
      <c r="G170" s="6" t="str">
        <f aca="false">IF(F170&lt;&gt;0,F170*G$2/(100+G$2)," ")</f>
        <v> </v>
      </c>
      <c r="H170" s="6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</row>
    <row r="171" customFormat="false" ht="12" hidden="false" customHeight="false" outlineLevel="0" collapsed="false">
      <c r="A171" s="28"/>
      <c r="E171" s="2"/>
      <c r="G171" s="6" t="str">
        <f aca="false">IF(F171&lt;&gt;0,F171*G$2/(100+G$2)," ")</f>
        <v> </v>
      </c>
      <c r="H171" s="6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</row>
    <row r="172" customFormat="false" ht="12" hidden="false" customHeight="false" outlineLevel="0" collapsed="false">
      <c r="A172" s="28"/>
      <c r="E172" s="2"/>
      <c r="G172" s="6" t="str">
        <f aca="false">IF(F172&lt;&gt;0,F172*G$2/(100+G$2)," ")</f>
        <v> </v>
      </c>
      <c r="H172" s="6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</row>
    <row r="173" customFormat="false" ht="12" hidden="false" customHeight="false" outlineLevel="0" collapsed="false">
      <c r="A173" s="28"/>
      <c r="E173" s="2"/>
      <c r="G173" s="6" t="str">
        <f aca="false">IF(F173&lt;&gt;0,F173*G$2/(100+G$2)," ")</f>
        <v> </v>
      </c>
      <c r="H173" s="6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</row>
    <row r="174" customFormat="false" ht="12" hidden="false" customHeight="false" outlineLevel="0" collapsed="false">
      <c r="A174" s="28"/>
      <c r="E174" s="2"/>
      <c r="G174" s="6" t="str">
        <f aca="false">IF(F174&lt;&gt;0,F174*G$2/(100+G$2)," ")</f>
        <v> </v>
      </c>
      <c r="H174" s="6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</row>
    <row r="175" customFormat="false" ht="12" hidden="false" customHeight="false" outlineLevel="0" collapsed="false">
      <c r="A175" s="28"/>
      <c r="E175" s="2"/>
      <c r="G175" s="6" t="str">
        <f aca="false">IF(F175&lt;&gt;0,F175*G$2/(100+G$2)," ")</f>
        <v> </v>
      </c>
      <c r="H175" s="6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</row>
    <row r="176" customFormat="false" ht="12" hidden="false" customHeight="false" outlineLevel="0" collapsed="false">
      <c r="A176" s="28"/>
      <c r="E176" s="2"/>
      <c r="G176" s="6" t="str">
        <f aca="false">IF(F176&lt;&gt;0,F176*G$2/(100+G$2)," ")</f>
        <v> </v>
      </c>
      <c r="H176" s="6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</row>
    <row r="177" customFormat="false" ht="12" hidden="false" customHeight="false" outlineLevel="0" collapsed="false">
      <c r="A177" s="28"/>
      <c r="E177" s="2"/>
      <c r="G177" s="6" t="str">
        <f aca="false">IF(F177&lt;&gt;0,F177*G$2/(100+G$2)," ")</f>
        <v> </v>
      </c>
      <c r="H177" s="6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</row>
    <row r="178" customFormat="false" ht="12" hidden="false" customHeight="false" outlineLevel="0" collapsed="false">
      <c r="A178" s="28"/>
      <c r="E178" s="2"/>
      <c r="G178" s="6" t="str">
        <f aca="false">IF(F178&lt;&gt;0,F178*G$2/(100+G$2)," ")</f>
        <v> </v>
      </c>
      <c r="H178" s="6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</row>
    <row r="179" customFormat="false" ht="12" hidden="false" customHeight="false" outlineLevel="0" collapsed="false">
      <c r="A179" s="28"/>
      <c r="E179" s="2"/>
      <c r="G179" s="6" t="str">
        <f aca="false">IF(F179&lt;&gt;0,F179*G$2/(100+G$2)," ")</f>
        <v> </v>
      </c>
      <c r="H179" s="6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</row>
    <row r="180" customFormat="false" ht="12" hidden="false" customHeight="false" outlineLevel="0" collapsed="false">
      <c r="A180" s="28"/>
      <c r="E180" s="2"/>
      <c r="G180" s="6" t="str">
        <f aca="false">IF(F180&lt;&gt;0,F180*G$2/(100+G$2)," ")</f>
        <v> </v>
      </c>
      <c r="H180" s="6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</row>
    <row r="181" customFormat="false" ht="12" hidden="false" customHeight="false" outlineLevel="0" collapsed="false">
      <c r="A181" s="28"/>
      <c r="E181" s="2"/>
      <c r="G181" s="6" t="str">
        <f aca="false">IF(F181&lt;&gt;0,F181*G$2/(100+G$2)," ")</f>
        <v> </v>
      </c>
      <c r="H181" s="6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</row>
    <row r="182" customFormat="false" ht="12" hidden="false" customHeight="false" outlineLevel="0" collapsed="false">
      <c r="A182" s="28"/>
      <c r="E182" s="2"/>
      <c r="G182" s="6" t="str">
        <f aca="false">IF(F182&lt;&gt;0,F182*G$2/(100+G$2)," ")</f>
        <v> </v>
      </c>
      <c r="H182" s="6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</row>
    <row r="183" customFormat="false" ht="12" hidden="false" customHeight="false" outlineLevel="0" collapsed="false">
      <c r="A183" s="28"/>
      <c r="E183" s="2"/>
      <c r="G183" s="6" t="str">
        <f aca="false">IF(F183&lt;&gt;0,F183*G$2/(100+G$2)," ")</f>
        <v> </v>
      </c>
      <c r="H183" s="6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</row>
    <row r="184" customFormat="false" ht="12" hidden="false" customHeight="false" outlineLevel="0" collapsed="false">
      <c r="A184" s="28"/>
      <c r="E184" s="2"/>
      <c r="G184" s="6" t="str">
        <f aca="false">IF(F184&lt;&gt;0,F184*G$2/(100+G$2)," ")</f>
        <v> </v>
      </c>
      <c r="H184" s="6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</row>
    <row r="185" customFormat="false" ht="12" hidden="false" customHeight="false" outlineLevel="0" collapsed="false">
      <c r="A185" s="28"/>
      <c r="E185" s="2"/>
      <c r="G185" s="6" t="str">
        <f aca="false">IF(F185&lt;&gt;0,F185*G$2/(100+G$2)," ")</f>
        <v> </v>
      </c>
      <c r="H185" s="6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</row>
    <row r="186" customFormat="false" ht="12" hidden="false" customHeight="false" outlineLevel="0" collapsed="false">
      <c r="A186" s="28"/>
      <c r="E186" s="2"/>
      <c r="G186" s="6" t="str">
        <f aca="false">IF(F186&lt;&gt;0,F186*G$2/(100+G$2)," ")</f>
        <v> </v>
      </c>
      <c r="H186" s="6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</row>
    <row r="187" customFormat="false" ht="12" hidden="false" customHeight="false" outlineLevel="0" collapsed="false">
      <c r="A187" s="28"/>
      <c r="E187" s="2"/>
      <c r="G187" s="6" t="str">
        <f aca="false">IF(F187&lt;&gt;0,F187*G$2/(100+G$2)," ")</f>
        <v> </v>
      </c>
      <c r="H187" s="6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</row>
    <row r="188" customFormat="false" ht="12" hidden="false" customHeight="false" outlineLevel="0" collapsed="false">
      <c r="A188" s="28"/>
      <c r="E188" s="2"/>
      <c r="G188" s="6" t="str">
        <f aca="false">IF(F188&lt;&gt;0,F188*G$2/(100+G$2)," ")</f>
        <v> </v>
      </c>
      <c r="H188" s="6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</row>
    <row r="189" customFormat="false" ht="12" hidden="false" customHeight="false" outlineLevel="0" collapsed="false">
      <c r="A189" s="28"/>
      <c r="E189" s="2"/>
      <c r="G189" s="6" t="str">
        <f aca="false">IF(F189&lt;&gt;0,F189*G$2/(100+G$2)," ")</f>
        <v> </v>
      </c>
      <c r="H189" s="6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</row>
    <row r="190" customFormat="false" ht="12" hidden="false" customHeight="false" outlineLevel="0" collapsed="false">
      <c r="A190" s="28"/>
      <c r="E190" s="2"/>
      <c r="G190" s="6" t="str">
        <f aca="false">IF(F190&lt;&gt;0,F190*G$2/(100+G$2)," ")</f>
        <v> </v>
      </c>
      <c r="H190" s="6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</row>
    <row r="191" customFormat="false" ht="12" hidden="false" customHeight="false" outlineLevel="0" collapsed="false">
      <c r="A191" s="28"/>
      <c r="E191" s="2"/>
      <c r="G191" s="6" t="str">
        <f aca="false">IF(F191&lt;&gt;0,F191*G$2/(100+G$2)," ")</f>
        <v> </v>
      </c>
      <c r="H191" s="6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</row>
    <row r="192" customFormat="false" ht="12" hidden="false" customHeight="false" outlineLevel="0" collapsed="false">
      <c r="A192" s="28"/>
      <c r="E192" s="2"/>
      <c r="G192" s="6" t="str">
        <f aca="false">IF(F192&lt;&gt;0,F192*G$2/(100+G$2)," ")</f>
        <v> </v>
      </c>
      <c r="H192" s="6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</row>
    <row r="193" customFormat="false" ht="12" hidden="false" customHeight="false" outlineLevel="0" collapsed="false">
      <c r="A193" s="28"/>
      <c r="E193" s="2"/>
      <c r="G193" s="6" t="str">
        <f aca="false">IF(F193&lt;&gt;0,F193*G$2/(100+G$2)," ")</f>
        <v> </v>
      </c>
      <c r="H193" s="6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</row>
    <row r="194" customFormat="false" ht="12" hidden="false" customHeight="false" outlineLevel="0" collapsed="false">
      <c r="A194" s="28"/>
      <c r="E194" s="2"/>
      <c r="G194" s="6" t="str">
        <f aca="false">IF(F194&lt;&gt;0,F194*G$2/(100+G$2)," ")</f>
        <v> </v>
      </c>
      <c r="H194" s="6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</row>
    <row r="195" customFormat="false" ht="12" hidden="false" customHeight="false" outlineLevel="0" collapsed="false">
      <c r="A195" s="28"/>
      <c r="E195" s="2"/>
      <c r="G195" s="6" t="str">
        <f aca="false">IF(F195&lt;&gt;0,F195*G$2/(100+G$2)," ")</f>
        <v> </v>
      </c>
      <c r="H195" s="6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</row>
    <row r="196" customFormat="false" ht="12" hidden="false" customHeight="false" outlineLevel="0" collapsed="false">
      <c r="A196" s="28"/>
      <c r="E196" s="2"/>
      <c r="G196" s="6" t="str">
        <f aca="false">IF(F196&lt;&gt;0,F196*G$2/(100+G$2)," ")</f>
        <v> </v>
      </c>
      <c r="H196" s="6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</row>
    <row r="197" customFormat="false" ht="12" hidden="false" customHeight="false" outlineLevel="0" collapsed="false">
      <c r="A197" s="28"/>
      <c r="E197" s="2"/>
      <c r="G197" s="6" t="str">
        <f aca="false">IF(F197&lt;&gt;0,F197*G$2/(100+G$2)," ")</f>
        <v> </v>
      </c>
      <c r="H197" s="6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</row>
    <row r="198" customFormat="false" ht="12" hidden="false" customHeight="false" outlineLevel="0" collapsed="false">
      <c r="A198" s="28"/>
      <c r="E198" s="2"/>
      <c r="G198" s="6" t="str">
        <f aca="false">IF(F198&lt;&gt;0,F198*G$2/(100+G$2)," ")</f>
        <v> </v>
      </c>
      <c r="H198" s="6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</row>
    <row r="199" customFormat="false" ht="12" hidden="false" customHeight="false" outlineLevel="0" collapsed="false">
      <c r="A199" s="28"/>
      <c r="E199" s="2"/>
      <c r="G199" s="6" t="str">
        <f aca="false">IF(F199&lt;&gt;0,F199*G$2/(100+G$2)," ")</f>
        <v> </v>
      </c>
      <c r="H199" s="6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</row>
    <row r="200" customFormat="false" ht="12" hidden="false" customHeight="false" outlineLevel="0" collapsed="false">
      <c r="A200" s="31"/>
      <c r="B200" s="32"/>
      <c r="C200" s="33"/>
      <c r="D200" s="34"/>
      <c r="E200" s="32"/>
      <c r="F200" s="35"/>
      <c r="G200" s="35" t="str">
        <f aca="false">IF(F200&lt;&gt;0,F200*G$2/(100+G$2)," ")</f>
        <v> </v>
      </c>
      <c r="H200" s="35" t="str">
        <f aca="false">IF((F200&lt;&gt;0),F200-G200," ")</f>
        <v> </v>
      </c>
      <c r="J200" s="35"/>
      <c r="K200" s="35"/>
      <c r="L200" s="36" t="str">
        <f aca="false">IF(F200&lt;&gt;0,F200-K200," ")</f>
        <v> </v>
      </c>
      <c r="M200" s="37" t="str">
        <f aca="false">IF((F200-K200)&lt;&gt;0,M$1-A200," ")</f>
        <v> </v>
      </c>
    </row>
    <row r="201" customFormat="false" ht="12" hidden="false" customHeight="false" outlineLevel="0" collapsed="false">
      <c r="G201" s="6" t="e">
        <f aca="false">NA()</f>
        <v>#N/A</v>
      </c>
    </row>
  </sheetData>
  <mergeCells count="16">
    <mergeCell ref="A1:B1"/>
    <mergeCell ref="D1:E1"/>
    <mergeCell ref="I1:I4"/>
    <mergeCell ref="J1:J4"/>
    <mergeCell ref="A2:A4"/>
    <mergeCell ref="B2:B4"/>
    <mergeCell ref="C2:C4"/>
    <mergeCell ref="D2:D4"/>
    <mergeCell ref="E2:E4"/>
    <mergeCell ref="F2:F4"/>
    <mergeCell ref="H2:H4"/>
    <mergeCell ref="K2:M2"/>
    <mergeCell ref="G3:G4"/>
    <mergeCell ref="K3:K4"/>
    <mergeCell ref="L3:L4"/>
    <mergeCell ref="M3:M4"/>
  </mergeCells>
  <dataValidations count="1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00" type="date">
      <formula1>38353</formula1>
      <formula2>53327</formula2>
    </dataValidation>
  </dataValidations>
  <printOptions headings="false" gridLines="false" gridLinesSet="true" horizontalCentered="true" verticalCentered="true"/>
  <pageMargins left="0.157638888888889" right="0.0784722222222222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2005-11-20T10:44:15Z</dcterms:created>
  <dc:creator>Terry Cartwright</dc:creator>
  <dc:description/>
  <dc:language>en-US</dc:language>
  <cp:lastModifiedBy>Cartwright, Antony</cp:lastModifiedBy>
  <cp:lastPrinted>2007-03-02T12:17:48Z</cp:lastPrinted>
  <dcterms:modified xsi:type="dcterms:W3CDTF">2025-04-03T23:05:38Z</dcterms:modified>
  <cp:revision>0</cp:revision>
  <dc:subject/>
  <dc:title>0607 Purchases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